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CARGAS 2026\Entrega_Preliminar_Auditoria_Agosto_2026\"/>
    </mc:Choice>
  </mc:AlternateContent>
  <xr:revisionPtr revIDLastSave="0" documentId="13_ncr:1_{E9C6FD31-23BE-4011-AEB2-FE1F85B16D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0_LEER_PRIMERO" sheetId="1" r:id="rId1"/>
    <sheet name="01_RESULTADO_AGOSTO" sheetId="2" r:id="rId2"/>
    <sheet name="02_ESCALERA_AJUSTES" sheetId="3" r:id="rId3"/>
    <sheet name="03_CURVA_MODELOS" sheetId="4" r:id="rId4"/>
    <sheet name="04_PESOS_Y_COBERTURA" sheetId="5" r:id="rId5"/>
    <sheet name="05_VINCULACION" sheetId="6" r:id="rId6"/>
    <sheet name="06_VALIDACION" sheetId="7" r:id="rId7"/>
    <sheet name="07_SENSIBILIDAD" sheetId="8" r:id="rId8"/>
    <sheet name="08_METODO_Y_TRAZA" sheetId="9" r:id="rId9"/>
    <sheet name="09_BASE_AUDITABL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7" i="9" l="1"/>
  <c r="B67" i="9"/>
  <c r="C66" i="9"/>
  <c r="B66" i="9"/>
  <c r="C65" i="9"/>
  <c r="B65" i="9"/>
  <c r="C64" i="9"/>
  <c r="B64" i="9"/>
  <c r="C63" i="9"/>
  <c r="B63" i="9"/>
  <c r="C62" i="9"/>
  <c r="B62" i="9"/>
  <c r="C61" i="9"/>
  <c r="B61" i="9"/>
  <c r="B37" i="8"/>
  <c r="D36" i="8"/>
  <c r="B36" i="8"/>
  <c r="C36" i="8" s="1"/>
  <c r="B31" i="8"/>
  <c r="C30" i="8"/>
  <c r="B30" i="8"/>
  <c r="B29" i="8"/>
  <c r="C29" i="8" s="1"/>
  <c r="C24" i="8"/>
  <c r="E24" i="8" s="1"/>
  <c r="B24" i="8"/>
  <c r="D24" i="8" s="1"/>
  <c r="C23" i="8"/>
  <c r="E23" i="8" s="1"/>
  <c r="B23" i="8"/>
  <c r="D23" i="8" s="1"/>
  <c r="C22" i="8"/>
  <c r="E22" i="8" s="1"/>
  <c r="B22" i="8"/>
  <c r="D22" i="8" s="1"/>
  <c r="C21" i="8"/>
  <c r="E21" i="8" s="1"/>
  <c r="B21" i="8"/>
  <c r="D21" i="8" s="1"/>
  <c r="C20" i="8"/>
  <c r="E20" i="8" s="1"/>
  <c r="B20" i="8"/>
  <c r="D20" i="8" s="1"/>
  <c r="C19" i="8"/>
  <c r="E19" i="8" s="1"/>
  <c r="B19" i="8"/>
  <c r="D19" i="8" s="1"/>
  <c r="C18" i="8"/>
  <c r="E18" i="8" s="1"/>
  <c r="B18" i="8"/>
  <c r="D18" i="8" s="1"/>
  <c r="C12" i="8"/>
  <c r="E12" i="8" s="1"/>
  <c r="B12" i="8"/>
  <c r="D12" i="8" s="1"/>
  <c r="C11" i="8"/>
  <c r="E11" i="8" s="1"/>
  <c r="B11" i="8"/>
  <c r="D11" i="8" s="1"/>
  <c r="C10" i="8"/>
  <c r="E10" i="8" s="1"/>
  <c r="B10" i="8"/>
  <c r="D10" i="8" s="1"/>
  <c r="C9" i="8"/>
  <c r="E9" i="8" s="1"/>
  <c r="B9" i="8"/>
  <c r="D9" i="8" s="1"/>
  <c r="C8" i="8"/>
  <c r="E8" i="8" s="1"/>
  <c r="B8" i="8"/>
  <c r="D8" i="8" s="1"/>
  <c r="C7" i="8"/>
  <c r="E7" i="8" s="1"/>
  <c r="B7" i="8"/>
  <c r="D7" i="8" s="1"/>
  <c r="C6" i="8"/>
  <c r="E6" i="8" s="1"/>
  <c r="B6" i="8"/>
  <c r="D6" i="8" s="1"/>
  <c r="B29" i="2" s="1"/>
  <c r="A10" i="1" s="1"/>
  <c r="B35" i="7"/>
  <c r="E35" i="7" s="1"/>
  <c r="B34" i="7"/>
  <c r="E34" i="7" s="1"/>
  <c r="B32" i="7"/>
  <c r="E32" i="7" s="1"/>
  <c r="B31" i="7"/>
  <c r="E31" i="7" s="1"/>
  <c r="B30" i="7"/>
  <c r="E30" i="7" s="1"/>
  <c r="B29" i="7"/>
  <c r="E29" i="7" s="1"/>
  <c r="B27" i="7"/>
  <c r="E27" i="7" s="1"/>
  <c r="B26" i="7"/>
  <c r="E26" i="7" s="1"/>
  <c r="D20" i="7"/>
  <c r="D19" i="7"/>
  <c r="D18" i="7"/>
  <c r="D17" i="7"/>
  <c r="D16" i="7"/>
  <c r="B32" i="6"/>
  <c r="D25" i="6"/>
  <c r="C25" i="6"/>
  <c r="C20" i="6"/>
  <c r="C19" i="6"/>
  <c r="D19" i="6" s="1"/>
  <c r="C18" i="6"/>
  <c r="B12" i="6"/>
  <c r="B11" i="6"/>
  <c r="B10" i="6"/>
  <c r="B9" i="6"/>
  <c r="B8" i="6"/>
  <c r="B6" i="6"/>
  <c r="B25" i="5"/>
  <c r="B24" i="5"/>
  <c r="C19" i="5"/>
  <c r="D19" i="5" s="1"/>
  <c r="B19" i="5"/>
  <c r="D18" i="5"/>
  <c r="C18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J8" i="5"/>
  <c r="I8" i="5"/>
  <c r="H8" i="5"/>
  <c r="G8" i="5"/>
  <c r="F8" i="5"/>
  <c r="E8" i="5"/>
  <c r="C8" i="5"/>
  <c r="B8" i="5"/>
  <c r="D8" i="5" s="1"/>
  <c r="J7" i="5"/>
  <c r="I7" i="5"/>
  <c r="H7" i="5"/>
  <c r="G7" i="5"/>
  <c r="F7" i="5"/>
  <c r="E7" i="5"/>
  <c r="C7" i="5"/>
  <c r="B7" i="5"/>
  <c r="D7" i="5" s="1"/>
  <c r="J6" i="5"/>
  <c r="I6" i="5"/>
  <c r="H6" i="5"/>
  <c r="G6" i="5"/>
  <c r="F6" i="5"/>
  <c r="E6" i="5"/>
  <c r="C6" i="5"/>
  <c r="B6" i="5"/>
  <c r="I9" i="4"/>
  <c r="H9" i="4"/>
  <c r="G9" i="4"/>
  <c r="F9" i="4"/>
  <c r="E9" i="4"/>
  <c r="D9" i="4"/>
  <c r="C9" i="4"/>
  <c r="B9" i="4"/>
  <c r="I8" i="4"/>
  <c r="H8" i="4"/>
  <c r="G8" i="4"/>
  <c r="F8" i="4"/>
  <c r="E8" i="4"/>
  <c r="D8" i="4"/>
  <c r="C8" i="4"/>
  <c r="J9" i="4" s="1"/>
  <c r="B8" i="4"/>
  <c r="I7" i="4"/>
  <c r="H7" i="4"/>
  <c r="G7" i="4"/>
  <c r="F7" i="4"/>
  <c r="E7" i="4"/>
  <c r="D7" i="4"/>
  <c r="C7" i="4"/>
  <c r="J7" i="4" s="1"/>
  <c r="B7" i="4"/>
  <c r="I6" i="4"/>
  <c r="H6" i="4"/>
  <c r="G6" i="4"/>
  <c r="F6" i="4"/>
  <c r="E6" i="4"/>
  <c r="D6" i="4"/>
  <c r="C6" i="4"/>
  <c r="B15" i="4" s="1"/>
  <c r="B6" i="4"/>
  <c r="C13" i="3"/>
  <c r="B13" i="3"/>
  <c r="D13" i="3" s="1"/>
  <c r="C12" i="3"/>
  <c r="B12" i="3"/>
  <c r="C11" i="3"/>
  <c r="B11" i="3"/>
  <c r="D11" i="3" s="1"/>
  <c r="C10" i="3"/>
  <c r="B10" i="3"/>
  <c r="D10" i="3" s="1"/>
  <c r="B9" i="3"/>
  <c r="D9" i="3" s="1"/>
  <c r="B8" i="3"/>
  <c r="B7" i="3"/>
  <c r="B6" i="3"/>
  <c r="D6" i="3" s="1"/>
  <c r="B28" i="2"/>
  <c r="F9" i="2"/>
  <c r="E9" i="2"/>
  <c r="B9" i="2"/>
  <c r="K6" i="2" s="1"/>
  <c r="F8" i="2"/>
  <c r="E8" i="2"/>
  <c r="B8" i="2"/>
  <c r="C8" i="2" s="1"/>
  <c r="C7" i="2"/>
  <c r="D7" i="2" s="1"/>
  <c r="B7" i="2"/>
  <c r="B6" i="2"/>
  <c r="C6" i="2" s="1"/>
  <c r="D6" i="2" s="1"/>
  <c r="K5" i="2"/>
  <c r="B17" i="4" l="1"/>
  <c r="D6" i="5"/>
  <c r="D37" i="8"/>
  <c r="C9" i="2"/>
  <c r="L6" i="2" s="1"/>
  <c r="D7" i="3"/>
  <c r="D12" i="3"/>
  <c r="B26" i="5"/>
  <c r="B27" i="5" s="1"/>
  <c r="D18" i="6"/>
  <c r="C31" i="8"/>
  <c r="C37" i="8"/>
  <c r="A7" i="1"/>
  <c r="D8" i="3"/>
  <c r="J8" i="4"/>
  <c r="D20" i="6"/>
  <c r="F7" i="1"/>
  <c r="L5" i="2"/>
  <c r="D8" i="2"/>
  <c r="J6" i="4"/>
  <c r="B14" i="4"/>
  <c r="B16" i="4" s="1"/>
  <c r="D16" i="4" s="1"/>
  <c r="B33" i="7"/>
  <c r="E33" i="7" s="1"/>
  <c r="B28" i="7"/>
  <c r="E28" i="7" s="1"/>
  <c r="D9" i="2" l="1"/>
</calcChain>
</file>

<file path=xl/sharedStrings.xml><?xml version="1.0" encoding="utf-8"?>
<sst xmlns="http://schemas.openxmlformats.org/spreadsheetml/2006/main" count="7469" uniqueCount="439">
  <si>
    <t>Medición agosto 2026</t>
  </si>
  <si>
    <t>Medición digital no probabilística + modelo electoral · versión para revisión técnica.</t>
  </si>
  <si>
    <t>VERSIÓN PRELIMINAR · El enlace individual de los registros con el padrón se está reconstruyendo. El resultado actual usa vinculación probabilística.</t>
  </si>
  <si>
    <t>Resultado actual del modelo</t>
  </si>
  <si>
    <t>Carlos Pereira Rieve</t>
  </si>
  <si>
    <t>Sebastian "Cheba" Remesowski</t>
  </si>
  <si>
    <t>Qué ya está hecho</t>
  </si>
  <si>
    <t>Qué falta completar</t>
  </si>
  <si>
    <t>✓ 3.665 respuestas históricas congeladas
✓ 1.735 Pereira y 1.930 Cheba
✓ 70 votos posteriores separados del estimador
✓ Padrón agregado, calibración, M3 y controles auditables</t>
  </si>
  <si>
    <t>El enlace individual con el padrón se está reconstruyendo. Hasta validarlo, cada registro se distribuye probabilísticamente entre celdas compatibles. Luego se recalculará y publicará la versión final.</t>
  </si>
  <si>
    <t>Cómo se construye el resultado</t>
  </si>
  <si>
    <t>1 · BASE
3.665 respuestas históricas
Corte w04 congelado</t>
  </si>
  <si>
    <t>2 · VÍNCULO
Asignación probabilística a celdas del padrón
En reconstrucción individual</t>
  </si>
  <si>
    <t>3 · AJUSTE
Calibración + modelo MRP
Sexo, edad y territorio</t>
  </si>
  <si>
    <t>4 · RESULTADO
Estimación bilateral actual
Condicionada al vínculo</t>
  </si>
  <si>
    <t>Dónde mirar</t>
  </si>
  <si>
    <t>01_RESULTADO_AGOSTO
Porcentajes, intervalo y lectura principal</t>
  </si>
  <si>
    <t>05_VINCULACION
Estado y concentración del enlace actual</t>
  </si>
  <si>
    <t>02–04 y 07
Ajustes, modelos, pesos y sensibilidades</t>
  </si>
  <si>
    <t>06_VALIDACION
Diagnósticos y controles del modelo</t>
  </si>
  <si>
    <t>08_METODO_Y_TRAZA
Definiciones, fuentes y límites de lectura</t>
  </si>
  <si>
    <t>09_BASE_AUDITABLE
Datos seudonimizados y fórmulas trazables</t>
  </si>
  <si>
    <t>Uso correcto: sirve para revisar el método y la dirección actual del resultado. Los porcentajes son provisionales y pueden cambiar cuando termine el enlace individual al padrón.</t>
  </si>
  <si>
    <t>Resultado bilateral — agosto 2026</t>
  </si>
  <si>
    <t>El centro principal es M3 para el electorado registrado. Votantes probables es un escenario secundario basado en participación municipal histórica de 2021 por sexo y edad.</t>
  </si>
  <si>
    <t>VERSIÓN PRELIMINAR · Resultado condicionado al enlace individual probabilístico; el enlace con el padrón se está reconstruyendo.</t>
  </si>
  <si>
    <t>Escalones principales</t>
  </si>
  <si>
    <t>Estimando</t>
  </si>
  <si>
    <t>Estimador</t>
  </si>
  <si>
    <t>Pereira</t>
  </si>
  <si>
    <t>Remesowski</t>
  </si>
  <si>
    <t>Brecha P−R (pp)</t>
  </si>
  <si>
    <t>P2,5 Pereira</t>
  </si>
  <si>
    <t>P97,5 Pereira</t>
  </si>
  <si>
    <t>Base</t>
  </si>
  <si>
    <t>Lectura</t>
  </si>
  <si>
    <t>Principal: registrados</t>
  </si>
  <si>
    <t>Bruto</t>
  </si>
  <si>
    <t>Señal observada</t>
  </si>
  <si>
    <t>Secundario: participación municipal histórica de 2021 por sexo y edad</t>
  </si>
  <si>
    <t>Calibrado P99</t>
  </si>
  <si>
    <t>Composición observable</t>
  </si>
  <si>
    <t>M3 registrados</t>
  </si>
  <si>
    <t>Estimando principal</t>
  </si>
  <si>
    <t>M3 votantes probables</t>
  </si>
  <si>
    <t>Escenario secundario: participación municipal histórica de 2021 por sexo y edad</t>
  </si>
  <si>
    <t>Tres niveles de incertidumbre</t>
  </si>
  <si>
    <t>Nivel</t>
  </si>
  <si>
    <t>Qué mide</t>
  </si>
  <si>
    <t>Cómo se presenta</t>
  </si>
  <si>
    <t>Qué no afirma</t>
  </si>
  <si>
    <t>1. Centro operativo</t>
  </si>
  <si>
    <t>Preferencia bilateral condicionada</t>
  </si>
  <si>
    <t>M3 electorado registrado</t>
  </si>
  <si>
    <t>No predice el resultado electoral</t>
  </si>
  <si>
    <t>2. Intervalo condicional</t>
  </si>
  <si>
    <t>Variación posterior del modelo</t>
  </si>
  <si>
    <t>P2,5–P97,5</t>
  </si>
  <si>
    <t>No es margen de error muestral</t>
  </si>
  <si>
    <t>3. Incertidumbre estructural</t>
  </si>
  <si>
    <t>Autoselección y vínculo</t>
  </si>
  <si>
    <t>Curva Γ y sensibilidades</t>
  </si>
  <si>
    <t>No desaparece por ponderar</t>
  </si>
  <si>
    <t>Lectura condicional</t>
  </si>
  <si>
    <t>Según el intervalo P2,5–P97,5 de M3 entre registrados</t>
  </si>
  <si>
    <t>No equivale a liderazgo robusto</t>
  </si>
  <si>
    <t>Conclusión de difusión</t>
  </si>
  <si>
    <t>Exige estabilidad frente a sensibilidad Γ</t>
  </si>
  <si>
    <t>No es probabilidad de ganar</t>
  </si>
  <si>
    <t>Los intervalos P2,5–P97,5 son condicionales al modelo y a sus insumos. El escenario de participación municipal histórica de 2021 por sexo y edad queda separado y no sustituye al resultado principal entre registrados.</t>
  </si>
  <si>
    <t>Escalera de ajustes</t>
  </si>
  <si>
    <t>Cada fila añade una corrección identificable. La convergencia entre estimadores es evidencia interna; no convierte la muestra en probabilística.</t>
  </si>
  <si>
    <t>Registrados</t>
  </si>
  <si>
    <t>Votantes probables</t>
  </si>
  <si>
    <t>Δ vs bruto (pp)</t>
  </si>
  <si>
    <t>Ajuste incorporado</t>
  </si>
  <si>
    <t>Fuente</t>
  </si>
  <si>
    <t>NO CALCULADO</t>
  </si>
  <si>
    <t>Ninguno</t>
  </si>
  <si>
    <t>Observaciones</t>
  </si>
  <si>
    <t>Rake sin truncar</t>
  </si>
  <si>
    <t>Sexo×edad y local</t>
  </si>
  <si>
    <t>Pesos</t>
  </si>
  <si>
    <t>Rake P99</t>
  </si>
  <si>
    <t>Rake + control de extremos</t>
  </si>
  <si>
    <t>Rake P95</t>
  </si>
  <si>
    <t>Estrés de truncamiento</t>
  </si>
  <si>
    <t>M1</t>
  </si>
  <si>
    <t>Sexo + edad + local</t>
  </si>
  <si>
    <t>Simulaciones</t>
  </si>
  <si>
    <t>M2</t>
  </si>
  <si>
    <t>M1 + sexo×edad</t>
  </si>
  <si>
    <t>M3 primario</t>
  </si>
  <si>
    <t>M2 + mesa anidada</t>
  </si>
  <si>
    <t>M4 robustez P99</t>
  </si>
  <si>
    <t>M3 + pseudo-verosimilitud calibrada</t>
  </si>
  <si>
    <t>Lectura del ajuste</t>
  </si>
  <si>
    <t>M1–M4 usan regresión logística bayesiana regularizada con efectos de sexo, edad, local y mesa, seguida de postestratificación; escalas territoriales/mesa fijadas, no hiperparámetros aprendidos. M3 es el estimador inferencial primario ajustado con NUTS. M4 se informa como robustez por selección observable.</t>
  </si>
  <si>
    <t>Si M1–M4 se dispersan materialmente, la especificación domina el resultado y debe informarse como inestabilidad. La hoja 03 muestra esa dispersión con las mismas simulaciones del archivo NPZ.</t>
  </si>
  <si>
    <t>Curva de especificaciones M1–M4</t>
  </si>
  <si>
    <t>Se muestran todas las especificaciones defendibles. No se elige retrospectivamente el modelo que produzca el porcentaje más conveniente.</t>
  </si>
  <si>
    <t>Modelo</t>
  </si>
  <si>
    <t>Registrados media</t>
  </si>
  <si>
    <t>Registrados mediana</t>
  </si>
  <si>
    <t>Reg. P2,5</t>
  </si>
  <si>
    <t>Reg. P97,5</t>
  </si>
  <si>
    <t>Probables media</t>
  </si>
  <si>
    <t>Probables mediana</t>
  </si>
  <si>
    <t>VP P2,5</t>
  </si>
  <si>
    <t>VP P97,5</t>
  </si>
  <si>
    <t>Δ primario reg. (pp)</t>
  </si>
  <si>
    <t>Parámetros</t>
  </si>
  <si>
    <t>Inferencia</t>
  </si>
  <si>
    <t>Estado</t>
  </si>
  <si>
    <t>MAP + aproximación condicional Laplace/Fisher</t>
  </si>
  <si>
    <t>CUMPLE</t>
  </si>
  <si>
    <t>M3 (primario)</t>
  </si>
  <si>
    <t>NUTS (nutpie)</t>
  </si>
  <si>
    <t>M4 (robustez P99)</t>
  </si>
  <si>
    <t>MAP + aproximación Laplace/Fisher con pseudo-verosimilitud calibrada P99</t>
  </si>
  <si>
    <t>Resumen de dependencia de especificación</t>
  </si>
  <si>
    <t>Métrica</t>
  </si>
  <si>
    <t>Valor</t>
  </si>
  <si>
    <t>Umbral orientativo</t>
  </si>
  <si>
    <t>Mínimo mediano registrados</t>
  </si>
  <si>
    <t>Máximo mediano registrados</t>
  </si>
  <si>
    <t>Rango M1–M4</t>
  </si>
  <si>
    <t>≤ 1,00 pp</t>
  </si>
  <si>
    <t>Cambio M3→M4</t>
  </si>
  <si>
    <t>robustez visible</t>
  </si>
  <si>
    <t>INFORMATIVO</t>
  </si>
  <si>
    <t>Los intervalos principales son P2,5–P97,5 (95%) y son condicionales a cada especificación. Una diferencia entre modelos no debe ocultarse dentro de una única barra de error: se presenta como dependencia de especificación.</t>
  </si>
  <si>
    <t>Pesos, ESS Kish y cobertura</t>
  </si>
  <si>
    <t>Los diagnósticos distinguen el ESS Kish de los pesos y la masa esperada de asignación por celda (Σq). Esta última no es ESS.</t>
  </si>
  <si>
    <t>Sistema</t>
  </si>
  <si>
    <t>n</t>
  </si>
  <si>
    <t>ESS Kish</t>
  </si>
  <si>
    <t>DEFF</t>
  </si>
  <si>
    <t>CV</t>
  </si>
  <si>
    <t>Mínimo</t>
  </si>
  <si>
    <t>Mediana</t>
  </si>
  <si>
    <t>P95</t>
  </si>
  <si>
    <t>P99</t>
  </si>
  <si>
    <t>Máximo</t>
  </si>
  <si>
    <t>Sin truncar</t>
  </si>
  <si>
    <t>Calibración convergida</t>
  </si>
  <si>
    <t>Soporte por masa esperada de asignación (Σq)</t>
  </si>
  <si>
    <t>Tramo</t>
  </si>
  <si>
    <t>Celdas</t>
  </si>
  <si>
    <t>Electores</t>
  </si>
  <si>
    <t>% padrón</t>
  </si>
  <si>
    <t>0</t>
  </si>
  <si>
    <t>(0,1)</t>
  </si>
  <si>
    <t>[1,2)</t>
  </si>
  <si>
    <t>[2,3)</t>
  </si>
  <si>
    <t>[3,5)</t>
  </si>
  <si>
    <t>5+</t>
  </si>
  <si>
    <t>Descomposición de la masa esperada de asignación (Σq)</t>
  </si>
  <si>
    <t>Masa esperada de asignación (Σq)</t>
  </si>
  <si>
    <t>Suma de probabilidades de asignación; no es ESS Kish</t>
  </si>
  <si>
    <t>Masa de asignación directa (Σq directa)</t>
  </si>
  <si>
    <t>Componente con soporte directo</t>
  </si>
  <si>
    <t>Masa de imputación de fondo (Σq fondo)</t>
  </si>
  <si>
    <t>Componente sin evidencia nominativa suficiente</t>
  </si>
  <si>
    <t>Fracción de fondo</t>
  </si>
  <si>
    <t>Σq fondo / Σq total; no equivale a identidad observada</t>
  </si>
  <si>
    <t>Como la imputación de fondo distribuye masa sobre el marco, una celda con masa esperada de asignación (Σq) positiva no necesariamente tiene soporte directo. Se separan Σq total, directa y de fondo; ninguna debe rotularse como ESS Kish.</t>
  </si>
  <si>
    <t>Vinculación probabilística y estabilidad</t>
  </si>
  <si>
    <t>La hoja informa incertidumbre de enlace sin exponer nombres, perfiles, URLs ni cédulas. Concentración alta no significa identidad verificada.</t>
  </si>
  <si>
    <t>VERSIÓN PRELIMINAR · El enlace individual con el padrón se está reconstruyendo; esta hoja documenta la vinculación probabilística actual.</t>
  </si>
  <si>
    <t>Definición</t>
  </si>
  <si>
    <t>Registros w04</t>
  </si>
  <si>
    <t>Identidad estable</t>
  </si>
  <si>
    <t>Coincidencia estable</t>
  </si>
  <si>
    <t>No disponible en agosto</t>
  </si>
  <si>
    <t>pmax media</t>
  </si>
  <si>
    <t>Mayor probabilidad de celda por persona</t>
  </si>
  <si>
    <t>Concentración del vínculo</t>
  </si>
  <si>
    <t>pmax mediana</t>
  </si>
  <si>
    <t>Mediana por persona</t>
  </si>
  <si>
    <t>Entropía normalizada media</t>
  </si>
  <si>
    <t>0 concentrado; 1 difuso</t>
  </si>
  <si>
    <t>Incertidumbre de vínculo</t>
  </si>
  <si>
    <t>Entropía normalizada mediana</t>
  </si>
  <si>
    <t>Simulaciones de imputación de fondo</t>
  </si>
  <si>
    <t>Incertidumbre estructural</t>
  </si>
  <si>
    <t>Clasificación</t>
  </si>
  <si>
    <t>100% probabilístico</t>
  </si>
  <si>
    <t>Sin firme/corroborado</t>
  </si>
  <si>
    <t>No ocultar</t>
  </si>
  <si>
    <t>Concentración de vínculo</t>
  </si>
  <si>
    <t>Grupo</t>
  </si>
  <si>
    <t>Regla</t>
  </si>
  <si>
    <t>Casos</t>
  </si>
  <si>
    <t>%</t>
  </si>
  <si>
    <t>Alta</t>
  </si>
  <si>
    <t>pmax ≥ 0,80</t>
  </si>
  <si>
    <t>Media</t>
  </si>
  <si>
    <t>0,50 ≤ pmax &lt; 0,80</t>
  </si>
  <si>
    <t>Baja</t>
  </si>
  <si>
    <t>pmax &lt; 0,50</t>
  </si>
  <si>
    <t>Exclusión precomputada de casos más inciertos</t>
  </si>
  <si>
    <t>Escenario</t>
  </si>
  <si>
    <t>Criterio</t>
  </si>
  <si>
    <t>n retenido</t>
  </si>
  <si>
    <t>Pereira estimado</t>
  </si>
  <si>
    <t>Nota</t>
  </si>
  <si>
    <t>Todos</t>
  </si>
  <si>
    <t>Sin exclusión</t>
  </si>
  <si>
    <t>Sin reajuste</t>
  </si>
  <si>
    <t>Excluir 10% más incierto</t>
  </si>
  <si>
    <t>Orden exacto por incertidumbre</t>
  </si>
  <si>
    <t>media ponderada de sensibilidad; no es un nuevo MRP</t>
  </si>
  <si>
    <t>Excluir 20% más incierto</t>
  </si>
  <si>
    <t>Excluir 30% más incierto</t>
  </si>
  <si>
    <t>Estabilidad por cantidad de simulaciones de vínculo</t>
  </si>
  <si>
    <t>Resultado M3</t>
  </si>
  <si>
    <t>Δ vs 1.000</t>
  </si>
  <si>
    <t>NO DISPONIBLE</t>
  </si>
  <si>
    <t>El archivo actual contiene 100 simulaciones de vínculo por observación. Los renglones de 500 y 1.000 permanecen explícitamente como no disponibles; el libro no inventa estabilidad no calculada.</t>
  </si>
  <si>
    <t>Validación y controles reproducibles</t>
  </si>
  <si>
    <t>M3 usa NUTS como inferencia primaria; se muestran diagnósticos reales de las cadenas. M4 queda como robustez calibrada P99.</t>
  </si>
  <si>
    <t>Convergió</t>
  </si>
  <si>
    <t>Iteraciones</t>
  </si>
  <si>
    <t>Observación</t>
  </si>
  <si>
    <t>Sí</t>
  </si>
  <si>
    <t>Especificación auxiliar</t>
  </si>
  <si>
    <t>4×1000</t>
  </si>
  <si>
    <t>NUTS posterior; MAP sólo inicializador</t>
  </si>
  <si>
    <t>M4 (robustez)</t>
  </si>
  <si>
    <t>Robustez calibrada P99</t>
  </si>
  <si>
    <t>Diagnósticos posteriores del modelo primario</t>
  </si>
  <si>
    <t>Diagnóstico</t>
  </si>
  <si>
    <t>Umbral</t>
  </si>
  <si>
    <t>Cadenas</t>
  </si>
  <si>
    <t>informativo</t>
  </si>
  <si>
    <t>M3.fit.nuts_posterior</t>
  </si>
  <si>
    <t>Muestreo independiente</t>
  </si>
  <si>
    <t>Simulaciones por cadena</t>
  </si>
  <si>
    <t>Posteriores</t>
  </si>
  <si>
    <t>Simulaciones posteriores</t>
  </si>
  <si>
    <t>M3.fit.nuts_posterior / NPZ</t>
  </si>
  <si>
    <t>Debe reconciliar</t>
  </si>
  <si>
    <t>R-hat máximo</t>
  </si>
  <si>
    <t>M3.fit.nuts_diagnostics</t>
  </si>
  <si>
    <t>Menor es mejor</t>
  </si>
  <si>
    <t>ESS bulk mínimo</t>
  </si>
  <si>
    <t>Mayor es mejor</t>
  </si>
  <si>
    <t>ESS tail mínimo</t>
  </si>
  <si>
    <t>Divergencias</t>
  </si>
  <si>
    <t>Debe ser cero</t>
  </si>
  <si>
    <t>Control global</t>
  </si>
  <si>
    <t>Conjunción de umbrales</t>
  </si>
  <si>
    <t>Reconciliaciones con fórmulas visibles</t>
  </si>
  <si>
    <t>Control</t>
  </si>
  <si>
    <t>Calculado</t>
  </si>
  <si>
    <t>Esperado</t>
  </si>
  <si>
    <t>Tolerancia</t>
  </si>
  <si>
    <t>Votos Pereira</t>
  </si>
  <si>
    <t>Votos Remesowski</t>
  </si>
  <si>
    <t>Padrón</t>
  </si>
  <si>
    <t>Simulaciones M3 registrados</t>
  </si>
  <si>
    <t>NPZ</t>
  </si>
  <si>
    <t>Simulaciones M3 probables</t>
  </si>
  <si>
    <t>Complemento bilateral del estimando</t>
  </si>
  <si>
    <t>Fórmula</t>
  </si>
  <si>
    <t>Curva Γ votantes probables</t>
  </si>
  <si>
    <t>CSV/JSON</t>
  </si>
  <si>
    <t>Curva Γ registrados</t>
  </si>
  <si>
    <t>Validaciones adicionales entregadas</t>
  </si>
  <si>
    <t>Prueba</t>
  </si>
  <si>
    <t>Disponible</t>
  </si>
  <si>
    <t>Resultado</t>
  </si>
  <si>
    <t>Motor / alcance</t>
  </si>
  <si>
    <t>Equivalencia de vinculación</t>
  </si>
  <si>
    <t>máximo |Δq| = 0</t>
  </si>
  <si>
    <t>comparación exacta · q_hat100 condicionado</t>
  </si>
  <si>
    <t>PPC por sexo y edad</t>
  </si>
  <si>
    <t>8 grupos; cobertura 95%: 8/8</t>
  </si>
  <si>
    <t>M3 NUTS posterior · PPC condicionado a q_hat</t>
  </si>
  <si>
    <t>PPC por local</t>
  </si>
  <si>
    <t>17 grupos; cobertura 95%: 16/17</t>
  </si>
  <si>
    <t>PPC por soporte</t>
  </si>
  <si>
    <t>5 grupos; cobertura 95%: 4/5</t>
  </si>
  <si>
    <t>Recuperación sintética</t>
  </si>
  <si>
    <t>3 centros × 3 réplicas; 9/9 MAP convergidos</t>
  </si>
  <si>
    <t>M3 MAP + Laplace aproximada · SIMULACION</t>
  </si>
  <si>
    <t>Cinco refits 50/50</t>
  </si>
  <si>
    <t>5 splits; 10 refits MAP; 10/10 convergidos</t>
  </si>
  <si>
    <t>M3 MAP refit · particiones 50/50</t>
  </si>
  <si>
    <t>Refits de locales influyentes</t>
  </si>
  <si>
    <t>3 locales; 3 refits MAP; 3/3 convergidos</t>
  </si>
  <si>
    <t>M3 MAP refit · locales influyentes</t>
  </si>
  <si>
    <t>Los diagnósticos NUTS se leen de M3.fit.nuts_posterior y M3.fit.nuts_diagnostics, y se reconcilian con el NPZ; map_initializer sólo documenta la inicialización y no se mezcla con el posterior. Las validaciones adicionales provienen de validaciones_agosto.json; si falta, permanecen como REVISAR.</t>
  </si>
  <si>
    <t>Sensibilidad de agosto</t>
  </si>
  <si>
    <t>La curva Γ principal parte de M3 para el electorado registrado; el escenario de participación municipal histórica de 2021 por sexo y edad se muestra como secundario. Γ no identifica el sesgo real.</t>
  </si>
  <si>
    <t>Γ</t>
  </si>
  <si>
    <t>P2,5 condicional</t>
  </si>
  <si>
    <t>P97,5 condicional</t>
  </si>
  <si>
    <t>Límite inferior</t>
  </si>
  <si>
    <t>Límite superior</t>
  </si>
  <si>
    <t>Incertidumbre condicional</t>
  </si>
  <si>
    <t>Selección no observada</t>
  </si>
  <si>
    <t>Curva Γ secundaria — participación municipal histórica de 2021 por sexo y edad</t>
  </si>
  <si>
    <t>Sensibilidad al truncamiento de pesos</t>
  </si>
  <si>
    <t>Δ vs P99 (pp)</t>
  </si>
  <si>
    <t>Estimación completa</t>
  </si>
  <si>
    <t>Calibración observable principal</t>
  </si>
  <si>
    <t>Sensibilidad del estimando</t>
  </si>
  <si>
    <t>Diferencia vs registrados</t>
  </si>
  <si>
    <t>Electorado registrado</t>
  </si>
  <si>
    <t>El cambio por participación queda visible</t>
  </si>
  <si>
    <t>La curva principal usa el electorado registrado y su intervalo P2,5–P97,5 (95%). El escenario de participación municipal histórica de 2021 por sexo y edad es secundario. Γ=1 reproduce el intervalo condicional; Γ&gt;1 incorpora una razón hipotética de selección no observada. Es una sensibilidad, no una nueva encuesta ni un margen de error.</t>
  </si>
  <si>
    <t>Método y trazabilidad</t>
  </si>
  <si>
    <t>Definición del modelo, rol del prior histórico, límites de interpretación y hashes de las entradas reproducibles.</t>
  </si>
  <si>
    <t>Especificaciones</t>
  </si>
  <si>
    <t>Estructura</t>
  </si>
  <si>
    <t>Finalidad</t>
  </si>
  <si>
    <t>Regularización con escalas territoriales fijadas</t>
  </si>
  <si>
    <t>Heterogeneidad sociodemográfica</t>
  </si>
  <si>
    <t>M2 + efectos de mesa dentro de local; NUTS</t>
  </si>
  <si>
    <t>Inferencia posterior principal</t>
  </si>
  <si>
    <t>M4 robustez</t>
  </si>
  <si>
    <t>Estructura M3 + pseudo-verosimilitud calibrada P99</t>
  </si>
  <si>
    <t>Robustez por selección observable</t>
  </si>
  <si>
    <t>Postestratificación</t>
  </si>
  <si>
    <t>Padrón 89.097 y participación municipal histórica de 2021 por sexo y edad</t>
  </si>
  <si>
    <t>Registrados como principal; escenario histórico como secundario</t>
  </si>
  <si>
    <t>Vínculo</t>
  </si>
  <si>
    <t>Mezcla marginal de celdas</t>
  </si>
  <si>
    <t>Propaga incertidumbre de enlace</t>
  </si>
  <si>
    <t>Rol del prior histórico</t>
  </si>
  <si>
    <t>El prior histórico regulariza coeficientes y efectos territoriales; no agrega respuestas de olas digitales anteriores. La participación municipal histórica de 2021 por sexo y edad se usa sólo para construir el escenario secundario de votantes probables: no modifica el resultado principal entre registrados ni estima propensión individual a votar. El modelo es una regresión logística bayesiana regularizada con efectos de sexo, edad, local y mesa, seguida de postestratificación; escalas territoriales/mesa fijadas, no hiperparámetros aprendidos.</t>
  </si>
  <si>
    <t>Qué corrige y qué no corrige</t>
  </si>
  <si>
    <t>Componente</t>
  </si>
  <si>
    <t>Corrige</t>
  </si>
  <si>
    <t>No corrige</t>
  </si>
  <si>
    <t>Evidencia</t>
  </si>
  <si>
    <t>Calibración iterativa</t>
  </si>
  <si>
    <t>Preferencia política dentro de celda</t>
  </si>
  <si>
    <t>Pesos y ESS Kish</t>
  </si>
  <si>
    <t>MRP</t>
  </si>
  <si>
    <t>Composición mediante postestratificación</t>
  </si>
  <si>
    <t>Variables políticas no observadas</t>
  </si>
  <si>
    <t>M1–M4</t>
  </si>
  <si>
    <t>Vínculo múltiple</t>
  </si>
  <si>
    <t>Incertidumbre de asignación</t>
  </si>
  <si>
    <t>Falta total de identidad estable</t>
  </si>
  <si>
    <t>pmax y entropía</t>
  </si>
  <si>
    <t>Participación</t>
  </si>
  <si>
    <t>Diferencia registrada/probable</t>
  </si>
  <si>
    <t>Propensión individual a votar</t>
  </si>
  <si>
    <t>Estimandos separados</t>
  </si>
  <si>
    <t>Curva Γ</t>
  </si>
  <si>
    <t>Estrés de selección no observada</t>
  </si>
  <si>
    <t>No identifica el sesgo real</t>
  </si>
  <si>
    <t>Escenarios</t>
  </si>
  <si>
    <t>Validación interna</t>
  </si>
  <si>
    <t>Dependencia del ajuste</t>
  </si>
  <si>
    <t>Representatividad poblacional</t>
  </si>
  <si>
    <t>Controles disponibles</t>
  </si>
  <si>
    <t>Trazabilidad de entradas</t>
  </si>
  <si>
    <t>Archivo</t>
  </si>
  <si>
    <t>Bytes</t>
  </si>
  <si>
    <t>SHA-256</t>
  </si>
  <si>
    <t>Uso</t>
  </si>
  <si>
    <t>resultados_agosto.json</t>
  </si>
  <si>
    <t>729d3b49281877441c59e83dbd460507d3d12f8376b862375f6d0fb0848b508e</t>
  </si>
  <si>
    <t>Entrada del libro</t>
  </si>
  <si>
    <t>observaciones_agosto.csv</t>
  </si>
  <si>
    <t>3da9cd7f0783776ace224be38c71e80c2e68b9f5f0c3deeea66310da7c5724b2</t>
  </si>
  <si>
    <t>celdas_agosto.csv</t>
  </si>
  <si>
    <t>9fea6f47af6297733070657f5d33b21a8c1102eb4723adc3b3b4d28615cdf20e</t>
  </si>
  <si>
    <t>modelos.csv</t>
  </si>
  <si>
    <t>039ac54cb98dd3861eba43b55187d1f957046f00561ed3c2a4d3925fe1531f03</t>
  </si>
  <si>
    <t>sensibilidad_gamma.csv</t>
  </si>
  <si>
    <t>260edefdbbb27ab2e025e1cd7a73303b99da6e977033d121eae8fb4bf603f6f9</t>
  </si>
  <si>
    <t>probabilidades_operativas.csv</t>
  </si>
  <si>
    <t>5ec93caf4e4c08e014bde762027eca26f8c14ddd22041ea89d02b6854a73ccf3</t>
  </si>
  <si>
    <t>posterior_modelos.npz</t>
  </si>
  <si>
    <t>dcca1b5cdad4d3ce0b67faf61777b3a9a4d11580090ea6f7489b263b8af4e98c</t>
  </si>
  <si>
    <t>Simulaciones M1–M4</t>
  </si>
  <si>
    <t>sensibilidades_agosto.json</t>
  </si>
  <si>
    <t>8b09a6f32d1a58adb445a8bc860d0ec88940c98753a3a4b5762c2627b780717d</t>
  </si>
  <si>
    <t>validaciones_agosto.json</t>
  </si>
  <si>
    <t>bd220ea6d2be3fa6cb5518725baa129178e561111ff219978ef2d2f078faeb98</t>
  </si>
  <si>
    <t>Privacidad y límites de difusión</t>
  </si>
  <si>
    <t>La base visible contiene únicamente un índice efímero de fila, índices opacos y datos estadísticos desidentificados por observación. No importa el seudónimo persistente de observación ni columnas ajenas al contrato seguro: nombres, cédulas, URLs, perfiles, texto de comentarios y llaves privadas quedan excluidos.</t>
  </si>
  <si>
    <t>Lenguaje autorizado: medición digital autoseleccionada, calibración, MRP condicionado y sensibilidad. Lenguaje no autorizado: encuesta probabilística, margen de error muestral o probabilidad de ganar la elección.</t>
  </si>
  <si>
    <t>Anexo técnico — probabilidades condicionadas. No es una probabilidad de ganar la elección.</t>
  </si>
  <si>
    <t>Electorado registrado (principal)</t>
  </si>
  <si>
    <t>Participación municipal histórica de 2021 por sexo y edad (secundario)</t>
  </si>
  <si>
    <t>P(Pereira &gt; 50%)</t>
  </si>
  <si>
    <t>P(Remesowski &gt; 50%)</t>
  </si>
  <si>
    <t>P(|brecha bilateral| &lt; 1 pp)</t>
  </si>
  <si>
    <t>P(|brecha bilateral| &lt; 2 pp)</t>
  </si>
  <si>
    <t>P(|brecha bilateral| &lt; 3 pp)</t>
  </si>
  <si>
    <t>P(Pereira ≥ 51,5%)</t>
  </si>
  <si>
    <t>P(Remesowski ≥ 51,5%)</t>
  </si>
  <si>
    <t>Estas probabilidades resumen simulaciones condicionadas al modelo y sus supuestos. Sirven como diagnóstico técnico de la preferencia bilateral modelada; no incorporan campaña futura, movilización individual, indecisos fuera del instrumento ni un mecanismo de muestreo probabilístico.</t>
  </si>
  <si>
    <t>indice_observacion</t>
  </si>
  <si>
    <t>voto_pereira_01</t>
  </si>
  <si>
    <t>pmax_vinculo</t>
  </si>
  <si>
    <t>entropia_normalizada</t>
  </si>
  <si>
    <t>fraccion_imputacion_fondo</t>
  </si>
  <si>
    <t>concentracion_vinculo</t>
  </si>
  <si>
    <t>peso_sin_truncar</t>
  </si>
  <si>
    <t>peso_p99</t>
  </si>
  <si>
    <t>peso_p95</t>
  </si>
  <si>
    <t>id_celda_opaca</t>
  </si>
  <si>
    <t>indice_sexo</t>
  </si>
  <si>
    <t>indice_edad</t>
  </si>
  <si>
    <t>indice_local</t>
  </si>
  <si>
    <t>indice_mesa</t>
  </si>
  <si>
    <t>N_padron</t>
  </si>
  <si>
    <t>tasa_participacion</t>
  </si>
  <si>
    <t>N_votantes_probables</t>
  </si>
  <si>
    <t>masa_esperada_asignacion_sum_q</t>
  </si>
  <si>
    <t>masa_asignacion_directa_sum_q</t>
  </si>
  <si>
    <t>tasa_inclusion_relativa</t>
  </si>
  <si>
    <t>tramo_soporte</t>
  </si>
  <si>
    <t>simulacion</t>
  </si>
  <si>
    <t>M1_registrados</t>
  </si>
  <si>
    <t>M2_registrados</t>
  </si>
  <si>
    <t>M3_registrados</t>
  </si>
  <si>
    <t>M4_registrados</t>
  </si>
  <si>
    <t>M1_probables</t>
  </si>
  <si>
    <t>M2_probables</t>
  </si>
  <si>
    <t>M3_probables</t>
  </si>
  <si>
    <t>M4_probables</t>
  </si>
  <si>
    <t>archivo</t>
  </si>
  <si>
    <t>bytes</t>
  </si>
  <si>
    <t>sha256</t>
  </si>
  <si>
    <t>uso</t>
  </si>
  <si>
    <t>alta</t>
  </si>
  <si>
    <t>entrada reproducible</t>
  </si>
  <si>
    <t>baja</t>
  </si>
  <si>
    <t>simulaciones posteriores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</si>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</sst>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%"/>
    <numFmt numFmtId="165" formatCode="0.0000"/>
    <numFmt numFmtId="166" formatCode="0.000000"/>
    <numFmt numFmtId="167" formatCode="0.000000%"/>
    <numFmt numFmtId="168" formatCode="0.00\ &quot;pp&quot;"/>
    <numFmt numFmtId="169" formatCode="0.0%"/>
    <numFmt numFmtId="170" formatCode="#,##0.0"/>
    <numFmt numFmtId="171" formatCode="0.000"/>
    <numFmt numFmtId="172" formatCode="#,##0.000"/>
    <numFmt numFmtId="173" formatCode="#,##0.000000"/>
  </numFmts>
  <fonts count="8">
    <font>
      <sz val="11"/>
      <name val="Calibri"/>
    </font>
    <font>
      <b/>
      <sz val="10"/>
      <color rgb="FFFFFFFF"/>
      <name val="Calibri"/>
    </font>
    <font>
      <b/>
      <sz val="16"/>
      <color rgb="FFFFFFFF"/>
      <name val="Calibri"/>
    </font>
    <font>
      <sz val="10"/>
      <color rgb="FF222222"/>
      <name val="Calibri"/>
    </font>
    <font>
      <b/>
      <sz val="11"/>
      <color rgb="FFFFFFFF"/>
      <name val="Calibri"/>
    </font>
    <font>
      <b/>
      <sz val="26"/>
      <color rgb="FF1F2430"/>
      <name val="Calibri"/>
    </font>
    <font>
      <b/>
      <sz val="11"/>
      <color rgb="FF3D4852"/>
      <name val="Calibri"/>
    </font>
    <font>
      <b/>
      <sz val="11"/>
      <color rgb="FF6B5518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63340"/>
      </patternFill>
    </fill>
    <fill>
      <patternFill patternType="solid">
        <fgColor rgb="FF1F2430"/>
      </patternFill>
    </fill>
    <fill>
      <patternFill patternType="solid">
        <fgColor rgb="FFF4F6F8"/>
      </patternFill>
    </fill>
    <fill>
      <patternFill patternType="solid">
        <fgColor rgb="FFFBF6EC"/>
      </patternFill>
    </fill>
    <fill>
      <patternFill patternType="solid">
        <fgColor rgb="FFFFFFFF"/>
      </patternFill>
    </fill>
    <fill>
      <patternFill patternType="solid">
        <fgColor rgb="FFF3F7F0"/>
      </patternFill>
    </fill>
    <fill>
      <patternFill patternType="solid">
        <fgColor rgb="FF263340"/>
      </patternFill>
    </fill>
    <fill>
      <patternFill patternType="solid">
        <fgColor rgb="FFFCF3DC"/>
      </patternFill>
    </fill>
    <fill>
      <patternFill patternType="solid">
        <fgColor rgb="FFFFFFFF"/>
      </patternFill>
    </fill>
    <fill>
      <patternFill patternType="solid">
        <fgColor rgb="FFF2F4F6"/>
      </patternFill>
    </fill>
  </fills>
  <borders count="23">
    <border>
      <left/>
      <right/>
      <top/>
      <bottom/>
      <diagonal/>
    </border>
    <border>
      <left style="thin">
        <color rgb="FF9AA7B0"/>
      </left>
      <right/>
      <top style="thin">
        <color rgb="FF9AA7B0"/>
      </top>
      <bottom style="thin">
        <color rgb="FF9AA7B0"/>
      </bottom>
      <diagonal/>
    </border>
    <border>
      <left/>
      <right/>
      <top style="thin">
        <color rgb="FF9AA7B0"/>
      </top>
      <bottom style="thin">
        <color rgb="FF9AA7B0"/>
      </bottom>
      <diagonal/>
    </border>
    <border>
      <left/>
      <right style="thin">
        <color rgb="FF9AA7B0"/>
      </right>
      <top style="thin">
        <color rgb="FF9AA7B0"/>
      </top>
      <bottom style="thin">
        <color rgb="FF9AA7B0"/>
      </bottom>
      <diagonal/>
    </border>
    <border>
      <left/>
      <right style="thin">
        <color rgb="FFD5DBE0"/>
      </right>
      <top/>
      <bottom style="thin">
        <color rgb="FFD5DBE0"/>
      </bottom>
      <diagonal/>
    </border>
    <border>
      <left style="thin">
        <color rgb="FFD5DBE0"/>
      </left>
      <right style="thin">
        <color rgb="FFD5DBE0"/>
      </right>
      <top/>
      <bottom style="thin">
        <color rgb="FFD5DBE0"/>
      </bottom>
      <diagonal/>
    </border>
    <border>
      <left style="thin">
        <color rgb="FFD5DBE0"/>
      </left>
      <right/>
      <top/>
      <bottom style="thin">
        <color rgb="FFD5DBE0"/>
      </bottom>
      <diagonal/>
    </border>
    <border>
      <left/>
      <right style="thin">
        <color rgb="FFD5DBE0"/>
      </right>
      <top style="thin">
        <color rgb="FFD5DBE0"/>
      </top>
      <bottom style="thin">
        <color rgb="FFD5DBE0"/>
      </bottom>
      <diagonal/>
    </border>
    <border>
      <left style="thin">
        <color rgb="FFD5DBE0"/>
      </left>
      <right style="thin">
        <color rgb="FFD5DBE0"/>
      </right>
      <top style="thin">
        <color rgb="FFD5DBE0"/>
      </top>
      <bottom style="thin">
        <color rgb="FFD5DBE0"/>
      </bottom>
      <diagonal/>
    </border>
    <border>
      <left style="thin">
        <color rgb="FFD5DBE0"/>
      </left>
      <right/>
      <top style="thin">
        <color rgb="FFD5DBE0"/>
      </top>
      <bottom style="thin">
        <color rgb="FFD5DBE0"/>
      </bottom>
      <diagonal/>
    </border>
    <border>
      <left/>
      <right style="thin">
        <color rgb="FFD5DBE0"/>
      </right>
      <top style="thin">
        <color rgb="FFD5DBE0"/>
      </top>
      <bottom/>
      <diagonal/>
    </border>
    <border>
      <left style="thin">
        <color rgb="FFD5DBE0"/>
      </left>
      <right style="thin">
        <color rgb="FFD5DBE0"/>
      </right>
      <top style="thin">
        <color rgb="FFD5DBE0"/>
      </top>
      <bottom/>
      <diagonal/>
    </border>
    <border>
      <left style="thin">
        <color rgb="FFD5DBE0"/>
      </left>
      <right/>
      <top style="thin">
        <color rgb="FFD5DBE0"/>
      </top>
      <bottom/>
      <diagonal/>
    </border>
    <border>
      <left style="thin">
        <color rgb="FF9AA7B0"/>
      </left>
      <right/>
      <top style="thin">
        <color rgb="FF9AA7B0"/>
      </top>
      <bottom/>
      <diagonal/>
    </border>
    <border>
      <left/>
      <right/>
      <top style="thin">
        <color rgb="FF9AA7B0"/>
      </top>
      <bottom/>
      <diagonal/>
    </border>
    <border>
      <left/>
      <right style="thin">
        <color rgb="FF9AA7B0"/>
      </right>
      <top style="thin">
        <color rgb="FF9AA7B0"/>
      </top>
      <bottom/>
      <diagonal/>
    </border>
    <border>
      <left style="thin">
        <color rgb="FF9AA7B0"/>
      </left>
      <right/>
      <top/>
      <bottom/>
      <diagonal/>
    </border>
    <border>
      <left/>
      <right style="thin">
        <color rgb="FF9AA7B0"/>
      </right>
      <top/>
      <bottom/>
      <diagonal/>
    </border>
    <border>
      <left style="thin">
        <color rgb="FF9AA7B0"/>
      </left>
      <right/>
      <top/>
      <bottom style="thin">
        <color rgb="FF9AA7B0"/>
      </bottom>
      <diagonal/>
    </border>
    <border>
      <left/>
      <right/>
      <top/>
      <bottom style="thin">
        <color rgb="FF9AA7B0"/>
      </bottom>
      <diagonal/>
    </border>
    <border>
      <left/>
      <right style="thin">
        <color rgb="FF9AA7B0"/>
      </right>
      <top/>
      <bottom style="thin">
        <color rgb="FF9AA7B0"/>
      </bottom>
      <diagonal/>
    </border>
    <border>
      <left style="thin">
        <color rgb="FFBFC9D0"/>
      </left>
      <right style="thin">
        <color rgb="FFBFC9D0"/>
      </right>
      <top style="thin">
        <color rgb="FFBFC9D0"/>
      </top>
      <bottom style="thin">
        <color rgb="FFBFC9D0"/>
      </bottom>
      <diagonal/>
    </border>
    <border>
      <left style="thin">
        <color rgb="FF1A2530"/>
      </left>
      <right style="thin">
        <color rgb="FF1A2530"/>
      </right>
      <top style="thin">
        <color rgb="FF1A2530"/>
      </top>
      <bottom style="thin">
        <color rgb="FF1A2530"/>
      </bottom>
      <diagonal/>
    </border>
  </borders>
  <cellStyleXfs count="1">
    <xf numFmtId="0" fontId="0" fillId="0" borderId="0"/>
  </cellStyleXfs>
  <cellXfs count="269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0" fontId="0" fillId="0" borderId="10" xfId="0" applyNumberFormat="1" applyFont="1" applyFill="1" applyBorder="1"/>
    <xf numFmtId="0" fontId="0" fillId="0" borderId="11" xfId="0" applyNumberFormat="1" applyFont="1" applyFill="1" applyBorder="1"/>
    <xf numFmtId="0" fontId="0" fillId="0" borderId="12" xfId="0" applyNumberFormat="1" applyFont="1" applyFill="1" applyBorder="1"/>
    <xf numFmtId="1" fontId="0" fillId="0" borderId="4" xfId="0" applyNumberFormat="1" applyFont="1" applyFill="1" applyBorder="1"/>
    <xf numFmtId="1" fontId="0" fillId="0" borderId="5" xfId="0" applyNumberFormat="1" applyFont="1" applyFill="1" applyBorder="1"/>
    <xf numFmtId="1" fontId="0" fillId="0" borderId="7" xfId="0" applyNumberFormat="1" applyFont="1" applyFill="1" applyBorder="1"/>
    <xf numFmtId="1" fontId="0" fillId="0" borderId="8" xfId="0" applyNumberFormat="1" applyFont="1" applyFill="1" applyBorder="1"/>
    <xf numFmtId="1" fontId="0" fillId="0" borderId="10" xfId="0" applyNumberFormat="1" applyFont="1" applyFill="1" applyBorder="1"/>
    <xf numFmtId="1" fontId="0" fillId="0" borderId="11" xfId="0" applyNumberFormat="1" applyFont="1" applyFill="1" applyBorder="1"/>
    <xf numFmtId="164" fontId="0" fillId="0" borderId="5" xfId="0" applyNumberFormat="1" applyFont="1" applyFill="1" applyBorder="1"/>
    <xf numFmtId="164" fontId="0" fillId="0" borderId="8" xfId="0" applyNumberFormat="1" applyFont="1" applyFill="1" applyBorder="1"/>
    <xf numFmtId="164" fontId="0" fillId="0" borderId="11" xfId="0" applyNumberFormat="1" applyFont="1" applyFill="1" applyBorder="1"/>
    <xf numFmtId="165" fontId="0" fillId="0" borderId="5" xfId="0" applyNumberFormat="1" applyFont="1" applyFill="1" applyBorder="1"/>
    <xf numFmtId="165" fontId="0" fillId="0" borderId="6" xfId="0" applyNumberFormat="1" applyFont="1" applyFill="1" applyBorder="1"/>
    <xf numFmtId="165" fontId="0" fillId="0" borderId="8" xfId="0" applyNumberFormat="1" applyFont="1" applyFill="1" applyBorder="1"/>
    <xf numFmtId="165" fontId="0" fillId="0" borderId="9" xfId="0" applyNumberFormat="1" applyFont="1" applyFill="1" applyBorder="1"/>
    <xf numFmtId="165" fontId="0" fillId="0" borderId="11" xfId="0" applyNumberFormat="1" applyFont="1" applyFill="1" applyBorder="1"/>
    <xf numFmtId="165" fontId="0" fillId="0" borderId="12" xfId="0" applyNumberFormat="1" applyFont="1" applyFill="1" applyBorder="1"/>
    <xf numFmtId="3" fontId="0" fillId="0" borderId="5" xfId="0" applyNumberFormat="1" applyFont="1" applyFill="1" applyBorder="1"/>
    <xf numFmtId="3" fontId="0" fillId="0" borderId="8" xfId="0" applyNumberFormat="1" applyFont="1" applyFill="1" applyBorder="1"/>
    <xf numFmtId="3" fontId="0" fillId="0" borderId="11" xfId="0" applyNumberFormat="1" applyFont="1" applyFill="1" applyBorder="1"/>
    <xf numFmtId="4" fontId="0" fillId="0" borderId="5" xfId="0" applyNumberFormat="1" applyFont="1" applyFill="1" applyBorder="1"/>
    <xf numFmtId="4" fontId="0" fillId="0" borderId="8" xfId="0" applyNumberFormat="1" applyFont="1" applyFill="1" applyBorder="1"/>
    <xf numFmtId="4" fontId="0" fillId="0" borderId="11" xfId="0" applyNumberFormat="1" applyFont="1" applyFill="1" applyBorder="1"/>
    <xf numFmtId="166" fontId="0" fillId="0" borderId="5" xfId="0" applyNumberFormat="1" applyFont="1" applyFill="1" applyBorder="1"/>
    <xf numFmtId="166" fontId="0" fillId="0" borderId="8" xfId="0" applyNumberFormat="1" applyFont="1" applyFill="1" applyBorder="1"/>
    <xf numFmtId="166" fontId="0" fillId="0" borderId="11" xfId="0" applyNumberFormat="1" applyFont="1" applyFill="1" applyBorder="1"/>
    <xf numFmtId="167" fontId="0" fillId="0" borderId="5" xfId="0" applyNumberFormat="1" applyFont="1" applyFill="1" applyBorder="1"/>
    <xf numFmtId="167" fontId="0" fillId="0" borderId="6" xfId="0" applyNumberFormat="1" applyFont="1" applyFill="1" applyBorder="1"/>
    <xf numFmtId="167" fontId="0" fillId="0" borderId="8" xfId="0" applyNumberFormat="1" applyFont="1" applyFill="1" applyBorder="1"/>
    <xf numFmtId="167" fontId="0" fillId="0" borderId="9" xfId="0" applyNumberFormat="1" applyFont="1" applyFill="1" applyBorder="1"/>
    <xf numFmtId="167" fontId="0" fillId="0" borderId="11" xfId="0" applyNumberFormat="1" applyFont="1" applyFill="1" applyBorder="1"/>
    <xf numFmtId="167" fontId="0" fillId="0" borderId="12" xfId="0" applyNumberFormat="1" applyFont="1" applyFill="1" applyBorder="1"/>
    <xf numFmtId="10" fontId="0" fillId="0" borderId="0" xfId="0" applyNumberFormat="1" applyFont="1" applyFill="1" applyBorder="1"/>
    <xf numFmtId="168" fontId="0" fillId="0" borderId="0" xfId="0" applyNumberFormat="1" applyFont="1" applyFill="1" applyBorder="1"/>
    <xf numFmtId="3" fontId="0" fillId="0" borderId="0" xfId="0" applyNumberFormat="1" applyFont="1" applyFill="1" applyBorder="1"/>
    <xf numFmtId="10" fontId="0" fillId="0" borderId="5" xfId="0" applyNumberFormat="1" applyFont="1" applyFill="1" applyBorder="1"/>
    <xf numFmtId="168" fontId="0" fillId="0" borderId="5" xfId="0" applyNumberFormat="1" applyFont="1" applyFill="1" applyBorder="1"/>
    <xf numFmtId="10" fontId="0" fillId="0" borderId="8" xfId="0" applyNumberFormat="1" applyFont="1" applyFill="1" applyBorder="1"/>
    <xf numFmtId="168" fontId="0" fillId="0" borderId="8" xfId="0" applyNumberFormat="1" applyFont="1" applyFill="1" applyBorder="1"/>
    <xf numFmtId="10" fontId="0" fillId="0" borderId="11" xfId="0" applyNumberFormat="1" applyFont="1" applyFill="1" applyBorder="1"/>
    <xf numFmtId="168" fontId="0" fillId="0" borderId="11" xfId="0" applyNumberFormat="1" applyFont="1" applyFill="1" applyBorder="1"/>
    <xf numFmtId="0" fontId="0" fillId="0" borderId="6" xfId="0" applyNumberFormat="1" applyFont="1" applyFill="1" applyBorder="1" applyAlignment="1">
      <alignment wrapText="1"/>
    </xf>
    <xf numFmtId="0" fontId="0" fillId="0" borderId="9" xfId="0" applyNumberFormat="1" applyFont="1" applyFill="1" applyBorder="1" applyAlignment="1">
      <alignment wrapText="1"/>
    </xf>
    <xf numFmtId="0" fontId="0" fillId="0" borderId="12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169" fontId="0" fillId="0" borderId="0" xfId="0" applyNumberFormat="1" applyFont="1" applyFill="1" applyBorder="1"/>
    <xf numFmtId="170" fontId="0" fillId="0" borderId="5" xfId="0" applyNumberFormat="1" applyFont="1" applyFill="1" applyBorder="1"/>
    <xf numFmtId="171" fontId="0" fillId="0" borderId="5" xfId="0" applyNumberFormat="1" applyFont="1" applyFill="1" applyBorder="1"/>
    <xf numFmtId="170" fontId="0" fillId="0" borderId="8" xfId="0" applyNumberFormat="1" applyFont="1" applyFill="1" applyBorder="1"/>
    <xf numFmtId="171" fontId="0" fillId="0" borderId="8" xfId="0" applyNumberFormat="1" applyFont="1" applyFill="1" applyBorder="1"/>
    <xf numFmtId="169" fontId="0" fillId="0" borderId="6" xfId="0" applyNumberFormat="1" applyFont="1" applyFill="1" applyBorder="1"/>
    <xf numFmtId="169" fontId="0" fillId="0" borderId="9" xfId="0" applyNumberFormat="1" applyFont="1" applyFill="1" applyBorder="1"/>
    <xf numFmtId="169" fontId="0" fillId="0" borderId="12" xfId="0" applyNumberFormat="1" applyFont="1" applyFill="1" applyBorder="1"/>
    <xf numFmtId="4" fontId="0" fillId="0" borderId="0" xfId="0" applyNumberFormat="1" applyFont="1" applyFill="1" applyBorder="1" applyAlignment="1">
      <alignment wrapText="1"/>
    </xf>
    <xf numFmtId="10" fontId="0" fillId="0" borderId="0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3" fontId="0" fillId="0" borderId="5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3" fontId="0" fillId="0" borderId="8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10" fontId="0" fillId="0" borderId="8" xfId="0" applyNumberFormat="1" applyFont="1" applyFill="1" applyBorder="1" applyAlignment="1">
      <alignment wrapText="1"/>
    </xf>
    <xf numFmtId="0" fontId="0" fillId="0" borderId="10" xfId="0" applyNumberFormat="1" applyFont="1" applyFill="1" applyBorder="1" applyAlignment="1">
      <alignment wrapText="1"/>
    </xf>
    <xf numFmtId="0" fontId="0" fillId="0" borderId="11" xfId="0" applyNumberFormat="1" applyFont="1" applyFill="1" applyBorder="1" applyAlignment="1">
      <alignment wrapText="1"/>
    </xf>
    <xf numFmtId="172" fontId="0" fillId="0" borderId="8" xfId="0" applyNumberFormat="1" applyFont="1" applyFill="1" applyBorder="1"/>
    <xf numFmtId="173" fontId="0" fillId="0" borderId="5" xfId="0" applyNumberFormat="1" applyFont="1" applyFill="1" applyBorder="1"/>
    <xf numFmtId="173" fontId="0" fillId="0" borderId="8" xfId="0" applyNumberFormat="1" applyFont="1" applyFill="1" applyBorder="1"/>
    <xf numFmtId="173" fontId="0" fillId="0" borderId="11" xfId="0" applyNumberFormat="1" applyFont="1" applyFill="1" applyBorder="1"/>
    <xf numFmtId="2" fontId="0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left" vertical="center"/>
    </xf>
    <xf numFmtId="0" fontId="3" fillId="4" borderId="0" xfId="0" applyNumberFormat="1" applyFont="1" applyFill="1" applyBorder="1" applyAlignment="1">
      <alignment vertical="center" wrapText="1"/>
    </xf>
    <xf numFmtId="0" fontId="3" fillId="5" borderId="1" xfId="0" applyNumberFormat="1" applyFont="1" applyFill="1" applyBorder="1" applyAlignment="1">
      <alignment vertical="center" wrapText="1"/>
    </xf>
    <xf numFmtId="0" fontId="3" fillId="5" borderId="2" xfId="0" applyNumberFormat="1" applyFont="1" applyFill="1" applyBorder="1" applyAlignment="1">
      <alignment vertical="center" wrapText="1"/>
    </xf>
    <xf numFmtId="0" fontId="3" fillId="5" borderId="3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horizontal="center" vertical="center"/>
    </xf>
    <xf numFmtId="10" fontId="5" fillId="6" borderId="13" xfId="0" applyNumberFormat="1" applyFont="1" applyFill="1" applyBorder="1" applyAlignment="1">
      <alignment horizontal="center" vertical="center"/>
    </xf>
    <xf numFmtId="10" fontId="5" fillId="6" borderId="14" xfId="0" applyNumberFormat="1" applyFont="1" applyFill="1" applyBorder="1" applyAlignment="1">
      <alignment horizontal="center" vertical="center"/>
    </xf>
    <xf numFmtId="10" fontId="5" fillId="6" borderId="15" xfId="0" applyNumberFormat="1" applyFont="1" applyFill="1" applyBorder="1" applyAlignment="1">
      <alignment horizontal="center" vertical="center"/>
    </xf>
    <xf numFmtId="10" fontId="5" fillId="6" borderId="16" xfId="0" applyNumberFormat="1" applyFont="1" applyFill="1" applyBorder="1" applyAlignment="1">
      <alignment horizontal="center" vertical="center"/>
    </xf>
    <xf numFmtId="10" fontId="5" fillId="6" borderId="0" xfId="0" applyNumberFormat="1" applyFont="1" applyFill="1" applyBorder="1" applyAlignment="1">
      <alignment horizontal="center" vertical="center"/>
    </xf>
    <xf numFmtId="10" fontId="5" fillId="6" borderId="17" xfId="0" applyNumberFormat="1" applyFont="1" applyFill="1" applyBorder="1" applyAlignment="1">
      <alignment horizontal="center" vertical="center"/>
    </xf>
    <xf numFmtId="10" fontId="5" fillId="6" borderId="18" xfId="0" applyNumberFormat="1" applyFont="1" applyFill="1" applyBorder="1" applyAlignment="1">
      <alignment horizontal="center" vertical="center"/>
    </xf>
    <xf numFmtId="10" fontId="5" fillId="6" borderId="19" xfId="0" applyNumberFormat="1" applyFont="1" applyFill="1" applyBorder="1" applyAlignment="1">
      <alignment horizontal="center" vertical="center"/>
    </xf>
    <xf numFmtId="10" fontId="5" fillId="6" borderId="20" xfId="0" applyNumberFormat="1" applyFont="1" applyFill="1" applyBorder="1" applyAlignment="1">
      <alignment horizontal="center" vertical="center"/>
    </xf>
    <xf numFmtId="10" fontId="5" fillId="5" borderId="13" xfId="0" applyNumberFormat="1" applyFont="1" applyFill="1" applyBorder="1" applyAlignment="1">
      <alignment horizontal="center" vertical="center"/>
    </xf>
    <xf numFmtId="10" fontId="5" fillId="5" borderId="14" xfId="0" applyNumberFormat="1" applyFont="1" applyFill="1" applyBorder="1" applyAlignment="1">
      <alignment horizontal="center" vertical="center"/>
    </xf>
    <xf numFmtId="10" fontId="5" fillId="5" borderId="15" xfId="0" applyNumberFormat="1" applyFont="1" applyFill="1" applyBorder="1" applyAlignment="1">
      <alignment horizontal="center" vertical="center"/>
    </xf>
    <xf numFmtId="10" fontId="5" fillId="5" borderId="16" xfId="0" applyNumberFormat="1" applyFont="1" applyFill="1" applyBorder="1" applyAlignment="1">
      <alignment horizontal="center" vertical="center"/>
    </xf>
    <xf numFmtId="10" fontId="5" fillId="5" borderId="0" xfId="0" applyNumberFormat="1" applyFont="1" applyFill="1" applyBorder="1" applyAlignment="1">
      <alignment horizontal="center" vertical="center"/>
    </xf>
    <xf numFmtId="10" fontId="5" fillId="5" borderId="17" xfId="0" applyNumberFormat="1" applyFont="1" applyFill="1" applyBorder="1" applyAlignment="1">
      <alignment horizontal="center" vertical="center"/>
    </xf>
    <xf numFmtId="10" fontId="5" fillId="5" borderId="18" xfId="0" applyNumberFormat="1" applyFont="1" applyFill="1" applyBorder="1" applyAlignment="1">
      <alignment horizontal="center" vertical="center"/>
    </xf>
    <xf numFmtId="10" fontId="5" fillId="5" borderId="19" xfId="0" applyNumberFormat="1" applyFont="1" applyFill="1" applyBorder="1" applyAlignment="1">
      <alignment horizontal="center" vertical="center"/>
    </xf>
    <xf numFmtId="10" fontId="5" fillId="5" borderId="20" xfId="0" applyNumberFormat="1" applyFont="1" applyFill="1" applyBorder="1" applyAlignment="1">
      <alignment horizontal="center" vertical="center"/>
    </xf>
    <xf numFmtId="0" fontId="6" fillId="7" borderId="13" xfId="0" applyNumberFormat="1" applyFont="1" applyFill="1" applyBorder="1" applyAlignment="1">
      <alignment horizontal="center" vertical="center" wrapText="1"/>
    </xf>
    <xf numFmtId="0" fontId="6" fillId="7" borderId="14" xfId="0" applyNumberFormat="1" applyFont="1" applyFill="1" applyBorder="1" applyAlignment="1">
      <alignment horizontal="center" vertical="center" wrapText="1"/>
    </xf>
    <xf numFmtId="0" fontId="6" fillId="7" borderId="15" xfId="0" applyNumberFormat="1" applyFont="1" applyFill="1" applyBorder="1" applyAlignment="1">
      <alignment horizontal="center" vertical="center" wrapText="1"/>
    </xf>
    <xf numFmtId="0" fontId="6" fillId="7" borderId="18" xfId="0" applyNumberFormat="1" applyFont="1" applyFill="1" applyBorder="1" applyAlignment="1">
      <alignment horizontal="center" vertical="center" wrapText="1"/>
    </xf>
    <xf numFmtId="0" fontId="6" fillId="7" borderId="19" xfId="0" applyNumberFormat="1" applyFont="1" applyFill="1" applyBorder="1" applyAlignment="1">
      <alignment horizontal="center" vertical="center" wrapText="1"/>
    </xf>
    <xf numFmtId="0" fontId="6" fillId="7" borderId="20" xfId="0" applyNumberFormat="1" applyFont="1" applyFill="1" applyBorder="1" applyAlignment="1">
      <alignment horizontal="center" vertical="center" wrapText="1"/>
    </xf>
    <xf numFmtId="0" fontId="4" fillId="8" borderId="0" xfId="0" applyNumberFormat="1" applyFont="1" applyFill="1" applyBorder="1" applyAlignment="1">
      <alignment vertical="center"/>
    </xf>
    <xf numFmtId="0" fontId="4" fillId="9" borderId="0" xfId="0" applyNumberFormat="1" applyFont="1" applyFill="1" applyBorder="1" applyAlignment="1">
      <alignment vertical="center"/>
    </xf>
    <xf numFmtId="0" fontId="3" fillId="7" borderId="13" xfId="0" applyNumberFormat="1" applyFont="1" applyFill="1" applyBorder="1" applyAlignment="1">
      <alignment vertical="center" wrapText="1"/>
    </xf>
    <xf numFmtId="0" fontId="3" fillId="7" borderId="14" xfId="0" applyNumberFormat="1" applyFont="1" applyFill="1" applyBorder="1" applyAlignment="1">
      <alignment vertical="center" wrapText="1"/>
    </xf>
    <xf numFmtId="0" fontId="3" fillId="7" borderId="15" xfId="0" applyNumberFormat="1" applyFont="1" applyFill="1" applyBorder="1" applyAlignment="1">
      <alignment vertical="center" wrapText="1"/>
    </xf>
    <xf numFmtId="0" fontId="3" fillId="7" borderId="16" xfId="0" applyNumberFormat="1" applyFont="1" applyFill="1" applyBorder="1" applyAlignment="1">
      <alignment vertical="center" wrapText="1"/>
    </xf>
    <xf numFmtId="0" fontId="3" fillId="7" borderId="0" xfId="0" applyNumberFormat="1" applyFont="1" applyFill="1" applyBorder="1" applyAlignment="1">
      <alignment vertical="center" wrapText="1"/>
    </xf>
    <xf numFmtId="0" fontId="3" fillId="7" borderId="17" xfId="0" applyNumberFormat="1" applyFont="1" applyFill="1" applyBorder="1" applyAlignment="1">
      <alignment vertical="center" wrapText="1"/>
    </xf>
    <xf numFmtId="0" fontId="3" fillId="7" borderId="18" xfId="0" applyNumberFormat="1" applyFont="1" applyFill="1" applyBorder="1" applyAlignment="1">
      <alignment vertical="center" wrapText="1"/>
    </xf>
    <xf numFmtId="0" fontId="3" fillId="7" borderId="19" xfId="0" applyNumberFormat="1" applyFont="1" applyFill="1" applyBorder="1" applyAlignment="1">
      <alignment vertical="center" wrapText="1"/>
    </xf>
    <xf numFmtId="0" fontId="3" fillId="7" borderId="20" xfId="0" applyNumberFormat="1" applyFont="1" applyFill="1" applyBorder="1" applyAlignment="1">
      <alignment vertical="center" wrapText="1"/>
    </xf>
    <xf numFmtId="0" fontId="3" fillId="5" borderId="13" xfId="0" applyNumberFormat="1" applyFont="1" applyFill="1" applyBorder="1" applyAlignment="1">
      <alignment vertical="center" wrapText="1"/>
    </xf>
    <xf numFmtId="0" fontId="3" fillId="5" borderId="14" xfId="0" applyNumberFormat="1" applyFont="1" applyFill="1" applyBorder="1" applyAlignment="1">
      <alignment vertical="center" wrapText="1"/>
    </xf>
    <xf numFmtId="0" fontId="3" fillId="5" borderId="15" xfId="0" applyNumberFormat="1" applyFont="1" applyFill="1" applyBorder="1" applyAlignment="1">
      <alignment vertical="center" wrapText="1"/>
    </xf>
    <xf numFmtId="0" fontId="3" fillId="5" borderId="16" xfId="0" applyNumberFormat="1" applyFont="1" applyFill="1" applyBorder="1" applyAlignment="1">
      <alignment vertical="center" wrapText="1"/>
    </xf>
    <xf numFmtId="0" fontId="3" fillId="5" borderId="0" xfId="0" applyNumberFormat="1" applyFont="1" applyFill="1" applyBorder="1" applyAlignment="1">
      <alignment vertical="center" wrapText="1"/>
    </xf>
    <xf numFmtId="0" fontId="3" fillId="5" borderId="17" xfId="0" applyNumberFormat="1" applyFont="1" applyFill="1" applyBorder="1" applyAlignment="1">
      <alignment vertical="center" wrapText="1"/>
    </xf>
    <xf numFmtId="0" fontId="3" fillId="5" borderId="18" xfId="0" applyNumberFormat="1" applyFont="1" applyFill="1" applyBorder="1" applyAlignment="1">
      <alignment vertical="center" wrapText="1"/>
    </xf>
    <xf numFmtId="0" fontId="3" fillId="5" borderId="19" xfId="0" applyNumberFormat="1" applyFont="1" applyFill="1" applyBorder="1" applyAlignment="1">
      <alignment vertical="center" wrapText="1"/>
    </xf>
    <xf numFmtId="0" fontId="3" fillId="5" borderId="20" xfId="0" applyNumberFormat="1" applyFont="1" applyFill="1" applyBorder="1" applyAlignment="1">
      <alignment vertical="center" wrapText="1"/>
    </xf>
    <xf numFmtId="0" fontId="3" fillId="6" borderId="13" xfId="0" applyNumberFormat="1" applyFont="1" applyFill="1" applyBorder="1" applyAlignment="1">
      <alignment vertical="center" wrapText="1"/>
    </xf>
    <xf numFmtId="0" fontId="3" fillId="6" borderId="15" xfId="0" applyNumberFormat="1" applyFont="1" applyFill="1" applyBorder="1" applyAlignment="1">
      <alignment vertical="center" wrapText="1"/>
    </xf>
    <xf numFmtId="0" fontId="3" fillId="6" borderId="16" xfId="0" applyNumberFormat="1" applyFont="1" applyFill="1" applyBorder="1" applyAlignment="1">
      <alignment vertical="center" wrapText="1"/>
    </xf>
    <xf numFmtId="0" fontId="3" fillId="6" borderId="17" xfId="0" applyNumberFormat="1" applyFont="1" applyFill="1" applyBorder="1" applyAlignment="1">
      <alignment vertical="center" wrapText="1"/>
    </xf>
    <xf numFmtId="0" fontId="3" fillId="6" borderId="18" xfId="0" applyNumberFormat="1" applyFont="1" applyFill="1" applyBorder="1" applyAlignment="1">
      <alignment vertical="center" wrapText="1"/>
    </xf>
    <xf numFmtId="0" fontId="3" fillId="6" borderId="20" xfId="0" applyNumberFormat="1" applyFont="1" applyFill="1" applyBorder="1" applyAlignment="1">
      <alignment vertical="center" wrapText="1"/>
    </xf>
    <xf numFmtId="0" fontId="3" fillId="6" borderId="14" xfId="0" applyNumberFormat="1" applyFont="1" applyFill="1" applyBorder="1" applyAlignment="1">
      <alignment vertical="center" wrapText="1"/>
    </xf>
    <xf numFmtId="0" fontId="3" fillId="6" borderId="0" xfId="0" applyNumberFormat="1" applyFont="1" applyFill="1" applyBorder="1" applyAlignment="1">
      <alignment vertical="center" wrapText="1"/>
    </xf>
    <xf numFmtId="0" fontId="3" fillId="6" borderId="19" xfId="0" applyNumberFormat="1" applyFont="1" applyFill="1" applyBorder="1" applyAlignment="1">
      <alignment vertical="center" wrapText="1"/>
    </xf>
    <xf numFmtId="0" fontId="3" fillId="10" borderId="13" xfId="0" applyNumberFormat="1" applyFont="1" applyFill="1" applyBorder="1" applyAlignment="1">
      <alignment vertical="center" wrapText="1"/>
    </xf>
    <xf numFmtId="0" fontId="3" fillId="10" borderId="14" xfId="0" applyNumberFormat="1" applyFont="1" applyFill="1" applyBorder="1" applyAlignment="1">
      <alignment vertical="center" wrapText="1"/>
    </xf>
    <xf numFmtId="0" fontId="3" fillId="10" borderId="15" xfId="0" applyNumberFormat="1" applyFont="1" applyFill="1" applyBorder="1" applyAlignment="1">
      <alignment vertical="center" wrapText="1"/>
    </xf>
    <xf numFmtId="0" fontId="3" fillId="10" borderId="18" xfId="0" applyNumberFormat="1" applyFont="1" applyFill="1" applyBorder="1" applyAlignment="1">
      <alignment vertical="center" wrapText="1"/>
    </xf>
    <xf numFmtId="0" fontId="3" fillId="10" borderId="19" xfId="0" applyNumberFormat="1" applyFont="1" applyFill="1" applyBorder="1" applyAlignment="1">
      <alignment vertical="center" wrapText="1"/>
    </xf>
    <xf numFmtId="0" fontId="3" fillId="10" borderId="20" xfId="0" applyNumberFormat="1" applyFont="1" applyFill="1" applyBorder="1" applyAlignment="1">
      <alignment vertical="center" wrapText="1"/>
    </xf>
    <xf numFmtId="0" fontId="3" fillId="10" borderId="16" xfId="0" applyNumberFormat="1" applyFont="1" applyFill="1" applyBorder="1" applyAlignment="1">
      <alignment vertical="center" wrapText="1"/>
    </xf>
    <xf numFmtId="0" fontId="3" fillId="10" borderId="0" xfId="0" applyNumberFormat="1" applyFont="1" applyFill="1" applyBorder="1" applyAlignment="1">
      <alignment vertical="center" wrapText="1"/>
    </xf>
    <xf numFmtId="0" fontId="3" fillId="10" borderId="17" xfId="0" applyNumberFormat="1" applyFont="1" applyFill="1" applyBorder="1" applyAlignment="1">
      <alignment vertical="center" wrapText="1"/>
    </xf>
    <xf numFmtId="0" fontId="3" fillId="4" borderId="13" xfId="0" applyNumberFormat="1" applyFont="1" applyFill="1" applyBorder="1" applyAlignment="1">
      <alignment vertical="center" wrapText="1"/>
    </xf>
    <xf numFmtId="0" fontId="3" fillId="4" borderId="14" xfId="0" applyNumberFormat="1" applyFont="1" applyFill="1" applyBorder="1" applyAlignment="1">
      <alignment vertical="center" wrapText="1"/>
    </xf>
    <xf numFmtId="0" fontId="3" fillId="4" borderId="15" xfId="0" applyNumberFormat="1" applyFont="1" applyFill="1" applyBorder="1" applyAlignment="1">
      <alignment vertical="center" wrapText="1"/>
    </xf>
    <xf numFmtId="0" fontId="3" fillId="4" borderId="16" xfId="0" applyNumberFormat="1" applyFont="1" applyFill="1" applyBorder="1" applyAlignment="1">
      <alignment vertical="center" wrapText="1"/>
    </xf>
    <xf numFmtId="0" fontId="3" fillId="4" borderId="17" xfId="0" applyNumberFormat="1" applyFont="1" applyFill="1" applyBorder="1" applyAlignment="1">
      <alignment vertical="center" wrapText="1"/>
    </xf>
    <xf numFmtId="0" fontId="3" fillId="4" borderId="18" xfId="0" applyNumberFormat="1" applyFont="1" applyFill="1" applyBorder="1" applyAlignment="1">
      <alignment vertical="center" wrapText="1"/>
    </xf>
    <xf numFmtId="0" fontId="3" fillId="4" borderId="19" xfId="0" applyNumberFormat="1" applyFont="1" applyFill="1" applyBorder="1" applyAlignment="1">
      <alignment vertical="center" wrapText="1"/>
    </xf>
    <xf numFmtId="0" fontId="3" fillId="4" borderId="20" xfId="0" applyNumberFormat="1" applyFont="1" applyFill="1" applyBorder="1" applyAlignment="1">
      <alignment vertical="center" wrapText="1"/>
    </xf>
    <xf numFmtId="0" fontId="0" fillId="0" borderId="21" xfId="0" applyBorder="1" applyFill="1" applyAlignment="1">
      <alignment vertical="center"/>
    </xf>
    <xf numFmtId="0" fontId="0" fillId="11" borderId="21" xfId="0" applyBorder="1" applyFill="1" applyAlignment="1">
      <alignment vertical="center"/>
    </xf>
    <xf numFmtId="0" fontId="1" fillId="2" borderId="22" xfId="0" applyNumberFormat="1" applyFont="1" applyFill="1" applyBorder="1" applyAlignment="1">
      <alignment horizontal="center" vertical="center" wrapText="1"/>
    </xf>
    <xf numFmtId="0" fontId="1" fillId="2" borderId="22" xfId="0" applyNumberFormat="1" applyFont="1" applyFill="1" applyBorder="1" applyAlignment="1">
      <alignment horizontal="center" vertical="center" wrapText="1"/>
    </xf>
    <xf numFmtId="0" fontId="1" fillId="2" borderId="22" xfId="0" applyNumberFormat="1" applyFont="1" applyFill="1" applyBorder="1" applyAlignment="1">
      <alignment horizontal="center" vertical="center" wrapText="1"/>
    </xf>
    <xf numFmtId="0" fontId="0" fillId="0" borderId="21" xfId="0" applyNumberFormat="1" applyFont="1" applyFill="1" applyBorder="1" applyAlignment="1">
      <alignment vertical="center"/>
    </xf>
    <xf numFmtId="0" fontId="0" fillId="11" borderId="21" xfId="0" applyNumberFormat="1" applyFont="1" applyFill="1" applyBorder="1" applyAlignment="1">
      <alignment vertical="center"/>
    </xf>
    <xf numFmtId="0" fontId="0" fillId="0" borderId="21" xfId="0" applyNumberFormat="1" applyFont="1" applyFill="1" applyBorder="1" applyAlignment="1">
      <alignment vertical="center"/>
    </xf>
    <xf numFmtId="0" fontId="0" fillId="11" borderId="21" xfId="0" applyNumberFormat="1" applyFont="1" applyFill="1" applyBorder="1" applyAlignment="1">
      <alignment vertical="center"/>
    </xf>
    <xf numFmtId="0" fontId="0" fillId="0" borderId="21" xfId="0" applyNumberFormat="1" applyFont="1" applyFill="1" applyBorder="1" applyAlignment="1">
      <alignment vertical="center"/>
    </xf>
    <xf numFmtId="0" fontId="0" fillId="11" borderId="21" xfId="0" applyNumberFormat="1" applyFont="1" applyFill="1" applyBorder="1" applyAlignment="1">
      <alignment vertical="center"/>
    </xf>
    <xf numFmtId="0" fontId="0" fillId="0" borderId="21" xfId="0" applyNumberFormat="1" applyFont="1" applyFill="1" applyBorder="1" applyAlignment="1">
      <alignment vertical="center"/>
    </xf>
    <xf numFmtId="0" fontId="0" fillId="11" borderId="21" xfId="0" applyNumberFormat="1" applyFont="1" applyFill="1" applyBorder="1" applyAlignment="1">
      <alignment vertical="center"/>
    </xf>
    <xf numFmtId="0" fontId="0" fillId="0" borderId="21" xfId="0" applyNumberFormat="1" applyFont="1" applyFill="1" applyBorder="1" applyAlignment="1">
      <alignment vertical="center"/>
    </xf>
    <xf numFmtId="0" fontId="0" fillId="11" borderId="21" xfId="0" applyNumberFormat="1" applyFont="1" applyFill="1" applyBorder="1" applyAlignment="1">
      <alignment vertical="center"/>
    </xf>
    <xf numFmtId="0" fontId="0" fillId="0" borderId="21" xfId="0" applyNumberFormat="1" applyFont="1" applyFill="1" applyBorder="1" applyAlignment="1">
      <alignment vertical="center"/>
    </xf>
    <xf numFmtId="0" fontId="0" fillId="11" borderId="21" xfId="0" applyNumberFormat="1" applyFont="1" applyFill="1" applyBorder="1" applyAlignment="1">
      <alignment vertical="center"/>
    </xf>
    <xf numFmtId="0" fontId="0" fillId="0" borderId="21" xfId="0" applyNumberFormat="1" applyFont="1" applyFill="1" applyBorder="1" applyAlignment="1">
      <alignment vertical="center"/>
    </xf>
    <xf numFmtId="0" fontId="0" fillId="11" borderId="21" xfId="0" applyNumberFormat="1" applyFont="1" applyFill="1" applyBorder="1" applyAlignment="1">
      <alignment vertical="center"/>
    </xf>
    <xf numFmtId="0" fontId="0" fillId="0" borderId="21" xfId="0" applyNumberFormat="1" applyFont="1" applyFill="1" applyBorder="1" applyAlignment="1">
      <alignment vertical="center"/>
    </xf>
    <xf numFmtId="0" fontId="0" fillId="11" borderId="21" xfId="0" applyNumberFormat="1" applyFont="1" applyFill="1" applyBorder="1" applyAlignment="1">
      <alignment vertical="center"/>
    </xf>
    <xf numFmtId="0" fontId="0" fillId="0" borderId="21" xfId="0" applyNumberFormat="1" applyFont="1" applyFill="1" applyBorder="1" applyAlignment="1">
      <alignment vertical="center"/>
    </xf>
    <xf numFmtId="0" fontId="0" fillId="11" borderId="21" xfId="0" applyNumberFormat="1" applyFont="1" applyFill="1" applyBorder="1" applyAlignment="1">
      <alignment vertical="center"/>
    </xf>
    <xf numFmtId="165" fontId="0" fillId="0" borderId="21" xfId="0" applyNumberFormat="1" applyFont="1" applyFill="1" applyBorder="1" applyAlignment="1">
      <alignment vertical="center"/>
    </xf>
    <xf numFmtId="165" fontId="0" fillId="11" borderId="21" xfId="0" applyNumberFormat="1" applyFont="1" applyFill="1" applyBorder="1" applyAlignment="1">
      <alignment vertical="center"/>
    </xf>
    <xf numFmtId="165" fontId="0" fillId="0" borderId="21" xfId="0" applyNumberFormat="1" applyFont="1" applyFill="1" applyBorder="1" applyAlignment="1">
      <alignment vertical="center"/>
    </xf>
    <xf numFmtId="165" fontId="0" fillId="11" borderId="21" xfId="0" applyNumberFormat="1" applyFont="1" applyFill="1" applyBorder="1" applyAlignment="1">
      <alignment vertical="center"/>
    </xf>
    <xf numFmtId="165" fontId="0" fillId="0" borderId="21" xfId="0" applyNumberFormat="1" applyFont="1" applyFill="1" applyBorder="1" applyAlignment="1">
      <alignment vertical="center"/>
    </xf>
    <xf numFmtId="165" fontId="0" fillId="11" borderId="21" xfId="0" applyNumberFormat="1" applyFont="1" applyFill="1" applyBorder="1" applyAlignment="1">
      <alignment vertical="center"/>
    </xf>
    <xf numFmtId="165" fontId="0" fillId="0" borderId="21" xfId="0" applyNumberFormat="1" applyFont="1" applyFill="1" applyBorder="1" applyAlignment="1">
      <alignment vertical="center"/>
    </xf>
    <xf numFmtId="165" fontId="0" fillId="11" borderId="21" xfId="0" applyNumberFormat="1" applyFont="1" applyFill="1" applyBorder="1" applyAlignment="1">
      <alignment vertical="center"/>
    </xf>
    <xf numFmtId="3" fontId="0" fillId="0" borderId="21" xfId="0" applyNumberFormat="1" applyFont="1" applyFill="1" applyBorder="1" applyAlignment="1">
      <alignment vertical="center"/>
    </xf>
    <xf numFmtId="3" fontId="0" fillId="11" borderId="21" xfId="0" applyNumberFormat="1" applyFont="1" applyFill="1" applyBorder="1" applyAlignment="1">
      <alignment vertical="center"/>
    </xf>
    <xf numFmtId="3" fontId="0" fillId="0" borderId="21" xfId="0" applyNumberFormat="1" applyFont="1" applyFill="1" applyBorder="1" applyAlignment="1">
      <alignment vertical="center"/>
    </xf>
    <xf numFmtId="3" fontId="0" fillId="11" borderId="21" xfId="0" applyNumberFormat="1" applyFont="1" applyFill="1" applyBorder="1" applyAlignment="1">
      <alignment vertical="center"/>
    </xf>
    <xf numFmtId="3" fontId="0" fillId="0" borderId="21" xfId="0" applyNumberFormat="1" applyFont="1" applyFill="1" applyBorder="1" applyAlignment="1">
      <alignment vertical="center"/>
    </xf>
    <xf numFmtId="3" fontId="0" fillId="11" borderId="21" xfId="0" applyNumberFormat="1" applyFont="1" applyFill="1" applyBorder="1" applyAlignment="1">
      <alignment vertical="center"/>
    </xf>
    <xf numFmtId="10" fontId="0" fillId="0" borderId="21" xfId="0" applyNumberFormat="1" applyFont="1" applyFill="1" applyBorder="1" applyAlignment="1">
      <alignment vertical="center"/>
    </xf>
    <xf numFmtId="10" fontId="0" fillId="11" borderId="21" xfId="0" applyNumberFormat="1" applyFont="1" applyFill="1" applyBorder="1" applyAlignment="1">
      <alignment vertical="center"/>
    </xf>
    <xf numFmtId="168" fontId="0" fillId="0" borderId="21" xfId="0" applyNumberFormat="1" applyFont="1" applyFill="1" applyBorder="1" applyAlignment="1">
      <alignment vertical="center"/>
    </xf>
    <xf numFmtId="168" fontId="0" fillId="11" borderId="21" xfId="0" applyNumberFormat="1" applyFont="1" applyFill="1" applyBorder="1" applyAlignment="1">
      <alignment vertical="center"/>
    </xf>
    <xf numFmtId="3" fontId="0" fillId="0" borderId="21" xfId="0" applyNumberFormat="1" applyFont="1" applyFill="1" applyBorder="1" applyAlignment="1">
      <alignment vertical="center"/>
    </xf>
    <xf numFmtId="3" fontId="0" fillId="11" borderId="21" xfId="0" applyNumberFormat="1" applyFont="1" applyFill="1" applyBorder="1" applyAlignment="1">
      <alignment vertical="center"/>
    </xf>
    <xf numFmtId="10" fontId="0" fillId="0" borderId="21" xfId="0" applyNumberFormat="1" applyFont="1" applyFill="1" applyBorder="1" applyAlignment="1">
      <alignment vertical="center"/>
    </xf>
    <xf numFmtId="10" fontId="0" fillId="11" borderId="21" xfId="0" applyNumberFormat="1" applyFont="1" applyFill="1" applyBorder="1" applyAlignment="1">
      <alignment vertical="center"/>
    </xf>
    <xf numFmtId="168" fontId="0" fillId="0" borderId="21" xfId="0" applyNumberFormat="1" applyFont="1" applyFill="1" applyBorder="1" applyAlignment="1">
      <alignment vertical="center"/>
    </xf>
    <xf numFmtId="168" fontId="0" fillId="11" borderId="21" xfId="0" applyNumberFormat="1" applyFont="1" applyFill="1" applyBorder="1" applyAlignment="1">
      <alignment vertical="center"/>
    </xf>
    <xf numFmtId="10" fontId="0" fillId="0" borderId="21" xfId="0" applyNumberFormat="1" applyFont="1" applyFill="1" applyBorder="1" applyAlignment="1">
      <alignment vertical="center"/>
    </xf>
    <xf numFmtId="10" fontId="0" fillId="11" borderId="21" xfId="0" applyNumberFormat="1" applyFont="1" applyFill="1" applyBorder="1" applyAlignment="1">
      <alignment vertical="center"/>
    </xf>
    <xf numFmtId="168" fontId="0" fillId="0" borderId="21" xfId="0" applyNumberFormat="1" applyFont="1" applyFill="1" applyBorder="1" applyAlignment="1">
      <alignment vertical="center"/>
    </xf>
    <xf numFmtId="168" fontId="0" fillId="11" borderId="21" xfId="0" applyNumberFormat="1" applyFont="1" applyFill="1" applyBorder="1" applyAlignment="1">
      <alignment vertical="center"/>
    </xf>
    <xf numFmtId="10" fontId="0" fillId="0" borderId="21" xfId="0" applyNumberFormat="1" applyFont="1" applyFill="1" applyBorder="1" applyAlignment="1">
      <alignment vertical="center"/>
    </xf>
    <xf numFmtId="10" fontId="0" fillId="11" borderId="21" xfId="0" applyNumberFormat="1" applyFont="1" applyFill="1" applyBorder="1" applyAlignment="1">
      <alignment vertical="center"/>
    </xf>
    <xf numFmtId="168" fontId="0" fillId="0" borderId="21" xfId="0" applyNumberFormat="1" applyFont="1" applyFill="1" applyBorder="1" applyAlignment="1">
      <alignment vertical="center"/>
    </xf>
    <xf numFmtId="168" fontId="0" fillId="11" borderId="21" xfId="0" applyNumberFormat="1" applyFont="1" applyFill="1" applyBorder="1" applyAlignment="1">
      <alignment vertical="center"/>
    </xf>
    <xf numFmtId="0" fontId="0" fillId="0" borderId="21" xfId="0" applyNumberFormat="1" applyFont="1" applyFill="1" applyBorder="1" applyAlignment="1">
      <alignment vertical="center" wrapText="1"/>
    </xf>
    <xf numFmtId="0" fontId="0" fillId="11" borderId="21" xfId="0" applyNumberFormat="1" applyFont="1" applyFill="1" applyBorder="1" applyAlignment="1">
      <alignment vertical="center" wrapText="1"/>
    </xf>
    <xf numFmtId="0" fontId="0" fillId="0" borderId="21" xfId="0" applyNumberFormat="1" applyFont="1" applyFill="1" applyBorder="1" applyAlignment="1">
      <alignment vertical="center" wrapText="1"/>
    </xf>
    <xf numFmtId="0" fontId="0" fillId="11" borderId="21" xfId="0" applyNumberFormat="1" applyFont="1" applyFill="1" applyBorder="1" applyAlignment="1">
      <alignment vertical="center" wrapText="1"/>
    </xf>
    <xf numFmtId="0" fontId="0" fillId="0" borderId="21" xfId="0" applyNumberFormat="1" applyFont="1" applyFill="1" applyBorder="1" applyAlignment="1">
      <alignment vertical="center" wrapText="1"/>
    </xf>
    <xf numFmtId="0" fontId="0" fillId="11" borderId="21" xfId="0" applyNumberFormat="1" applyFont="1" applyFill="1" applyBorder="1" applyAlignment="1">
      <alignment vertical="center" wrapText="1"/>
    </xf>
    <xf numFmtId="0" fontId="0" fillId="0" borderId="21" xfId="0" applyNumberFormat="1" applyFont="1" applyFill="1" applyBorder="1" applyAlignment="1">
      <alignment vertical="center" wrapText="1"/>
    </xf>
    <xf numFmtId="0" fontId="0" fillId="11" borderId="21" xfId="0" applyNumberFormat="1" applyFont="1" applyFill="1" applyBorder="1" applyAlignment="1">
      <alignment vertical="center" wrapText="1"/>
    </xf>
    <xf numFmtId="169" fontId="0" fillId="0" borderId="21" xfId="0" applyNumberFormat="1" applyFont="1" applyFill="1" applyBorder="1" applyAlignment="1">
      <alignment vertical="center"/>
    </xf>
    <xf numFmtId="169" fontId="0" fillId="11" borderId="21" xfId="0" applyNumberFormat="1" applyFont="1" applyFill="1" applyBorder="1" applyAlignment="1">
      <alignment vertical="center"/>
    </xf>
    <xf numFmtId="170" fontId="0" fillId="0" borderId="21" xfId="0" applyNumberFormat="1" applyFont="1" applyFill="1" applyBorder="1" applyAlignment="1">
      <alignment vertical="center"/>
    </xf>
    <xf numFmtId="170" fontId="0" fillId="11" borderId="21" xfId="0" applyNumberFormat="1" applyFont="1" applyFill="1" applyBorder="1" applyAlignment="1">
      <alignment vertical="center"/>
    </xf>
    <xf numFmtId="171" fontId="0" fillId="0" borderId="21" xfId="0" applyNumberFormat="1" applyFont="1" applyFill="1" applyBorder="1" applyAlignment="1">
      <alignment vertical="center"/>
    </xf>
    <xf numFmtId="171" fontId="0" fillId="11" borderId="21" xfId="0" applyNumberFormat="1" applyFont="1" applyFill="1" applyBorder="1" applyAlignment="1">
      <alignment vertical="center"/>
    </xf>
    <xf numFmtId="170" fontId="0" fillId="0" borderId="21" xfId="0" applyNumberFormat="1" applyFont="1" applyFill="1" applyBorder="1" applyAlignment="1">
      <alignment vertical="center"/>
    </xf>
    <xf numFmtId="170" fontId="0" fillId="11" borderId="21" xfId="0" applyNumberFormat="1" applyFont="1" applyFill="1" applyBorder="1" applyAlignment="1">
      <alignment vertical="center"/>
    </xf>
    <xf numFmtId="171" fontId="0" fillId="0" borderId="21" xfId="0" applyNumberFormat="1" applyFont="1" applyFill="1" applyBorder="1" applyAlignment="1">
      <alignment vertical="center"/>
    </xf>
    <xf numFmtId="171" fontId="0" fillId="11" borderId="21" xfId="0" applyNumberFormat="1" applyFont="1" applyFill="1" applyBorder="1" applyAlignment="1">
      <alignment vertical="center"/>
    </xf>
    <xf numFmtId="169" fontId="0" fillId="0" borderId="21" xfId="0" applyNumberFormat="1" applyFont="1" applyFill="1" applyBorder="1" applyAlignment="1">
      <alignment vertical="center"/>
    </xf>
    <xf numFmtId="169" fontId="0" fillId="11" borderId="21" xfId="0" applyNumberFormat="1" applyFont="1" applyFill="1" applyBorder="1" applyAlignment="1">
      <alignment vertical="center"/>
    </xf>
    <xf numFmtId="169" fontId="0" fillId="0" borderId="21" xfId="0" applyNumberFormat="1" applyFont="1" applyFill="1" applyBorder="1" applyAlignment="1">
      <alignment vertical="center"/>
    </xf>
    <xf numFmtId="169" fontId="0" fillId="11" borderId="21" xfId="0" applyNumberFormat="1" applyFont="1" applyFill="1" applyBorder="1" applyAlignment="1">
      <alignment vertical="center"/>
    </xf>
    <xf numFmtId="169" fontId="0" fillId="0" borderId="21" xfId="0" applyNumberFormat="1" applyFont="1" applyFill="1" applyBorder="1" applyAlignment="1">
      <alignment vertical="center"/>
    </xf>
    <xf numFmtId="169" fontId="0" fillId="11" borderId="21" xfId="0" applyNumberFormat="1" applyFont="1" applyFill="1" applyBorder="1" applyAlignment="1">
      <alignment vertical="center"/>
    </xf>
    <xf numFmtId="4" fontId="0" fillId="0" borderId="21" xfId="0" applyNumberFormat="1" applyFont="1" applyFill="1" applyBorder="1" applyAlignment="1">
      <alignment vertical="center" wrapText="1"/>
    </xf>
    <xf numFmtId="4" fontId="0" fillId="11" borderId="21" xfId="0" applyNumberFormat="1" applyFont="1" applyFill="1" applyBorder="1" applyAlignment="1">
      <alignment vertical="center" wrapText="1"/>
    </xf>
    <xf numFmtId="10" fontId="0" fillId="0" borderId="21" xfId="0" applyNumberFormat="1" applyFont="1" applyFill="1" applyBorder="1" applyAlignment="1">
      <alignment vertical="center" wrapText="1"/>
    </xf>
    <xf numFmtId="10" fontId="0" fillId="11" borderId="21" xfId="0" applyNumberFormat="1" applyFont="1" applyFill="1" applyBorder="1" applyAlignment="1">
      <alignment vertical="center" wrapText="1"/>
    </xf>
    <xf numFmtId="0" fontId="0" fillId="0" borderId="21" xfId="0" applyNumberFormat="1" applyFont="1" applyFill="1" applyBorder="1" applyAlignment="1">
      <alignment vertical="center" wrapText="1"/>
    </xf>
    <xf numFmtId="0" fontId="0" fillId="11" borderId="21" xfId="0" applyNumberFormat="1" applyFont="1" applyFill="1" applyBorder="1" applyAlignment="1">
      <alignment vertical="center" wrapText="1"/>
    </xf>
    <xf numFmtId="3" fontId="0" fillId="0" borderId="21" xfId="0" applyNumberFormat="1" applyFont="1" applyFill="1" applyBorder="1" applyAlignment="1">
      <alignment vertical="center" wrapText="1"/>
    </xf>
    <xf numFmtId="3" fontId="0" fillId="11" borderId="21" xfId="0" applyNumberFormat="1" applyFont="1" applyFill="1" applyBorder="1" applyAlignment="1">
      <alignment vertical="center" wrapText="1"/>
    </xf>
    <xf numFmtId="0" fontId="0" fillId="0" borderId="21" xfId="0" applyNumberFormat="1" applyFont="1" applyFill="1" applyBorder="1" applyAlignment="1">
      <alignment vertical="center" wrapText="1"/>
    </xf>
    <xf numFmtId="0" fontId="0" fillId="11" borderId="21" xfId="0" applyNumberFormat="1" applyFont="1" applyFill="1" applyBorder="1" applyAlignment="1">
      <alignment vertical="center" wrapText="1"/>
    </xf>
    <xf numFmtId="0" fontId="0" fillId="0" borderId="21" xfId="0" applyNumberFormat="1" applyFont="1" applyFill="1" applyBorder="1" applyAlignment="1">
      <alignment vertical="center" wrapText="1"/>
    </xf>
    <xf numFmtId="0" fontId="0" fillId="11" borderId="21" xfId="0" applyNumberFormat="1" applyFont="1" applyFill="1" applyBorder="1" applyAlignment="1">
      <alignment vertical="center" wrapText="1"/>
    </xf>
    <xf numFmtId="3" fontId="0" fillId="0" borderId="21" xfId="0" applyNumberFormat="1" applyFont="1" applyFill="1" applyBorder="1" applyAlignment="1">
      <alignment vertical="center" wrapText="1"/>
    </xf>
    <xf numFmtId="3" fontId="0" fillId="11" borderId="21" xfId="0" applyNumberFormat="1" applyFont="1" applyFill="1" applyBorder="1" applyAlignment="1">
      <alignment vertical="center" wrapText="1"/>
    </xf>
    <xf numFmtId="0" fontId="0" fillId="0" borderId="21" xfId="0" applyNumberFormat="1" applyFont="1" applyFill="1" applyBorder="1" applyAlignment="1">
      <alignment vertical="center" wrapText="1"/>
    </xf>
    <xf numFmtId="0" fontId="0" fillId="11" borderId="21" xfId="0" applyNumberFormat="1" applyFont="1" applyFill="1" applyBorder="1" applyAlignment="1">
      <alignment vertical="center" wrapText="1"/>
    </xf>
    <xf numFmtId="10" fontId="0" fillId="0" borderId="21" xfId="0" applyNumberFormat="1" applyFont="1" applyFill="1" applyBorder="1" applyAlignment="1">
      <alignment vertical="center" wrapText="1"/>
    </xf>
    <xf numFmtId="10" fontId="0" fillId="11" borderId="21" xfId="0" applyNumberFormat="1" applyFont="1" applyFill="1" applyBorder="1" applyAlignment="1">
      <alignment vertical="center" wrapText="1"/>
    </xf>
    <xf numFmtId="0" fontId="0" fillId="0" borderId="21" xfId="0" applyNumberFormat="1" applyFont="1" applyFill="1" applyBorder="1" applyAlignment="1">
      <alignment vertical="center" wrapText="1"/>
    </xf>
    <xf numFmtId="0" fontId="0" fillId="11" borderId="21" xfId="0" applyNumberFormat="1" applyFont="1" applyFill="1" applyBorder="1" applyAlignment="1">
      <alignment vertical="center" wrapText="1"/>
    </xf>
    <xf numFmtId="0" fontId="0" fillId="0" borderId="21" xfId="0" applyNumberFormat="1" applyFont="1" applyFill="1" applyBorder="1" applyAlignment="1">
      <alignment vertical="center" wrapText="1"/>
    </xf>
    <xf numFmtId="0" fontId="0" fillId="11" borderId="21" xfId="0" applyNumberFormat="1" applyFont="1" applyFill="1" applyBorder="1" applyAlignment="1">
      <alignment vertical="center" wrapText="1"/>
    </xf>
    <xf numFmtId="172" fontId="0" fillId="0" borderId="21" xfId="0" applyNumberFormat="1" applyFont="1" applyFill="1" applyBorder="1" applyAlignment="1">
      <alignment vertical="center"/>
    </xf>
    <xf numFmtId="172" fontId="0" fillId="11" borderId="21" xfId="0" applyNumberFormat="1" applyFont="1" applyFill="1" applyBorder="1" applyAlignment="1">
      <alignment vertical="center"/>
    </xf>
    <xf numFmtId="173" fontId="0" fillId="0" borderId="21" xfId="0" applyNumberFormat="1" applyFont="1" applyFill="1" applyBorder="1" applyAlignment="1">
      <alignment vertical="center"/>
    </xf>
    <xf numFmtId="173" fontId="0" fillId="11" borderId="21" xfId="0" applyNumberFormat="1" applyFont="1" applyFill="1" applyBorder="1" applyAlignment="1">
      <alignment vertical="center"/>
    </xf>
    <xf numFmtId="173" fontId="0" fillId="0" borderId="21" xfId="0" applyNumberFormat="1" applyFont="1" applyFill="1" applyBorder="1" applyAlignment="1">
      <alignment vertical="center"/>
    </xf>
    <xf numFmtId="173" fontId="0" fillId="11" borderId="21" xfId="0" applyNumberFormat="1" applyFont="1" applyFill="1" applyBorder="1" applyAlignment="1">
      <alignment vertical="center"/>
    </xf>
    <xf numFmtId="173" fontId="0" fillId="0" borderId="21" xfId="0" applyNumberFormat="1" applyFont="1" applyFill="1" applyBorder="1" applyAlignment="1">
      <alignment vertical="center"/>
    </xf>
    <xf numFmtId="173" fontId="0" fillId="11" borderId="21" xfId="0" applyNumberFormat="1" applyFont="1" applyFill="1" applyBorder="1" applyAlignment="1">
      <alignment vertical="center"/>
    </xf>
    <xf numFmtId="2" fontId="0" fillId="0" borderId="21" xfId="0" applyNumberFormat="1" applyFont="1" applyFill="1" applyBorder="1" applyAlignment="1">
      <alignment vertical="center"/>
    </xf>
    <xf numFmtId="2" fontId="0" fillId="11" borderId="21" xfId="0" applyNumberFormat="1" applyFont="1" applyFill="1" applyBorder="1" applyAlignment="1">
      <alignment vertical="center"/>
    </xf>
    <xf numFmtId="0" fontId="7" fillId="9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21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Resultado bilateral por estimando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Carlos Pereira Rieve</c:v>
          </c:tx>
          <c:invertIfNegative val="1"/>
          <c:cat>
            <c:strRef>
              <c:f>'01_RESULTADO_AGOSTO'!$J$5:$J$6</c:f>
              <c:strCache>
                <c:ptCount val="2"/>
                <c:pt idx="0">
                  <c:v>Principal: registrados</c:v>
                </c:pt>
                <c:pt idx="1">
                  <c:v>Secundario: participación municipal histórica de 2021 por sexo y edad</c:v>
                </c:pt>
              </c:strCache>
            </c:strRef>
          </c:cat>
          <c:val>
            <c:numRef>
              <c:f>'01_RESULTADO_AGOSTO'!$K$5:$K$6</c:f>
              <c:numCache>
                <c:formatCode>0.0%</c:formatCode>
                <c:ptCount val="2"/>
                <c:pt idx="0">
                  <c:v>0.48586580638202498</c:v>
                </c:pt>
                <c:pt idx="1">
                  <c:v>0.47895192081666954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0-4063-9D69-E1AB3F5347DE}"/>
            </c:ext>
          </c:extLst>
        </c:ser>
        <c:ser>
          <c:idx val="1"/>
          <c:order val="1"/>
          <c:tx>
            <c:v>Sebastian "Cheba" Remesowski</c:v>
          </c:tx>
          <c:invertIfNegative val="1"/>
          <c:cat>
            <c:strRef>
              <c:f>'01_RESULTADO_AGOSTO'!$J$5:$J$6</c:f>
              <c:strCache>
                <c:ptCount val="2"/>
                <c:pt idx="0">
                  <c:v>Principal: registrados</c:v>
                </c:pt>
                <c:pt idx="1">
                  <c:v>Secundario: participación municipal histórica de 2021 por sexo y edad</c:v>
                </c:pt>
              </c:strCache>
            </c:strRef>
          </c:cat>
          <c:val>
            <c:numRef>
              <c:f>'01_RESULTADO_AGOSTO'!$L$5:$L$6</c:f>
              <c:numCache>
                <c:formatCode>0.0%</c:formatCode>
                <c:ptCount val="2"/>
                <c:pt idx="0">
                  <c:v>0.51413419361797508</c:v>
                </c:pt>
                <c:pt idx="1">
                  <c:v>0.52104807918333051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30-4063-9D69-E1AB3F534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s-A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Celdas por tramo de masa esperada de asignación (Σq)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Celdas</c:v>
          </c:tx>
          <c:invertIfNegative val="1"/>
          <c:cat>
            <c:strRef>
              <c:f>'04_PESOS_Y_COBERTURA'!$A$14:$A$19</c:f>
              <c:strCache>
                <c:ptCount val="6"/>
                <c:pt idx="0">
                  <c:v>0</c:v>
                </c:pt>
                <c:pt idx="1">
                  <c:v>(0,1)</c:v>
                </c:pt>
                <c:pt idx="2">
                  <c:v>[1,2)</c:v>
                </c:pt>
                <c:pt idx="3">
                  <c:v>[2,3)</c:v>
                </c:pt>
                <c:pt idx="4">
                  <c:v>[3,5)</c:v>
                </c:pt>
                <c:pt idx="5">
                  <c:v>5+</c:v>
                </c:pt>
              </c:strCache>
            </c:strRef>
          </c:cat>
          <c:val>
            <c:numRef>
              <c:f>'04_PESOS_Y_COBERTURA'!$B$14:$B$19</c:f>
              <c:numCache>
                <c:formatCode>#,##0</c:formatCode>
                <c:ptCount val="6"/>
                <c:pt idx="0">
                  <c:v>0</c:v>
                </c:pt>
                <c:pt idx="1">
                  <c:v>631</c:v>
                </c:pt>
                <c:pt idx="2">
                  <c:v>710</c:v>
                </c:pt>
                <c:pt idx="3">
                  <c:v>430</c:v>
                </c:pt>
                <c:pt idx="4">
                  <c:v>273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7-45A2-8070-FCA901391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s-A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Electorado registrado: límites por Γ (95%)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P2,5 condicional</c:v>
          </c:tx>
          <c:marker>
            <c:symbol val="none"/>
          </c:marker>
          <c:cat>
            <c:numRef>
              <c:f>'07_SENSIBILIDAD'!$A$6:$A$12</c:f>
              <c:numCache>
                <c:formatCode>0.00</c:formatCode>
                <c:ptCount val="7"/>
                <c:pt idx="0">
                  <c:v>1</c:v>
                </c:pt>
                <c:pt idx="1">
                  <c:v>1.1000000000000001</c:v>
                </c:pt>
                <c:pt idx="2">
                  <c:v>1.25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</c:numCache>
            </c:numRef>
          </c:cat>
          <c:val>
            <c:numRef>
              <c:f>'07_SENSIBILIDAD'!$B$6:$B$12</c:f>
              <c:numCache>
                <c:formatCode>0.00%</c:formatCode>
                <c:ptCount val="7"/>
                <c:pt idx="0">
                  <c:v>0.46890806833344228</c:v>
                </c:pt>
                <c:pt idx="1">
                  <c:v>0.46890806833344228</c:v>
                </c:pt>
                <c:pt idx="2">
                  <c:v>0.46890806833344228</c:v>
                </c:pt>
                <c:pt idx="3">
                  <c:v>0.46890806833344228</c:v>
                </c:pt>
                <c:pt idx="4">
                  <c:v>0.46890806833344228</c:v>
                </c:pt>
                <c:pt idx="5">
                  <c:v>0.46890806833344228</c:v>
                </c:pt>
                <c:pt idx="6">
                  <c:v>0.46890806833344228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3-40FC-9CF9-8CEC541C3416}"/>
            </c:ext>
          </c:extLst>
        </c:ser>
        <c:ser>
          <c:idx val="1"/>
          <c:order val="1"/>
          <c:tx>
            <c:v>P97,5 condicional</c:v>
          </c:tx>
          <c:marker>
            <c:symbol val="none"/>
          </c:marker>
          <c:cat>
            <c:numRef>
              <c:f>'07_SENSIBILIDAD'!$A$6:$A$12</c:f>
              <c:numCache>
                <c:formatCode>0.00</c:formatCode>
                <c:ptCount val="7"/>
                <c:pt idx="0">
                  <c:v>1</c:v>
                </c:pt>
                <c:pt idx="1">
                  <c:v>1.1000000000000001</c:v>
                </c:pt>
                <c:pt idx="2">
                  <c:v>1.25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</c:numCache>
            </c:numRef>
          </c:cat>
          <c:val>
            <c:numRef>
              <c:f>'07_SENSIBILIDAD'!$C$6:$C$12</c:f>
              <c:numCache>
                <c:formatCode>0.00%</c:formatCode>
                <c:ptCount val="7"/>
                <c:pt idx="0">
                  <c:v>0.50249399280084284</c:v>
                </c:pt>
                <c:pt idx="1">
                  <c:v>0.50249399280084284</c:v>
                </c:pt>
                <c:pt idx="2">
                  <c:v>0.50249399280084284</c:v>
                </c:pt>
                <c:pt idx="3">
                  <c:v>0.50249399280084284</c:v>
                </c:pt>
                <c:pt idx="4">
                  <c:v>0.50249399280084284</c:v>
                </c:pt>
                <c:pt idx="5">
                  <c:v>0.50249399280084284</c:v>
                </c:pt>
                <c:pt idx="6">
                  <c:v>0.50249399280084284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73-40FC-9CF9-8CEC541C3416}"/>
            </c:ext>
          </c:extLst>
        </c:ser>
        <c:ser>
          <c:idx val="2"/>
          <c:order val="2"/>
          <c:tx>
            <c:v>Límite inferior</c:v>
          </c:tx>
          <c:marker>
            <c:symbol val="none"/>
          </c:marker>
          <c:cat>
            <c:numRef>
              <c:f>'07_SENSIBILIDAD'!$A$6:$A$12</c:f>
              <c:numCache>
                <c:formatCode>0.00</c:formatCode>
                <c:ptCount val="7"/>
                <c:pt idx="0">
                  <c:v>1</c:v>
                </c:pt>
                <c:pt idx="1">
                  <c:v>1.1000000000000001</c:v>
                </c:pt>
                <c:pt idx="2">
                  <c:v>1.25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</c:numCache>
            </c:numRef>
          </c:cat>
          <c:val>
            <c:numRef>
              <c:f>'07_SENSIBILIDAD'!$D$6:$D$12</c:f>
              <c:numCache>
                <c:formatCode>0.00%</c:formatCode>
                <c:ptCount val="7"/>
                <c:pt idx="0">
                  <c:v>0.46890806833344228</c:v>
                </c:pt>
                <c:pt idx="1">
                  <c:v>0.44526063524662157</c:v>
                </c:pt>
                <c:pt idx="2">
                  <c:v>0.41394707978125322</c:v>
                </c:pt>
                <c:pt idx="3">
                  <c:v>0.37051840153802484</c:v>
                </c:pt>
                <c:pt idx="4">
                  <c:v>0.30625729169838078</c:v>
                </c:pt>
                <c:pt idx="5">
                  <c:v>0.22738421955040636</c:v>
                </c:pt>
                <c:pt idx="6">
                  <c:v>0.18081689160774411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73-40FC-9CF9-8CEC541C3416}"/>
            </c:ext>
          </c:extLst>
        </c:ser>
        <c:ser>
          <c:idx val="3"/>
          <c:order val="3"/>
          <c:tx>
            <c:v>Límite superior</c:v>
          </c:tx>
          <c:marker>
            <c:symbol val="none"/>
          </c:marker>
          <c:cat>
            <c:numRef>
              <c:f>'07_SENSIBILIDAD'!$A$6:$A$12</c:f>
              <c:numCache>
                <c:formatCode>0.00</c:formatCode>
                <c:ptCount val="7"/>
                <c:pt idx="0">
                  <c:v>1</c:v>
                </c:pt>
                <c:pt idx="1">
                  <c:v>1.1000000000000001</c:v>
                </c:pt>
                <c:pt idx="2">
                  <c:v>1.25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</c:numCache>
            </c:numRef>
          </c:cat>
          <c:val>
            <c:numRef>
              <c:f>'07_SENSIBILIDAD'!$E$6:$E$12</c:f>
              <c:numCache>
                <c:formatCode>0.00%</c:formatCode>
                <c:ptCount val="7"/>
                <c:pt idx="0">
                  <c:v>0.50249399280084284</c:v>
                </c:pt>
                <c:pt idx="1">
                  <c:v>0.5262972704005513</c:v>
                </c:pt>
                <c:pt idx="2">
                  <c:v>0.55801739392022931</c:v>
                </c:pt>
                <c:pt idx="3">
                  <c:v>0.6023918469891405</c:v>
                </c:pt>
                <c:pt idx="4">
                  <c:v>0.66887986934860111</c:v>
                </c:pt>
                <c:pt idx="5">
                  <c:v>0.75186584120609656</c:v>
                </c:pt>
                <c:pt idx="6">
                  <c:v>0.80159139268625601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73-40FC-9CF9-8CEC541C3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s-A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blTrazaEntradas" displayName="tblTrazaEntradas" ref="A33:D42" totalsRowShown="0">
  <autoFilter ref="A33:D42" xr:uid="{00000000-0009-0000-0100-000005000000}"/>
  <tableColumns count="4">
    <tableColumn id="1" xr3:uid="{00000000-0010-0000-0000-000001000000}" name="Archivo"/>
    <tableColumn id="2" xr3:uid="{00000000-0010-0000-0000-000002000000}" name="Bytes"/>
    <tableColumn id="3" xr3:uid="{00000000-0010-0000-0000-000003000000}" name="SHA-256"/>
    <tableColumn id="4" xr3:uid="{00000000-0010-0000-0000-000004000000}" name="Us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ObservacionesAgosto" displayName="tblObservacionesAgosto" ref="A1:I3666" totalsRowShown="0">
  <autoFilter ref="A1:I3666" xr:uid="{00000000-0009-0000-0100-000001000000}"/>
  <tableColumns count="9">
    <tableColumn id="1" xr3:uid="{00000000-0010-0000-0100-000001000000}" name="indice_observacion"/>
    <tableColumn id="2" xr3:uid="{00000000-0010-0000-0100-000002000000}" name="voto_pereira_01"/>
    <tableColumn id="3" xr3:uid="{00000000-0010-0000-0100-000003000000}" name="pmax_vinculo"/>
    <tableColumn id="4" xr3:uid="{00000000-0010-0000-0100-000004000000}" name="entropia_normalizada"/>
    <tableColumn id="5" xr3:uid="{00000000-0010-0000-0100-000005000000}" name="fraccion_imputacion_fondo"/>
    <tableColumn id="6" xr3:uid="{00000000-0010-0000-0100-000006000000}" name="concentracion_vinculo"/>
    <tableColumn id="7" xr3:uid="{00000000-0010-0000-0100-000007000000}" name="peso_sin_truncar"/>
    <tableColumn id="8" xr3:uid="{00000000-0010-0000-0100-000008000000}" name="peso_p99"/>
    <tableColumn id="9" xr3:uid="{00000000-0010-0000-0100-000009000000}" name="peso_p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CeldasAgosto" displayName="tblCeldasAgosto" ref="L1:W2077" totalsRowShown="0">
  <autoFilter ref="L1:W2077" xr:uid="{00000000-0009-0000-0100-000002000000}"/>
  <tableColumns count="12">
    <tableColumn id="1" xr3:uid="{00000000-0010-0000-0200-000001000000}" name="id_celda_opaca"/>
    <tableColumn id="2" xr3:uid="{00000000-0010-0000-0200-000002000000}" name="indice_sexo"/>
    <tableColumn id="3" xr3:uid="{00000000-0010-0000-0200-000003000000}" name="indice_edad"/>
    <tableColumn id="4" xr3:uid="{00000000-0010-0000-0200-000004000000}" name="indice_local"/>
    <tableColumn id="5" xr3:uid="{00000000-0010-0000-0200-000005000000}" name="indice_mesa"/>
    <tableColumn id="6" xr3:uid="{00000000-0010-0000-0200-000006000000}" name="N_padron"/>
    <tableColumn id="7" xr3:uid="{00000000-0010-0000-0200-000007000000}" name="tasa_participacion"/>
    <tableColumn id="8" xr3:uid="{00000000-0010-0000-0200-000008000000}" name="N_votantes_probables"/>
    <tableColumn id="9" xr3:uid="{00000000-0010-0000-0200-000009000000}" name="masa_esperada_asignacion_sum_q"/>
    <tableColumn id="10" xr3:uid="{00000000-0010-0000-0200-00000A000000}" name="masa_asignacion_directa_sum_q"/>
    <tableColumn id="11" xr3:uid="{00000000-0010-0000-0200-00000B000000}" name="tasa_inclusion_relativa"/>
    <tableColumn id="12" xr3:uid="{00000000-0010-0000-0200-00000C000000}" name="tramo_sopor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DrawsAgosto" displayName="tblDrawsAgosto" ref="X1:AF4001" totalsRowShown="0">
  <autoFilter ref="X1:AF4001" xr:uid="{00000000-0009-0000-0100-000003000000}"/>
  <tableColumns count="9">
    <tableColumn id="1" xr3:uid="{00000000-0010-0000-0300-000001000000}" name="simulacion"/>
    <tableColumn id="2" xr3:uid="{00000000-0010-0000-0300-000002000000}" name="M1_registrados"/>
    <tableColumn id="3" xr3:uid="{00000000-0010-0000-0300-000003000000}" name="M2_registrados"/>
    <tableColumn id="4" xr3:uid="{00000000-0010-0000-0300-000004000000}" name="M3_registrados"/>
    <tableColumn id="5" xr3:uid="{00000000-0010-0000-0300-000005000000}" name="M4_registrados"/>
    <tableColumn id="6" xr3:uid="{00000000-0010-0000-0300-000006000000}" name="M1_probables"/>
    <tableColumn id="7" xr3:uid="{00000000-0010-0000-0300-000007000000}" name="M2_probables"/>
    <tableColumn id="8" xr3:uid="{00000000-0010-0000-0300-000008000000}" name="M3_probables"/>
    <tableColumn id="9" xr3:uid="{00000000-0010-0000-0300-000009000000}" name="M4_probab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ManifestoAgosto" displayName="tblManifestoAgosto" ref="AH1:AK10" totalsRowShown="0">
  <autoFilter ref="AH1:AK10" xr:uid="{00000000-0009-0000-0100-000004000000}"/>
  <tableColumns count="4">
    <tableColumn id="1" xr3:uid="{00000000-0010-0000-0400-000001000000}" name="archivo"/>
    <tableColumn id="2" xr3:uid="{00000000-0010-0000-0400-000002000000}" name="bytes"/>
    <tableColumn id="3" xr3:uid="{00000000-0010-0000-0400-000003000000}" name="sha256"/>
    <tableColumn id="4" xr3:uid="{00000000-0010-0000-0400-000004000000}" name="u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430"/>
  </sheetPr>
  <dimension ref="A1:J35"/>
  <sheetViews>
    <sheetView showGridLines="0" tabSelected="1" workbookViewId="0">
      <pane ySplit="3" topLeftCell="A4" activePane="bottomLeft" state="frozen"/>
      <selection sqref="A1:J1"/>
      <selection pane="bottomLeft" activeCell="A4" sqref="A4"/>
    </sheetView>
  </sheetViews>
  <sheetFormatPr baseColWidth="10" defaultColWidth="9" defaultRowHeight="14.25"/>
  <cols>
    <col min="1" max="10" width="16" customWidth="1"/>
  </cols>
  <sheetData>
    <row r="1" spans="1:10" ht="30" customHeight="1">
      <c r="A1" s="80" t="s">
        <v>0</v>
      </c>
      <c r="B1" s="80" t="s">
        <v>0</v>
      </c>
      <c r="C1" s="80" t="s">
        <v>0</v>
      </c>
      <c r="D1" s="80" t="s">
        <v>0</v>
      </c>
      <c r="E1" s="80" t="s">
        <v>0</v>
      </c>
      <c r="F1" s="80" t="s">
        <v>0</v>
      </c>
      <c r="G1" s="80" t="s">
        <v>0</v>
      </c>
      <c r="H1" s="80" t="s">
        <v>0</v>
      </c>
      <c r="I1" s="80" t="s">
        <v>0</v>
      </c>
      <c r="J1" s="80" t="s">
        <v>0</v>
      </c>
    </row>
    <row r="2" spans="1:10" ht="32.1" customHeight="1">
      <c r="A2" s="81" t="s">
        <v>1</v>
      </c>
      <c r="B2" s="81" t="s">
        <v>1</v>
      </c>
      <c r="C2" s="81" t="s">
        <v>1</v>
      </c>
      <c r="D2" s="81" t="s">
        <v>1</v>
      </c>
      <c r="E2" s="81" t="s">
        <v>1</v>
      </c>
      <c r="F2" s="81" t="s">
        <v>1</v>
      </c>
      <c r="G2" s="81" t="s">
        <v>1</v>
      </c>
      <c r="H2" s="81" t="s">
        <v>1</v>
      </c>
      <c r="I2" s="81" t="s">
        <v>1</v>
      </c>
      <c r="J2" s="81" t="s">
        <v>1</v>
      </c>
    </row>
    <row r="3" spans="1:10" ht="27.95" customHeight="1">
      <c r="A3" s="82" t="s">
        <v>2</v>
      </c>
      <c r="B3" s="83" t="s">
        <v>2</v>
      </c>
      <c r="C3" s="83" t="s">
        <v>2</v>
      </c>
      <c r="D3" s="83" t="s">
        <v>2</v>
      </c>
      <c r="E3" s="83" t="s">
        <v>2</v>
      </c>
      <c r="F3" s="83" t="s">
        <v>2</v>
      </c>
      <c r="G3" s="83" t="s">
        <v>2</v>
      </c>
      <c r="H3" s="83" t="s">
        <v>2</v>
      </c>
      <c r="I3" s="83" t="s">
        <v>2</v>
      </c>
      <c r="J3" s="84" t="s">
        <v>2</v>
      </c>
    </row>
    <row r="5" spans="1:10" ht="23.1" customHeight="1">
      <c r="A5" s="85" t="s">
        <v>3</v>
      </c>
      <c r="B5" s="85" t="s">
        <v>3</v>
      </c>
      <c r="C5" s="85" t="s">
        <v>3</v>
      </c>
      <c r="D5" s="85" t="s">
        <v>3</v>
      </c>
      <c r="E5" s="85" t="s">
        <v>3</v>
      </c>
      <c r="F5" s="85" t="s">
        <v>3</v>
      </c>
      <c r="G5" s="85" t="s">
        <v>3</v>
      </c>
      <c r="H5" s="85" t="s">
        <v>3</v>
      </c>
      <c r="I5" s="85" t="s">
        <v>3</v>
      </c>
      <c r="J5" s="85" t="s">
        <v>3</v>
      </c>
    </row>
    <row r="6" spans="1:10" ht="15">
      <c r="A6" s="86" t="s">
        <v>4</v>
      </c>
      <c r="B6" s="86" t="s">
        <v>4</v>
      </c>
      <c r="C6" s="86" t="s">
        <v>4</v>
      </c>
      <c r="D6" s="86" t="s">
        <v>4</v>
      </c>
      <c r="F6" s="86" t="s">
        <v>5</v>
      </c>
      <c r="G6" s="86" t="s">
        <v>5</v>
      </c>
      <c r="H6" s="86" t="s">
        <v>5</v>
      </c>
      <c r="I6" s="86" t="s">
        <v>5</v>
      </c>
    </row>
    <row r="7" spans="1:10" ht="24" customHeight="1">
      <c r="A7" s="87">
        <f>'01_RESULTADO_AGOSTO'!B8</f>
        <v>0.48586580638202498</v>
      </c>
      <c r="B7" s="88"/>
      <c r="C7" s="88"/>
      <c r="D7" s="89"/>
      <c r="F7" s="96">
        <f>'01_RESULTADO_AGOSTO'!C8</f>
        <v>0.51413419361797508</v>
      </c>
      <c r="G7" s="97"/>
      <c r="H7" s="97"/>
      <c r="I7" s="98"/>
    </row>
    <row r="8" spans="1:10" ht="24" customHeight="1">
      <c r="A8" s="90"/>
      <c r="B8" s="91"/>
      <c r="C8" s="91"/>
      <c r="D8" s="92"/>
      <c r="F8" s="99"/>
      <c r="G8" s="100"/>
      <c r="H8" s="100"/>
      <c r="I8" s="101"/>
    </row>
    <row r="9" spans="1:10" ht="24" customHeight="1">
      <c r="A9" s="93"/>
      <c r="B9" s="94"/>
      <c r="C9" s="94"/>
      <c r="D9" s="95"/>
      <c r="F9" s="102"/>
      <c r="G9" s="103"/>
      <c r="H9" s="103"/>
      <c r="I9" s="104"/>
    </row>
    <row r="10" spans="1:10" ht="24.95" customHeight="1">
      <c r="A10" s="105" t="str">
        <f>"Lectura técnica: "&amp;'01_RESULTADO_AGOSTO'!B29&amp;". La diferencia es corta y la competencia permanece abierta."</f>
        <v>Lectura técnica: Sin liderazgo robustamente identificable bajo autoselección no observada. La diferencia es corta y la competencia permanece abierta.</v>
      </c>
      <c r="B10" s="106"/>
      <c r="C10" s="106"/>
      <c r="D10" s="106"/>
      <c r="E10" s="106"/>
      <c r="F10" s="106"/>
      <c r="G10" s="106"/>
      <c r="H10" s="106"/>
      <c r="I10" s="106"/>
      <c r="J10" s="107"/>
    </row>
    <row r="11" spans="1:10" ht="24.95" customHeight="1">
      <c r="A11" s="108"/>
      <c r="B11" s="109"/>
      <c r="C11" s="109"/>
      <c r="D11" s="109"/>
      <c r="E11" s="109"/>
      <c r="F11" s="109"/>
      <c r="G11" s="109"/>
      <c r="H11" s="109"/>
      <c r="I11" s="109"/>
      <c r="J11" s="110"/>
    </row>
    <row r="13" spans="1:10" ht="23.1" customHeight="1">
      <c r="A13" s="111" t="s">
        <v>6</v>
      </c>
      <c r="B13" s="111" t="s">
        <v>6</v>
      </c>
      <c r="C13" s="111" t="s">
        <v>6</v>
      </c>
      <c r="D13" s="111" t="s">
        <v>6</v>
      </c>
      <c r="E13" s="111" t="s">
        <v>6</v>
      </c>
      <c r="F13" s="268" t="s">
        <v>7</v>
      </c>
      <c r="G13" s="268" t="s">
        <v>7</v>
      </c>
      <c r="H13" s="268" t="s">
        <v>7</v>
      </c>
      <c r="I13" s="268" t="s">
        <v>7</v>
      </c>
      <c r="J13" s="268" t="s">
        <v>7</v>
      </c>
    </row>
    <row r="14" spans="1:10" ht="21.95" customHeight="1">
      <c r="A14" s="113" t="s">
        <v>8</v>
      </c>
      <c r="B14" s="114" t="s">
        <v>8</v>
      </c>
      <c r="C14" s="114" t="s">
        <v>8</v>
      </c>
      <c r="D14" s="114" t="s">
        <v>8</v>
      </c>
      <c r="E14" s="115" t="s">
        <v>8</v>
      </c>
      <c r="F14" s="122" t="s">
        <v>9</v>
      </c>
      <c r="G14" s="123" t="s">
        <v>9</v>
      </c>
      <c r="H14" s="123" t="s">
        <v>9</v>
      </c>
      <c r="I14" s="123" t="s">
        <v>9</v>
      </c>
      <c r="J14" s="124" t="s">
        <v>9</v>
      </c>
    </row>
    <row r="15" spans="1:10" ht="21.95" customHeight="1">
      <c r="A15" s="116" t="s">
        <v>8</v>
      </c>
      <c r="B15" s="117" t="s">
        <v>8</v>
      </c>
      <c r="C15" s="117" t="s">
        <v>8</v>
      </c>
      <c r="D15" s="117" t="s">
        <v>8</v>
      </c>
      <c r="E15" s="118" t="s">
        <v>8</v>
      </c>
      <c r="F15" s="125" t="s">
        <v>9</v>
      </c>
      <c r="G15" s="126" t="s">
        <v>9</v>
      </c>
      <c r="H15" s="126" t="s">
        <v>9</v>
      </c>
      <c r="I15" s="126" t="s">
        <v>9</v>
      </c>
      <c r="J15" s="127" t="s">
        <v>9</v>
      </c>
    </row>
    <row r="16" spans="1:10" ht="21.95" customHeight="1">
      <c r="A16" s="116" t="s">
        <v>8</v>
      </c>
      <c r="B16" s="117" t="s">
        <v>8</v>
      </c>
      <c r="C16" s="117" t="s">
        <v>8</v>
      </c>
      <c r="D16" s="117" t="s">
        <v>8</v>
      </c>
      <c r="E16" s="118" t="s">
        <v>8</v>
      </c>
      <c r="F16" s="125" t="s">
        <v>9</v>
      </c>
      <c r="G16" s="126" t="s">
        <v>9</v>
      </c>
      <c r="H16" s="126" t="s">
        <v>9</v>
      </c>
      <c r="I16" s="126" t="s">
        <v>9</v>
      </c>
      <c r="J16" s="127" t="s">
        <v>9</v>
      </c>
    </row>
    <row r="17" spans="1:10" ht="21.95" customHeight="1">
      <c r="A17" s="116" t="s">
        <v>8</v>
      </c>
      <c r="B17" s="117" t="s">
        <v>8</v>
      </c>
      <c r="C17" s="117" t="s">
        <v>8</v>
      </c>
      <c r="D17" s="117" t="s">
        <v>8</v>
      </c>
      <c r="E17" s="118" t="s">
        <v>8</v>
      </c>
      <c r="F17" s="125" t="s">
        <v>9</v>
      </c>
      <c r="G17" s="126" t="s">
        <v>9</v>
      </c>
      <c r="H17" s="126" t="s">
        <v>9</v>
      </c>
      <c r="I17" s="126" t="s">
        <v>9</v>
      </c>
      <c r="J17" s="127" t="s">
        <v>9</v>
      </c>
    </row>
    <row r="18" spans="1:10" ht="21.95" customHeight="1">
      <c r="A18" s="119" t="s">
        <v>8</v>
      </c>
      <c r="B18" s="120" t="s">
        <v>8</v>
      </c>
      <c r="C18" s="120" t="s">
        <v>8</v>
      </c>
      <c r="D18" s="120" t="s">
        <v>8</v>
      </c>
      <c r="E18" s="121" t="s">
        <v>8</v>
      </c>
      <c r="F18" s="128" t="s">
        <v>9</v>
      </c>
      <c r="G18" s="129" t="s">
        <v>9</v>
      </c>
      <c r="H18" s="129" t="s">
        <v>9</v>
      </c>
      <c r="I18" s="129" t="s">
        <v>9</v>
      </c>
      <c r="J18" s="130" t="s">
        <v>9</v>
      </c>
    </row>
    <row r="20" spans="1:10" ht="23.1" customHeight="1">
      <c r="A20" s="85" t="s">
        <v>10</v>
      </c>
      <c r="B20" s="85" t="s">
        <v>10</v>
      </c>
      <c r="C20" s="85" t="s">
        <v>10</v>
      </c>
      <c r="D20" s="85" t="s">
        <v>10</v>
      </c>
      <c r="E20" s="85" t="s">
        <v>10</v>
      </c>
      <c r="F20" s="85" t="s">
        <v>10</v>
      </c>
      <c r="G20" s="85" t="s">
        <v>10</v>
      </c>
      <c r="H20" s="85" t="s">
        <v>10</v>
      </c>
      <c r="I20" s="85" t="s">
        <v>10</v>
      </c>
      <c r="J20" s="85" t="s">
        <v>10</v>
      </c>
    </row>
    <row r="21" spans="1:10" ht="21.95" customHeight="1">
      <c r="A21" s="131" t="s">
        <v>11</v>
      </c>
      <c r="B21" s="132" t="s">
        <v>11</v>
      </c>
      <c r="C21" s="131" t="s">
        <v>12</v>
      </c>
      <c r="D21" s="137" t="s">
        <v>12</v>
      </c>
      <c r="E21" s="132" t="s">
        <v>12</v>
      </c>
      <c r="F21" s="131" t="s">
        <v>13</v>
      </c>
      <c r="G21" s="132" t="s">
        <v>13</v>
      </c>
      <c r="H21" s="131" t="s">
        <v>14</v>
      </c>
      <c r="I21" s="137" t="s">
        <v>14</v>
      </c>
      <c r="J21" s="132" t="s">
        <v>14</v>
      </c>
    </row>
    <row r="22" spans="1:10" ht="21.95" customHeight="1">
      <c r="A22" s="133" t="s">
        <v>11</v>
      </c>
      <c r="B22" s="134" t="s">
        <v>11</v>
      </c>
      <c r="C22" s="133" t="s">
        <v>12</v>
      </c>
      <c r="D22" s="138" t="s">
        <v>12</v>
      </c>
      <c r="E22" s="134" t="s">
        <v>12</v>
      </c>
      <c r="F22" s="133" t="s">
        <v>13</v>
      </c>
      <c r="G22" s="134" t="s">
        <v>13</v>
      </c>
      <c r="H22" s="133" t="s">
        <v>14</v>
      </c>
      <c r="I22" s="138" t="s">
        <v>14</v>
      </c>
      <c r="J22" s="134" t="s">
        <v>14</v>
      </c>
    </row>
    <row r="23" spans="1:10" ht="21.95" customHeight="1">
      <c r="A23" s="133" t="s">
        <v>11</v>
      </c>
      <c r="B23" s="134" t="s">
        <v>11</v>
      </c>
      <c r="C23" s="133" t="s">
        <v>12</v>
      </c>
      <c r="D23" s="138" t="s">
        <v>12</v>
      </c>
      <c r="E23" s="134" t="s">
        <v>12</v>
      </c>
      <c r="F23" s="133" t="s">
        <v>13</v>
      </c>
      <c r="G23" s="134" t="s">
        <v>13</v>
      </c>
      <c r="H23" s="133" t="s">
        <v>14</v>
      </c>
      <c r="I23" s="138" t="s">
        <v>14</v>
      </c>
      <c r="J23" s="134" t="s">
        <v>14</v>
      </c>
    </row>
    <row r="24" spans="1:10" ht="21.95" customHeight="1">
      <c r="A24" s="135" t="s">
        <v>11</v>
      </c>
      <c r="B24" s="136" t="s">
        <v>11</v>
      </c>
      <c r="C24" s="135" t="s">
        <v>12</v>
      </c>
      <c r="D24" s="139" t="s">
        <v>12</v>
      </c>
      <c r="E24" s="136" t="s">
        <v>12</v>
      </c>
      <c r="F24" s="135" t="s">
        <v>13</v>
      </c>
      <c r="G24" s="136" t="s">
        <v>13</v>
      </c>
      <c r="H24" s="135" t="s">
        <v>14</v>
      </c>
      <c r="I24" s="139" t="s">
        <v>14</v>
      </c>
      <c r="J24" s="136" t="s">
        <v>14</v>
      </c>
    </row>
    <row r="26" spans="1:10" ht="23.1" customHeight="1">
      <c r="A26" s="85" t="s">
        <v>15</v>
      </c>
      <c r="B26" s="85" t="s">
        <v>15</v>
      </c>
      <c r="C26" s="85" t="s">
        <v>15</v>
      </c>
      <c r="D26" s="85" t="s">
        <v>15</v>
      </c>
      <c r="E26" s="85" t="s">
        <v>15</v>
      </c>
      <c r="F26" s="85" t="s">
        <v>15</v>
      </c>
      <c r="G26" s="85" t="s">
        <v>15</v>
      </c>
      <c r="H26" s="85" t="s">
        <v>15</v>
      </c>
      <c r="I26" s="85" t="s">
        <v>15</v>
      </c>
      <c r="J26" s="85" t="s">
        <v>15</v>
      </c>
    </row>
    <row r="27" spans="1:10" ht="23.1" customHeight="1">
      <c r="A27" s="140" t="s">
        <v>16</v>
      </c>
      <c r="B27" s="141" t="s">
        <v>16</v>
      </c>
      <c r="C27" s="141" t="s">
        <v>16</v>
      </c>
      <c r="D27" s="141" t="s">
        <v>16</v>
      </c>
      <c r="E27" s="142" t="s">
        <v>16</v>
      </c>
      <c r="F27" s="140" t="s">
        <v>17</v>
      </c>
      <c r="G27" s="141" t="s">
        <v>17</v>
      </c>
      <c r="H27" s="141" t="s">
        <v>17</v>
      </c>
      <c r="I27" s="141" t="s">
        <v>17</v>
      </c>
      <c r="J27" s="142" t="s">
        <v>17</v>
      </c>
    </row>
    <row r="28" spans="1:10" ht="23.1" customHeight="1">
      <c r="A28" s="143" t="s">
        <v>16</v>
      </c>
      <c r="B28" s="144" t="s">
        <v>16</v>
      </c>
      <c r="C28" s="144" t="s">
        <v>16</v>
      </c>
      <c r="D28" s="144" t="s">
        <v>16</v>
      </c>
      <c r="E28" s="145" t="s">
        <v>16</v>
      </c>
      <c r="F28" s="143" t="s">
        <v>17</v>
      </c>
      <c r="G28" s="144" t="s">
        <v>17</v>
      </c>
      <c r="H28" s="144" t="s">
        <v>17</v>
      </c>
      <c r="I28" s="144" t="s">
        <v>17</v>
      </c>
      <c r="J28" s="145" t="s">
        <v>17</v>
      </c>
    </row>
    <row r="29" spans="1:10" ht="23.1" customHeight="1">
      <c r="A29" s="140" t="s">
        <v>18</v>
      </c>
      <c r="B29" s="141" t="s">
        <v>18</v>
      </c>
      <c r="C29" s="141" t="s">
        <v>18</v>
      </c>
      <c r="D29" s="141" t="s">
        <v>18</v>
      </c>
      <c r="E29" s="142" t="s">
        <v>18</v>
      </c>
      <c r="F29" s="140" t="s">
        <v>19</v>
      </c>
      <c r="G29" s="141" t="s">
        <v>19</v>
      </c>
      <c r="H29" s="141" t="s">
        <v>19</v>
      </c>
      <c r="I29" s="141" t="s">
        <v>19</v>
      </c>
      <c r="J29" s="142" t="s">
        <v>19</v>
      </c>
    </row>
    <row r="30" spans="1:10" ht="23.1" customHeight="1">
      <c r="A30" s="143" t="s">
        <v>18</v>
      </c>
      <c r="B30" s="144" t="s">
        <v>18</v>
      </c>
      <c r="C30" s="144" t="s">
        <v>18</v>
      </c>
      <c r="D30" s="144" t="s">
        <v>18</v>
      </c>
      <c r="E30" s="145" t="s">
        <v>18</v>
      </c>
      <c r="F30" s="143" t="s">
        <v>19</v>
      </c>
      <c r="G30" s="144" t="s">
        <v>19</v>
      </c>
      <c r="H30" s="144" t="s">
        <v>19</v>
      </c>
      <c r="I30" s="144" t="s">
        <v>19</v>
      </c>
      <c r="J30" s="145" t="s">
        <v>19</v>
      </c>
    </row>
    <row r="31" spans="1:10" ht="23.1" customHeight="1">
      <c r="A31" s="140" t="s">
        <v>20</v>
      </c>
      <c r="B31" s="141" t="s">
        <v>20</v>
      </c>
      <c r="C31" s="141" t="s">
        <v>20</v>
      </c>
      <c r="D31" s="141" t="s">
        <v>20</v>
      </c>
      <c r="E31" s="142" t="s">
        <v>20</v>
      </c>
      <c r="F31" s="140" t="s">
        <v>21</v>
      </c>
      <c r="G31" s="141" t="s">
        <v>21</v>
      </c>
      <c r="H31" s="141" t="s">
        <v>21</v>
      </c>
      <c r="I31" s="141" t="s">
        <v>21</v>
      </c>
      <c r="J31" s="142" t="s">
        <v>21</v>
      </c>
    </row>
    <row r="32" spans="1:10" ht="23.1" customHeight="1">
      <c r="A32" s="143" t="s">
        <v>20</v>
      </c>
      <c r="B32" s="144" t="s">
        <v>20</v>
      </c>
      <c r="C32" s="144" t="s">
        <v>20</v>
      </c>
      <c r="D32" s="144" t="s">
        <v>20</v>
      </c>
      <c r="E32" s="145" t="s">
        <v>20</v>
      </c>
      <c r="F32" s="143" t="s">
        <v>21</v>
      </c>
      <c r="G32" s="144" t="s">
        <v>21</v>
      </c>
      <c r="H32" s="144" t="s">
        <v>21</v>
      </c>
      <c r="I32" s="144" t="s">
        <v>21</v>
      </c>
      <c r="J32" s="145" t="s">
        <v>21</v>
      </c>
    </row>
    <row r="34" spans="1:10" ht="24.95" customHeight="1">
      <c r="A34" s="122" t="s">
        <v>22</v>
      </c>
      <c r="B34" s="123" t="s">
        <v>22</v>
      </c>
      <c r="C34" s="123" t="s">
        <v>22</v>
      </c>
      <c r="D34" s="123" t="s">
        <v>22</v>
      </c>
      <c r="E34" s="123" t="s">
        <v>22</v>
      </c>
      <c r="F34" s="123" t="s">
        <v>22</v>
      </c>
      <c r="G34" s="123" t="s">
        <v>22</v>
      </c>
      <c r="H34" s="123" t="s">
        <v>22</v>
      </c>
      <c r="I34" s="123" t="s">
        <v>22</v>
      </c>
      <c r="J34" s="124" t="s">
        <v>22</v>
      </c>
    </row>
    <row r="35" spans="1:10" ht="24.95" customHeight="1">
      <c r="A35" s="128" t="s">
        <v>22</v>
      </c>
      <c r="B35" s="129" t="s">
        <v>22</v>
      </c>
      <c r="C35" s="129" t="s">
        <v>22</v>
      </c>
      <c r="D35" s="129" t="s">
        <v>22</v>
      </c>
      <c r="E35" s="129" t="s">
        <v>22</v>
      </c>
      <c r="F35" s="129" t="s">
        <v>22</v>
      </c>
      <c r="G35" s="129" t="s">
        <v>22</v>
      </c>
      <c r="H35" s="129" t="s">
        <v>22</v>
      </c>
      <c r="I35" s="129" t="s">
        <v>22</v>
      </c>
      <c r="J35" s="130" t="s">
        <v>22</v>
      </c>
    </row>
  </sheetData>
  <mergeCells count="26">
    <mergeCell ref="A31:E32"/>
    <mergeCell ref="F31:J32"/>
    <mergeCell ref="A34:J35"/>
    <mergeCell ref="A26:J26"/>
    <mergeCell ref="A27:E28"/>
    <mergeCell ref="F27:J28"/>
    <mergeCell ref="A29:E30"/>
    <mergeCell ref="F29:J30"/>
    <mergeCell ref="A14:E18"/>
    <mergeCell ref="F14:J18"/>
    <mergeCell ref="A20:J20"/>
    <mergeCell ref="A21:B24"/>
    <mergeCell ref="C21:E24"/>
    <mergeCell ref="F21:G24"/>
    <mergeCell ref="H21:J24"/>
    <mergeCell ref="A7:D9"/>
    <mergeCell ref="F6:I6"/>
    <mergeCell ref="F7:I9"/>
    <mergeCell ref="A10:J11"/>
    <mergeCell ref="A13:E13"/>
    <mergeCell ref="F13:J13"/>
    <mergeCell ref="A1:J1"/>
    <mergeCell ref="A2:J2"/>
    <mergeCell ref="A3:J3"/>
    <mergeCell ref="A5:J5"/>
    <mergeCell ref="A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63340"/>
  </sheetPr>
  <dimension ref="A1:L35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10" defaultColWidth="9" defaultRowHeight="14.25"/>
  <cols>
    <col min="1" max="1" width="29" customWidth="1"/>
    <col min="2" max="2" width="16" customWidth="1"/>
    <col min="3" max="3" width="17" customWidth="1"/>
    <col min="4" max="4" width="18" customWidth="1"/>
    <col min="5" max="6" width="16" customWidth="1"/>
    <col min="7" max="7" width="12" customWidth="1"/>
    <col min="8" max="8" width="34" customWidth="1"/>
    <col min="9" max="9" width="3" customWidth="1"/>
    <col min="10" max="10" width="38" customWidth="1"/>
    <col min="11" max="11" width="18" customWidth="1"/>
    <col min="12" max="12" width="22" customWidth="1"/>
  </cols>
  <sheetData>
    <row r="1" spans="1:12" ht="30" customHeight="1">
      <c r="A1" s="80" t="s">
        <v>23</v>
      </c>
      <c r="B1" s="80" t="s">
        <v>23</v>
      </c>
      <c r="C1" s="80" t="s">
        <v>23</v>
      </c>
      <c r="D1" s="80" t="s">
        <v>23</v>
      </c>
      <c r="E1" s="80" t="s">
        <v>23</v>
      </c>
      <c r="F1" s="80" t="s">
        <v>23</v>
      </c>
      <c r="G1" s="80" t="s">
        <v>23</v>
      </c>
      <c r="H1" s="80" t="s">
        <v>23</v>
      </c>
      <c r="I1" s="80" t="s">
        <v>23</v>
      </c>
      <c r="J1" s="80" t="s">
        <v>23</v>
      </c>
      <c r="K1" s="80" t="s">
        <v>23</v>
      </c>
      <c r="L1" s="80" t="s">
        <v>23</v>
      </c>
    </row>
    <row r="2" spans="1:12" ht="32.1" customHeight="1">
      <c r="A2" s="81" t="s">
        <v>24</v>
      </c>
      <c r="B2" s="81" t="s">
        <v>24</v>
      </c>
      <c r="C2" s="81" t="s">
        <v>24</v>
      </c>
      <c r="D2" s="81" t="s">
        <v>24</v>
      </c>
      <c r="E2" s="81" t="s">
        <v>24</v>
      </c>
      <c r="F2" s="81" t="s">
        <v>24</v>
      </c>
      <c r="G2" s="81" t="s">
        <v>24</v>
      </c>
      <c r="H2" s="81" t="s">
        <v>24</v>
      </c>
      <c r="I2" s="81" t="s">
        <v>24</v>
      </c>
      <c r="J2" s="81" t="s">
        <v>24</v>
      </c>
      <c r="K2" s="81" t="s">
        <v>24</v>
      </c>
      <c r="L2" s="81" t="s">
        <v>24</v>
      </c>
    </row>
    <row r="3" spans="1:12" ht="26.1" customHeight="1">
      <c r="A3" s="82" t="s">
        <v>25</v>
      </c>
      <c r="B3" s="83" t="s">
        <v>25</v>
      </c>
      <c r="C3" s="83" t="s">
        <v>25</v>
      </c>
      <c r="D3" s="83" t="s">
        <v>25</v>
      </c>
      <c r="E3" s="83" t="s">
        <v>25</v>
      </c>
      <c r="F3" s="83" t="s">
        <v>25</v>
      </c>
      <c r="G3" s="83" t="s">
        <v>25</v>
      </c>
      <c r="H3" s="83" t="s">
        <v>25</v>
      </c>
      <c r="I3" s="83" t="s">
        <v>25</v>
      </c>
      <c r="J3" s="83" t="s">
        <v>25</v>
      </c>
      <c r="K3" s="83" t="s">
        <v>25</v>
      </c>
      <c r="L3" s="84" t="s">
        <v>25</v>
      </c>
    </row>
    <row r="4" spans="1:12" ht="27" customHeight="1">
      <c r="A4" s="85" t="s">
        <v>26</v>
      </c>
      <c r="B4" s="85" t="s">
        <v>26</v>
      </c>
      <c r="C4" s="85" t="s">
        <v>26</v>
      </c>
      <c r="D4" s="85" t="s">
        <v>26</v>
      </c>
      <c r="E4" s="85" t="s">
        <v>26</v>
      </c>
      <c r="F4" s="85" t="s">
        <v>26</v>
      </c>
      <c r="G4" s="85" t="s">
        <v>26</v>
      </c>
      <c r="H4" s="85" t="s">
        <v>26</v>
      </c>
      <c r="J4" s="159" t="s">
        <v>27</v>
      </c>
      <c r="K4" s="160" t="s">
        <v>4</v>
      </c>
      <c r="L4" s="161" t="s">
        <v>5</v>
      </c>
    </row>
    <row r="5" spans="1:12" ht="27" customHeight="1">
      <c r="A5" s="159" t="s">
        <v>28</v>
      </c>
      <c r="B5" s="160" t="s">
        <v>29</v>
      </c>
      <c r="C5" s="160" t="s">
        <v>30</v>
      </c>
      <c r="D5" s="160" t="s">
        <v>31</v>
      </c>
      <c r="E5" s="160" t="s">
        <v>32</v>
      </c>
      <c r="F5" s="160" t="s">
        <v>33</v>
      </c>
      <c r="G5" s="160" t="s">
        <v>34</v>
      </c>
      <c r="H5" s="161" t="s">
        <v>35</v>
      </c>
      <c r="J5" s="218" t="s">
        <v>36</v>
      </c>
      <c r="K5" s="220">
        <f>B8</f>
        <v>0.48586580638202498</v>
      </c>
      <c r="L5" s="220">
        <f>C8</f>
        <v>0.51413419361797508</v>
      </c>
    </row>
    <row r="6" spans="1:12" ht="60" customHeight="1">
      <c r="A6" s="163" t="s">
        <v>37</v>
      </c>
      <c r="B6" s="201">
        <f>AVERAGE('09_BASE_AUDITABLE'!$B$2:$B$3666)</f>
        <v>0.47339699863574353</v>
      </c>
      <c r="C6" s="201">
        <f>1-B6</f>
        <v>0.52660300136425642</v>
      </c>
      <c r="D6" s="203">
        <f>(B6-C6)*100</f>
        <v>-5.3206002728512889</v>
      </c>
      <c r="E6" s="201"/>
      <c r="F6" s="201"/>
      <c r="G6" s="189">
        <v>3665</v>
      </c>
      <c r="H6" s="213" t="s">
        <v>38</v>
      </c>
      <c r="J6" s="219" t="s">
        <v>39</v>
      </c>
      <c r="K6" s="221">
        <f>B9</f>
        <v>0.47895192081666954</v>
      </c>
      <c r="L6" s="221">
        <f>C9</f>
        <v>0.52104807918333051</v>
      </c>
    </row>
    <row r="7" spans="1:12">
      <c r="A7" s="168" t="s">
        <v>40</v>
      </c>
      <c r="B7" s="204">
        <f>SUMPRODUCT('09_BASE_AUDITABLE'!$B$2:$B$3666,'09_BASE_AUDITABLE'!$H$2:$H$3666)/SUM('09_BASE_AUDITABLE'!$H$2:$H$3666)</f>
        <v>0.48788910940512975</v>
      </c>
      <c r="C7" s="204">
        <f>1-B7</f>
        <v>0.51211089059487025</v>
      </c>
      <c r="D7" s="206">
        <f>(B7-C7)*100</f>
        <v>-2.4221781189740499</v>
      </c>
      <c r="E7" s="204"/>
      <c r="F7" s="204"/>
      <c r="G7" s="190">
        <v>3665</v>
      </c>
      <c r="H7" s="214" t="s">
        <v>41</v>
      </c>
    </row>
    <row r="8" spans="1:12">
      <c r="A8" s="169" t="s">
        <v>42</v>
      </c>
      <c r="B8" s="205">
        <f>AVERAGE('09_BASE_AUDITABLE'!$AA$2:$AA$4001)</f>
        <v>0.48586580638202498</v>
      </c>
      <c r="C8" s="205">
        <f>1-B8</f>
        <v>0.51413419361797508</v>
      </c>
      <c r="D8" s="207">
        <f>(B8-C8)*100</f>
        <v>-2.8268387235950101</v>
      </c>
      <c r="E8" s="205">
        <f>PERCENTILE('09_BASE_AUDITABLE'!$AA$2:$AA$4001,0.025)</f>
        <v>0.46890806833344228</v>
      </c>
      <c r="F8" s="205">
        <f>PERCENTILE('09_BASE_AUDITABLE'!$AA$2:$AA$4001,0.975)</f>
        <v>0.50249399280084284</v>
      </c>
      <c r="G8" s="191">
        <v>4000</v>
      </c>
      <c r="H8" s="215" t="s">
        <v>43</v>
      </c>
    </row>
    <row r="9" spans="1:12" ht="60" customHeight="1">
      <c r="A9" s="174" t="s">
        <v>44</v>
      </c>
      <c r="B9" s="208">
        <f>AVERAGE('09_BASE_AUDITABLE'!$AE$2:$AE$4001)</f>
        <v>0.47895192081666954</v>
      </c>
      <c r="C9" s="208">
        <f>1-B9</f>
        <v>0.52104807918333051</v>
      </c>
      <c r="D9" s="210">
        <f>(B9-C9)*100</f>
        <v>-4.2096158366660976</v>
      </c>
      <c r="E9" s="208">
        <f>PERCENTILE('09_BASE_AUDITABLE'!$AE$2:$AE$4001,0.025)</f>
        <v>0.4622229320297036</v>
      </c>
      <c r="F9" s="208">
        <f>PERCENTILE('09_BASE_AUDITABLE'!$AE$2:$AE$4001,0.975)</f>
        <v>0.49540912429646117</v>
      </c>
      <c r="G9" s="192">
        <v>4000</v>
      </c>
      <c r="H9" s="216" t="s">
        <v>45</v>
      </c>
    </row>
    <row r="23" spans="1:8" ht="23.1" customHeight="1">
      <c r="A23" s="85" t="s">
        <v>46</v>
      </c>
      <c r="B23" s="85" t="s">
        <v>46</v>
      </c>
      <c r="C23" s="85" t="s">
        <v>46</v>
      </c>
      <c r="D23" s="85" t="s">
        <v>46</v>
      </c>
      <c r="E23" s="85" t="s">
        <v>46</v>
      </c>
      <c r="F23" s="85" t="s">
        <v>46</v>
      </c>
      <c r="G23" s="85" t="s">
        <v>46</v>
      </c>
      <c r="H23" s="85" t="s">
        <v>46</v>
      </c>
    </row>
    <row r="24" spans="1:8" ht="27" customHeight="1">
      <c r="A24" s="159" t="s">
        <v>47</v>
      </c>
      <c r="B24" s="160" t="s">
        <v>48</v>
      </c>
      <c r="C24" s="160" t="s">
        <v>49</v>
      </c>
      <c r="D24" s="160" t="s">
        <v>50</v>
      </c>
      <c r="E24" s="160"/>
      <c r="F24" s="160"/>
      <c r="G24" s="160"/>
      <c r="H24" s="161"/>
    </row>
    <row r="25" spans="1:8" ht="45.95" customHeight="1">
      <c r="A25" s="218" t="s">
        <v>51</v>
      </c>
      <c r="B25" s="218" t="s">
        <v>52</v>
      </c>
      <c r="C25" s="218" t="s">
        <v>53</v>
      </c>
      <c r="D25" s="218" t="s">
        <v>54</v>
      </c>
      <c r="E25" s="218"/>
      <c r="F25" s="218"/>
      <c r="G25" s="218"/>
      <c r="H25" s="218"/>
    </row>
    <row r="26" spans="1:8" ht="45.95" customHeight="1">
      <c r="A26" s="219" t="s">
        <v>55</v>
      </c>
      <c r="B26" s="219" t="s">
        <v>56</v>
      </c>
      <c r="C26" s="219" t="s">
        <v>57</v>
      </c>
      <c r="D26" s="219" t="s">
        <v>58</v>
      </c>
      <c r="E26" s="219"/>
      <c r="F26" s="219"/>
      <c r="G26" s="219"/>
      <c r="H26" s="219"/>
    </row>
    <row r="27" spans="1:8" ht="51.95" customHeight="1">
      <c r="A27" s="218" t="s">
        <v>59</v>
      </c>
      <c r="B27" s="218" t="s">
        <v>60</v>
      </c>
      <c r="C27" s="218" t="s">
        <v>61</v>
      </c>
      <c r="D27" s="218" t="s">
        <v>62</v>
      </c>
      <c r="E27" s="218"/>
      <c r="F27" s="218"/>
      <c r="G27" s="218"/>
      <c r="H27" s="218"/>
    </row>
    <row r="28" spans="1:8" ht="68.099999999999994" customHeight="1">
      <c r="A28" s="219" t="s">
        <v>63</v>
      </c>
      <c r="B28" s="219" t="str">
        <f>IF(E8&gt;0.5,"Ventaja condicional de Pereira entre registrados",IF(F8&lt;0.5,"Ventaja condicional de Cheba entre registrados","Paridad condicional entre registrados"))</f>
        <v>Paridad condicional entre registrados</v>
      </c>
      <c r="C28" s="219" t="s">
        <v>64</v>
      </c>
      <c r="D28" s="219" t="s">
        <v>65</v>
      </c>
      <c r="E28" s="219"/>
      <c r="F28" s="219"/>
      <c r="G28" s="219"/>
      <c r="H28" s="219"/>
    </row>
    <row r="29" spans="1:8" ht="62.1" customHeight="1">
      <c r="A29" s="218" t="s">
        <v>66</v>
      </c>
      <c r="B29" s="218" t="str">
        <f>IF(MIN('07_SENSIBILIDAD'!D6:D12)&gt;0.5,"Ventaja robusta de Pereira",IF(MAX('07_SENSIBILIDAD'!E6:E12)&lt;0.5,"Ventaja robusta de Cheba","Sin liderazgo robustamente identificable bajo autoselección no observada"))</f>
        <v>Sin liderazgo robustamente identificable bajo autoselección no observada</v>
      </c>
      <c r="C29" s="218" t="s">
        <v>67</v>
      </c>
      <c r="D29" s="218" t="s">
        <v>68</v>
      </c>
      <c r="E29" s="218"/>
      <c r="F29" s="218"/>
      <c r="G29" s="218"/>
      <c r="H29" s="218"/>
    </row>
    <row r="32" spans="1:8">
      <c r="A32" s="122" t="s">
        <v>69</v>
      </c>
      <c r="B32" s="123" t="s">
        <v>69</v>
      </c>
      <c r="C32" s="123" t="s">
        <v>69</v>
      </c>
      <c r="D32" s="123" t="s">
        <v>69</v>
      </c>
      <c r="E32" s="123" t="s">
        <v>69</v>
      </c>
      <c r="F32" s="123" t="s">
        <v>69</v>
      </c>
      <c r="G32" s="123" t="s">
        <v>69</v>
      </c>
      <c r="H32" s="124" t="s">
        <v>69</v>
      </c>
    </row>
    <row r="33" spans="1:8">
      <c r="A33" s="125" t="s">
        <v>69</v>
      </c>
      <c r="B33" s="126" t="s">
        <v>69</v>
      </c>
      <c r="C33" s="126" t="s">
        <v>69</v>
      </c>
      <c r="D33" s="126" t="s">
        <v>69</v>
      </c>
      <c r="E33" s="126" t="s">
        <v>69</v>
      </c>
      <c r="F33" s="126" t="s">
        <v>69</v>
      </c>
      <c r="G33" s="126" t="s">
        <v>69</v>
      </c>
      <c r="H33" s="127" t="s">
        <v>69</v>
      </c>
    </row>
    <row r="34" spans="1:8">
      <c r="A34" s="125" t="s">
        <v>69</v>
      </c>
      <c r="B34" s="126" t="s">
        <v>69</v>
      </c>
      <c r="C34" s="126" t="s">
        <v>69</v>
      </c>
      <c r="D34" s="126" t="s">
        <v>69</v>
      </c>
      <c r="E34" s="126" t="s">
        <v>69</v>
      </c>
      <c r="F34" s="126" t="s">
        <v>69</v>
      </c>
      <c r="G34" s="126" t="s">
        <v>69</v>
      </c>
      <c r="H34" s="127" t="s">
        <v>69</v>
      </c>
    </row>
    <row r="35" spans="1:8">
      <c r="A35" s="128" t="s">
        <v>69</v>
      </c>
      <c r="B35" s="129" t="s">
        <v>69</v>
      </c>
      <c r="C35" s="129" t="s">
        <v>69</v>
      </c>
      <c r="D35" s="129" t="s">
        <v>69</v>
      </c>
      <c r="E35" s="129" t="s">
        <v>69</v>
      </c>
      <c r="F35" s="129" t="s">
        <v>69</v>
      </c>
      <c r="G35" s="129" t="s">
        <v>69</v>
      </c>
      <c r="H35" s="130" t="s">
        <v>69</v>
      </c>
    </row>
  </sheetData>
  <mergeCells count="6">
    <mergeCell ref="A32:H35"/>
    <mergeCell ref="A1:L1"/>
    <mergeCell ref="A2:L2"/>
    <mergeCell ref="A3:L3"/>
    <mergeCell ref="A4:H4"/>
    <mergeCell ref="A23:H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A6B78"/>
  </sheetPr>
  <dimension ref="A1:K26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10" defaultColWidth="9" defaultRowHeight="14.25"/>
  <cols>
    <col min="1" max="1" width="22" customWidth="1"/>
    <col min="2" max="2" width="18" customWidth="1"/>
    <col min="3" max="3" width="20" customWidth="1"/>
    <col min="4" max="4" width="18" customWidth="1"/>
    <col min="5" max="5" width="40" customWidth="1"/>
    <col min="6" max="6" width="18" customWidth="1"/>
    <col min="7" max="11" width="4" customWidth="1"/>
  </cols>
  <sheetData>
    <row r="1" spans="1:11" ht="30" customHeight="1">
      <c r="A1" s="80" t="s">
        <v>70</v>
      </c>
      <c r="B1" s="80" t="s">
        <v>70</v>
      </c>
      <c r="C1" s="80" t="s">
        <v>70</v>
      </c>
      <c r="D1" s="80" t="s">
        <v>70</v>
      </c>
      <c r="E1" s="80" t="s">
        <v>70</v>
      </c>
      <c r="F1" s="80" t="s">
        <v>70</v>
      </c>
      <c r="G1" s="80" t="s">
        <v>70</v>
      </c>
      <c r="H1" s="80" t="s">
        <v>70</v>
      </c>
      <c r="I1" s="80" t="s">
        <v>70</v>
      </c>
      <c r="J1" s="80" t="s">
        <v>70</v>
      </c>
      <c r="K1" s="80" t="s">
        <v>70</v>
      </c>
    </row>
    <row r="2" spans="1:11" ht="32.1" customHeight="1">
      <c r="A2" s="81" t="s">
        <v>71</v>
      </c>
      <c r="B2" s="81" t="s">
        <v>71</v>
      </c>
      <c r="C2" s="81" t="s">
        <v>71</v>
      </c>
      <c r="D2" s="81" t="s">
        <v>71</v>
      </c>
      <c r="E2" s="81" t="s">
        <v>71</v>
      </c>
      <c r="F2" s="81" t="s">
        <v>71</v>
      </c>
      <c r="G2" s="81" t="s">
        <v>71</v>
      </c>
      <c r="H2" s="81" t="s">
        <v>71</v>
      </c>
      <c r="I2" s="81" t="s">
        <v>71</v>
      </c>
      <c r="J2" s="81" t="s">
        <v>71</v>
      </c>
      <c r="K2" s="81" t="s">
        <v>71</v>
      </c>
    </row>
    <row r="5" spans="1:11" ht="27" customHeight="1">
      <c r="A5" s="159" t="s">
        <v>28</v>
      </c>
      <c r="B5" s="160" t="s">
        <v>72</v>
      </c>
      <c r="C5" s="160" t="s">
        <v>73</v>
      </c>
      <c r="D5" s="160" t="s">
        <v>74</v>
      </c>
      <c r="E5" s="160" t="s">
        <v>75</v>
      </c>
      <c r="F5" s="161" t="s">
        <v>76</v>
      </c>
    </row>
    <row r="6" spans="1:11" ht="19" customHeight="1">
      <c r="A6" s="163" t="s">
        <v>37</v>
      </c>
      <c r="B6" s="201">
        <f>AVERAGE('09_BASE_AUDITABLE'!$B$2:$B$3666)</f>
        <v>0.47339699863574353</v>
      </c>
      <c r="C6" s="165" t="s">
        <v>77</v>
      </c>
      <c r="D6" s="203">
        <f t="shared" ref="D6:D13" si="0">(B6-$B$6)*100</f>
        <v>0</v>
      </c>
      <c r="E6" s="165" t="s">
        <v>78</v>
      </c>
      <c r="F6" s="167" t="s">
        <v>79</v>
      </c>
    </row>
    <row r="7" spans="1:11" ht="19" customHeight="1">
      <c r="A7" s="168" t="s">
        <v>80</v>
      </c>
      <c r="B7" s="204">
        <f>SUMPRODUCT('09_BASE_AUDITABLE'!$B$2:$B$3666,'09_BASE_AUDITABLE'!$G$2:$G$3666)/SUM('09_BASE_AUDITABLE'!$G$2:$G$3666)</f>
        <v>0.48881864594740032</v>
      </c>
      <c r="C7" s="170" t="s">
        <v>77</v>
      </c>
      <c r="D7" s="206">
        <f t="shared" si="0"/>
        <v>1.5421647311656794</v>
      </c>
      <c r="E7" s="170" t="s">
        <v>81</v>
      </c>
      <c r="F7" s="172" t="s">
        <v>82</v>
      </c>
    </row>
    <row r="8" spans="1:11" ht="19" customHeight="1">
      <c r="A8" s="169" t="s">
        <v>83</v>
      </c>
      <c r="B8" s="205">
        <f>SUMPRODUCT('09_BASE_AUDITABLE'!$B$2:$B$3666,'09_BASE_AUDITABLE'!$H$2:$H$3666)/SUM('09_BASE_AUDITABLE'!$H$2:$H$3666)</f>
        <v>0.48788910940512975</v>
      </c>
      <c r="C8" s="171" t="s">
        <v>77</v>
      </c>
      <c r="D8" s="207">
        <f t="shared" si="0"/>
        <v>1.4492110769386224</v>
      </c>
      <c r="E8" s="171" t="s">
        <v>84</v>
      </c>
      <c r="F8" s="173" t="s">
        <v>82</v>
      </c>
    </row>
    <row r="9" spans="1:11" ht="19" customHeight="1">
      <c r="A9" s="168" t="s">
        <v>85</v>
      </c>
      <c r="B9" s="204">
        <f>SUMPRODUCT('09_BASE_AUDITABLE'!$B$2:$B$3666,'09_BASE_AUDITABLE'!$I$2:$I$3666)/SUM('09_BASE_AUDITABLE'!$I$2:$I$3666)</f>
        <v>0.4883636050102812</v>
      </c>
      <c r="C9" s="170" t="s">
        <v>77</v>
      </c>
      <c r="D9" s="206">
        <f t="shared" si="0"/>
        <v>1.4966606374537672</v>
      </c>
      <c r="E9" s="170" t="s">
        <v>86</v>
      </c>
      <c r="F9" s="172" t="s">
        <v>82</v>
      </c>
    </row>
    <row r="10" spans="1:11" ht="19" customHeight="1">
      <c r="A10" s="169" t="s">
        <v>87</v>
      </c>
      <c r="B10" s="205">
        <f>AVERAGE('09_BASE_AUDITABLE'!$Y$2:$Y$4001)</f>
        <v>0.4860253294737113</v>
      </c>
      <c r="C10" s="205">
        <f>AVERAGE('09_BASE_AUDITABLE'!$AC$2:$AC$4001)</f>
        <v>0.47916707311621837</v>
      </c>
      <c r="D10" s="207">
        <f t="shared" si="0"/>
        <v>1.2628330837967772</v>
      </c>
      <c r="E10" s="171" t="s">
        <v>88</v>
      </c>
      <c r="F10" s="173" t="s">
        <v>89</v>
      </c>
    </row>
    <row r="11" spans="1:11" ht="19" customHeight="1">
      <c r="A11" s="168" t="s">
        <v>90</v>
      </c>
      <c r="B11" s="204">
        <f>AVERAGE('09_BASE_AUDITABLE'!$Z$2:$Z$4001)</f>
        <v>0.48606361643595902</v>
      </c>
      <c r="C11" s="204">
        <f>AVERAGE('09_BASE_AUDITABLE'!$AD$2:$AD$4001)</f>
        <v>0.47912557749669843</v>
      </c>
      <c r="D11" s="206">
        <f t="shared" si="0"/>
        <v>1.2666617800215496</v>
      </c>
      <c r="E11" s="170" t="s">
        <v>91</v>
      </c>
      <c r="F11" s="172" t="s">
        <v>89</v>
      </c>
    </row>
    <row r="12" spans="1:11" ht="19" customHeight="1">
      <c r="A12" s="169" t="s">
        <v>92</v>
      </c>
      <c r="B12" s="205">
        <f>AVERAGE('09_BASE_AUDITABLE'!$AA$2:$AA$4001)</f>
        <v>0.48586580638202498</v>
      </c>
      <c r="C12" s="205">
        <f>AVERAGE('09_BASE_AUDITABLE'!$AE$2:$AE$4001)</f>
        <v>0.47895192081666954</v>
      </c>
      <c r="D12" s="207">
        <f t="shared" si="0"/>
        <v>1.2468807746281452</v>
      </c>
      <c r="E12" s="171" t="s">
        <v>93</v>
      </c>
      <c r="F12" s="173" t="s">
        <v>89</v>
      </c>
    </row>
    <row r="13" spans="1:11" ht="19" customHeight="1">
      <c r="A13" s="174" t="s">
        <v>94</v>
      </c>
      <c r="B13" s="208">
        <f>AVERAGE('09_BASE_AUDITABLE'!$AB$2:$AB$4001)</f>
        <v>0.48852354938992959</v>
      </c>
      <c r="C13" s="208">
        <f>AVERAGE('09_BASE_AUDITABLE'!$AF$2:$AF$4001)</f>
        <v>0.48423937495057906</v>
      </c>
      <c r="D13" s="210">
        <f t="shared" si="0"/>
        <v>1.5126550754186063</v>
      </c>
      <c r="E13" s="176" t="s">
        <v>95</v>
      </c>
      <c r="F13" s="178" t="s">
        <v>89</v>
      </c>
    </row>
    <row r="16" spans="1:11" ht="23.1" customHeight="1">
      <c r="A16" s="85" t="s">
        <v>96</v>
      </c>
      <c r="B16" s="85" t="s">
        <v>96</v>
      </c>
      <c r="C16" s="85" t="s">
        <v>96</v>
      </c>
      <c r="D16" s="85" t="s">
        <v>96</v>
      </c>
      <c r="E16" s="85" t="s">
        <v>96</v>
      </c>
      <c r="F16" s="85" t="s">
        <v>96</v>
      </c>
    </row>
    <row r="17" spans="1:6">
      <c r="A17" s="140" t="s">
        <v>97</v>
      </c>
      <c r="B17" s="141" t="s">
        <v>97</v>
      </c>
      <c r="C17" s="141" t="s">
        <v>97</v>
      </c>
      <c r="D17" s="141" t="s">
        <v>97</v>
      </c>
      <c r="E17" s="141" t="s">
        <v>97</v>
      </c>
      <c r="F17" s="142" t="s">
        <v>97</v>
      </c>
    </row>
    <row r="18" spans="1:6">
      <c r="A18" s="146" t="s">
        <v>97</v>
      </c>
      <c r="B18" s="147" t="s">
        <v>97</v>
      </c>
      <c r="C18" s="147" t="s">
        <v>97</v>
      </c>
      <c r="D18" s="147" t="s">
        <v>97</v>
      </c>
      <c r="E18" s="147" t="s">
        <v>97</v>
      </c>
      <c r="F18" s="148" t="s">
        <v>97</v>
      </c>
    </row>
    <row r="19" spans="1:6">
      <c r="A19" s="146" t="s">
        <v>97</v>
      </c>
      <c r="B19" s="147" t="s">
        <v>97</v>
      </c>
      <c r="C19" s="147" t="s">
        <v>97</v>
      </c>
      <c r="D19" s="147" t="s">
        <v>97</v>
      </c>
      <c r="E19" s="147" t="s">
        <v>97</v>
      </c>
      <c r="F19" s="148" t="s">
        <v>97</v>
      </c>
    </row>
    <row r="20" spans="1:6">
      <c r="A20" s="146" t="s">
        <v>97</v>
      </c>
      <c r="B20" s="147" t="s">
        <v>97</v>
      </c>
      <c r="C20" s="147" t="s">
        <v>97</v>
      </c>
      <c r="D20" s="147" t="s">
        <v>97</v>
      </c>
      <c r="E20" s="147" t="s">
        <v>97</v>
      </c>
      <c r="F20" s="148" t="s">
        <v>97</v>
      </c>
    </row>
    <row r="21" spans="1:6">
      <c r="A21" s="143" t="s">
        <v>97</v>
      </c>
      <c r="B21" s="144" t="s">
        <v>97</v>
      </c>
      <c r="C21" s="144" t="s">
        <v>97</v>
      </c>
      <c r="D21" s="144" t="s">
        <v>97</v>
      </c>
      <c r="E21" s="144" t="s">
        <v>97</v>
      </c>
      <c r="F21" s="145" t="s">
        <v>97</v>
      </c>
    </row>
    <row r="23" spans="1:6">
      <c r="A23" s="122" t="s">
        <v>98</v>
      </c>
      <c r="B23" s="123" t="s">
        <v>98</v>
      </c>
      <c r="C23" s="123" t="s">
        <v>98</v>
      </c>
      <c r="D23" s="123" t="s">
        <v>98</v>
      </c>
      <c r="E23" s="123" t="s">
        <v>98</v>
      </c>
      <c r="F23" s="124" t="s">
        <v>98</v>
      </c>
    </row>
    <row r="24" spans="1:6">
      <c r="A24" s="125" t="s">
        <v>98</v>
      </c>
      <c r="B24" s="126" t="s">
        <v>98</v>
      </c>
      <c r="C24" s="126" t="s">
        <v>98</v>
      </c>
      <c r="D24" s="126" t="s">
        <v>98</v>
      </c>
      <c r="E24" s="126" t="s">
        <v>98</v>
      </c>
      <c r="F24" s="127" t="s">
        <v>98</v>
      </c>
    </row>
    <row r="25" spans="1:6">
      <c r="A25" s="125" t="s">
        <v>98</v>
      </c>
      <c r="B25" s="126" t="s">
        <v>98</v>
      </c>
      <c r="C25" s="126" t="s">
        <v>98</v>
      </c>
      <c r="D25" s="126" t="s">
        <v>98</v>
      </c>
      <c r="E25" s="126" t="s">
        <v>98</v>
      </c>
      <c r="F25" s="127" t="s">
        <v>98</v>
      </c>
    </row>
    <row r="26" spans="1:6">
      <c r="A26" s="128" t="s">
        <v>98</v>
      </c>
      <c r="B26" s="129" t="s">
        <v>98</v>
      </c>
      <c r="C26" s="129" t="s">
        <v>98</v>
      </c>
      <c r="D26" s="129" t="s">
        <v>98</v>
      </c>
      <c r="E26" s="129" t="s">
        <v>98</v>
      </c>
      <c r="F26" s="130" t="s">
        <v>98</v>
      </c>
    </row>
  </sheetData>
  <mergeCells count="5">
    <mergeCell ref="A1:K1"/>
    <mergeCell ref="A2:K2"/>
    <mergeCell ref="A16:F16"/>
    <mergeCell ref="A17:F21"/>
    <mergeCell ref="A23:F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A6B78"/>
  </sheetPr>
  <dimension ref="A1:M24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10" defaultColWidth="9" defaultRowHeight="14.25"/>
  <cols>
    <col min="1" max="1" width="24" customWidth="1"/>
    <col min="2" max="2" width="17" customWidth="1"/>
    <col min="3" max="3" width="18" customWidth="1"/>
    <col min="4" max="5" width="14" customWidth="1"/>
    <col min="6" max="6" width="17" customWidth="1"/>
    <col min="7" max="7" width="18" customWidth="1"/>
    <col min="8" max="9" width="14" customWidth="1"/>
    <col min="10" max="10" width="16" customWidth="1"/>
    <col min="11" max="11" width="13" customWidth="1"/>
    <col min="12" max="12" width="46" customWidth="1"/>
    <col min="13" max="13" width="14" customWidth="1"/>
  </cols>
  <sheetData>
    <row r="1" spans="1:13" ht="30" customHeight="1">
      <c r="A1" s="80" t="s">
        <v>99</v>
      </c>
      <c r="B1" s="80" t="s">
        <v>99</v>
      </c>
      <c r="C1" s="80" t="s">
        <v>99</v>
      </c>
      <c r="D1" s="80" t="s">
        <v>99</v>
      </c>
      <c r="E1" s="80" t="s">
        <v>99</v>
      </c>
      <c r="F1" s="80" t="s">
        <v>99</v>
      </c>
      <c r="G1" s="80" t="s">
        <v>99</v>
      </c>
      <c r="H1" s="80" t="s">
        <v>99</v>
      </c>
      <c r="I1" s="80" t="s">
        <v>99</v>
      </c>
      <c r="J1" s="80" t="s">
        <v>99</v>
      </c>
      <c r="K1" s="80" t="s">
        <v>99</v>
      </c>
      <c r="L1" s="80" t="s">
        <v>99</v>
      </c>
      <c r="M1" s="80" t="s">
        <v>99</v>
      </c>
    </row>
    <row r="2" spans="1:13" ht="32.1" customHeight="1">
      <c r="A2" s="81" t="s">
        <v>100</v>
      </c>
      <c r="B2" s="81" t="s">
        <v>100</v>
      </c>
      <c r="C2" s="81" t="s">
        <v>100</v>
      </c>
      <c r="D2" s="81" t="s">
        <v>100</v>
      </c>
      <c r="E2" s="81" t="s">
        <v>100</v>
      </c>
      <c r="F2" s="81" t="s">
        <v>100</v>
      </c>
      <c r="G2" s="81" t="s">
        <v>100</v>
      </c>
      <c r="H2" s="81" t="s">
        <v>100</v>
      </c>
      <c r="I2" s="81" t="s">
        <v>100</v>
      </c>
      <c r="J2" s="81" t="s">
        <v>100</v>
      </c>
      <c r="K2" s="81" t="s">
        <v>100</v>
      </c>
      <c r="L2" s="81" t="s">
        <v>100</v>
      </c>
      <c r="M2" s="81" t="s">
        <v>100</v>
      </c>
    </row>
    <row r="5" spans="1:13" ht="27" customHeight="1">
      <c r="A5" s="159" t="s">
        <v>101</v>
      </c>
      <c r="B5" s="160" t="s">
        <v>102</v>
      </c>
      <c r="C5" s="160" t="s">
        <v>103</v>
      </c>
      <c r="D5" s="160" t="s">
        <v>104</v>
      </c>
      <c r="E5" s="160" t="s">
        <v>105</v>
      </c>
      <c r="F5" s="160" t="s">
        <v>106</v>
      </c>
      <c r="G5" s="160" t="s">
        <v>107</v>
      </c>
      <c r="H5" s="160" t="s">
        <v>108</v>
      </c>
      <c r="I5" s="160" t="s">
        <v>109</v>
      </c>
      <c r="J5" s="160" t="s">
        <v>110</v>
      </c>
      <c r="K5" s="160" t="s">
        <v>111</v>
      </c>
      <c r="L5" s="160" t="s">
        <v>112</v>
      </c>
      <c r="M5" s="161" t="s">
        <v>113</v>
      </c>
    </row>
    <row r="6" spans="1:13" ht="33.950000000000003" customHeight="1">
      <c r="A6" s="158" t="s">
        <v>87</v>
      </c>
      <c r="B6" s="195">
        <f>AVERAGE('09_BASE_AUDITABLE'!$Y$2:$Y$4001)</f>
        <v>0.4860253294737113</v>
      </c>
      <c r="C6" s="195">
        <f>MEDIAN('09_BASE_AUDITABLE'!$Y$2:$Y$4001)</f>
        <v>0.48608094573571192</v>
      </c>
      <c r="D6" s="195">
        <f>PERCENTILE('09_BASE_AUDITABLE'!$Y$2:$Y$4001,0.025)</f>
        <v>0.4700126666378871</v>
      </c>
      <c r="E6" s="195">
        <f>PERCENTILE('09_BASE_AUDITABLE'!$Y$2:$Y$4001,0.975)</f>
        <v>0.50274571510399346</v>
      </c>
      <c r="F6" s="195">
        <f>AVERAGE('09_BASE_AUDITABLE'!$AC$2:$AC$4001)</f>
        <v>0.47916707311621837</v>
      </c>
      <c r="G6" s="195">
        <f>MEDIAN('09_BASE_AUDITABLE'!$AC$2:$AC$4001)</f>
        <v>0.47915794087629343</v>
      </c>
      <c r="H6" s="195">
        <f>PERCENTILE('09_BASE_AUDITABLE'!$AC$2:$AC$4001,0.025)</f>
        <v>0.46381858451257096</v>
      </c>
      <c r="I6" s="195">
        <f>PERCENTILE('09_BASE_AUDITABLE'!$AC$2:$AC$4001,0.975)</f>
        <v>0.4949681937540143</v>
      </c>
      <c r="J6" s="197">
        <f>(C6-$C$8)*100</f>
        <v>1.9240894416183707E-3</v>
      </c>
      <c r="K6" s="199">
        <v>21</v>
      </c>
      <c r="L6" s="219" t="s">
        <v>114</v>
      </c>
      <c r="M6" s="158" t="s">
        <v>115</v>
      </c>
    </row>
    <row r="7" spans="1:13" ht="33.950000000000003" customHeight="1">
      <c r="A7" s="157" t="s">
        <v>90</v>
      </c>
      <c r="B7" s="194">
        <f>AVERAGE('09_BASE_AUDITABLE'!$Z$2:$Z$4001)</f>
        <v>0.48606361643595902</v>
      </c>
      <c r="C7" s="194">
        <f>MEDIAN('09_BASE_AUDITABLE'!$Z$2:$Z$4001)</f>
        <v>0.48597167920782841</v>
      </c>
      <c r="D7" s="194">
        <f>PERCENTILE('09_BASE_AUDITABLE'!$Z$2:$Z$4001,0.025)</f>
        <v>0.46966586911275843</v>
      </c>
      <c r="E7" s="194">
        <f>PERCENTILE('09_BASE_AUDITABLE'!$Z$2:$Z$4001,0.975)</f>
        <v>0.50289280196089692</v>
      </c>
      <c r="F7" s="194">
        <f>AVERAGE('09_BASE_AUDITABLE'!$AD$2:$AD$4001)</f>
        <v>0.47912557749669843</v>
      </c>
      <c r="G7" s="194">
        <f>MEDIAN('09_BASE_AUDITABLE'!$AD$2:$AD$4001)</f>
        <v>0.47893048644345826</v>
      </c>
      <c r="H7" s="194">
        <f>PERCENTILE('09_BASE_AUDITABLE'!$AD$2:$AD$4001,0.025)</f>
        <v>0.46325237731017221</v>
      </c>
      <c r="I7" s="194">
        <f>PERCENTILE('09_BASE_AUDITABLE'!$AD$2:$AD$4001,0.975)</f>
        <v>0.49525173501723108</v>
      </c>
      <c r="J7" s="196">
        <f>(C7-$C$8)*100</f>
        <v>-9.0025633467327726E-3</v>
      </c>
      <c r="K7" s="198">
        <v>24</v>
      </c>
      <c r="L7" s="218" t="s">
        <v>114</v>
      </c>
      <c r="M7" s="157" t="s">
        <v>115</v>
      </c>
    </row>
    <row r="8" spans="1:13" ht="33.950000000000003" customHeight="1">
      <c r="A8" s="158" t="s">
        <v>116</v>
      </c>
      <c r="B8" s="195">
        <f>AVERAGE('09_BASE_AUDITABLE'!$AA$2:$AA$4001)</f>
        <v>0.48586580638202498</v>
      </c>
      <c r="C8" s="195">
        <f>MEDIAN('09_BASE_AUDITABLE'!$AA$2:$AA$4001)</f>
        <v>0.48606170484129574</v>
      </c>
      <c r="D8" s="195">
        <f>PERCENTILE('09_BASE_AUDITABLE'!$AA$2:$AA$4001,0.025)</f>
        <v>0.46890806833344228</v>
      </c>
      <c r="E8" s="195">
        <f>PERCENTILE('09_BASE_AUDITABLE'!$AA$2:$AA$4001,0.975)</f>
        <v>0.50249399280084284</v>
      </c>
      <c r="F8" s="195">
        <f>AVERAGE('09_BASE_AUDITABLE'!$AE$2:$AE$4001)</f>
        <v>0.47895192081666954</v>
      </c>
      <c r="G8" s="195">
        <f>MEDIAN('09_BASE_AUDITABLE'!$AE$2:$AE$4001)</f>
        <v>0.47889685835967316</v>
      </c>
      <c r="H8" s="195">
        <f>PERCENTILE('09_BASE_AUDITABLE'!$AE$2:$AE$4001,0.025)</f>
        <v>0.4622229320297036</v>
      </c>
      <c r="I8" s="195">
        <f>PERCENTILE('09_BASE_AUDITABLE'!$AE$2:$AE$4001,0.975)</f>
        <v>0.49540912429646117</v>
      </c>
      <c r="J8" s="197">
        <f>(C8-$C$8)*100</f>
        <v>0</v>
      </c>
      <c r="K8" s="199">
        <v>267</v>
      </c>
      <c r="L8" s="219" t="s">
        <v>117</v>
      </c>
      <c r="M8" s="158" t="s">
        <v>115</v>
      </c>
    </row>
    <row r="9" spans="1:13" ht="33.950000000000003" customHeight="1">
      <c r="A9" s="157" t="s">
        <v>118</v>
      </c>
      <c r="B9" s="194">
        <f>AVERAGE('09_BASE_AUDITABLE'!$AB$2:$AB$4001)</f>
        <v>0.48852354938992959</v>
      </c>
      <c r="C9" s="194">
        <f>MEDIAN('09_BASE_AUDITABLE'!$AB$2:$AB$4001)</f>
        <v>0.48859345375631769</v>
      </c>
      <c r="D9" s="194">
        <f>PERCENTILE('09_BASE_AUDITABLE'!$AB$2:$AB$4001,0.025)</f>
        <v>0.47307451520173532</v>
      </c>
      <c r="E9" s="194">
        <f>PERCENTILE('09_BASE_AUDITABLE'!$AB$2:$AB$4001,0.975)</f>
        <v>0.50350620514887567</v>
      </c>
      <c r="F9" s="194">
        <f>AVERAGE('09_BASE_AUDITABLE'!$AF$2:$AF$4001)</f>
        <v>0.48423937495057906</v>
      </c>
      <c r="G9" s="194">
        <f>MEDIAN('09_BASE_AUDITABLE'!$AF$2:$AF$4001)</f>
        <v>0.48437412630190696</v>
      </c>
      <c r="H9" s="194">
        <f>PERCENTILE('09_BASE_AUDITABLE'!$AF$2:$AF$4001,0.025)</f>
        <v>0.46823829999243988</v>
      </c>
      <c r="I9" s="194">
        <f>PERCENTILE('09_BASE_AUDITABLE'!$AF$2:$AF$4001,0.975)</f>
        <v>0.49983826566480882</v>
      </c>
      <c r="J9" s="196">
        <f>(C9-$C$8)*100</f>
        <v>0.25317489150219474</v>
      </c>
      <c r="K9" s="198">
        <v>267</v>
      </c>
      <c r="L9" s="218" t="s">
        <v>119</v>
      </c>
      <c r="M9" s="157" t="s">
        <v>115</v>
      </c>
    </row>
    <row r="12" spans="1:13" ht="23.1" customHeight="1">
      <c r="A12" s="85" t="s">
        <v>120</v>
      </c>
      <c r="B12" s="85" t="s">
        <v>120</v>
      </c>
      <c r="C12" s="85" t="s">
        <v>120</v>
      </c>
      <c r="D12" s="85" t="s">
        <v>120</v>
      </c>
      <c r="E12" s="85" t="s">
        <v>120</v>
      </c>
      <c r="F12" s="85" t="s">
        <v>120</v>
      </c>
    </row>
    <row r="13" spans="1:13" ht="27" customHeight="1">
      <c r="A13" s="159" t="s">
        <v>121</v>
      </c>
      <c r="B13" s="160" t="s">
        <v>122</v>
      </c>
      <c r="C13" s="160" t="s">
        <v>123</v>
      </c>
      <c r="D13" s="161" t="s">
        <v>113</v>
      </c>
    </row>
    <row r="14" spans="1:13" ht="19" customHeight="1">
      <c r="A14" s="158" t="s">
        <v>124</v>
      </c>
      <c r="B14" s="195">
        <f>MIN(C6:C9)</f>
        <v>0.48597167920782841</v>
      </c>
    </row>
    <row r="15" spans="1:13" ht="19" customHeight="1">
      <c r="A15" s="157" t="s">
        <v>125</v>
      </c>
      <c r="B15" s="194">
        <f>MAX(C6:C9)</f>
        <v>0.48859345375631769</v>
      </c>
    </row>
    <row r="16" spans="1:13" ht="19" customHeight="1">
      <c r="A16" s="158" t="s">
        <v>126</v>
      </c>
      <c r="B16" s="197">
        <f>(B15-B14)*100</f>
        <v>0.26217745484892752</v>
      </c>
      <c r="C16" s="158" t="s">
        <v>127</v>
      </c>
      <c r="D16" s="158" t="str">
        <f>IF(B16&lt;=1,"CUMPLE","REVISAR")</f>
        <v>CUMPLE</v>
      </c>
    </row>
    <row r="17" spans="1:13" ht="19" customHeight="1">
      <c r="A17" s="157" t="s">
        <v>128</v>
      </c>
      <c r="B17" s="196">
        <f>(C9-C8)*100</f>
        <v>0.25317489150219474</v>
      </c>
      <c r="C17" s="157" t="s">
        <v>129</v>
      </c>
      <c r="D17" s="157" t="s">
        <v>130</v>
      </c>
    </row>
    <row r="20" spans="1:13">
      <c r="A20" s="122" t="s">
        <v>131</v>
      </c>
      <c r="B20" s="123" t="s">
        <v>131</v>
      </c>
      <c r="C20" s="123" t="s">
        <v>131</v>
      </c>
      <c r="D20" s="123" t="s">
        <v>131</v>
      </c>
      <c r="E20" s="123" t="s">
        <v>131</v>
      </c>
      <c r="F20" s="123" t="s">
        <v>131</v>
      </c>
      <c r="G20" s="123" t="s">
        <v>131</v>
      </c>
      <c r="H20" s="123" t="s">
        <v>131</v>
      </c>
      <c r="I20" s="123" t="s">
        <v>131</v>
      </c>
      <c r="J20" s="123" t="s">
        <v>131</v>
      </c>
      <c r="K20" s="123" t="s">
        <v>131</v>
      </c>
      <c r="L20" s="123" t="s">
        <v>131</v>
      </c>
      <c r="M20" s="124" t="s">
        <v>131</v>
      </c>
    </row>
    <row r="21" spans="1:13">
      <c r="A21" s="125" t="s">
        <v>131</v>
      </c>
      <c r="B21" s="126" t="s">
        <v>131</v>
      </c>
      <c r="C21" s="126" t="s">
        <v>131</v>
      </c>
      <c r="D21" s="126" t="s">
        <v>131</v>
      </c>
      <c r="E21" s="126" t="s">
        <v>131</v>
      </c>
      <c r="F21" s="126" t="s">
        <v>131</v>
      </c>
      <c r="G21" s="126" t="s">
        <v>131</v>
      </c>
      <c r="H21" s="126" t="s">
        <v>131</v>
      </c>
      <c r="I21" s="126" t="s">
        <v>131</v>
      </c>
      <c r="J21" s="126" t="s">
        <v>131</v>
      </c>
      <c r="K21" s="126" t="s">
        <v>131</v>
      </c>
      <c r="L21" s="126" t="s">
        <v>131</v>
      </c>
      <c r="M21" s="127" t="s">
        <v>131</v>
      </c>
    </row>
    <row r="22" spans="1:13">
      <c r="A22" s="125" t="s">
        <v>131</v>
      </c>
      <c r="B22" s="126" t="s">
        <v>131</v>
      </c>
      <c r="C22" s="126" t="s">
        <v>131</v>
      </c>
      <c r="D22" s="126" t="s">
        <v>131</v>
      </c>
      <c r="E22" s="126" t="s">
        <v>131</v>
      </c>
      <c r="F22" s="126" t="s">
        <v>131</v>
      </c>
      <c r="G22" s="126" t="s">
        <v>131</v>
      </c>
      <c r="H22" s="126" t="s">
        <v>131</v>
      </c>
      <c r="I22" s="126" t="s">
        <v>131</v>
      </c>
      <c r="J22" s="126" t="s">
        <v>131</v>
      </c>
      <c r="K22" s="126" t="s">
        <v>131</v>
      </c>
      <c r="L22" s="126" t="s">
        <v>131</v>
      </c>
      <c r="M22" s="127" t="s">
        <v>131</v>
      </c>
    </row>
    <row r="23" spans="1:13">
      <c r="A23" s="125" t="s">
        <v>131</v>
      </c>
      <c r="B23" s="126" t="s">
        <v>131</v>
      </c>
      <c r="C23" s="126" t="s">
        <v>131</v>
      </c>
      <c r="D23" s="126" t="s">
        <v>131</v>
      </c>
      <c r="E23" s="126" t="s">
        <v>131</v>
      </c>
      <c r="F23" s="126" t="s">
        <v>131</v>
      </c>
      <c r="G23" s="126" t="s">
        <v>131</v>
      </c>
      <c r="H23" s="126" t="s">
        <v>131</v>
      </c>
      <c r="I23" s="126" t="s">
        <v>131</v>
      </c>
      <c r="J23" s="126" t="s">
        <v>131</v>
      </c>
      <c r="K23" s="126" t="s">
        <v>131</v>
      </c>
      <c r="L23" s="126" t="s">
        <v>131</v>
      </c>
      <c r="M23" s="127" t="s">
        <v>131</v>
      </c>
    </row>
    <row r="24" spans="1:13">
      <c r="A24" s="128" t="s">
        <v>131</v>
      </c>
      <c r="B24" s="129" t="s">
        <v>131</v>
      </c>
      <c r="C24" s="129" t="s">
        <v>131</v>
      </c>
      <c r="D24" s="129" t="s">
        <v>131</v>
      </c>
      <c r="E24" s="129" t="s">
        <v>131</v>
      </c>
      <c r="F24" s="129" t="s">
        <v>131</v>
      </c>
      <c r="G24" s="129" t="s">
        <v>131</v>
      </c>
      <c r="H24" s="129" t="s">
        <v>131</v>
      </c>
      <c r="I24" s="129" t="s">
        <v>131</v>
      </c>
      <c r="J24" s="129" t="s">
        <v>131</v>
      </c>
      <c r="K24" s="129" t="s">
        <v>131</v>
      </c>
      <c r="L24" s="129" t="s">
        <v>131</v>
      </c>
      <c r="M24" s="130" t="s">
        <v>131</v>
      </c>
    </row>
  </sheetData>
  <mergeCells count="4">
    <mergeCell ref="A1:M1"/>
    <mergeCell ref="A2:M2"/>
    <mergeCell ref="A12:F12"/>
    <mergeCell ref="A20:M24"/>
  </mergeCells>
  <conditionalFormatting sqref="M6:M9">
    <cfRule type="containsText" dxfId="20" priority="1" operator="containsText" text="CUMPLE"/>
    <cfRule type="containsText" dxfId="19" priority="2" operator="containsText" text="REVISAR"/>
    <cfRule type="containsText" dxfId="18" priority="3" operator="containsText" text="NO CUMPLE"/>
  </conditionalFormatting>
  <conditionalFormatting sqref="D14:D17">
    <cfRule type="containsText" dxfId="17" priority="4" operator="containsText" text="CUMPLE"/>
    <cfRule type="containsText" dxfId="16" priority="5" operator="containsText" text="REVISAR"/>
    <cfRule type="containsText" dxfId="15" priority="6" operator="containsText" text="NO CUMPLE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6B78"/>
  </sheetPr>
  <dimension ref="A1:L34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10" defaultColWidth="9" defaultRowHeight="14.25"/>
  <cols>
    <col min="1" max="1" width="22" customWidth="1"/>
    <col min="2" max="2" width="19" customWidth="1"/>
    <col min="3" max="3" width="34" customWidth="1"/>
    <col min="4" max="4" width="16" customWidth="1"/>
    <col min="5" max="5" width="3" customWidth="1"/>
    <col min="6" max="10" width="16" customWidth="1"/>
    <col min="11" max="12" width="4" customWidth="1"/>
  </cols>
  <sheetData>
    <row r="1" spans="1:12" ht="30" customHeight="1">
      <c r="A1" s="80" t="s">
        <v>132</v>
      </c>
      <c r="B1" s="80" t="s">
        <v>132</v>
      </c>
      <c r="C1" s="80" t="s">
        <v>132</v>
      </c>
      <c r="D1" s="80" t="s">
        <v>132</v>
      </c>
      <c r="E1" s="80" t="s">
        <v>132</v>
      </c>
      <c r="F1" s="80" t="s">
        <v>132</v>
      </c>
      <c r="G1" s="80" t="s">
        <v>132</v>
      </c>
      <c r="H1" s="80" t="s">
        <v>132</v>
      </c>
      <c r="I1" s="80" t="s">
        <v>132</v>
      </c>
      <c r="J1" s="80" t="s">
        <v>132</v>
      </c>
      <c r="K1" s="80" t="s">
        <v>132</v>
      </c>
      <c r="L1" s="80" t="s">
        <v>132</v>
      </c>
    </row>
    <row r="2" spans="1:12" ht="32.1" customHeight="1">
      <c r="A2" s="81" t="s">
        <v>133</v>
      </c>
      <c r="B2" s="81" t="s">
        <v>133</v>
      </c>
      <c r="C2" s="81" t="s">
        <v>133</v>
      </c>
      <c r="D2" s="81" t="s">
        <v>133</v>
      </c>
      <c r="E2" s="81" t="s">
        <v>133</v>
      </c>
      <c r="F2" s="81" t="s">
        <v>133</v>
      </c>
      <c r="G2" s="81" t="s">
        <v>133</v>
      </c>
      <c r="H2" s="81" t="s">
        <v>133</v>
      </c>
      <c r="I2" s="81" t="s">
        <v>133</v>
      </c>
      <c r="J2" s="81" t="s">
        <v>133</v>
      </c>
      <c r="K2" s="81" t="s">
        <v>133</v>
      </c>
      <c r="L2" s="81" t="s">
        <v>133</v>
      </c>
    </row>
    <row r="5" spans="1:12" ht="27" customHeight="1">
      <c r="A5" s="159" t="s">
        <v>134</v>
      </c>
      <c r="B5" s="160" t="s">
        <v>135</v>
      </c>
      <c r="C5" s="160" t="s">
        <v>136</v>
      </c>
      <c r="D5" s="160" t="s">
        <v>137</v>
      </c>
      <c r="E5" s="160" t="s">
        <v>138</v>
      </c>
      <c r="F5" s="160" t="s">
        <v>139</v>
      </c>
      <c r="G5" s="160" t="s">
        <v>140</v>
      </c>
      <c r="H5" s="160" t="s">
        <v>141</v>
      </c>
      <c r="I5" s="160" t="s">
        <v>142</v>
      </c>
      <c r="J5" s="161" t="s">
        <v>143</v>
      </c>
    </row>
    <row r="6" spans="1:12" ht="19" customHeight="1">
      <c r="A6" s="163" t="s">
        <v>144</v>
      </c>
      <c r="B6" s="223">
        <f>COUNT('09_BASE_AUDITABLE'!$G$2:$G$3666)</f>
        <v>3665</v>
      </c>
      <c r="C6" s="223">
        <f>(SUM('09_BASE_AUDITABLE'!$G$2:$G$3666)^2)/SUMSQ('09_BASE_AUDITABLE'!$G$2:$G$3666)</f>
        <v>3220.5923258992825</v>
      </c>
      <c r="D6" s="225">
        <f>B6/C6</f>
        <v>1.1379894221714715</v>
      </c>
      <c r="E6" s="225">
        <f>STDEVP('09_BASE_AUDITABLE'!$G$2:$G$3666)/AVERAGE('09_BASE_AUDITABLE'!$G$2:$G$3666)</f>
        <v>0.37146927486869163</v>
      </c>
      <c r="F6" s="181">
        <f>MIN('09_BASE_AUDITABLE'!$G$2:$G$3666)</f>
        <v>0.33208094678038996</v>
      </c>
      <c r="G6" s="181">
        <f>MEDIAN('09_BASE_AUDITABLE'!$G$2:$G$3666)</f>
        <v>0.99646135252980172</v>
      </c>
      <c r="H6" s="181">
        <f>PERCENTILE('09_BASE_AUDITABLE'!$G$2:$G$3666,0.95)</f>
        <v>1.62001724252289</v>
      </c>
      <c r="I6" s="181">
        <f>PERCENTILE('09_BASE_AUDITABLE'!$G$2:$G$3666,0.99)</f>
        <v>2.3421588770950437</v>
      </c>
      <c r="J6" s="183">
        <f>MAX('09_BASE_AUDITABLE'!$G$2:$G$3666)</f>
        <v>5.2170957771362927</v>
      </c>
    </row>
    <row r="7" spans="1:12" ht="19" customHeight="1">
      <c r="A7" s="168" t="s">
        <v>142</v>
      </c>
      <c r="B7" s="226">
        <f>COUNT('09_BASE_AUDITABLE'!$H$2:$H$3666)</f>
        <v>3665</v>
      </c>
      <c r="C7" s="226">
        <f>(SUM('09_BASE_AUDITABLE'!$H$2:$H$3666)^2)/SUMSQ('09_BASE_AUDITABLE'!$H$2:$H$3666)</f>
        <v>3282.1349858385438</v>
      </c>
      <c r="D7" s="228">
        <f>B7/C7</f>
        <v>1.1166512089884808</v>
      </c>
      <c r="E7" s="228">
        <f>STDEVP('09_BASE_AUDITABLE'!$H$2:$H$3666)/AVERAGE('09_BASE_AUDITABLE'!$H$2:$H$3666)</f>
        <v>0.34154239705852152</v>
      </c>
      <c r="F7" s="184">
        <f>MIN('09_BASE_AUDITABLE'!$H$2:$H$3666)</f>
        <v>0.33400361069622986</v>
      </c>
      <c r="G7" s="184">
        <f>MEDIAN('09_BASE_AUDITABLE'!$H$2:$H$3666)</f>
        <v>1.0022306094071169</v>
      </c>
      <c r="H7" s="184">
        <f>PERCENTILE('09_BASE_AUDITABLE'!$H$2:$H$3666,0.95)</f>
        <v>1.6293967288361988</v>
      </c>
      <c r="I7" s="184">
        <f>PERCENTILE('09_BASE_AUDITABLE'!$H$2:$H$3666,0.99)</f>
        <v>2.3475468412670457</v>
      </c>
      <c r="J7" s="186">
        <f>MAX('09_BASE_AUDITABLE'!$H$2:$H$3666)</f>
        <v>2.3557193791407478</v>
      </c>
    </row>
    <row r="8" spans="1:12" ht="19" customHeight="1">
      <c r="A8" s="169" t="s">
        <v>141</v>
      </c>
      <c r="B8" s="227">
        <f>COUNT('09_BASE_AUDITABLE'!$I$2:$I$3666)</f>
        <v>3665</v>
      </c>
      <c r="C8" s="227">
        <f>(SUM('09_BASE_AUDITABLE'!$I$2:$I$3666)^2)/SUMSQ('09_BASE_AUDITABLE'!$I$2:$I$3666)</f>
        <v>3367.2127798182396</v>
      </c>
      <c r="D8" s="229">
        <f>B8/C8</f>
        <v>1.0884373039822672</v>
      </c>
      <c r="E8" s="229">
        <f>STDEVP('09_BASE_AUDITABLE'!$I$2:$I$3666)/AVERAGE('09_BASE_AUDITABLE'!$I$2:$I$3666)</f>
        <v>0.29738410176448088</v>
      </c>
      <c r="F8" s="185">
        <f>MIN('09_BASE_AUDITABLE'!$I$2:$I$3666)</f>
        <v>0.33984487798612639</v>
      </c>
      <c r="G8" s="185">
        <f>MEDIAN('09_BASE_AUDITABLE'!$I$2:$I$3666)</f>
        <v>1.0197582548821451</v>
      </c>
      <c r="H8" s="185">
        <f>PERCENTILE('09_BASE_AUDITABLE'!$I$2:$I$3666,0.95)</f>
        <v>1.6577766062243173</v>
      </c>
      <c r="I8" s="185">
        <f>PERCENTILE('09_BASE_AUDITABLE'!$I$2:$I$3666,0.99)</f>
        <v>1.6578926537592125</v>
      </c>
      <c r="J8" s="187">
        <f>MAX('09_BASE_AUDITABLE'!$I$2:$I$3666)</f>
        <v>1.6578926537592125</v>
      </c>
    </row>
    <row r="9" spans="1:12" ht="19" customHeight="1">
      <c r="A9" s="174" t="s">
        <v>35</v>
      </c>
      <c r="B9" s="176" t="s">
        <v>145</v>
      </c>
      <c r="C9" s="176"/>
      <c r="D9" s="176"/>
      <c r="E9" s="176"/>
      <c r="F9" s="176"/>
      <c r="G9" s="176"/>
      <c r="H9" s="176"/>
      <c r="I9" s="176"/>
      <c r="J9" s="178"/>
    </row>
    <row r="12" spans="1:12" ht="23.1" customHeight="1">
      <c r="A12" s="85" t="s">
        <v>146</v>
      </c>
      <c r="B12" s="85" t="s">
        <v>146</v>
      </c>
      <c r="C12" s="85" t="s">
        <v>146</v>
      </c>
      <c r="D12" s="85" t="s">
        <v>146</v>
      </c>
      <c r="E12" s="85" t="s">
        <v>146</v>
      </c>
      <c r="F12" s="85" t="s">
        <v>146</v>
      </c>
    </row>
    <row r="13" spans="1:12" ht="27" customHeight="1">
      <c r="A13" s="159" t="s">
        <v>147</v>
      </c>
      <c r="B13" s="160" t="s">
        <v>148</v>
      </c>
      <c r="C13" s="160" t="s">
        <v>149</v>
      </c>
      <c r="D13" s="161" t="s">
        <v>150</v>
      </c>
    </row>
    <row r="14" spans="1:12" ht="19" customHeight="1">
      <c r="A14" s="163" t="s">
        <v>151</v>
      </c>
      <c r="B14" s="189">
        <f>COUNTIF('09_BASE_AUDITABLE'!$W$2:$W$2077,A14)</f>
        <v>0</v>
      </c>
      <c r="C14" s="189">
        <f>SUMIF('09_BASE_AUDITABLE'!$W$2:$W$2077,A14,'09_BASE_AUDITABLE'!$Q$2:$Q$2077)</f>
        <v>0</v>
      </c>
      <c r="D14" s="231">
        <f>C14/SUM('09_BASE_AUDITABLE'!$Q$2:$Q$2077)</f>
        <v>0</v>
      </c>
    </row>
    <row r="15" spans="1:12" ht="19" customHeight="1">
      <c r="A15" s="168" t="s">
        <v>152</v>
      </c>
      <c r="B15" s="190">
        <f>COUNTIF('09_BASE_AUDITABLE'!$W$2:$W$2077,A15)</f>
        <v>631</v>
      </c>
      <c r="C15" s="190">
        <f>SUMIF('09_BASE_AUDITABLE'!$W$2:$W$2077,A15,'09_BASE_AUDITABLE'!$Q$2:$Q$2077)</f>
        <v>16176</v>
      </c>
      <c r="D15" s="232">
        <f>C15/SUM('09_BASE_AUDITABLE'!$Q$2:$Q$2077)</f>
        <v>0.18155493450957944</v>
      </c>
    </row>
    <row r="16" spans="1:12" ht="19" customHeight="1">
      <c r="A16" s="169" t="s">
        <v>153</v>
      </c>
      <c r="B16" s="191">
        <f>COUNTIF('09_BASE_AUDITABLE'!$W$2:$W$2077,A16)</f>
        <v>710</v>
      </c>
      <c r="C16" s="191">
        <f>SUMIF('09_BASE_AUDITABLE'!$W$2:$W$2077,A16,'09_BASE_AUDITABLE'!$Q$2:$Q$2077)</f>
        <v>30982</v>
      </c>
      <c r="D16" s="233">
        <f>C16/SUM('09_BASE_AUDITABLE'!$Q$2:$Q$2077)</f>
        <v>0.34773336924924519</v>
      </c>
    </row>
    <row r="17" spans="1:12" ht="19" customHeight="1">
      <c r="A17" s="168" t="s">
        <v>154</v>
      </c>
      <c r="B17" s="190">
        <f>COUNTIF('09_BASE_AUDITABLE'!$W$2:$W$2077,A17)</f>
        <v>430</v>
      </c>
      <c r="C17" s="190">
        <f>SUMIF('09_BASE_AUDITABLE'!$W$2:$W$2077,A17,'09_BASE_AUDITABLE'!$Q$2:$Q$2077)</f>
        <v>23281</v>
      </c>
      <c r="D17" s="232">
        <f>C17/SUM('09_BASE_AUDITABLE'!$Q$2:$Q$2077)</f>
        <v>0.26129948258639463</v>
      </c>
    </row>
    <row r="18" spans="1:12" ht="19" customHeight="1">
      <c r="A18" s="169" t="s">
        <v>155</v>
      </c>
      <c r="B18" s="191">
        <f>COUNTIF('09_BASE_AUDITABLE'!$W$2:$W$2077,A18)</f>
        <v>273</v>
      </c>
      <c r="C18" s="191">
        <f>SUMIF('09_BASE_AUDITABLE'!$W$2:$W$2077,A18,'09_BASE_AUDITABLE'!$Q$2:$Q$2077)</f>
        <v>16556</v>
      </c>
      <c r="D18" s="233">
        <f>C18/SUM('09_BASE_AUDITABLE'!$Q$2:$Q$2077)</f>
        <v>0.18581994904430002</v>
      </c>
    </row>
    <row r="19" spans="1:12" ht="19" customHeight="1">
      <c r="A19" s="174" t="s">
        <v>156</v>
      </c>
      <c r="B19" s="192">
        <f>COUNTIF('09_BASE_AUDITABLE'!$W$2:$W$2077,A19)</f>
        <v>32</v>
      </c>
      <c r="C19" s="192">
        <f>SUMIF('09_BASE_AUDITABLE'!$W$2:$W$2077,A19,'09_BASE_AUDITABLE'!$Q$2:$Q$2077)</f>
        <v>2102</v>
      </c>
      <c r="D19" s="234">
        <f>C19/SUM('09_BASE_AUDITABLE'!$Q$2:$Q$2077)</f>
        <v>2.3592264610480713E-2</v>
      </c>
    </row>
    <row r="22" spans="1:12" ht="23.1" customHeight="1">
      <c r="A22" s="85" t="s">
        <v>157</v>
      </c>
      <c r="B22" s="85" t="s">
        <v>157</v>
      </c>
      <c r="C22" s="85" t="s">
        <v>157</v>
      </c>
      <c r="D22" s="85" t="s">
        <v>157</v>
      </c>
    </row>
    <row r="23" spans="1:12" ht="30" customHeight="1">
      <c r="A23" s="159" t="s">
        <v>121</v>
      </c>
      <c r="B23" s="160" t="s">
        <v>122</v>
      </c>
      <c r="C23" s="161" t="s">
        <v>35</v>
      </c>
    </row>
    <row r="24" spans="1:12" ht="39.950000000000003" customHeight="1">
      <c r="A24" s="219" t="s">
        <v>158</v>
      </c>
      <c r="B24" s="237">
        <f>SUM('09_BASE_AUDITABLE'!$T$2:$T$2077)</f>
        <v>3664.9999999999977</v>
      </c>
      <c r="C24" s="219" t="s">
        <v>159</v>
      </c>
    </row>
    <row r="25" spans="1:12" ht="39.950000000000003" customHeight="1">
      <c r="A25" s="218" t="s">
        <v>160</v>
      </c>
      <c r="B25" s="236">
        <f>SUM('09_BASE_AUDITABLE'!$U$2:$U$2077)</f>
        <v>2369.1500000000015</v>
      </c>
      <c r="C25" s="218" t="s">
        <v>161</v>
      </c>
    </row>
    <row r="26" spans="1:12" ht="39.950000000000003" customHeight="1">
      <c r="A26" s="219" t="s">
        <v>162</v>
      </c>
      <c r="B26" s="237">
        <f>B24-B25</f>
        <v>1295.8499999999963</v>
      </c>
      <c r="C26" s="219" t="s">
        <v>163</v>
      </c>
    </row>
    <row r="27" spans="1:12" ht="39.950000000000003" customHeight="1">
      <c r="A27" s="218" t="s">
        <v>164</v>
      </c>
      <c r="B27" s="238">
        <f>B26/B24</f>
        <v>0.35357435197817111</v>
      </c>
      <c r="C27" s="218" t="s">
        <v>165</v>
      </c>
    </row>
    <row r="30" spans="1:12">
      <c r="A30" s="122" t="s">
        <v>166</v>
      </c>
      <c r="B30" s="123" t="s">
        <v>166</v>
      </c>
      <c r="C30" s="123" t="s">
        <v>166</v>
      </c>
      <c r="D30" s="123" t="s">
        <v>166</v>
      </c>
      <c r="E30" s="123" t="s">
        <v>166</v>
      </c>
      <c r="F30" s="123" t="s">
        <v>166</v>
      </c>
      <c r="G30" s="123" t="s">
        <v>166</v>
      </c>
      <c r="H30" s="123" t="s">
        <v>166</v>
      </c>
      <c r="I30" s="123" t="s">
        <v>166</v>
      </c>
      <c r="J30" s="123" t="s">
        <v>166</v>
      </c>
      <c r="K30" s="123" t="s">
        <v>166</v>
      </c>
      <c r="L30" s="124" t="s">
        <v>166</v>
      </c>
    </row>
    <row r="31" spans="1:12">
      <c r="A31" s="125" t="s">
        <v>166</v>
      </c>
      <c r="B31" s="126" t="s">
        <v>166</v>
      </c>
      <c r="C31" s="126" t="s">
        <v>166</v>
      </c>
      <c r="D31" s="126" t="s">
        <v>166</v>
      </c>
      <c r="E31" s="126" t="s">
        <v>166</v>
      </c>
      <c r="F31" s="126" t="s">
        <v>166</v>
      </c>
      <c r="G31" s="126" t="s">
        <v>166</v>
      </c>
      <c r="H31" s="126" t="s">
        <v>166</v>
      </c>
      <c r="I31" s="126" t="s">
        <v>166</v>
      </c>
      <c r="J31" s="126" t="s">
        <v>166</v>
      </c>
      <c r="K31" s="126" t="s">
        <v>166</v>
      </c>
      <c r="L31" s="127" t="s">
        <v>166</v>
      </c>
    </row>
    <row r="32" spans="1:12">
      <c r="A32" s="125" t="s">
        <v>166</v>
      </c>
      <c r="B32" s="126" t="s">
        <v>166</v>
      </c>
      <c r="C32" s="126" t="s">
        <v>166</v>
      </c>
      <c r="D32" s="126" t="s">
        <v>166</v>
      </c>
      <c r="E32" s="126" t="s">
        <v>166</v>
      </c>
      <c r="F32" s="126" t="s">
        <v>166</v>
      </c>
      <c r="G32" s="126" t="s">
        <v>166</v>
      </c>
      <c r="H32" s="126" t="s">
        <v>166</v>
      </c>
      <c r="I32" s="126" t="s">
        <v>166</v>
      </c>
      <c r="J32" s="126" t="s">
        <v>166</v>
      </c>
      <c r="K32" s="126" t="s">
        <v>166</v>
      </c>
      <c r="L32" s="127" t="s">
        <v>166</v>
      </c>
    </row>
    <row r="33" spans="1:12">
      <c r="A33" s="125" t="s">
        <v>166</v>
      </c>
      <c r="B33" s="126" t="s">
        <v>166</v>
      </c>
      <c r="C33" s="126" t="s">
        <v>166</v>
      </c>
      <c r="D33" s="126" t="s">
        <v>166</v>
      </c>
      <c r="E33" s="126" t="s">
        <v>166</v>
      </c>
      <c r="F33" s="126" t="s">
        <v>166</v>
      </c>
      <c r="G33" s="126" t="s">
        <v>166</v>
      </c>
      <c r="H33" s="126" t="s">
        <v>166</v>
      </c>
      <c r="I33" s="126" t="s">
        <v>166</v>
      </c>
      <c r="J33" s="126" t="s">
        <v>166</v>
      </c>
      <c r="K33" s="126" t="s">
        <v>166</v>
      </c>
      <c r="L33" s="127" t="s">
        <v>166</v>
      </c>
    </row>
    <row r="34" spans="1:12">
      <c r="A34" s="128" t="s">
        <v>166</v>
      </c>
      <c r="B34" s="129" t="s">
        <v>166</v>
      </c>
      <c r="C34" s="129" t="s">
        <v>166</v>
      </c>
      <c r="D34" s="129" t="s">
        <v>166</v>
      </c>
      <c r="E34" s="129" t="s">
        <v>166</v>
      </c>
      <c r="F34" s="129" t="s">
        <v>166</v>
      </c>
      <c r="G34" s="129" t="s">
        <v>166</v>
      </c>
      <c r="H34" s="129" t="s">
        <v>166</v>
      </c>
      <c r="I34" s="129" t="s">
        <v>166</v>
      </c>
      <c r="J34" s="129" t="s">
        <v>166</v>
      </c>
      <c r="K34" s="129" t="s">
        <v>166</v>
      </c>
      <c r="L34" s="130" t="s">
        <v>166</v>
      </c>
    </row>
  </sheetData>
  <mergeCells count="5">
    <mergeCell ref="A1:L1"/>
    <mergeCell ref="A2:L2"/>
    <mergeCell ref="A12:F12"/>
    <mergeCell ref="A22:D22"/>
    <mergeCell ref="A30:L3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6B78"/>
  </sheetPr>
  <dimension ref="A1:L3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10" defaultColWidth="9" defaultRowHeight="14.25"/>
  <cols>
    <col min="1" max="1" width="28" customWidth="1"/>
    <col min="2" max="3" width="26" customWidth="1"/>
    <col min="4" max="4" width="32" customWidth="1"/>
    <col min="5" max="5" width="26" customWidth="1"/>
    <col min="6" max="12" width="4" customWidth="1"/>
  </cols>
  <sheetData>
    <row r="1" spans="1:12" ht="30" customHeight="1">
      <c r="A1" s="80" t="s">
        <v>167</v>
      </c>
      <c r="B1" s="80" t="s">
        <v>167</v>
      </c>
      <c r="C1" s="80" t="s">
        <v>167</v>
      </c>
      <c r="D1" s="80" t="s">
        <v>167</v>
      </c>
      <c r="E1" s="80" t="s">
        <v>167</v>
      </c>
      <c r="F1" s="80" t="s">
        <v>167</v>
      </c>
      <c r="G1" s="80" t="s">
        <v>167</v>
      </c>
      <c r="H1" s="80" t="s">
        <v>167</v>
      </c>
      <c r="I1" s="80" t="s">
        <v>167</v>
      </c>
      <c r="J1" s="80" t="s">
        <v>167</v>
      </c>
      <c r="K1" s="80" t="s">
        <v>167</v>
      </c>
      <c r="L1" s="80" t="s">
        <v>167</v>
      </c>
    </row>
    <row r="2" spans="1:12" ht="32.1" customHeight="1">
      <c r="A2" s="81" t="s">
        <v>168</v>
      </c>
      <c r="B2" s="81" t="s">
        <v>168</v>
      </c>
      <c r="C2" s="81" t="s">
        <v>168</v>
      </c>
      <c r="D2" s="81" t="s">
        <v>168</v>
      </c>
      <c r="E2" s="81" t="s">
        <v>168</v>
      </c>
      <c r="F2" s="81" t="s">
        <v>168</v>
      </c>
      <c r="G2" s="81" t="s">
        <v>168</v>
      </c>
      <c r="H2" s="81" t="s">
        <v>168</v>
      </c>
      <c r="I2" s="81" t="s">
        <v>168</v>
      </c>
      <c r="J2" s="81" t="s">
        <v>168</v>
      </c>
      <c r="K2" s="81" t="s">
        <v>168</v>
      </c>
      <c r="L2" s="81" t="s">
        <v>168</v>
      </c>
    </row>
    <row r="3" spans="1:12" ht="26.1" customHeight="1">
      <c r="A3" s="82" t="s">
        <v>169</v>
      </c>
      <c r="B3" s="83" t="s">
        <v>169</v>
      </c>
      <c r="C3" s="83" t="s">
        <v>169</v>
      </c>
      <c r="D3" s="83" t="s">
        <v>169</v>
      </c>
      <c r="E3" s="83" t="s">
        <v>169</v>
      </c>
      <c r="F3" s="83" t="s">
        <v>169</v>
      </c>
      <c r="G3" s="83" t="s">
        <v>169</v>
      </c>
      <c r="H3" s="83" t="s">
        <v>169</v>
      </c>
      <c r="I3" s="83" t="s">
        <v>169</v>
      </c>
      <c r="J3" s="83" t="s">
        <v>169</v>
      </c>
      <c r="K3" s="83" t="s">
        <v>169</v>
      </c>
      <c r="L3" s="84" t="s">
        <v>169</v>
      </c>
    </row>
    <row r="5" spans="1:12" ht="27" customHeight="1">
      <c r="A5" s="159" t="s">
        <v>121</v>
      </c>
      <c r="B5" s="160" t="s">
        <v>122</v>
      </c>
      <c r="C5" s="160" t="s">
        <v>170</v>
      </c>
      <c r="D5" s="161" t="s">
        <v>35</v>
      </c>
    </row>
    <row r="6" spans="1:12">
      <c r="A6" s="241" t="s">
        <v>79</v>
      </c>
      <c r="B6" s="243">
        <f>COUNTA('09_BASE_AUDITABLE'!$A$2:$A$3666)</f>
        <v>3665</v>
      </c>
      <c r="C6" s="245" t="s">
        <v>171</v>
      </c>
      <c r="D6" s="213"/>
    </row>
    <row r="7" spans="1:12">
      <c r="A7" s="246" t="s">
        <v>172</v>
      </c>
      <c r="B7" s="248">
        <v>0</v>
      </c>
      <c r="C7" s="250" t="s">
        <v>173</v>
      </c>
      <c r="D7" s="214" t="s">
        <v>174</v>
      </c>
    </row>
    <row r="8" spans="1:12" ht="28.5">
      <c r="A8" s="247" t="s">
        <v>175</v>
      </c>
      <c r="B8" s="253">
        <f>AVERAGE('09_BASE_AUDITABLE'!$C$2:$C$3666)</f>
        <v>0.40642564802182879</v>
      </c>
      <c r="C8" s="251" t="s">
        <v>176</v>
      </c>
      <c r="D8" s="215" t="s">
        <v>177</v>
      </c>
    </row>
    <row r="9" spans="1:12">
      <c r="A9" s="246" t="s">
        <v>178</v>
      </c>
      <c r="B9" s="252">
        <f>MEDIAN('09_BASE_AUDITABLE'!$C$2:$C$3666)</f>
        <v>0.27</v>
      </c>
      <c r="C9" s="250" t="s">
        <v>179</v>
      </c>
      <c r="D9" s="214" t="s">
        <v>177</v>
      </c>
    </row>
    <row r="10" spans="1:12">
      <c r="A10" s="247" t="s">
        <v>180</v>
      </c>
      <c r="B10" s="253">
        <f>AVERAGE('09_BASE_AUDITABLE'!$D$2:$D$3666)</f>
        <v>0.64688859027347356</v>
      </c>
      <c r="C10" s="251" t="s">
        <v>181</v>
      </c>
      <c r="D10" s="215" t="s">
        <v>182</v>
      </c>
    </row>
    <row r="11" spans="1:12">
      <c r="A11" s="246" t="s">
        <v>183</v>
      </c>
      <c r="B11" s="252">
        <f>MEDIAN('09_BASE_AUDITABLE'!$D$2:$D$3666)</f>
        <v>0.74281493306641733</v>
      </c>
      <c r="C11" s="250" t="s">
        <v>181</v>
      </c>
      <c r="D11" s="214" t="s">
        <v>182</v>
      </c>
    </row>
    <row r="12" spans="1:12" ht="28.5">
      <c r="A12" s="247" t="s">
        <v>164</v>
      </c>
      <c r="B12" s="253">
        <f>AVERAGE('09_BASE_AUDITABLE'!$E$2:$E$3666)</f>
        <v>0.35357435197816578</v>
      </c>
      <c r="C12" s="251" t="s">
        <v>184</v>
      </c>
      <c r="D12" s="215" t="s">
        <v>185</v>
      </c>
    </row>
    <row r="13" spans="1:12">
      <c r="A13" s="254" t="s">
        <v>186</v>
      </c>
      <c r="B13" s="256" t="s">
        <v>187</v>
      </c>
      <c r="C13" s="256" t="s">
        <v>188</v>
      </c>
      <c r="D13" s="216" t="s">
        <v>189</v>
      </c>
    </row>
    <row r="16" spans="1:12" ht="23.1" customHeight="1">
      <c r="A16" s="85" t="s">
        <v>190</v>
      </c>
      <c r="B16" s="85" t="s">
        <v>190</v>
      </c>
      <c r="C16" s="85" t="s">
        <v>190</v>
      </c>
      <c r="D16" s="85" t="s">
        <v>190</v>
      </c>
      <c r="E16" s="85" t="s">
        <v>190</v>
      </c>
      <c r="F16" s="85" t="s">
        <v>190</v>
      </c>
    </row>
    <row r="17" spans="1:8" ht="27" customHeight="1">
      <c r="A17" s="159" t="s">
        <v>191</v>
      </c>
      <c r="B17" s="160" t="s">
        <v>192</v>
      </c>
      <c r="C17" s="160" t="s">
        <v>193</v>
      </c>
      <c r="D17" s="161" t="s">
        <v>194</v>
      </c>
    </row>
    <row r="18" spans="1:8" ht="19" customHeight="1">
      <c r="A18" s="158" t="s">
        <v>195</v>
      </c>
      <c r="B18" s="158" t="s">
        <v>196</v>
      </c>
      <c r="C18" s="199">
        <f>COUNTIF('09_BASE_AUDITABLE'!$F$2:$F$3666,"alta")</f>
        <v>1077</v>
      </c>
      <c r="D18" s="221">
        <f>C18/SUM($C$18:$C$20)</f>
        <v>0.29386084583901773</v>
      </c>
    </row>
    <row r="19" spans="1:8" ht="19" customHeight="1">
      <c r="A19" s="157" t="s">
        <v>197</v>
      </c>
      <c r="B19" s="157" t="s">
        <v>198</v>
      </c>
      <c r="C19" s="198">
        <f>COUNTIF('09_BASE_AUDITABLE'!$F$2:$F$3666,"media")</f>
        <v>268</v>
      </c>
      <c r="D19" s="220">
        <f>C19/SUM($C$18:$C$20)</f>
        <v>7.3124147339699866E-2</v>
      </c>
    </row>
    <row r="20" spans="1:8" ht="19" customHeight="1">
      <c r="A20" s="158" t="s">
        <v>199</v>
      </c>
      <c r="B20" s="158" t="s">
        <v>200</v>
      </c>
      <c r="C20" s="199">
        <f>COUNTIF('09_BASE_AUDITABLE'!$F$2:$F$3666,"baja")</f>
        <v>2320</v>
      </c>
      <c r="D20" s="221">
        <f>C20/SUM($C$18:$C$20)</f>
        <v>0.63301500682128242</v>
      </c>
    </row>
    <row r="23" spans="1:8" ht="23.1" customHeight="1">
      <c r="A23" s="85" t="s">
        <v>201</v>
      </c>
      <c r="B23" s="85" t="s">
        <v>201</v>
      </c>
      <c r="C23" s="85" t="s">
        <v>201</v>
      </c>
      <c r="D23" s="85" t="s">
        <v>201</v>
      </c>
      <c r="E23" s="85" t="s">
        <v>201</v>
      </c>
      <c r="F23" s="85" t="s">
        <v>201</v>
      </c>
      <c r="G23" s="85" t="s">
        <v>201</v>
      </c>
      <c r="H23" s="85" t="s">
        <v>201</v>
      </c>
    </row>
    <row r="24" spans="1:8" ht="27" customHeight="1">
      <c r="A24" s="159" t="s">
        <v>202</v>
      </c>
      <c r="B24" s="160" t="s">
        <v>203</v>
      </c>
      <c r="C24" s="160" t="s">
        <v>204</v>
      </c>
      <c r="D24" s="160" t="s">
        <v>205</v>
      </c>
      <c r="E24" s="161" t="s">
        <v>206</v>
      </c>
    </row>
    <row r="25" spans="1:8" ht="19" customHeight="1">
      <c r="A25" s="157" t="s">
        <v>207</v>
      </c>
      <c r="B25" s="157" t="s">
        <v>208</v>
      </c>
      <c r="C25" s="198">
        <f>COUNT('09_BASE_AUDITABLE'!$B$2:$B$3666)</f>
        <v>3665</v>
      </c>
      <c r="D25" s="194">
        <f>AVERAGE('09_BASE_AUDITABLE'!$B$2:$B$3666)</f>
        <v>0.47339699863574353</v>
      </c>
      <c r="E25" s="157" t="s">
        <v>209</v>
      </c>
    </row>
    <row r="26" spans="1:8" ht="19" customHeight="1">
      <c r="A26" s="158" t="s">
        <v>210</v>
      </c>
      <c r="B26" s="158" t="s">
        <v>211</v>
      </c>
      <c r="C26" s="199">
        <v>3299</v>
      </c>
      <c r="D26" s="195">
        <v>0.48647365811058241</v>
      </c>
      <c r="E26" s="158" t="s">
        <v>212</v>
      </c>
    </row>
    <row r="27" spans="1:8" ht="19" customHeight="1">
      <c r="A27" s="157" t="s">
        <v>213</v>
      </c>
      <c r="B27" s="157" t="s">
        <v>211</v>
      </c>
      <c r="C27" s="198">
        <v>2932</v>
      </c>
      <c r="D27" s="194">
        <v>0.4861421237123244</v>
      </c>
      <c r="E27" s="157" t="s">
        <v>212</v>
      </c>
    </row>
    <row r="28" spans="1:8" ht="19" customHeight="1">
      <c r="A28" s="158" t="s">
        <v>214</v>
      </c>
      <c r="B28" s="158" t="s">
        <v>211</v>
      </c>
      <c r="C28" s="199">
        <v>2566</v>
      </c>
      <c r="D28" s="195">
        <v>0.47457827620395621</v>
      </c>
      <c r="E28" s="158" t="s">
        <v>212</v>
      </c>
    </row>
    <row r="30" spans="1:8" ht="23.1" customHeight="1">
      <c r="A30" s="85" t="s">
        <v>215</v>
      </c>
      <c r="B30" s="85" t="s">
        <v>215</v>
      </c>
      <c r="C30" s="85" t="s">
        <v>215</v>
      </c>
      <c r="D30" s="85" t="s">
        <v>215</v>
      </c>
      <c r="E30" s="85" t="s">
        <v>215</v>
      </c>
      <c r="F30" s="85" t="s">
        <v>215</v>
      </c>
      <c r="G30" s="85" t="s">
        <v>215</v>
      </c>
      <c r="H30" s="85" t="s">
        <v>215</v>
      </c>
    </row>
    <row r="31" spans="1:8" ht="27" customHeight="1">
      <c r="A31" s="159" t="s">
        <v>89</v>
      </c>
      <c r="B31" s="160" t="s">
        <v>216</v>
      </c>
      <c r="C31" s="160" t="s">
        <v>217</v>
      </c>
      <c r="D31" s="161" t="s">
        <v>113</v>
      </c>
    </row>
    <row r="32" spans="1:8" ht="19" customHeight="1">
      <c r="A32" s="158">
        <v>100</v>
      </c>
      <c r="B32" s="195">
        <f>AVERAGE('09_BASE_AUDITABLE'!$AE$2:$AE$4001)</f>
        <v>0.47895192081666954</v>
      </c>
      <c r="C32" s="197"/>
      <c r="D32" s="158" t="s">
        <v>218</v>
      </c>
    </row>
    <row r="33" spans="1:12" ht="19" customHeight="1">
      <c r="A33" s="157">
        <v>500</v>
      </c>
      <c r="B33" s="194"/>
      <c r="C33" s="196"/>
      <c r="D33" s="157" t="s">
        <v>218</v>
      </c>
    </row>
    <row r="34" spans="1:12" ht="19" customHeight="1">
      <c r="A34" s="158">
        <v>1000</v>
      </c>
      <c r="B34" s="195"/>
      <c r="C34" s="197"/>
      <c r="D34" s="158" t="s">
        <v>218</v>
      </c>
    </row>
    <row r="36" spans="1:12">
      <c r="A36" s="122" t="s">
        <v>219</v>
      </c>
      <c r="B36" s="123" t="s">
        <v>219</v>
      </c>
      <c r="C36" s="123" t="s">
        <v>219</v>
      </c>
      <c r="D36" s="123" t="s">
        <v>219</v>
      </c>
      <c r="E36" s="123" t="s">
        <v>219</v>
      </c>
      <c r="F36" s="123" t="s">
        <v>219</v>
      </c>
      <c r="G36" s="123" t="s">
        <v>219</v>
      </c>
      <c r="H36" s="123" t="s">
        <v>219</v>
      </c>
      <c r="I36" s="123" t="s">
        <v>219</v>
      </c>
      <c r="J36" s="123" t="s">
        <v>219</v>
      </c>
      <c r="K36" s="123" t="s">
        <v>219</v>
      </c>
      <c r="L36" s="124" t="s">
        <v>219</v>
      </c>
    </row>
    <row r="37" spans="1:12">
      <c r="A37" s="125" t="s">
        <v>219</v>
      </c>
      <c r="B37" s="126" t="s">
        <v>219</v>
      </c>
      <c r="C37" s="126" t="s">
        <v>219</v>
      </c>
      <c r="D37" s="126" t="s">
        <v>219</v>
      </c>
      <c r="E37" s="126" t="s">
        <v>219</v>
      </c>
      <c r="F37" s="126" t="s">
        <v>219</v>
      </c>
      <c r="G37" s="126" t="s">
        <v>219</v>
      </c>
      <c r="H37" s="126" t="s">
        <v>219</v>
      </c>
      <c r="I37" s="126" t="s">
        <v>219</v>
      </c>
      <c r="J37" s="126" t="s">
        <v>219</v>
      </c>
      <c r="K37" s="126" t="s">
        <v>219</v>
      </c>
      <c r="L37" s="127" t="s">
        <v>219</v>
      </c>
    </row>
    <row r="38" spans="1:12">
      <c r="A38" s="128" t="s">
        <v>219</v>
      </c>
      <c r="B38" s="129" t="s">
        <v>219</v>
      </c>
      <c r="C38" s="129" t="s">
        <v>219</v>
      </c>
      <c r="D38" s="129" t="s">
        <v>219</v>
      </c>
      <c r="E38" s="129" t="s">
        <v>219</v>
      </c>
      <c r="F38" s="129" t="s">
        <v>219</v>
      </c>
      <c r="G38" s="129" t="s">
        <v>219</v>
      </c>
      <c r="H38" s="129" t="s">
        <v>219</v>
      </c>
      <c r="I38" s="129" t="s">
        <v>219</v>
      </c>
      <c r="J38" s="129" t="s">
        <v>219</v>
      </c>
      <c r="K38" s="129" t="s">
        <v>219</v>
      </c>
      <c r="L38" s="130" t="s">
        <v>219</v>
      </c>
    </row>
  </sheetData>
  <mergeCells count="7">
    <mergeCell ref="A30:H30"/>
    <mergeCell ref="A36:L38"/>
    <mergeCell ref="A1:L1"/>
    <mergeCell ref="A2:L2"/>
    <mergeCell ref="A3:L3"/>
    <mergeCell ref="A16:F16"/>
    <mergeCell ref="A23:H23"/>
  </mergeCells>
  <conditionalFormatting sqref="D32:D34">
    <cfRule type="containsText" dxfId="14" priority="1" operator="containsText" text="CUMPLE"/>
    <cfRule type="containsText" dxfId="13" priority="2" operator="containsText" text="REVISAR"/>
    <cfRule type="containsText" dxfId="12" priority="3" operator="containsText" text="NO CUMPLE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A6B78"/>
  </sheetPr>
  <dimension ref="A1:M53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10" defaultColWidth="9" defaultRowHeight="14.25"/>
  <cols>
    <col min="1" max="1" width="34" customWidth="1"/>
    <col min="2" max="2" width="18" customWidth="1"/>
    <col min="3" max="3" width="38" customWidth="1"/>
    <col min="4" max="4" width="30" customWidth="1"/>
    <col min="5" max="5" width="44" customWidth="1"/>
    <col min="6" max="6" width="24" customWidth="1"/>
    <col min="7" max="7" width="34" customWidth="1"/>
    <col min="8" max="13" width="4" customWidth="1"/>
  </cols>
  <sheetData>
    <row r="1" spans="1:13" ht="30" customHeight="1">
      <c r="A1" s="80" t="s">
        <v>220</v>
      </c>
      <c r="B1" s="80" t="s">
        <v>220</v>
      </c>
      <c r="C1" s="80" t="s">
        <v>220</v>
      </c>
      <c r="D1" s="80" t="s">
        <v>220</v>
      </c>
      <c r="E1" s="80" t="s">
        <v>220</v>
      </c>
      <c r="F1" s="80" t="s">
        <v>220</v>
      </c>
      <c r="G1" s="80" t="s">
        <v>220</v>
      </c>
      <c r="H1" s="80" t="s">
        <v>220</v>
      </c>
      <c r="I1" s="80" t="s">
        <v>220</v>
      </c>
      <c r="J1" s="80" t="s">
        <v>220</v>
      </c>
      <c r="K1" s="80" t="s">
        <v>220</v>
      </c>
      <c r="L1" s="80" t="s">
        <v>220</v>
      </c>
      <c r="M1" s="80" t="s">
        <v>220</v>
      </c>
    </row>
    <row r="2" spans="1:13" ht="32.1" customHeight="1">
      <c r="A2" s="81" t="s">
        <v>221</v>
      </c>
      <c r="B2" s="81" t="s">
        <v>221</v>
      </c>
      <c r="C2" s="81" t="s">
        <v>221</v>
      </c>
      <c r="D2" s="81" t="s">
        <v>221</v>
      </c>
      <c r="E2" s="81" t="s">
        <v>221</v>
      </c>
      <c r="F2" s="81" t="s">
        <v>221</v>
      </c>
      <c r="G2" s="81" t="s">
        <v>221</v>
      </c>
      <c r="H2" s="81" t="s">
        <v>221</v>
      </c>
      <c r="I2" s="81" t="s">
        <v>221</v>
      </c>
      <c r="J2" s="81" t="s">
        <v>221</v>
      </c>
      <c r="K2" s="81" t="s">
        <v>221</v>
      </c>
      <c r="L2" s="81" t="s">
        <v>221</v>
      </c>
      <c r="M2" s="81" t="s">
        <v>221</v>
      </c>
    </row>
    <row r="5" spans="1:13" ht="27" customHeight="1">
      <c r="A5" s="159" t="s">
        <v>101</v>
      </c>
      <c r="B5" s="160" t="s">
        <v>222</v>
      </c>
      <c r="C5" s="160" t="s">
        <v>223</v>
      </c>
      <c r="D5" s="160" t="s">
        <v>111</v>
      </c>
      <c r="E5" s="160" t="s">
        <v>112</v>
      </c>
      <c r="F5" s="160" t="s">
        <v>113</v>
      </c>
      <c r="G5" s="161" t="s">
        <v>224</v>
      </c>
    </row>
    <row r="6" spans="1:13" ht="36" customHeight="1">
      <c r="A6" s="158" t="s">
        <v>87</v>
      </c>
      <c r="B6" s="158" t="s">
        <v>225</v>
      </c>
      <c r="C6" s="158">
        <v>19</v>
      </c>
      <c r="D6" s="158">
        <v>21</v>
      </c>
      <c r="E6" s="219" t="s">
        <v>114</v>
      </c>
      <c r="F6" s="219" t="s">
        <v>115</v>
      </c>
      <c r="G6" s="219" t="s">
        <v>226</v>
      </c>
    </row>
    <row r="7" spans="1:13" ht="36" customHeight="1">
      <c r="A7" s="157" t="s">
        <v>90</v>
      </c>
      <c r="B7" s="157" t="s">
        <v>225</v>
      </c>
      <c r="C7" s="157">
        <v>23</v>
      </c>
      <c r="D7" s="157">
        <v>24</v>
      </c>
      <c r="E7" s="218" t="s">
        <v>114</v>
      </c>
      <c r="F7" s="218" t="s">
        <v>115</v>
      </c>
      <c r="G7" s="218" t="s">
        <v>226</v>
      </c>
    </row>
    <row r="8" spans="1:13" ht="36" customHeight="1">
      <c r="A8" s="158" t="s">
        <v>116</v>
      </c>
      <c r="B8" s="158" t="s">
        <v>225</v>
      </c>
      <c r="C8" s="158" t="s">
        <v>227</v>
      </c>
      <c r="D8" s="158">
        <v>267</v>
      </c>
      <c r="E8" s="219" t="s">
        <v>117</v>
      </c>
      <c r="F8" s="219" t="s">
        <v>115</v>
      </c>
      <c r="G8" s="219" t="s">
        <v>228</v>
      </c>
    </row>
    <row r="9" spans="1:13" ht="36" customHeight="1">
      <c r="A9" s="157" t="s">
        <v>229</v>
      </c>
      <c r="B9" s="157" t="s">
        <v>225</v>
      </c>
      <c r="C9" s="157">
        <v>24</v>
      </c>
      <c r="D9" s="157">
        <v>267</v>
      </c>
      <c r="E9" s="218" t="s">
        <v>119</v>
      </c>
      <c r="F9" s="218" t="s">
        <v>115</v>
      </c>
      <c r="G9" s="218" t="s">
        <v>230</v>
      </c>
    </row>
    <row r="12" spans="1:13" ht="23.1" customHeight="1">
      <c r="A12" s="85" t="s">
        <v>231</v>
      </c>
      <c r="B12" s="85" t="s">
        <v>231</v>
      </c>
      <c r="C12" s="85" t="s">
        <v>231</v>
      </c>
      <c r="D12" s="85" t="s">
        <v>231</v>
      </c>
      <c r="E12" s="85" t="s">
        <v>231</v>
      </c>
      <c r="F12" s="85" t="s">
        <v>231</v>
      </c>
      <c r="G12" s="85" t="s">
        <v>231</v>
      </c>
    </row>
    <row r="13" spans="1:13" ht="27" customHeight="1">
      <c r="A13" s="159" t="s">
        <v>232</v>
      </c>
      <c r="B13" s="160" t="s">
        <v>122</v>
      </c>
      <c r="C13" s="160" t="s">
        <v>233</v>
      </c>
      <c r="D13" s="160" t="s">
        <v>113</v>
      </c>
      <c r="E13" s="160" t="s">
        <v>76</v>
      </c>
      <c r="F13" s="161" t="s">
        <v>35</v>
      </c>
    </row>
    <row r="14" spans="1:13">
      <c r="A14" s="163" t="s">
        <v>234</v>
      </c>
      <c r="B14" s="189">
        <v>4</v>
      </c>
      <c r="C14" s="165" t="s">
        <v>235</v>
      </c>
      <c r="D14" s="165" t="s">
        <v>130</v>
      </c>
      <c r="E14" s="245" t="s">
        <v>236</v>
      </c>
      <c r="F14" s="213" t="s">
        <v>237</v>
      </c>
    </row>
    <row r="15" spans="1:13">
      <c r="A15" s="168" t="s">
        <v>238</v>
      </c>
      <c r="B15" s="190">
        <v>1000</v>
      </c>
      <c r="C15" s="170" t="s">
        <v>235</v>
      </c>
      <c r="D15" s="170" t="s">
        <v>130</v>
      </c>
      <c r="E15" s="250" t="s">
        <v>236</v>
      </c>
      <c r="F15" s="214" t="s">
        <v>239</v>
      </c>
    </row>
    <row r="16" spans="1:13">
      <c r="A16" s="169" t="s">
        <v>240</v>
      </c>
      <c r="B16" s="191">
        <v>4000</v>
      </c>
      <c r="C16" s="191">
        <v>4000</v>
      </c>
      <c r="D16" s="171" t="str">
        <f>IF(B16=C16,"CUMPLE","NO CUMPLE")</f>
        <v>CUMPLE</v>
      </c>
      <c r="E16" s="251" t="s">
        <v>241</v>
      </c>
      <c r="F16" s="215" t="s">
        <v>242</v>
      </c>
    </row>
    <row r="17" spans="1:7">
      <c r="A17" s="168" t="s">
        <v>243</v>
      </c>
      <c r="B17" s="258">
        <v>1.0078821027007194</v>
      </c>
      <c r="C17" s="258">
        <v>1.01</v>
      </c>
      <c r="D17" s="170" t="str">
        <f>IF(B17&lt;C17,"CUMPLE","NO CUMPLE")</f>
        <v>CUMPLE</v>
      </c>
      <c r="E17" s="250" t="s">
        <v>244</v>
      </c>
      <c r="F17" s="214" t="s">
        <v>245</v>
      </c>
    </row>
    <row r="18" spans="1:7">
      <c r="A18" s="169" t="s">
        <v>246</v>
      </c>
      <c r="B18" s="259">
        <v>1246.4851320130499</v>
      </c>
      <c r="C18" s="259">
        <v>400</v>
      </c>
      <c r="D18" s="171" t="str">
        <f>IF(B18&gt;C18,"CUMPLE","NO CUMPLE")</f>
        <v>CUMPLE</v>
      </c>
      <c r="E18" s="251" t="s">
        <v>244</v>
      </c>
      <c r="F18" s="215" t="s">
        <v>247</v>
      </c>
    </row>
    <row r="19" spans="1:7">
      <c r="A19" s="168" t="s">
        <v>248</v>
      </c>
      <c r="B19" s="258">
        <v>1927.5258147189359</v>
      </c>
      <c r="C19" s="258">
        <v>400</v>
      </c>
      <c r="D19" s="170" t="str">
        <f>IF(B19&gt;C19,"CUMPLE","NO CUMPLE")</f>
        <v>CUMPLE</v>
      </c>
      <c r="E19" s="250" t="s">
        <v>244</v>
      </c>
      <c r="F19" s="214" t="s">
        <v>247</v>
      </c>
    </row>
    <row r="20" spans="1:7">
      <c r="A20" s="169" t="s">
        <v>249</v>
      </c>
      <c r="B20" s="191">
        <v>0</v>
      </c>
      <c r="C20" s="191">
        <v>0</v>
      </c>
      <c r="D20" s="171" t="str">
        <f>IF(B20=C20,"CUMPLE","NO CUMPLE")</f>
        <v>CUMPLE</v>
      </c>
      <c r="E20" s="251" t="s">
        <v>244</v>
      </c>
      <c r="F20" s="215" t="s">
        <v>250</v>
      </c>
    </row>
    <row r="21" spans="1:7">
      <c r="A21" s="174" t="s">
        <v>251</v>
      </c>
      <c r="B21" s="192">
        <v>1</v>
      </c>
      <c r="C21" s="192">
        <v>1</v>
      </c>
      <c r="D21" s="176" t="s">
        <v>115</v>
      </c>
      <c r="E21" s="256" t="s">
        <v>244</v>
      </c>
      <c r="F21" s="216" t="s">
        <v>252</v>
      </c>
    </row>
    <row r="24" spans="1:7" ht="23.1" customHeight="1">
      <c r="A24" s="85" t="s">
        <v>253</v>
      </c>
      <c r="B24" s="85" t="s">
        <v>253</v>
      </c>
      <c r="C24" s="85" t="s">
        <v>253</v>
      </c>
      <c r="D24" s="85" t="s">
        <v>253</v>
      </c>
      <c r="E24" s="85" t="s">
        <v>253</v>
      </c>
      <c r="F24" s="85" t="s">
        <v>253</v>
      </c>
      <c r="G24" s="85" t="s">
        <v>253</v>
      </c>
    </row>
    <row r="25" spans="1:7" ht="27" customHeight="1">
      <c r="A25" s="159" t="s">
        <v>254</v>
      </c>
      <c r="B25" s="160" t="s">
        <v>255</v>
      </c>
      <c r="C25" s="160" t="s">
        <v>256</v>
      </c>
      <c r="D25" s="160" t="s">
        <v>257</v>
      </c>
      <c r="E25" s="160" t="s">
        <v>113</v>
      </c>
      <c r="F25" s="161" t="s">
        <v>76</v>
      </c>
    </row>
    <row r="26" spans="1:7" ht="19" customHeight="1">
      <c r="A26" s="163" t="s">
        <v>79</v>
      </c>
      <c r="B26" s="261">
        <f>COUNTA('09_BASE_AUDITABLE'!$A$2:$A$3666)</f>
        <v>3665</v>
      </c>
      <c r="C26" s="261">
        <v>3665</v>
      </c>
      <c r="D26" s="261">
        <v>0</v>
      </c>
      <c r="E26" s="165" t="str">
        <f t="shared" ref="E26:E35" si="0">IF(ABS(B26-C26)&lt;=D26,"CUMPLE","NO CUMPLE")</f>
        <v>CUMPLE</v>
      </c>
      <c r="F26" s="167" t="s">
        <v>34</v>
      </c>
    </row>
    <row r="27" spans="1:7" ht="19" customHeight="1">
      <c r="A27" s="168" t="s">
        <v>258</v>
      </c>
      <c r="B27" s="262">
        <f>SUM('09_BASE_AUDITABLE'!$B$2:$B$3666)</f>
        <v>1735</v>
      </c>
      <c r="C27" s="262">
        <v>1735</v>
      </c>
      <c r="D27" s="262">
        <v>0</v>
      </c>
      <c r="E27" s="170" t="str">
        <f t="shared" si="0"/>
        <v>CUMPLE</v>
      </c>
      <c r="F27" s="172" t="s">
        <v>34</v>
      </c>
    </row>
    <row r="28" spans="1:7" ht="19" customHeight="1">
      <c r="A28" s="169" t="s">
        <v>259</v>
      </c>
      <c r="B28" s="263">
        <f>B26-B27</f>
        <v>1930</v>
      </c>
      <c r="C28" s="263">
        <v>1930</v>
      </c>
      <c r="D28" s="263">
        <v>0</v>
      </c>
      <c r="E28" s="171" t="str">
        <f t="shared" si="0"/>
        <v>CUMPLE</v>
      </c>
      <c r="F28" s="173" t="s">
        <v>34</v>
      </c>
    </row>
    <row r="29" spans="1:7" ht="19" customHeight="1">
      <c r="A29" s="168" t="s">
        <v>260</v>
      </c>
      <c r="B29" s="262">
        <f>SUM('09_BASE_AUDITABLE'!$Q$2:$Q$2077)</f>
        <v>89097</v>
      </c>
      <c r="C29" s="262">
        <v>89097</v>
      </c>
      <c r="D29" s="262">
        <v>9.9999999999999995E-7</v>
      </c>
      <c r="E29" s="170" t="str">
        <f t="shared" si="0"/>
        <v>CUMPLE</v>
      </c>
      <c r="F29" s="172" t="s">
        <v>34</v>
      </c>
    </row>
    <row r="30" spans="1:7" ht="19" customHeight="1">
      <c r="A30" s="169" t="s">
        <v>148</v>
      </c>
      <c r="B30" s="263">
        <f>COUNTA('09_BASE_AUDITABLE'!$L$2:$L$2077)</f>
        <v>2076</v>
      </c>
      <c r="C30" s="263">
        <v>2076</v>
      </c>
      <c r="D30" s="263">
        <v>0</v>
      </c>
      <c r="E30" s="171" t="str">
        <f t="shared" si="0"/>
        <v>CUMPLE</v>
      </c>
      <c r="F30" s="173" t="s">
        <v>34</v>
      </c>
    </row>
    <row r="31" spans="1:7" ht="19" customHeight="1">
      <c r="A31" s="168" t="s">
        <v>261</v>
      </c>
      <c r="B31" s="262">
        <f>COUNT('09_BASE_AUDITABLE'!$AA$2:$AA$4001)</f>
        <v>4000</v>
      </c>
      <c r="C31" s="262">
        <v>4000</v>
      </c>
      <c r="D31" s="262">
        <v>0</v>
      </c>
      <c r="E31" s="170" t="str">
        <f t="shared" si="0"/>
        <v>CUMPLE</v>
      </c>
      <c r="F31" s="172" t="s">
        <v>262</v>
      </c>
    </row>
    <row r="32" spans="1:7" ht="19" customHeight="1">
      <c r="A32" s="169" t="s">
        <v>263</v>
      </c>
      <c r="B32" s="263">
        <f>COUNT('09_BASE_AUDITABLE'!$AE$2:$AE$4001)</f>
        <v>4000</v>
      </c>
      <c r="C32" s="263">
        <v>4000</v>
      </c>
      <c r="D32" s="263">
        <v>0</v>
      </c>
      <c r="E32" s="171" t="str">
        <f t="shared" si="0"/>
        <v>CUMPLE</v>
      </c>
      <c r="F32" s="173" t="s">
        <v>262</v>
      </c>
    </row>
    <row r="33" spans="1:7" ht="19" customHeight="1">
      <c r="A33" s="168" t="s">
        <v>264</v>
      </c>
      <c r="B33" s="262">
        <f>'01_RESULTADO_AGOSTO'!B8+'01_RESULTADO_AGOSTO'!C8</f>
        <v>1</v>
      </c>
      <c r="C33" s="262">
        <v>1</v>
      </c>
      <c r="D33" s="262">
        <v>1E-10</v>
      </c>
      <c r="E33" s="170" t="str">
        <f t="shared" si="0"/>
        <v>CUMPLE</v>
      </c>
      <c r="F33" s="172" t="s">
        <v>265</v>
      </c>
    </row>
    <row r="34" spans="1:7" ht="19" customHeight="1">
      <c r="A34" s="169" t="s">
        <v>266</v>
      </c>
      <c r="B34" s="263">
        <f>COUNTA('07_SENSIBILIDAD'!$A$18:$A$24)</f>
        <v>7</v>
      </c>
      <c r="C34" s="263">
        <v>7</v>
      </c>
      <c r="D34" s="263">
        <v>0</v>
      </c>
      <c r="E34" s="171" t="str">
        <f t="shared" si="0"/>
        <v>CUMPLE</v>
      </c>
      <c r="F34" s="173" t="s">
        <v>267</v>
      </c>
    </row>
    <row r="35" spans="1:7" ht="19" customHeight="1">
      <c r="A35" s="174" t="s">
        <v>268</v>
      </c>
      <c r="B35" s="264">
        <f>COUNTA('07_SENSIBILIDAD'!$A$6:$A$12)</f>
        <v>7</v>
      </c>
      <c r="C35" s="264">
        <v>7</v>
      </c>
      <c r="D35" s="264">
        <v>0</v>
      </c>
      <c r="E35" s="176" t="str">
        <f t="shared" si="0"/>
        <v>CUMPLE</v>
      </c>
      <c r="F35" s="178" t="s">
        <v>267</v>
      </c>
    </row>
    <row r="38" spans="1:7" ht="23.1" customHeight="1">
      <c r="A38" s="85" t="s">
        <v>269</v>
      </c>
      <c r="B38" s="85" t="s">
        <v>269</v>
      </c>
      <c r="C38" s="85" t="s">
        <v>269</v>
      </c>
      <c r="D38" s="85" t="s">
        <v>269</v>
      </c>
      <c r="E38" s="85" t="s">
        <v>269</v>
      </c>
      <c r="F38" s="85" t="s">
        <v>269</v>
      </c>
      <c r="G38" s="85" t="s">
        <v>269</v>
      </c>
    </row>
    <row r="39" spans="1:7" ht="27" customHeight="1">
      <c r="A39" s="159" t="s">
        <v>270</v>
      </c>
      <c r="B39" s="160" t="s">
        <v>271</v>
      </c>
      <c r="C39" s="160" t="s">
        <v>272</v>
      </c>
      <c r="D39" s="160" t="s">
        <v>273</v>
      </c>
      <c r="E39" s="161" t="s">
        <v>113</v>
      </c>
    </row>
    <row r="40" spans="1:7" ht="33.950000000000003" customHeight="1">
      <c r="A40" s="241" t="s">
        <v>274</v>
      </c>
      <c r="B40" s="245" t="s">
        <v>225</v>
      </c>
      <c r="C40" s="245" t="s">
        <v>275</v>
      </c>
      <c r="D40" s="245" t="s">
        <v>276</v>
      </c>
      <c r="E40" s="213" t="s">
        <v>115</v>
      </c>
    </row>
    <row r="41" spans="1:7" ht="33.950000000000003" customHeight="1">
      <c r="A41" s="246" t="s">
        <v>277</v>
      </c>
      <c r="B41" s="250" t="s">
        <v>225</v>
      </c>
      <c r="C41" s="250" t="s">
        <v>278</v>
      </c>
      <c r="D41" s="250" t="s">
        <v>279</v>
      </c>
      <c r="E41" s="214" t="s">
        <v>130</v>
      </c>
    </row>
    <row r="42" spans="1:7" ht="33.950000000000003" customHeight="1">
      <c r="A42" s="247" t="s">
        <v>280</v>
      </c>
      <c r="B42" s="251" t="s">
        <v>225</v>
      </c>
      <c r="C42" s="251" t="s">
        <v>281</v>
      </c>
      <c r="D42" s="251" t="s">
        <v>279</v>
      </c>
      <c r="E42" s="215" t="s">
        <v>130</v>
      </c>
    </row>
    <row r="43" spans="1:7" ht="33.950000000000003" customHeight="1">
      <c r="A43" s="246" t="s">
        <v>282</v>
      </c>
      <c r="B43" s="250" t="s">
        <v>225</v>
      </c>
      <c r="C43" s="250" t="s">
        <v>283</v>
      </c>
      <c r="D43" s="250" t="s">
        <v>279</v>
      </c>
      <c r="E43" s="214" t="s">
        <v>130</v>
      </c>
    </row>
    <row r="44" spans="1:7" ht="33.950000000000003" customHeight="1">
      <c r="A44" s="247" t="s">
        <v>284</v>
      </c>
      <c r="B44" s="251" t="s">
        <v>225</v>
      </c>
      <c r="C44" s="251" t="s">
        <v>285</v>
      </c>
      <c r="D44" s="251" t="s">
        <v>286</v>
      </c>
      <c r="E44" s="215" t="s">
        <v>130</v>
      </c>
    </row>
    <row r="45" spans="1:7" ht="33.950000000000003" customHeight="1">
      <c r="A45" s="246" t="s">
        <v>287</v>
      </c>
      <c r="B45" s="250" t="s">
        <v>225</v>
      </c>
      <c r="C45" s="250" t="s">
        <v>288</v>
      </c>
      <c r="D45" s="250" t="s">
        <v>289</v>
      </c>
      <c r="E45" s="214" t="s">
        <v>130</v>
      </c>
    </row>
    <row r="46" spans="1:7" ht="33.950000000000003" customHeight="1">
      <c r="A46" s="255" t="s">
        <v>290</v>
      </c>
      <c r="B46" s="257" t="s">
        <v>225</v>
      </c>
      <c r="C46" s="257" t="s">
        <v>291</v>
      </c>
      <c r="D46" s="257" t="s">
        <v>292</v>
      </c>
      <c r="E46" s="217" t="s">
        <v>130</v>
      </c>
    </row>
    <row r="49" spans="1:13">
      <c r="A49" s="122" t="s">
        <v>293</v>
      </c>
      <c r="B49" s="123" t="s">
        <v>293</v>
      </c>
      <c r="C49" s="123" t="s">
        <v>293</v>
      </c>
      <c r="D49" s="123" t="s">
        <v>293</v>
      </c>
      <c r="E49" s="123" t="s">
        <v>293</v>
      </c>
      <c r="F49" s="123" t="s">
        <v>293</v>
      </c>
      <c r="G49" s="123" t="s">
        <v>293</v>
      </c>
      <c r="H49" s="123" t="s">
        <v>293</v>
      </c>
      <c r="I49" s="123" t="s">
        <v>293</v>
      </c>
      <c r="J49" s="123" t="s">
        <v>293</v>
      </c>
      <c r="K49" s="123" t="s">
        <v>293</v>
      </c>
      <c r="L49" s="123" t="s">
        <v>293</v>
      </c>
      <c r="M49" s="124" t="s">
        <v>293</v>
      </c>
    </row>
    <row r="50" spans="1:13">
      <c r="A50" s="125" t="s">
        <v>293</v>
      </c>
      <c r="B50" s="126" t="s">
        <v>293</v>
      </c>
      <c r="C50" s="126" t="s">
        <v>293</v>
      </c>
      <c r="D50" s="126" t="s">
        <v>293</v>
      </c>
      <c r="E50" s="126" t="s">
        <v>293</v>
      </c>
      <c r="F50" s="126" t="s">
        <v>293</v>
      </c>
      <c r="G50" s="126" t="s">
        <v>293</v>
      </c>
      <c r="H50" s="126" t="s">
        <v>293</v>
      </c>
      <c r="I50" s="126" t="s">
        <v>293</v>
      </c>
      <c r="J50" s="126" t="s">
        <v>293</v>
      </c>
      <c r="K50" s="126" t="s">
        <v>293</v>
      </c>
      <c r="L50" s="126" t="s">
        <v>293</v>
      </c>
      <c r="M50" s="127" t="s">
        <v>293</v>
      </c>
    </row>
    <row r="51" spans="1:13">
      <c r="A51" s="125" t="s">
        <v>293</v>
      </c>
      <c r="B51" s="126" t="s">
        <v>293</v>
      </c>
      <c r="C51" s="126" t="s">
        <v>293</v>
      </c>
      <c r="D51" s="126" t="s">
        <v>293</v>
      </c>
      <c r="E51" s="126" t="s">
        <v>293</v>
      </c>
      <c r="F51" s="126" t="s">
        <v>293</v>
      </c>
      <c r="G51" s="126" t="s">
        <v>293</v>
      </c>
      <c r="H51" s="126" t="s">
        <v>293</v>
      </c>
      <c r="I51" s="126" t="s">
        <v>293</v>
      </c>
      <c r="J51" s="126" t="s">
        <v>293</v>
      </c>
      <c r="K51" s="126" t="s">
        <v>293</v>
      </c>
      <c r="L51" s="126" t="s">
        <v>293</v>
      </c>
      <c r="M51" s="127" t="s">
        <v>293</v>
      </c>
    </row>
    <row r="52" spans="1:13">
      <c r="A52" s="125" t="s">
        <v>293</v>
      </c>
      <c r="B52" s="126" t="s">
        <v>293</v>
      </c>
      <c r="C52" s="126" t="s">
        <v>293</v>
      </c>
      <c r="D52" s="126" t="s">
        <v>293</v>
      </c>
      <c r="E52" s="126" t="s">
        <v>293</v>
      </c>
      <c r="F52" s="126" t="s">
        <v>293</v>
      </c>
      <c r="G52" s="126" t="s">
        <v>293</v>
      </c>
      <c r="H52" s="126" t="s">
        <v>293</v>
      </c>
      <c r="I52" s="126" t="s">
        <v>293</v>
      </c>
      <c r="J52" s="126" t="s">
        <v>293</v>
      </c>
      <c r="K52" s="126" t="s">
        <v>293</v>
      </c>
      <c r="L52" s="126" t="s">
        <v>293</v>
      </c>
      <c r="M52" s="127" t="s">
        <v>293</v>
      </c>
    </row>
    <row r="53" spans="1:13">
      <c r="A53" s="128" t="s">
        <v>293</v>
      </c>
      <c r="B53" s="129" t="s">
        <v>293</v>
      </c>
      <c r="C53" s="129" t="s">
        <v>293</v>
      </c>
      <c r="D53" s="129" t="s">
        <v>293</v>
      </c>
      <c r="E53" s="129" t="s">
        <v>293</v>
      </c>
      <c r="F53" s="129" t="s">
        <v>293</v>
      </c>
      <c r="G53" s="129" t="s">
        <v>293</v>
      </c>
      <c r="H53" s="129" t="s">
        <v>293</v>
      </c>
      <c r="I53" s="129" t="s">
        <v>293</v>
      </c>
      <c r="J53" s="129" t="s">
        <v>293</v>
      </c>
      <c r="K53" s="129" t="s">
        <v>293</v>
      </c>
      <c r="L53" s="129" t="s">
        <v>293</v>
      </c>
      <c r="M53" s="130" t="s">
        <v>293</v>
      </c>
    </row>
  </sheetData>
  <mergeCells count="6">
    <mergeCell ref="A49:M53"/>
    <mergeCell ref="A1:M1"/>
    <mergeCell ref="A2:M2"/>
    <mergeCell ref="A12:G12"/>
    <mergeCell ref="A24:G24"/>
    <mergeCell ref="A38:G38"/>
  </mergeCells>
  <conditionalFormatting sqref="F6:F9">
    <cfRule type="containsText" dxfId="11" priority="1" operator="containsText" text="CUMPLE"/>
    <cfRule type="containsText" dxfId="10" priority="2" operator="containsText" text="REVISAR"/>
    <cfRule type="containsText" dxfId="9" priority="3" operator="containsText" text="NO CUMPLE"/>
  </conditionalFormatting>
  <conditionalFormatting sqref="D14:D21">
    <cfRule type="containsText" dxfId="8" priority="4" operator="containsText" text="CUMPLE"/>
    <cfRule type="containsText" dxfId="7" priority="5" operator="containsText" text="REVISAR"/>
    <cfRule type="containsText" dxfId="6" priority="6" operator="containsText" text="NO CUMPLE"/>
  </conditionalFormatting>
  <conditionalFormatting sqref="E26:E35">
    <cfRule type="containsText" dxfId="5" priority="7" operator="containsText" text="CUMPLE"/>
    <cfRule type="containsText" dxfId="4" priority="8" operator="containsText" text="REVISAR"/>
    <cfRule type="containsText" dxfId="3" priority="9" operator="containsText" text="NO CUMPLE"/>
  </conditionalFormatting>
  <conditionalFormatting sqref="E40:E46">
    <cfRule type="containsText" dxfId="2" priority="10" operator="containsText" text="CUMPLE"/>
    <cfRule type="containsText" dxfId="1" priority="11" operator="containsText" text="REVISAR"/>
    <cfRule type="containsText" dxfId="0" priority="12" operator="containsText" text="NO CUMPLE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6B78"/>
  </sheetPr>
  <dimension ref="A1:L45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10" defaultColWidth="9" defaultRowHeight="14.25"/>
  <cols>
    <col min="1" max="5" width="18" customWidth="1"/>
    <col min="6" max="6" width="28" customWidth="1"/>
    <col min="7" max="7" width="3" customWidth="1"/>
    <col min="8" max="11" width="16" customWidth="1"/>
    <col min="12" max="12" width="4" customWidth="1"/>
  </cols>
  <sheetData>
    <row r="1" spans="1:12" ht="30" customHeight="1">
      <c r="A1" s="80" t="s">
        <v>294</v>
      </c>
      <c r="B1" s="80" t="s">
        <v>294</v>
      </c>
      <c r="C1" s="80" t="s">
        <v>294</v>
      </c>
      <c r="D1" s="80" t="s">
        <v>294</v>
      </c>
      <c r="E1" s="80" t="s">
        <v>294</v>
      </c>
      <c r="F1" s="80" t="s">
        <v>294</v>
      </c>
      <c r="G1" s="80" t="s">
        <v>294</v>
      </c>
      <c r="H1" s="80" t="s">
        <v>294</v>
      </c>
      <c r="I1" s="80" t="s">
        <v>294</v>
      </c>
      <c r="J1" s="80" t="s">
        <v>294</v>
      </c>
      <c r="K1" s="80" t="s">
        <v>294</v>
      </c>
      <c r="L1" s="80" t="s">
        <v>294</v>
      </c>
    </row>
    <row r="2" spans="1:12" ht="32.1" customHeight="1">
      <c r="A2" s="81" t="s">
        <v>295</v>
      </c>
      <c r="B2" s="81" t="s">
        <v>295</v>
      </c>
      <c r="C2" s="81" t="s">
        <v>295</v>
      </c>
      <c r="D2" s="81" t="s">
        <v>295</v>
      </c>
      <c r="E2" s="81" t="s">
        <v>295</v>
      </c>
      <c r="F2" s="81" t="s">
        <v>295</v>
      </c>
      <c r="G2" s="81" t="s">
        <v>295</v>
      </c>
      <c r="H2" s="81" t="s">
        <v>295</v>
      </c>
      <c r="I2" s="81" t="s">
        <v>295</v>
      </c>
      <c r="J2" s="81" t="s">
        <v>295</v>
      </c>
      <c r="K2" s="81" t="s">
        <v>295</v>
      </c>
      <c r="L2" s="81" t="s">
        <v>295</v>
      </c>
    </row>
    <row r="5" spans="1:12" ht="27" customHeight="1">
      <c r="A5" s="159" t="s">
        <v>296</v>
      </c>
      <c r="B5" s="160" t="s">
        <v>297</v>
      </c>
      <c r="C5" s="160" t="s">
        <v>298</v>
      </c>
      <c r="D5" s="160" t="s">
        <v>299</v>
      </c>
      <c r="E5" s="160" t="s">
        <v>300</v>
      </c>
      <c r="F5" s="161" t="s">
        <v>35</v>
      </c>
    </row>
    <row r="6" spans="1:12" ht="19" customHeight="1">
      <c r="A6" s="267">
        <v>1</v>
      </c>
      <c r="B6" s="195">
        <f>PERCENTILE('09_BASE_AUDITABLE'!$AA$2:$AA$4001,0.025)</f>
        <v>0.46890806833344228</v>
      </c>
      <c r="C6" s="195">
        <f>PERCENTILE('09_BASE_AUDITABLE'!$AA$2:$AA$4001,0.975)</f>
        <v>0.50249399280084284</v>
      </c>
      <c r="D6" s="195">
        <f t="shared" ref="D6:D12" si="0">B6/(B6+A6*(1-B6))</f>
        <v>0.46890806833344228</v>
      </c>
      <c r="E6" s="195">
        <f t="shared" ref="E6:E12" si="1">A6*C6/(A6*C6+(1-C6))</f>
        <v>0.50249399280084284</v>
      </c>
      <c r="F6" s="158" t="s">
        <v>301</v>
      </c>
    </row>
    <row r="7" spans="1:12" ht="19" customHeight="1">
      <c r="A7" s="266">
        <v>1.1000000000000001</v>
      </c>
      <c r="B7" s="194">
        <f>PERCENTILE('09_BASE_AUDITABLE'!$AA$2:$AA$4001,0.025)</f>
        <v>0.46890806833344228</v>
      </c>
      <c r="C7" s="194">
        <f>PERCENTILE('09_BASE_AUDITABLE'!$AA$2:$AA$4001,0.975)</f>
        <v>0.50249399280084284</v>
      </c>
      <c r="D7" s="194">
        <f t="shared" si="0"/>
        <v>0.44526063524662157</v>
      </c>
      <c r="E7" s="194">
        <f t="shared" si="1"/>
        <v>0.5262972704005513</v>
      </c>
      <c r="F7" s="157" t="s">
        <v>302</v>
      </c>
    </row>
    <row r="8" spans="1:12" ht="19" customHeight="1">
      <c r="A8" s="267">
        <v>1.25</v>
      </c>
      <c r="B8" s="195">
        <f>PERCENTILE('09_BASE_AUDITABLE'!$AA$2:$AA$4001,0.025)</f>
        <v>0.46890806833344228</v>
      </c>
      <c r="C8" s="195">
        <f>PERCENTILE('09_BASE_AUDITABLE'!$AA$2:$AA$4001,0.975)</f>
        <v>0.50249399280084284</v>
      </c>
      <c r="D8" s="195">
        <f t="shared" si="0"/>
        <v>0.41394707978125322</v>
      </c>
      <c r="E8" s="195">
        <f t="shared" si="1"/>
        <v>0.55801739392022931</v>
      </c>
      <c r="F8" s="158" t="s">
        <v>302</v>
      </c>
    </row>
    <row r="9" spans="1:12" ht="19" customHeight="1">
      <c r="A9" s="266">
        <v>1.5</v>
      </c>
      <c r="B9" s="194">
        <f>PERCENTILE('09_BASE_AUDITABLE'!$AA$2:$AA$4001,0.025)</f>
        <v>0.46890806833344228</v>
      </c>
      <c r="C9" s="194">
        <f>PERCENTILE('09_BASE_AUDITABLE'!$AA$2:$AA$4001,0.975)</f>
        <v>0.50249399280084284</v>
      </c>
      <c r="D9" s="194">
        <f t="shared" si="0"/>
        <v>0.37051840153802484</v>
      </c>
      <c r="E9" s="194">
        <f t="shared" si="1"/>
        <v>0.6023918469891405</v>
      </c>
      <c r="F9" s="157" t="s">
        <v>302</v>
      </c>
    </row>
    <row r="10" spans="1:12" ht="19" customHeight="1">
      <c r="A10" s="267">
        <v>2</v>
      </c>
      <c r="B10" s="195">
        <f>PERCENTILE('09_BASE_AUDITABLE'!$AA$2:$AA$4001,0.025)</f>
        <v>0.46890806833344228</v>
      </c>
      <c r="C10" s="195">
        <f>PERCENTILE('09_BASE_AUDITABLE'!$AA$2:$AA$4001,0.975)</f>
        <v>0.50249399280084284</v>
      </c>
      <c r="D10" s="195">
        <f t="shared" si="0"/>
        <v>0.30625729169838078</v>
      </c>
      <c r="E10" s="195">
        <f t="shared" si="1"/>
        <v>0.66887986934860111</v>
      </c>
      <c r="F10" s="158" t="s">
        <v>302</v>
      </c>
    </row>
    <row r="11" spans="1:12" ht="19" customHeight="1">
      <c r="A11" s="266">
        <v>3</v>
      </c>
      <c r="B11" s="194">
        <f>PERCENTILE('09_BASE_AUDITABLE'!$AA$2:$AA$4001,0.025)</f>
        <v>0.46890806833344228</v>
      </c>
      <c r="C11" s="194">
        <f>PERCENTILE('09_BASE_AUDITABLE'!$AA$2:$AA$4001,0.975)</f>
        <v>0.50249399280084284</v>
      </c>
      <c r="D11" s="194">
        <f t="shared" si="0"/>
        <v>0.22738421955040636</v>
      </c>
      <c r="E11" s="194">
        <f t="shared" si="1"/>
        <v>0.75186584120609656</v>
      </c>
      <c r="F11" s="157" t="s">
        <v>302</v>
      </c>
    </row>
    <row r="12" spans="1:12" ht="19" customHeight="1">
      <c r="A12" s="267">
        <v>4</v>
      </c>
      <c r="B12" s="195">
        <f>PERCENTILE('09_BASE_AUDITABLE'!$AA$2:$AA$4001,0.025)</f>
        <v>0.46890806833344228</v>
      </c>
      <c r="C12" s="195">
        <f>PERCENTILE('09_BASE_AUDITABLE'!$AA$2:$AA$4001,0.975)</f>
        <v>0.50249399280084284</v>
      </c>
      <c r="D12" s="195">
        <f t="shared" si="0"/>
        <v>0.18081689160774411</v>
      </c>
      <c r="E12" s="195">
        <f t="shared" si="1"/>
        <v>0.80159139268625601</v>
      </c>
      <c r="F12" s="158" t="s">
        <v>302</v>
      </c>
    </row>
    <row r="16" spans="1:12" ht="23.1" customHeight="1">
      <c r="A16" s="85" t="s">
        <v>303</v>
      </c>
      <c r="B16" s="85" t="s">
        <v>303</v>
      </c>
      <c r="C16" s="85" t="s">
        <v>303</v>
      </c>
      <c r="D16" s="85" t="s">
        <v>303</v>
      </c>
      <c r="E16" s="85" t="s">
        <v>303</v>
      </c>
      <c r="F16" s="85" t="s">
        <v>303</v>
      </c>
    </row>
    <row r="17" spans="1:6" ht="27" customHeight="1">
      <c r="A17" s="159" t="s">
        <v>296</v>
      </c>
      <c r="B17" s="160" t="s">
        <v>297</v>
      </c>
      <c r="C17" s="160" t="s">
        <v>298</v>
      </c>
      <c r="D17" s="160" t="s">
        <v>299</v>
      </c>
      <c r="E17" s="160" t="s">
        <v>300</v>
      </c>
      <c r="F17" s="161" t="s">
        <v>35</v>
      </c>
    </row>
    <row r="18" spans="1:6" ht="19" customHeight="1">
      <c r="A18" s="267">
        <v>1</v>
      </c>
      <c r="B18" s="195">
        <f>PERCENTILE('09_BASE_AUDITABLE'!$AE$2:$AE$4001,0.025)</f>
        <v>0.4622229320297036</v>
      </c>
      <c r="C18" s="195">
        <f>PERCENTILE('09_BASE_AUDITABLE'!$AE$2:$AE$4001,0.975)</f>
        <v>0.49540912429646117</v>
      </c>
      <c r="D18" s="195">
        <f t="shared" ref="D18:D24" si="2">B18/(B18+A18*(1-B18))</f>
        <v>0.4622229320297036</v>
      </c>
      <c r="E18" s="195">
        <f t="shared" ref="E18:E24" si="3">A18*C18/(A18*C18+(1-C18))</f>
        <v>0.49540912429646117</v>
      </c>
      <c r="F18" s="158" t="s">
        <v>301</v>
      </c>
    </row>
    <row r="19" spans="1:6" ht="19" customHeight="1">
      <c r="A19" s="266">
        <v>1.1000000000000001</v>
      </c>
      <c r="B19" s="194">
        <f>PERCENTILE('09_BASE_AUDITABLE'!$AE$2:$AE$4001,0.025)</f>
        <v>0.4622229320297036</v>
      </c>
      <c r="C19" s="194">
        <f>PERCENTILE('09_BASE_AUDITABLE'!$AE$2:$AE$4001,0.975)</f>
        <v>0.49540912429646117</v>
      </c>
      <c r="D19" s="194">
        <f t="shared" si="2"/>
        <v>0.4386341911090868</v>
      </c>
      <c r="E19" s="194">
        <f t="shared" si="3"/>
        <v>0.51922705467914465</v>
      </c>
      <c r="F19" s="157" t="s">
        <v>302</v>
      </c>
    </row>
    <row r="20" spans="1:6" ht="19" customHeight="1">
      <c r="A20" s="267">
        <v>1.25</v>
      </c>
      <c r="B20" s="195">
        <f>PERCENTILE('09_BASE_AUDITABLE'!$AE$2:$AE$4001,0.025)</f>
        <v>0.4622229320297036</v>
      </c>
      <c r="C20" s="195">
        <f>PERCENTILE('09_BASE_AUDITABLE'!$AE$2:$AE$4001,0.975)</f>
        <v>0.49540912429646117</v>
      </c>
      <c r="D20" s="195">
        <f t="shared" si="2"/>
        <v>0.40744437208454709</v>
      </c>
      <c r="E20" s="195">
        <f t="shared" si="3"/>
        <v>0.55101672684128999</v>
      </c>
      <c r="F20" s="158" t="s">
        <v>302</v>
      </c>
    </row>
    <row r="21" spans="1:6" ht="19" customHeight="1">
      <c r="A21" s="266">
        <v>1.5</v>
      </c>
      <c r="B21" s="194">
        <f>PERCENTILE('09_BASE_AUDITABLE'!$AE$2:$AE$4001,0.025)</f>
        <v>0.4622229320297036</v>
      </c>
      <c r="C21" s="194">
        <f>PERCENTILE('09_BASE_AUDITABLE'!$AE$2:$AE$4001,0.975)</f>
        <v>0.49540912429646117</v>
      </c>
      <c r="D21" s="194">
        <f t="shared" si="2"/>
        <v>0.36427386618272783</v>
      </c>
      <c r="E21" s="194">
        <f t="shared" si="3"/>
        <v>0.59558465119758675</v>
      </c>
      <c r="F21" s="157" t="s">
        <v>302</v>
      </c>
    </row>
    <row r="22" spans="1:6" ht="19" customHeight="1">
      <c r="A22" s="267">
        <v>2</v>
      </c>
      <c r="B22" s="195">
        <f>PERCENTILE('09_BASE_AUDITABLE'!$AE$2:$AE$4001,0.025)</f>
        <v>0.4622229320297036</v>
      </c>
      <c r="C22" s="195">
        <f>PERCENTILE('09_BASE_AUDITABLE'!$AE$2:$AE$4001,0.975)</f>
        <v>0.49540912429646117</v>
      </c>
      <c r="D22" s="195">
        <f t="shared" si="2"/>
        <v>0.30057863500317972</v>
      </c>
      <c r="E22" s="195">
        <f t="shared" si="3"/>
        <v>0.66257336035653014</v>
      </c>
      <c r="F22" s="158" t="s">
        <v>302</v>
      </c>
    </row>
    <row r="23" spans="1:6" ht="19" customHeight="1">
      <c r="A23" s="266">
        <v>3</v>
      </c>
      <c r="B23" s="194">
        <f>PERCENTILE('09_BASE_AUDITABLE'!$AE$2:$AE$4001,0.025)</f>
        <v>0.4622229320297036</v>
      </c>
      <c r="C23" s="194">
        <f>PERCENTILE('09_BASE_AUDITABLE'!$AE$2:$AE$4001,0.975)</f>
        <v>0.49540912429646117</v>
      </c>
      <c r="D23" s="194">
        <f t="shared" si="2"/>
        <v>0.22269856710831343</v>
      </c>
      <c r="E23" s="194">
        <f t="shared" si="3"/>
        <v>0.74654096321440921</v>
      </c>
      <c r="F23" s="157" t="s">
        <v>302</v>
      </c>
    </row>
    <row r="24" spans="1:6" ht="19" customHeight="1">
      <c r="A24" s="267">
        <v>4</v>
      </c>
      <c r="B24" s="195">
        <f>PERCENTILE('09_BASE_AUDITABLE'!$AE$2:$AE$4001,0.025)</f>
        <v>0.4622229320297036</v>
      </c>
      <c r="C24" s="195">
        <f>PERCENTILE('09_BASE_AUDITABLE'!$AE$2:$AE$4001,0.975)</f>
        <v>0.49540912429646117</v>
      </c>
      <c r="D24" s="195">
        <f t="shared" si="2"/>
        <v>0.1768711640292589</v>
      </c>
      <c r="E24" s="195">
        <f t="shared" si="3"/>
        <v>0.79704556340833543</v>
      </c>
      <c r="F24" s="158" t="s">
        <v>302</v>
      </c>
    </row>
    <row r="27" spans="1:6" ht="23.1" customHeight="1">
      <c r="A27" s="85" t="s">
        <v>304</v>
      </c>
      <c r="B27" s="85" t="s">
        <v>304</v>
      </c>
      <c r="C27" s="85" t="s">
        <v>304</v>
      </c>
      <c r="D27" s="85" t="s">
        <v>304</v>
      </c>
      <c r="E27" s="85" t="s">
        <v>304</v>
      </c>
      <c r="F27" s="85" t="s">
        <v>304</v>
      </c>
    </row>
    <row r="28" spans="1:6" ht="27" customHeight="1">
      <c r="A28" s="159" t="s">
        <v>82</v>
      </c>
      <c r="B28" s="160" t="s">
        <v>29</v>
      </c>
      <c r="C28" s="160" t="s">
        <v>305</v>
      </c>
      <c r="D28" s="161" t="s">
        <v>35</v>
      </c>
    </row>
    <row r="29" spans="1:6" ht="19" customHeight="1">
      <c r="A29" s="157" t="s">
        <v>144</v>
      </c>
      <c r="B29" s="194">
        <f>SUMPRODUCT('09_BASE_AUDITABLE'!$B$2:$B$3666,'09_BASE_AUDITABLE'!$G$2:$G$3666)/SUM('09_BASE_AUDITABLE'!$G$2:$G$3666)</f>
        <v>0.48881864594740032</v>
      </c>
      <c r="C29" s="196">
        <f>(B29-$B$30)*100</f>
        <v>9.2953654227057037E-2</v>
      </c>
      <c r="D29" s="157" t="s">
        <v>306</v>
      </c>
    </row>
    <row r="30" spans="1:6" ht="19" customHeight="1">
      <c r="A30" s="158" t="s">
        <v>142</v>
      </c>
      <c r="B30" s="195">
        <f>SUMPRODUCT('09_BASE_AUDITABLE'!$B$2:$B$3666,'09_BASE_AUDITABLE'!$H$2:$H$3666)/SUM('09_BASE_AUDITABLE'!$H$2:$H$3666)</f>
        <v>0.48788910940512975</v>
      </c>
      <c r="C30" s="197">
        <f>0</f>
        <v>0</v>
      </c>
      <c r="D30" s="158" t="s">
        <v>307</v>
      </c>
    </row>
    <row r="31" spans="1:6" ht="19" customHeight="1">
      <c r="A31" s="157" t="s">
        <v>141</v>
      </c>
      <c r="B31" s="194">
        <f>SUMPRODUCT('09_BASE_AUDITABLE'!$B$2:$B$3666,'09_BASE_AUDITABLE'!$I$2:$I$3666)/SUM('09_BASE_AUDITABLE'!$I$2:$I$3666)</f>
        <v>0.4883636050102812</v>
      </c>
      <c r="C31" s="196">
        <f>(B31-$B$30)*100</f>
        <v>4.7449560515144817E-2</v>
      </c>
      <c r="D31" s="157" t="s">
        <v>86</v>
      </c>
    </row>
    <row r="34" spans="1:12" ht="23.1" customHeight="1">
      <c r="A34" s="85" t="s">
        <v>308</v>
      </c>
      <c r="B34" s="85" t="s">
        <v>308</v>
      </c>
      <c r="C34" s="85" t="s">
        <v>308</v>
      </c>
      <c r="D34" s="85" t="s">
        <v>308</v>
      </c>
      <c r="E34" s="85" t="s">
        <v>308</v>
      </c>
      <c r="F34" s="85" t="s">
        <v>308</v>
      </c>
    </row>
    <row r="35" spans="1:12" ht="27" customHeight="1">
      <c r="A35" s="159" t="s">
        <v>27</v>
      </c>
      <c r="B35" s="160" t="s">
        <v>29</v>
      </c>
      <c r="C35" s="160" t="s">
        <v>30</v>
      </c>
      <c r="D35" s="161" t="s">
        <v>309</v>
      </c>
    </row>
    <row r="36" spans="1:12" ht="19" customHeight="1">
      <c r="A36" s="158" t="s">
        <v>310</v>
      </c>
      <c r="B36" s="195">
        <f>AVERAGE('09_BASE_AUDITABLE'!$AA$2:$AA$4001)</f>
        <v>0.48586580638202498</v>
      </c>
      <c r="C36" s="195">
        <f>1-B36</f>
        <v>0.51413419361797508</v>
      </c>
      <c r="D36" s="197">
        <f>0</f>
        <v>0</v>
      </c>
    </row>
    <row r="37" spans="1:12" ht="19" customHeight="1">
      <c r="A37" s="157" t="s">
        <v>73</v>
      </c>
      <c r="B37" s="194">
        <f>AVERAGE('09_BASE_AUDITABLE'!$AE$2:$AE$4001)</f>
        <v>0.47895192081666954</v>
      </c>
      <c r="C37" s="194">
        <f>1-B37</f>
        <v>0.52104807918333051</v>
      </c>
      <c r="D37" s="196">
        <f>(B37-B36)*100</f>
        <v>-0.69138855653554376</v>
      </c>
    </row>
    <row r="38" spans="1:12" ht="19" customHeight="1">
      <c r="A38" s="158" t="s">
        <v>35</v>
      </c>
      <c r="B38" s="158" t="s">
        <v>311</v>
      </c>
    </row>
    <row r="41" spans="1:12">
      <c r="A41" s="122" t="s">
        <v>312</v>
      </c>
      <c r="B41" s="123" t="s">
        <v>312</v>
      </c>
      <c r="C41" s="123" t="s">
        <v>312</v>
      </c>
      <c r="D41" s="123" t="s">
        <v>312</v>
      </c>
      <c r="E41" s="123" t="s">
        <v>312</v>
      </c>
      <c r="F41" s="123" t="s">
        <v>312</v>
      </c>
      <c r="G41" s="123" t="s">
        <v>312</v>
      </c>
      <c r="H41" s="123" t="s">
        <v>312</v>
      </c>
      <c r="I41" s="123" t="s">
        <v>312</v>
      </c>
      <c r="J41" s="123" t="s">
        <v>312</v>
      </c>
      <c r="K41" s="123" t="s">
        <v>312</v>
      </c>
      <c r="L41" s="124" t="s">
        <v>312</v>
      </c>
    </row>
    <row r="42" spans="1:12">
      <c r="A42" s="125" t="s">
        <v>312</v>
      </c>
      <c r="B42" s="126" t="s">
        <v>312</v>
      </c>
      <c r="C42" s="126" t="s">
        <v>312</v>
      </c>
      <c r="D42" s="126" t="s">
        <v>312</v>
      </c>
      <c r="E42" s="126" t="s">
        <v>312</v>
      </c>
      <c r="F42" s="126" t="s">
        <v>312</v>
      </c>
      <c r="G42" s="126" t="s">
        <v>312</v>
      </c>
      <c r="H42" s="126" t="s">
        <v>312</v>
      </c>
      <c r="I42" s="126" t="s">
        <v>312</v>
      </c>
      <c r="J42" s="126" t="s">
        <v>312</v>
      </c>
      <c r="K42" s="126" t="s">
        <v>312</v>
      </c>
      <c r="L42" s="127" t="s">
        <v>312</v>
      </c>
    </row>
    <row r="43" spans="1:12">
      <c r="A43" s="125" t="s">
        <v>312</v>
      </c>
      <c r="B43" s="126" t="s">
        <v>312</v>
      </c>
      <c r="C43" s="126" t="s">
        <v>312</v>
      </c>
      <c r="D43" s="126" t="s">
        <v>312</v>
      </c>
      <c r="E43" s="126" t="s">
        <v>312</v>
      </c>
      <c r="F43" s="126" t="s">
        <v>312</v>
      </c>
      <c r="G43" s="126" t="s">
        <v>312</v>
      </c>
      <c r="H43" s="126" t="s">
        <v>312</v>
      </c>
      <c r="I43" s="126" t="s">
        <v>312</v>
      </c>
      <c r="J43" s="126" t="s">
        <v>312</v>
      </c>
      <c r="K43" s="126" t="s">
        <v>312</v>
      </c>
      <c r="L43" s="127" t="s">
        <v>312</v>
      </c>
    </row>
    <row r="44" spans="1:12">
      <c r="A44" s="125" t="s">
        <v>312</v>
      </c>
      <c r="B44" s="126" t="s">
        <v>312</v>
      </c>
      <c r="C44" s="126" t="s">
        <v>312</v>
      </c>
      <c r="D44" s="126" t="s">
        <v>312</v>
      </c>
      <c r="E44" s="126" t="s">
        <v>312</v>
      </c>
      <c r="F44" s="126" t="s">
        <v>312</v>
      </c>
      <c r="G44" s="126" t="s">
        <v>312</v>
      </c>
      <c r="H44" s="126" t="s">
        <v>312</v>
      </c>
      <c r="I44" s="126" t="s">
        <v>312</v>
      </c>
      <c r="J44" s="126" t="s">
        <v>312</v>
      </c>
      <c r="K44" s="126" t="s">
        <v>312</v>
      </c>
      <c r="L44" s="127" t="s">
        <v>312</v>
      </c>
    </row>
    <row r="45" spans="1:12">
      <c r="A45" s="128" t="s">
        <v>312</v>
      </c>
      <c r="B45" s="129" t="s">
        <v>312</v>
      </c>
      <c r="C45" s="129" t="s">
        <v>312</v>
      </c>
      <c r="D45" s="129" t="s">
        <v>312</v>
      </c>
      <c r="E45" s="129" t="s">
        <v>312</v>
      </c>
      <c r="F45" s="129" t="s">
        <v>312</v>
      </c>
      <c r="G45" s="129" t="s">
        <v>312</v>
      </c>
      <c r="H45" s="129" t="s">
        <v>312</v>
      </c>
      <c r="I45" s="129" t="s">
        <v>312</v>
      </c>
      <c r="J45" s="129" t="s">
        <v>312</v>
      </c>
      <c r="K45" s="129" t="s">
        <v>312</v>
      </c>
      <c r="L45" s="130" t="s">
        <v>312</v>
      </c>
    </row>
  </sheetData>
  <mergeCells count="6">
    <mergeCell ref="A41:L45"/>
    <mergeCell ref="A1:L1"/>
    <mergeCell ref="A2:L2"/>
    <mergeCell ref="A16:F16"/>
    <mergeCell ref="A27:F27"/>
    <mergeCell ref="A34:F3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A959E"/>
  </sheetPr>
  <dimension ref="A1:J72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10" defaultColWidth="9" defaultRowHeight="14.25"/>
  <cols>
    <col min="1" max="1" width="31" customWidth="1"/>
    <col min="2" max="2" width="38" customWidth="1"/>
    <col min="3" max="3" width="68" customWidth="1"/>
    <col min="4" max="4" width="30" customWidth="1"/>
    <col min="5" max="10" width="4" customWidth="1"/>
  </cols>
  <sheetData>
    <row r="1" spans="1:10" ht="30" customHeight="1">
      <c r="A1" s="80" t="s">
        <v>313</v>
      </c>
      <c r="B1" s="80" t="s">
        <v>313</v>
      </c>
      <c r="C1" s="80" t="s">
        <v>313</v>
      </c>
      <c r="D1" s="80" t="s">
        <v>313</v>
      </c>
      <c r="E1" s="80" t="s">
        <v>313</v>
      </c>
      <c r="F1" s="80" t="s">
        <v>313</v>
      </c>
      <c r="G1" s="80" t="s">
        <v>313</v>
      </c>
      <c r="H1" s="80" t="s">
        <v>313</v>
      </c>
      <c r="I1" s="80" t="s">
        <v>313</v>
      </c>
      <c r="J1" s="80" t="s">
        <v>313</v>
      </c>
    </row>
    <row r="2" spans="1:10" ht="32.1" customHeight="1">
      <c r="A2" s="81" t="s">
        <v>314</v>
      </c>
      <c r="B2" s="81" t="s">
        <v>314</v>
      </c>
      <c r="C2" s="81" t="s">
        <v>314</v>
      </c>
      <c r="D2" s="81" t="s">
        <v>314</v>
      </c>
      <c r="E2" s="81" t="s">
        <v>314</v>
      </c>
      <c r="F2" s="81" t="s">
        <v>314</v>
      </c>
      <c r="G2" s="81" t="s">
        <v>314</v>
      </c>
      <c r="H2" s="81" t="s">
        <v>314</v>
      </c>
      <c r="I2" s="81" t="s">
        <v>314</v>
      </c>
      <c r="J2" s="81" t="s">
        <v>314</v>
      </c>
    </row>
    <row r="4" spans="1:10" ht="23.1" customHeight="1">
      <c r="A4" s="85" t="s">
        <v>315</v>
      </c>
      <c r="B4" s="85" t="s">
        <v>315</v>
      </c>
      <c r="C4" s="85" t="s">
        <v>315</v>
      </c>
      <c r="D4" s="85" t="s">
        <v>315</v>
      </c>
      <c r="E4" s="85" t="s">
        <v>315</v>
      </c>
      <c r="F4" s="85" t="s">
        <v>315</v>
      </c>
      <c r="G4" s="85" t="s">
        <v>315</v>
      </c>
      <c r="H4" s="85" t="s">
        <v>315</v>
      </c>
      <c r="I4" s="85" t="s">
        <v>315</v>
      </c>
      <c r="J4" s="85" t="s">
        <v>315</v>
      </c>
    </row>
    <row r="5" spans="1:10" ht="27" customHeight="1">
      <c r="A5" s="159" t="s">
        <v>101</v>
      </c>
      <c r="B5" s="160" t="s">
        <v>316</v>
      </c>
      <c r="C5" s="160" t="s">
        <v>317</v>
      </c>
      <c r="D5" s="160"/>
      <c r="E5" s="160"/>
      <c r="F5" s="160"/>
      <c r="G5" s="160"/>
      <c r="H5" s="160"/>
      <c r="I5" s="160"/>
      <c r="J5" s="161"/>
    </row>
    <row r="6" spans="1:10">
      <c r="A6" s="219" t="s">
        <v>87</v>
      </c>
      <c r="B6" s="219" t="s">
        <v>88</v>
      </c>
      <c r="C6" s="219" t="s">
        <v>318</v>
      </c>
      <c r="D6" s="219"/>
      <c r="E6" s="219"/>
      <c r="F6" s="219"/>
      <c r="G6" s="219"/>
      <c r="H6" s="219"/>
      <c r="I6" s="219"/>
      <c r="J6" s="219"/>
    </row>
    <row r="7" spans="1:10">
      <c r="A7" s="218" t="s">
        <v>90</v>
      </c>
      <c r="B7" s="218" t="s">
        <v>91</v>
      </c>
      <c r="C7" s="218" t="s">
        <v>319</v>
      </c>
      <c r="D7" s="218"/>
      <c r="E7" s="218"/>
      <c r="F7" s="218"/>
      <c r="G7" s="218"/>
      <c r="H7" s="218"/>
      <c r="I7" s="218"/>
      <c r="J7" s="218"/>
    </row>
    <row r="8" spans="1:10">
      <c r="A8" s="219" t="s">
        <v>92</v>
      </c>
      <c r="B8" s="219" t="s">
        <v>320</v>
      </c>
      <c r="C8" s="219" t="s">
        <v>321</v>
      </c>
      <c r="D8" s="219"/>
      <c r="E8" s="219"/>
      <c r="F8" s="219"/>
      <c r="G8" s="219"/>
      <c r="H8" s="219"/>
      <c r="I8" s="219"/>
      <c r="J8" s="219"/>
    </row>
    <row r="9" spans="1:10" ht="38.1" customHeight="1">
      <c r="A9" s="218" t="s">
        <v>322</v>
      </c>
      <c r="B9" s="218" t="s">
        <v>323</v>
      </c>
      <c r="C9" s="218" t="s">
        <v>324</v>
      </c>
      <c r="D9" s="218"/>
      <c r="E9" s="218"/>
      <c r="F9" s="218"/>
      <c r="G9" s="218"/>
      <c r="H9" s="218"/>
      <c r="I9" s="218"/>
      <c r="J9" s="218"/>
    </row>
    <row r="10" spans="1:10" ht="30" customHeight="1">
      <c r="A10" s="219" t="s">
        <v>325</v>
      </c>
      <c r="B10" s="219" t="s">
        <v>326</v>
      </c>
      <c r="C10" s="219" t="s">
        <v>327</v>
      </c>
      <c r="D10" s="219"/>
      <c r="E10" s="219"/>
      <c r="F10" s="219"/>
      <c r="G10" s="219"/>
      <c r="H10" s="219"/>
      <c r="I10" s="219"/>
      <c r="J10" s="219"/>
    </row>
    <row r="11" spans="1:10">
      <c r="A11" s="218" t="s">
        <v>328</v>
      </c>
      <c r="B11" s="218" t="s">
        <v>329</v>
      </c>
      <c r="C11" s="218" t="s">
        <v>330</v>
      </c>
      <c r="D11" s="218"/>
      <c r="E11" s="218"/>
      <c r="F11" s="218"/>
      <c r="G11" s="218"/>
      <c r="H11" s="218"/>
      <c r="I11" s="218"/>
      <c r="J11" s="218"/>
    </row>
    <row r="14" spans="1:10" ht="23.1" customHeight="1">
      <c r="A14" s="85" t="s">
        <v>331</v>
      </c>
      <c r="B14" s="85" t="s">
        <v>331</v>
      </c>
      <c r="C14" s="85" t="s">
        <v>331</v>
      </c>
      <c r="D14" s="85" t="s">
        <v>331</v>
      </c>
      <c r="E14" s="85" t="s">
        <v>331</v>
      </c>
      <c r="F14" s="85" t="s">
        <v>331</v>
      </c>
      <c r="G14" s="85" t="s">
        <v>331</v>
      </c>
      <c r="H14" s="85" t="s">
        <v>331</v>
      </c>
      <c r="I14" s="85" t="s">
        <v>331</v>
      </c>
      <c r="J14" s="85" t="s">
        <v>331</v>
      </c>
    </row>
    <row r="15" spans="1:10">
      <c r="A15" s="140" t="s">
        <v>332</v>
      </c>
      <c r="B15" s="141" t="s">
        <v>332</v>
      </c>
      <c r="C15" s="141" t="s">
        <v>332</v>
      </c>
      <c r="D15" s="141" t="s">
        <v>332</v>
      </c>
      <c r="E15" s="141" t="s">
        <v>332</v>
      </c>
      <c r="F15" s="141" t="s">
        <v>332</v>
      </c>
      <c r="G15" s="141" t="s">
        <v>332</v>
      </c>
      <c r="H15" s="141" t="s">
        <v>332</v>
      </c>
      <c r="I15" s="141" t="s">
        <v>332</v>
      </c>
      <c r="J15" s="142" t="s">
        <v>332</v>
      </c>
    </row>
    <row r="16" spans="1:10">
      <c r="A16" s="146" t="s">
        <v>332</v>
      </c>
      <c r="B16" s="147" t="s">
        <v>332</v>
      </c>
      <c r="C16" s="147" t="s">
        <v>332</v>
      </c>
      <c r="D16" s="147" t="s">
        <v>332</v>
      </c>
      <c r="E16" s="147" t="s">
        <v>332</v>
      </c>
      <c r="F16" s="147" t="s">
        <v>332</v>
      </c>
      <c r="G16" s="147" t="s">
        <v>332</v>
      </c>
      <c r="H16" s="147" t="s">
        <v>332</v>
      </c>
      <c r="I16" s="147" t="s">
        <v>332</v>
      </c>
      <c r="J16" s="148" t="s">
        <v>332</v>
      </c>
    </row>
    <row r="17" spans="1:10">
      <c r="A17" s="146" t="s">
        <v>332</v>
      </c>
      <c r="B17" s="147" t="s">
        <v>332</v>
      </c>
      <c r="C17" s="147" t="s">
        <v>332</v>
      </c>
      <c r="D17" s="147" t="s">
        <v>332</v>
      </c>
      <c r="E17" s="147" t="s">
        <v>332</v>
      </c>
      <c r="F17" s="147" t="s">
        <v>332</v>
      </c>
      <c r="G17" s="147" t="s">
        <v>332</v>
      </c>
      <c r="H17" s="147" t="s">
        <v>332</v>
      </c>
      <c r="I17" s="147" t="s">
        <v>332</v>
      </c>
      <c r="J17" s="148" t="s">
        <v>332</v>
      </c>
    </row>
    <row r="18" spans="1:10">
      <c r="A18" s="146" t="s">
        <v>332</v>
      </c>
      <c r="B18" s="147" t="s">
        <v>332</v>
      </c>
      <c r="C18" s="147" t="s">
        <v>332</v>
      </c>
      <c r="D18" s="147" t="s">
        <v>332</v>
      </c>
      <c r="E18" s="147" t="s">
        <v>332</v>
      </c>
      <c r="F18" s="147" t="s">
        <v>332</v>
      </c>
      <c r="G18" s="147" t="s">
        <v>332</v>
      </c>
      <c r="H18" s="147" t="s">
        <v>332</v>
      </c>
      <c r="I18" s="147" t="s">
        <v>332</v>
      </c>
      <c r="J18" s="148" t="s">
        <v>332</v>
      </c>
    </row>
    <row r="19" spans="1:10">
      <c r="A19" s="143" t="s">
        <v>332</v>
      </c>
      <c r="B19" s="144" t="s">
        <v>332</v>
      </c>
      <c r="C19" s="144" t="s">
        <v>332</v>
      </c>
      <c r="D19" s="144" t="s">
        <v>332</v>
      </c>
      <c r="E19" s="144" t="s">
        <v>332</v>
      </c>
      <c r="F19" s="144" t="s">
        <v>332</v>
      </c>
      <c r="G19" s="144" t="s">
        <v>332</v>
      </c>
      <c r="H19" s="144" t="s">
        <v>332</v>
      </c>
      <c r="I19" s="144" t="s">
        <v>332</v>
      </c>
      <c r="J19" s="145" t="s">
        <v>332</v>
      </c>
    </row>
    <row r="22" spans="1:10" ht="23.1" customHeight="1">
      <c r="A22" s="85" t="s">
        <v>333</v>
      </c>
      <c r="B22" s="85" t="s">
        <v>333</v>
      </c>
      <c r="C22" s="85" t="s">
        <v>333</v>
      </c>
      <c r="D22" s="85" t="s">
        <v>333</v>
      </c>
      <c r="E22" s="85" t="s">
        <v>333</v>
      </c>
      <c r="F22" s="85" t="s">
        <v>333</v>
      </c>
      <c r="G22" s="85" t="s">
        <v>333</v>
      </c>
      <c r="H22" s="85" t="s">
        <v>333</v>
      </c>
      <c r="I22" s="85" t="s">
        <v>333</v>
      </c>
      <c r="J22" s="85" t="s">
        <v>333</v>
      </c>
    </row>
    <row r="23" spans="1:10" ht="27" customHeight="1">
      <c r="A23" s="159" t="s">
        <v>334</v>
      </c>
      <c r="B23" s="160" t="s">
        <v>335</v>
      </c>
      <c r="C23" s="160" t="s">
        <v>336</v>
      </c>
      <c r="D23" s="161" t="s">
        <v>337</v>
      </c>
    </row>
    <row r="24" spans="1:10">
      <c r="A24" s="219" t="s">
        <v>338</v>
      </c>
      <c r="B24" s="219" t="s">
        <v>81</v>
      </c>
      <c r="C24" s="219" t="s">
        <v>339</v>
      </c>
      <c r="D24" s="219" t="s">
        <v>340</v>
      </c>
    </row>
    <row r="25" spans="1:10">
      <c r="A25" s="218" t="s">
        <v>341</v>
      </c>
      <c r="B25" s="218" t="s">
        <v>342</v>
      </c>
      <c r="C25" s="218" t="s">
        <v>343</v>
      </c>
      <c r="D25" s="218" t="s">
        <v>344</v>
      </c>
    </row>
    <row r="26" spans="1:10">
      <c r="A26" s="219" t="s">
        <v>345</v>
      </c>
      <c r="B26" s="219" t="s">
        <v>346</v>
      </c>
      <c r="C26" s="219" t="s">
        <v>347</v>
      </c>
      <c r="D26" s="219" t="s">
        <v>348</v>
      </c>
    </row>
    <row r="27" spans="1:10">
      <c r="A27" s="218" t="s">
        <v>349</v>
      </c>
      <c r="B27" s="218" t="s">
        <v>350</v>
      </c>
      <c r="C27" s="218" t="s">
        <v>351</v>
      </c>
      <c r="D27" s="218" t="s">
        <v>352</v>
      </c>
    </row>
    <row r="28" spans="1:10">
      <c r="A28" s="219" t="s">
        <v>353</v>
      </c>
      <c r="B28" s="219" t="s">
        <v>354</v>
      </c>
      <c r="C28" s="219" t="s">
        <v>355</v>
      </c>
      <c r="D28" s="219" t="s">
        <v>356</v>
      </c>
    </row>
    <row r="29" spans="1:10">
      <c r="A29" s="218" t="s">
        <v>357</v>
      </c>
      <c r="B29" s="218" t="s">
        <v>358</v>
      </c>
      <c r="C29" s="218" t="s">
        <v>359</v>
      </c>
      <c r="D29" s="218" t="s">
        <v>360</v>
      </c>
    </row>
    <row r="32" spans="1:10" ht="23.1" customHeight="1">
      <c r="A32" s="85" t="s">
        <v>361</v>
      </c>
      <c r="B32" s="85" t="s">
        <v>361</v>
      </c>
      <c r="C32" s="85" t="s">
        <v>361</v>
      </c>
      <c r="D32" s="85" t="s">
        <v>361</v>
      </c>
      <c r="E32" s="85" t="s">
        <v>361</v>
      </c>
      <c r="F32" s="85" t="s">
        <v>361</v>
      </c>
      <c r="G32" s="85" t="s">
        <v>361</v>
      </c>
      <c r="H32" s="85" t="s">
        <v>361</v>
      </c>
      <c r="I32" s="85" t="s">
        <v>361</v>
      </c>
      <c r="J32" s="85" t="s">
        <v>361</v>
      </c>
    </row>
    <row r="33" spans="1:10" ht="27" customHeight="1">
      <c r="A33" s="1" t="s">
        <v>362</v>
      </c>
      <c r="B33" s="2" t="s">
        <v>363</v>
      </c>
      <c r="C33" s="2" t="s">
        <v>364</v>
      </c>
      <c r="D33" s="3" t="s">
        <v>365</v>
      </c>
    </row>
    <row r="34" spans="1:10">
      <c r="A34" s="4" t="s">
        <v>366</v>
      </c>
      <c r="B34" s="5">
        <v>36945</v>
      </c>
      <c r="C34" s="5" t="s">
        <v>367</v>
      </c>
      <c r="D34" s="6" t="s">
        <v>368</v>
      </c>
    </row>
    <row r="35" spans="1:10">
      <c r="A35" s="7" t="s">
        <v>369</v>
      </c>
      <c r="B35" s="8">
        <v>564427</v>
      </c>
      <c r="C35" s="8" t="s">
        <v>370</v>
      </c>
      <c r="D35" s="9" t="s">
        <v>368</v>
      </c>
    </row>
    <row r="36" spans="1:10">
      <c r="A36" s="7" t="s">
        <v>371</v>
      </c>
      <c r="B36" s="8">
        <v>474852</v>
      </c>
      <c r="C36" s="8" t="s">
        <v>372</v>
      </c>
      <c r="D36" s="9" t="s">
        <v>368</v>
      </c>
    </row>
    <row r="37" spans="1:10">
      <c r="A37" s="7" t="s">
        <v>373</v>
      </c>
      <c r="B37" s="8">
        <v>2126</v>
      </c>
      <c r="C37" s="8" t="s">
        <v>374</v>
      </c>
      <c r="D37" s="9" t="s">
        <v>368</v>
      </c>
    </row>
    <row r="38" spans="1:10">
      <c r="A38" s="7" t="s">
        <v>375</v>
      </c>
      <c r="B38" s="8">
        <v>3322</v>
      </c>
      <c r="C38" s="8" t="s">
        <v>376</v>
      </c>
      <c r="D38" s="9" t="s">
        <v>368</v>
      </c>
    </row>
    <row r="39" spans="1:10">
      <c r="A39" s="7" t="s">
        <v>377</v>
      </c>
      <c r="B39" s="8">
        <v>273</v>
      </c>
      <c r="C39" s="8" t="s">
        <v>378</v>
      </c>
      <c r="D39" s="9" t="s">
        <v>368</v>
      </c>
    </row>
    <row r="40" spans="1:10">
      <c r="A40" s="7" t="s">
        <v>379</v>
      </c>
      <c r="B40" s="8">
        <v>232593</v>
      </c>
      <c r="C40" s="8" t="s">
        <v>380</v>
      </c>
      <c r="D40" s="9" t="s">
        <v>381</v>
      </c>
    </row>
    <row r="41" spans="1:10">
      <c r="A41" s="7" t="s">
        <v>382</v>
      </c>
      <c r="B41" s="8">
        <v>14231</v>
      </c>
      <c r="C41" s="8" t="s">
        <v>383</v>
      </c>
      <c r="D41" s="9" t="s">
        <v>368</v>
      </c>
    </row>
    <row r="42" spans="1:10">
      <c r="A42" s="10" t="s">
        <v>384</v>
      </c>
      <c r="B42" s="11">
        <v>26316</v>
      </c>
      <c r="C42" s="11" t="s">
        <v>385</v>
      </c>
      <c r="D42" s="12" t="s">
        <v>368</v>
      </c>
    </row>
    <row r="44" spans="1:10" ht="23.1" customHeight="1">
      <c r="A44" s="85" t="s">
        <v>386</v>
      </c>
      <c r="B44" s="85" t="s">
        <v>386</v>
      </c>
      <c r="C44" s="85" t="s">
        <v>386</v>
      </c>
      <c r="D44" s="85" t="s">
        <v>386</v>
      </c>
      <c r="E44" s="85" t="s">
        <v>386</v>
      </c>
      <c r="F44" s="85" t="s">
        <v>386</v>
      </c>
      <c r="G44" s="85" t="s">
        <v>386</v>
      </c>
      <c r="H44" s="85" t="s">
        <v>386</v>
      </c>
      <c r="I44" s="85" t="s">
        <v>386</v>
      </c>
      <c r="J44" s="85" t="s">
        <v>386</v>
      </c>
    </row>
    <row r="45" spans="1:10">
      <c r="A45" s="122" t="s">
        <v>387</v>
      </c>
      <c r="B45" s="123" t="s">
        <v>387</v>
      </c>
      <c r="C45" s="123" t="s">
        <v>387</v>
      </c>
      <c r="D45" s="123" t="s">
        <v>387</v>
      </c>
      <c r="E45" s="123" t="s">
        <v>387</v>
      </c>
      <c r="F45" s="123" t="s">
        <v>387</v>
      </c>
      <c r="G45" s="123" t="s">
        <v>387</v>
      </c>
      <c r="H45" s="123" t="s">
        <v>387</v>
      </c>
      <c r="I45" s="123" t="s">
        <v>387</v>
      </c>
      <c r="J45" s="124" t="s">
        <v>387</v>
      </c>
    </row>
    <row r="46" spans="1:10">
      <c r="A46" s="125" t="s">
        <v>387</v>
      </c>
      <c r="B46" s="126" t="s">
        <v>387</v>
      </c>
      <c r="C46" s="126" t="s">
        <v>387</v>
      </c>
      <c r="D46" s="126" t="s">
        <v>387</v>
      </c>
      <c r="E46" s="126" t="s">
        <v>387</v>
      </c>
      <c r="F46" s="126" t="s">
        <v>387</v>
      </c>
      <c r="G46" s="126" t="s">
        <v>387</v>
      </c>
      <c r="H46" s="126" t="s">
        <v>387</v>
      </c>
      <c r="I46" s="126" t="s">
        <v>387</v>
      </c>
      <c r="J46" s="127" t="s">
        <v>387</v>
      </c>
    </row>
    <row r="47" spans="1:10">
      <c r="A47" s="125" t="s">
        <v>387</v>
      </c>
      <c r="B47" s="126" t="s">
        <v>387</v>
      </c>
      <c r="C47" s="126" t="s">
        <v>387</v>
      </c>
      <c r="D47" s="126" t="s">
        <v>387</v>
      </c>
      <c r="E47" s="126" t="s">
        <v>387</v>
      </c>
      <c r="F47" s="126" t="s">
        <v>387</v>
      </c>
      <c r="G47" s="126" t="s">
        <v>387</v>
      </c>
      <c r="H47" s="126" t="s">
        <v>387</v>
      </c>
      <c r="I47" s="126" t="s">
        <v>387</v>
      </c>
      <c r="J47" s="127" t="s">
        <v>387</v>
      </c>
    </row>
    <row r="48" spans="1:10">
      <c r="A48" s="125" t="s">
        <v>387</v>
      </c>
      <c r="B48" s="126" t="s">
        <v>387</v>
      </c>
      <c r="C48" s="126" t="s">
        <v>387</v>
      </c>
      <c r="D48" s="126" t="s">
        <v>387</v>
      </c>
      <c r="E48" s="126" t="s">
        <v>387</v>
      </c>
      <c r="F48" s="126" t="s">
        <v>387</v>
      </c>
      <c r="G48" s="126" t="s">
        <v>387</v>
      </c>
      <c r="H48" s="126" t="s">
        <v>387</v>
      </c>
      <c r="I48" s="126" t="s">
        <v>387</v>
      </c>
      <c r="J48" s="127" t="s">
        <v>387</v>
      </c>
    </row>
    <row r="49" spans="1:10">
      <c r="A49" s="128" t="s">
        <v>387</v>
      </c>
      <c r="B49" s="129" t="s">
        <v>387</v>
      </c>
      <c r="C49" s="129" t="s">
        <v>387</v>
      </c>
      <c r="D49" s="129" t="s">
        <v>387</v>
      </c>
      <c r="E49" s="129" t="s">
        <v>387</v>
      </c>
      <c r="F49" s="129" t="s">
        <v>387</v>
      </c>
      <c r="G49" s="129" t="s">
        <v>387</v>
      </c>
      <c r="H49" s="129" t="s">
        <v>387</v>
      </c>
      <c r="I49" s="129" t="s">
        <v>387</v>
      </c>
      <c r="J49" s="130" t="s">
        <v>387</v>
      </c>
    </row>
    <row r="52" spans="1:10">
      <c r="A52" s="149" t="s">
        <v>388</v>
      </c>
      <c r="B52" s="150" t="s">
        <v>388</v>
      </c>
      <c r="C52" s="150" t="s">
        <v>388</v>
      </c>
      <c r="D52" s="150" t="s">
        <v>388</v>
      </c>
      <c r="E52" s="150" t="s">
        <v>388</v>
      </c>
      <c r="F52" s="150" t="s">
        <v>388</v>
      </c>
      <c r="G52" s="150" t="s">
        <v>388</v>
      </c>
      <c r="H52" s="150" t="s">
        <v>388</v>
      </c>
      <c r="I52" s="150" t="s">
        <v>388</v>
      </c>
      <c r="J52" s="151" t="s">
        <v>388</v>
      </c>
    </row>
    <row r="53" spans="1:10">
      <c r="A53" s="152" t="s">
        <v>388</v>
      </c>
      <c r="B53" s="81" t="s">
        <v>388</v>
      </c>
      <c r="C53" s="81" t="s">
        <v>388</v>
      </c>
      <c r="D53" s="81" t="s">
        <v>388</v>
      </c>
      <c r="E53" s="81" t="s">
        <v>388</v>
      </c>
      <c r="F53" s="81" t="s">
        <v>388</v>
      </c>
      <c r="G53" s="81" t="s">
        <v>388</v>
      </c>
      <c r="H53" s="81" t="s">
        <v>388</v>
      </c>
      <c r="I53" s="81" t="s">
        <v>388</v>
      </c>
      <c r="J53" s="153" t="s">
        <v>388</v>
      </c>
    </row>
    <row r="54" spans="1:10">
      <c r="A54" s="152" t="s">
        <v>388</v>
      </c>
      <c r="B54" s="81" t="s">
        <v>388</v>
      </c>
      <c r="C54" s="81" t="s">
        <v>388</v>
      </c>
      <c r="D54" s="81" t="s">
        <v>388</v>
      </c>
      <c r="E54" s="81" t="s">
        <v>388</v>
      </c>
      <c r="F54" s="81" t="s">
        <v>388</v>
      </c>
      <c r="G54" s="81" t="s">
        <v>388</v>
      </c>
      <c r="H54" s="81" t="s">
        <v>388</v>
      </c>
      <c r="I54" s="81" t="s">
        <v>388</v>
      </c>
      <c r="J54" s="153" t="s">
        <v>388</v>
      </c>
    </row>
    <row r="55" spans="1:10">
      <c r="A55" s="152" t="s">
        <v>388</v>
      </c>
      <c r="B55" s="81" t="s">
        <v>388</v>
      </c>
      <c r="C55" s="81" t="s">
        <v>388</v>
      </c>
      <c r="D55" s="81" t="s">
        <v>388</v>
      </c>
      <c r="E55" s="81" t="s">
        <v>388</v>
      </c>
      <c r="F55" s="81" t="s">
        <v>388</v>
      </c>
      <c r="G55" s="81" t="s">
        <v>388</v>
      </c>
      <c r="H55" s="81" t="s">
        <v>388</v>
      </c>
      <c r="I55" s="81" t="s">
        <v>388</v>
      </c>
      <c r="J55" s="153" t="s">
        <v>388</v>
      </c>
    </row>
    <row r="56" spans="1:10">
      <c r="A56" s="152" t="s">
        <v>388</v>
      </c>
      <c r="B56" s="81" t="s">
        <v>388</v>
      </c>
      <c r="C56" s="81" t="s">
        <v>388</v>
      </c>
      <c r="D56" s="81" t="s">
        <v>388</v>
      </c>
      <c r="E56" s="81" t="s">
        <v>388</v>
      </c>
      <c r="F56" s="81" t="s">
        <v>388</v>
      </c>
      <c r="G56" s="81" t="s">
        <v>388</v>
      </c>
      <c r="H56" s="81" t="s">
        <v>388</v>
      </c>
      <c r="I56" s="81" t="s">
        <v>388</v>
      </c>
      <c r="J56" s="153" t="s">
        <v>388</v>
      </c>
    </row>
    <row r="57" spans="1:10">
      <c r="A57" s="154" t="s">
        <v>388</v>
      </c>
      <c r="B57" s="155" t="s">
        <v>388</v>
      </c>
      <c r="C57" s="155" t="s">
        <v>388</v>
      </c>
      <c r="D57" s="155" t="s">
        <v>388</v>
      </c>
      <c r="E57" s="155" t="s">
        <v>388</v>
      </c>
      <c r="F57" s="155" t="s">
        <v>388</v>
      </c>
      <c r="G57" s="155" t="s">
        <v>388</v>
      </c>
      <c r="H57" s="155" t="s">
        <v>388</v>
      </c>
      <c r="I57" s="155" t="s">
        <v>388</v>
      </c>
      <c r="J57" s="156" t="s">
        <v>388</v>
      </c>
    </row>
    <row r="59" spans="1:10" ht="23.1" customHeight="1">
      <c r="A59" s="85" t="s">
        <v>389</v>
      </c>
      <c r="B59" s="85" t="s">
        <v>389</v>
      </c>
      <c r="C59" s="85" t="s">
        <v>389</v>
      </c>
      <c r="D59" s="85" t="s">
        <v>389</v>
      </c>
      <c r="E59" s="85" t="s">
        <v>389</v>
      </c>
      <c r="F59" s="85" t="s">
        <v>389</v>
      </c>
      <c r="G59" s="85" t="s">
        <v>389</v>
      </c>
      <c r="H59" s="85" t="s">
        <v>389</v>
      </c>
      <c r="I59" s="85" t="s">
        <v>389</v>
      </c>
      <c r="J59" s="85" t="s">
        <v>389</v>
      </c>
    </row>
    <row r="60" spans="1:10" ht="45.95" customHeight="1">
      <c r="A60" s="159" t="s">
        <v>121</v>
      </c>
      <c r="B60" s="160" t="s">
        <v>390</v>
      </c>
      <c r="C60" s="161" t="s">
        <v>391</v>
      </c>
    </row>
    <row r="61" spans="1:10">
      <c r="A61" s="218" t="s">
        <v>392</v>
      </c>
      <c r="B61" s="238">
        <f>COUNTIF('09_BASE_AUDITABLE'!$AA$2:$AA$4001,"&gt;0.5")/COUNT('09_BASE_AUDITABLE'!$AA$2:$AA$4001)</f>
        <v>0</v>
      </c>
      <c r="C61" s="238">
        <f>COUNTIF('09_BASE_AUDITABLE'!$AE$2:$AE$4001,"&gt;0.5")/COUNT('09_BASE_AUDITABLE'!$AE$2:$AE$4001)</f>
        <v>0</v>
      </c>
    </row>
    <row r="62" spans="1:10">
      <c r="A62" s="219" t="s">
        <v>393</v>
      </c>
      <c r="B62" s="239">
        <f>COUNTIF('09_BASE_AUDITABLE'!$AA$2:$AA$4001,"&lt;0.5")/COUNT('09_BASE_AUDITABLE'!$AA$2:$AA$4001)</f>
        <v>0</v>
      </c>
      <c r="C62" s="239">
        <f>COUNTIF('09_BASE_AUDITABLE'!$AE$2:$AE$4001,"&lt;0.5")/COUNT('09_BASE_AUDITABLE'!$AE$2:$AE$4001)</f>
        <v>0</v>
      </c>
    </row>
    <row r="63" spans="1:10">
      <c r="A63" s="218" t="s">
        <v>394</v>
      </c>
      <c r="B63" s="238">
        <f>COUNTIFS('09_BASE_AUDITABLE'!$AA$2:$AA$4001,"&gt;0.495",'09_BASE_AUDITABLE'!$AA$2:$AA$4001,"&lt;0.505")/COUNT('09_BASE_AUDITABLE'!$AA$2:$AA$4001)</f>
        <v>0</v>
      </c>
      <c r="C63" s="238">
        <f>COUNTIFS('09_BASE_AUDITABLE'!$AE$2:$AE$4001,"&gt;0.495",'09_BASE_AUDITABLE'!$AE$2:$AE$4001,"&lt;0.505")/COUNT('09_BASE_AUDITABLE'!$AE$2:$AE$4001)</f>
        <v>0</v>
      </c>
    </row>
    <row r="64" spans="1:10">
      <c r="A64" s="219" t="s">
        <v>395</v>
      </c>
      <c r="B64" s="239">
        <f>COUNTIFS('09_BASE_AUDITABLE'!$AA$2:$AA$4001,"&gt;0.49",'09_BASE_AUDITABLE'!$AA$2:$AA$4001,"&lt;0.51")/COUNT('09_BASE_AUDITABLE'!$AA$2:$AA$4001)</f>
        <v>0</v>
      </c>
      <c r="C64" s="239">
        <f>COUNTIFS('09_BASE_AUDITABLE'!$AE$2:$AE$4001,"&gt;0.49",'09_BASE_AUDITABLE'!$AE$2:$AE$4001,"&lt;0.51")/COUNT('09_BASE_AUDITABLE'!$AE$2:$AE$4001)</f>
        <v>0</v>
      </c>
    </row>
    <row r="65" spans="1:10">
      <c r="A65" s="218" t="s">
        <v>396</v>
      </c>
      <c r="B65" s="238">
        <f>COUNTIFS('09_BASE_AUDITABLE'!$AA$2:$AA$4001,"&gt;0.485",'09_BASE_AUDITABLE'!$AA$2:$AA$4001,"&lt;0.515")/COUNT('09_BASE_AUDITABLE'!$AA$2:$AA$4001)</f>
        <v>0</v>
      </c>
      <c r="C65" s="238">
        <f>COUNTIFS('09_BASE_AUDITABLE'!$AE$2:$AE$4001,"&gt;0.485",'09_BASE_AUDITABLE'!$AE$2:$AE$4001,"&lt;0.515")/COUNT('09_BASE_AUDITABLE'!$AE$2:$AE$4001)</f>
        <v>0</v>
      </c>
    </row>
    <row r="66" spans="1:10">
      <c r="A66" s="219" t="s">
        <v>397</v>
      </c>
      <c r="B66" s="239">
        <f>COUNTIF('09_BASE_AUDITABLE'!$AA$2:$AA$4001,"&gt;=0.515")/COUNT('09_BASE_AUDITABLE'!$AA$2:$AA$4001)</f>
        <v>0</v>
      </c>
      <c r="C66" s="239">
        <f>COUNTIF('09_BASE_AUDITABLE'!$AE$2:$AE$4001,"&gt;=0.515")/COUNT('09_BASE_AUDITABLE'!$AE$2:$AE$4001)</f>
        <v>0</v>
      </c>
    </row>
    <row r="67" spans="1:10">
      <c r="A67" s="218" t="s">
        <v>398</v>
      </c>
      <c r="B67" s="238">
        <f>COUNTIF('09_BASE_AUDITABLE'!$AA$2:$AA$4001,"&lt;=0.485")/COUNT('09_BASE_AUDITABLE'!$AA$2:$AA$4001)</f>
        <v>0</v>
      </c>
      <c r="C67" s="238">
        <f>COUNTIF('09_BASE_AUDITABLE'!$AE$2:$AE$4001,"&lt;=0.485")/COUNT('09_BASE_AUDITABLE'!$AE$2:$AE$4001)</f>
        <v>0</v>
      </c>
    </row>
    <row r="69" spans="1:10">
      <c r="A69" s="140" t="s">
        <v>399</v>
      </c>
      <c r="B69" s="141" t="s">
        <v>399</v>
      </c>
      <c r="C69" s="141" t="s">
        <v>399</v>
      </c>
      <c r="D69" s="141" t="s">
        <v>399</v>
      </c>
      <c r="E69" s="141" t="s">
        <v>399</v>
      </c>
      <c r="F69" s="141" t="s">
        <v>399</v>
      </c>
      <c r="G69" s="141" t="s">
        <v>399</v>
      </c>
      <c r="H69" s="141" t="s">
        <v>399</v>
      </c>
      <c r="I69" s="141" t="s">
        <v>399</v>
      </c>
      <c r="J69" s="142" t="s">
        <v>399</v>
      </c>
    </row>
    <row r="70" spans="1:10">
      <c r="A70" s="146" t="s">
        <v>399</v>
      </c>
      <c r="B70" s="147" t="s">
        <v>399</v>
      </c>
      <c r="C70" s="147" t="s">
        <v>399</v>
      </c>
      <c r="D70" s="147" t="s">
        <v>399</v>
      </c>
      <c r="E70" s="147" t="s">
        <v>399</v>
      </c>
      <c r="F70" s="147" t="s">
        <v>399</v>
      </c>
      <c r="G70" s="147" t="s">
        <v>399</v>
      </c>
      <c r="H70" s="147" t="s">
        <v>399</v>
      </c>
      <c r="I70" s="147" t="s">
        <v>399</v>
      </c>
      <c r="J70" s="148" t="s">
        <v>399</v>
      </c>
    </row>
    <row r="71" spans="1:10">
      <c r="A71" s="146" t="s">
        <v>399</v>
      </c>
      <c r="B71" s="147" t="s">
        <v>399</v>
      </c>
      <c r="C71" s="147" t="s">
        <v>399</v>
      </c>
      <c r="D71" s="147" t="s">
        <v>399</v>
      </c>
      <c r="E71" s="147" t="s">
        <v>399</v>
      </c>
      <c r="F71" s="147" t="s">
        <v>399</v>
      </c>
      <c r="G71" s="147" t="s">
        <v>399</v>
      </c>
      <c r="H71" s="147" t="s">
        <v>399</v>
      </c>
      <c r="I71" s="147" t="s">
        <v>399</v>
      </c>
      <c r="J71" s="148" t="s">
        <v>399</v>
      </c>
    </row>
    <row r="72" spans="1:10">
      <c r="A72" s="143" t="s">
        <v>399</v>
      </c>
      <c r="B72" s="144" t="s">
        <v>399</v>
      </c>
      <c r="C72" s="144" t="s">
        <v>399</v>
      </c>
      <c r="D72" s="144" t="s">
        <v>399</v>
      </c>
      <c r="E72" s="144" t="s">
        <v>399</v>
      </c>
      <c r="F72" s="144" t="s">
        <v>399</v>
      </c>
      <c r="G72" s="144" t="s">
        <v>399</v>
      </c>
      <c r="H72" s="144" t="s">
        <v>399</v>
      </c>
      <c r="I72" s="144" t="s">
        <v>399</v>
      </c>
      <c r="J72" s="145" t="s">
        <v>399</v>
      </c>
    </row>
  </sheetData>
  <mergeCells count="12">
    <mergeCell ref="A59:J59"/>
    <mergeCell ref="A69:J72"/>
    <mergeCell ref="A22:J22"/>
    <mergeCell ref="A32:J32"/>
    <mergeCell ref="A44:J44"/>
    <mergeCell ref="A45:J49"/>
    <mergeCell ref="A52:J57"/>
    <mergeCell ref="A1:J1"/>
    <mergeCell ref="A2:J2"/>
    <mergeCell ref="A4:J4"/>
    <mergeCell ref="A14:J14"/>
    <mergeCell ref="A15:J19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6ADB4"/>
  </sheetPr>
  <dimension ref="A1:AK4001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ColWidth="9" defaultRowHeight="14.25"/>
  <cols>
    <col min="1" max="2" width="17" customWidth="1"/>
    <col min="3" max="3" width="15" customWidth="1"/>
    <col min="4" max="4" width="18" customWidth="1"/>
    <col min="5" max="5" width="20" customWidth="1"/>
    <col min="6" max="6" width="19" customWidth="1"/>
    <col min="7" max="7" width="17" customWidth="1"/>
    <col min="8" max="9" width="13" customWidth="1"/>
    <col min="10" max="11" width="3" customWidth="1"/>
    <col min="12" max="12" width="15" customWidth="1"/>
    <col min="13" max="14" width="12" customWidth="1"/>
    <col min="15" max="16" width="13" customWidth="1"/>
    <col min="17" max="17" width="14" customWidth="1"/>
    <col min="18" max="18" width="17" customWidth="1"/>
    <col min="19" max="19" width="20" customWidth="1"/>
    <col min="20" max="20" width="18" customWidth="1"/>
    <col min="21" max="21" width="19" customWidth="1"/>
    <col min="22" max="22" width="21" customWidth="1"/>
    <col min="23" max="23" width="15" customWidth="1"/>
    <col min="24" max="24" width="11" customWidth="1"/>
    <col min="25" max="32" width="16" customWidth="1"/>
    <col min="33" max="33" width="3" customWidth="1"/>
    <col min="34" max="34" width="28" customWidth="1"/>
    <col min="35" max="35" width="14" customWidth="1"/>
    <col min="36" max="36" width="68" customWidth="1"/>
    <col min="37" max="37" width="22" customWidth="1"/>
  </cols>
  <sheetData>
    <row r="1" spans="1:37" ht="27" customHeight="1">
      <c r="A1" s="1" t="s">
        <v>400</v>
      </c>
      <c r="B1" s="2" t="s">
        <v>401</v>
      </c>
      <c r="C1" s="2" t="s">
        <v>402</v>
      </c>
      <c r="D1" s="2" t="s">
        <v>403</v>
      </c>
      <c r="E1" s="2" t="s">
        <v>404</v>
      </c>
      <c r="F1" s="2" t="s">
        <v>405</v>
      </c>
      <c r="G1" s="2" t="s">
        <v>406</v>
      </c>
      <c r="H1" s="2" t="s">
        <v>407</v>
      </c>
      <c r="I1" s="3" t="s">
        <v>408</v>
      </c>
      <c r="L1" s="1" t="s">
        <v>409</v>
      </c>
      <c r="M1" s="2" t="s">
        <v>410</v>
      </c>
      <c r="N1" s="2" t="s">
        <v>411</v>
      </c>
      <c r="O1" s="2" t="s">
        <v>412</v>
      </c>
      <c r="P1" s="2" t="s">
        <v>413</v>
      </c>
      <c r="Q1" s="2" t="s">
        <v>414</v>
      </c>
      <c r="R1" s="2" t="s">
        <v>415</v>
      </c>
      <c r="S1" s="2" t="s">
        <v>416</v>
      </c>
      <c r="T1" s="2" t="s">
        <v>417</v>
      </c>
      <c r="U1" s="2" t="s">
        <v>418</v>
      </c>
      <c r="V1" s="2" t="s">
        <v>419</v>
      </c>
      <c r="W1" s="3" t="s">
        <v>420</v>
      </c>
      <c r="X1" s="1" t="s">
        <v>421</v>
      </c>
      <c r="Y1" s="2" t="s">
        <v>422</v>
      </c>
      <c r="Z1" s="2" t="s">
        <v>423</v>
      </c>
      <c r="AA1" s="2" t="s">
        <v>424</v>
      </c>
      <c r="AB1" s="2" t="s">
        <v>425</v>
      </c>
      <c r="AC1" s="2" t="s">
        <v>426</v>
      </c>
      <c r="AD1" s="2" t="s">
        <v>427</v>
      </c>
      <c r="AE1" s="2" t="s">
        <v>428</v>
      </c>
      <c r="AF1" s="3" t="s">
        <v>429</v>
      </c>
      <c r="AH1" s="1" t="s">
        <v>430</v>
      </c>
      <c r="AI1" s="2" t="s">
        <v>431</v>
      </c>
      <c r="AJ1" s="2" t="s">
        <v>432</v>
      </c>
      <c r="AK1" s="3" t="s">
        <v>433</v>
      </c>
    </row>
    <row r="2" spans="1:37">
      <c r="A2" s="13">
        <v>0</v>
      </c>
      <c r="B2" s="14">
        <v>0</v>
      </c>
      <c r="C2" s="19">
        <v>0.92</v>
      </c>
      <c r="D2" s="19">
        <v>0.20258497911151899</v>
      </c>
      <c r="E2" s="19">
        <v>0.08</v>
      </c>
      <c r="F2" s="5" t="s">
        <v>434</v>
      </c>
      <c r="G2" s="22">
        <v>0.6264782222188211</v>
      </c>
      <c r="H2" s="22">
        <v>0.63010537121245558</v>
      </c>
      <c r="I2" s="23">
        <v>0.64112505416252663</v>
      </c>
      <c r="L2" s="13">
        <v>0</v>
      </c>
      <c r="M2" s="14">
        <v>0</v>
      </c>
      <c r="N2" s="14">
        <v>0</v>
      </c>
      <c r="O2" s="14">
        <v>0</v>
      </c>
      <c r="P2" s="14">
        <v>56</v>
      </c>
      <c r="Q2" s="28">
        <v>97</v>
      </c>
      <c r="R2" s="19">
        <v>0.53579999999999994</v>
      </c>
      <c r="S2" s="31">
        <v>51.972599999999993</v>
      </c>
      <c r="T2" s="34">
        <v>2.2399999999999998</v>
      </c>
      <c r="U2" s="34">
        <v>0.77</v>
      </c>
      <c r="V2" s="34">
        <v>2.3092783505154636E-2</v>
      </c>
      <c r="W2" s="6" t="s">
        <v>154</v>
      </c>
      <c r="X2" s="13">
        <v>1</v>
      </c>
      <c r="Y2" s="37">
        <v>0.49330404886203749</v>
      </c>
      <c r="Z2" s="37">
        <v>0.48551233855867204</v>
      </c>
      <c r="AA2" s="37">
        <v>0.49780423912010352</v>
      </c>
      <c r="AB2" s="37">
        <v>0.47786992022352737</v>
      </c>
      <c r="AC2" s="37">
        <v>0.48569794282954687</v>
      </c>
      <c r="AD2" s="37">
        <v>0.47990537697150443</v>
      </c>
      <c r="AE2" s="37">
        <v>0.49342762932491679</v>
      </c>
      <c r="AF2" s="38">
        <v>0.47411828495704417</v>
      </c>
      <c r="AH2" s="4" t="s">
        <v>366</v>
      </c>
      <c r="AI2" s="5">
        <v>36945</v>
      </c>
      <c r="AJ2" s="5" t="s">
        <v>367</v>
      </c>
      <c r="AK2" s="6" t="s">
        <v>435</v>
      </c>
    </row>
    <row r="3" spans="1:37">
      <c r="A3" s="15">
        <v>1</v>
      </c>
      <c r="B3" s="16">
        <v>0</v>
      </c>
      <c r="C3" s="20">
        <v>0.9</v>
      </c>
      <c r="D3" s="20">
        <v>0.23159538658365303</v>
      </c>
      <c r="E3" s="20">
        <v>0.1</v>
      </c>
      <c r="F3" s="8" t="s">
        <v>434</v>
      </c>
      <c r="G3" s="24">
        <v>0.72361859569137255</v>
      </c>
      <c r="H3" s="24">
        <v>0.72780816265164328</v>
      </c>
      <c r="I3" s="25">
        <v>0.74053653407539788</v>
      </c>
      <c r="L3" s="15">
        <v>1</v>
      </c>
      <c r="M3" s="16">
        <v>0</v>
      </c>
      <c r="N3" s="16">
        <v>0</v>
      </c>
      <c r="O3" s="16">
        <v>0</v>
      </c>
      <c r="P3" s="16">
        <v>57</v>
      </c>
      <c r="Q3" s="29">
        <v>97</v>
      </c>
      <c r="R3" s="20">
        <v>0.53579999999999994</v>
      </c>
      <c r="S3" s="32">
        <v>51.972599999999993</v>
      </c>
      <c r="T3" s="35">
        <v>4.88</v>
      </c>
      <c r="U3" s="35">
        <v>3.4</v>
      </c>
      <c r="V3" s="35">
        <v>5.0309278350515463E-2</v>
      </c>
      <c r="W3" s="9" t="s">
        <v>155</v>
      </c>
      <c r="X3" s="15">
        <v>2</v>
      </c>
      <c r="Y3" s="39">
        <v>0.48627705137348426</v>
      </c>
      <c r="Z3" s="39">
        <v>0.48440073949007317</v>
      </c>
      <c r="AA3" s="39">
        <v>0.48396305343500129</v>
      </c>
      <c r="AB3" s="39">
        <v>0.49377531407412073</v>
      </c>
      <c r="AC3" s="39">
        <v>0.47701015354458237</v>
      </c>
      <c r="AD3" s="39">
        <v>0.47876129398127432</v>
      </c>
      <c r="AE3" s="39">
        <v>0.47558748721032174</v>
      </c>
      <c r="AF3" s="40">
        <v>0.48743548312572937</v>
      </c>
      <c r="AH3" s="7" t="s">
        <v>369</v>
      </c>
      <c r="AI3" s="8">
        <v>564427</v>
      </c>
      <c r="AJ3" s="8" t="s">
        <v>370</v>
      </c>
      <c r="AK3" s="9" t="s">
        <v>435</v>
      </c>
    </row>
    <row r="4" spans="1:37">
      <c r="A4" s="15">
        <v>2</v>
      </c>
      <c r="B4" s="16">
        <v>0</v>
      </c>
      <c r="C4" s="20">
        <v>0.95</v>
      </c>
      <c r="D4" s="20">
        <v>0.15570568692893463</v>
      </c>
      <c r="E4" s="20">
        <v>0.05</v>
      </c>
      <c r="F4" s="8" t="s">
        <v>434</v>
      </c>
      <c r="G4" s="24">
        <v>0.66946356213802394</v>
      </c>
      <c r="H4" s="24">
        <v>0.6733395852774775</v>
      </c>
      <c r="I4" s="25">
        <v>0.68511537562380087</v>
      </c>
      <c r="L4" s="15">
        <v>2</v>
      </c>
      <c r="M4" s="16">
        <v>0</v>
      </c>
      <c r="N4" s="16">
        <v>0</v>
      </c>
      <c r="O4" s="16">
        <v>0</v>
      </c>
      <c r="P4" s="16">
        <v>58</v>
      </c>
      <c r="Q4" s="29">
        <v>82</v>
      </c>
      <c r="R4" s="20">
        <v>0.53579999999999994</v>
      </c>
      <c r="S4" s="32">
        <v>43.935599999999994</v>
      </c>
      <c r="T4" s="35">
        <v>2.0499999999999998</v>
      </c>
      <c r="U4" s="35">
        <v>1</v>
      </c>
      <c r="V4" s="35">
        <v>2.4999999999999998E-2</v>
      </c>
      <c r="W4" s="9" t="s">
        <v>154</v>
      </c>
      <c r="X4" s="15">
        <v>3</v>
      </c>
      <c r="Y4" s="39">
        <v>0.48742466813954405</v>
      </c>
      <c r="Z4" s="39">
        <v>0.48345805893335114</v>
      </c>
      <c r="AA4" s="39">
        <v>0.47467716319330183</v>
      </c>
      <c r="AB4" s="39">
        <v>0.48936589228890137</v>
      </c>
      <c r="AC4" s="39">
        <v>0.48070586566111106</v>
      </c>
      <c r="AD4" s="39">
        <v>0.47548019219770077</v>
      </c>
      <c r="AE4" s="39">
        <v>0.46527048267665966</v>
      </c>
      <c r="AF4" s="40">
        <v>0.48382996854989779</v>
      </c>
      <c r="AH4" s="7" t="s">
        <v>371</v>
      </c>
      <c r="AI4" s="8">
        <v>474852</v>
      </c>
      <c r="AJ4" s="8" t="s">
        <v>372</v>
      </c>
      <c r="AK4" s="9" t="s">
        <v>435</v>
      </c>
    </row>
    <row r="5" spans="1:37">
      <c r="A5" s="15">
        <v>3</v>
      </c>
      <c r="B5" s="16">
        <v>1</v>
      </c>
      <c r="C5" s="20">
        <v>0.02</v>
      </c>
      <c r="D5" s="20">
        <v>0.99917029198757767</v>
      </c>
      <c r="E5" s="20">
        <v>1</v>
      </c>
      <c r="F5" s="8" t="s">
        <v>436</v>
      </c>
      <c r="G5" s="24">
        <v>1.1053068836382947</v>
      </c>
      <c r="H5" s="24">
        <v>1.1117063283571336</v>
      </c>
      <c r="I5" s="25">
        <v>1.1311485547398581</v>
      </c>
      <c r="L5" s="15">
        <v>3</v>
      </c>
      <c r="M5" s="16">
        <v>0</v>
      </c>
      <c r="N5" s="16">
        <v>0</v>
      </c>
      <c r="O5" s="16">
        <v>0</v>
      </c>
      <c r="P5" s="16">
        <v>59</v>
      </c>
      <c r="Q5" s="29">
        <v>87</v>
      </c>
      <c r="R5" s="20">
        <v>0.53579999999999994</v>
      </c>
      <c r="S5" s="32">
        <v>46.614599999999996</v>
      </c>
      <c r="T5" s="35">
        <v>2.21</v>
      </c>
      <c r="U5" s="35">
        <v>0.97</v>
      </c>
      <c r="V5" s="35">
        <v>2.5402298850574712E-2</v>
      </c>
      <c r="W5" s="9" t="s">
        <v>154</v>
      </c>
      <c r="X5" s="15">
        <v>4</v>
      </c>
      <c r="Y5" s="39">
        <v>0.48131551447679222</v>
      </c>
      <c r="Z5" s="39">
        <v>0.4906896346527882</v>
      </c>
      <c r="AA5" s="39">
        <v>0.49690952729913135</v>
      </c>
      <c r="AB5" s="39">
        <v>0.49150803623569078</v>
      </c>
      <c r="AC5" s="39">
        <v>0.47468894094903441</v>
      </c>
      <c r="AD5" s="39">
        <v>0.48224966206279912</v>
      </c>
      <c r="AE5" s="39">
        <v>0.49230807890189482</v>
      </c>
      <c r="AF5" s="40">
        <v>0.48529044989878678</v>
      </c>
      <c r="AH5" s="7" t="s">
        <v>373</v>
      </c>
      <c r="AI5" s="8">
        <v>2126</v>
      </c>
      <c r="AJ5" s="8" t="s">
        <v>374</v>
      </c>
      <c r="AK5" s="9" t="s">
        <v>435</v>
      </c>
    </row>
    <row r="6" spans="1:37">
      <c r="A6" s="15">
        <v>4</v>
      </c>
      <c r="B6" s="16">
        <v>1</v>
      </c>
      <c r="C6" s="20">
        <v>0.01</v>
      </c>
      <c r="D6" s="20">
        <v>0.99999999999999978</v>
      </c>
      <c r="E6" s="20">
        <v>1</v>
      </c>
      <c r="F6" s="8" t="s">
        <v>436</v>
      </c>
      <c r="G6" s="24">
        <v>1.1036731583362154</v>
      </c>
      <c r="H6" s="24">
        <v>1.1100631442025752</v>
      </c>
      <c r="I6" s="25">
        <v>1.1294766335371185</v>
      </c>
      <c r="L6" s="15">
        <v>4</v>
      </c>
      <c r="M6" s="16">
        <v>0</v>
      </c>
      <c r="N6" s="16">
        <v>0</v>
      </c>
      <c r="O6" s="16">
        <v>0</v>
      </c>
      <c r="P6" s="16">
        <v>60</v>
      </c>
      <c r="Q6" s="29">
        <v>81</v>
      </c>
      <c r="R6" s="20">
        <v>0.53579999999999994</v>
      </c>
      <c r="S6" s="32">
        <v>43.399799999999992</v>
      </c>
      <c r="T6" s="35">
        <v>2.68</v>
      </c>
      <c r="U6" s="35">
        <v>1.43</v>
      </c>
      <c r="V6" s="35">
        <v>3.3086419753086418E-2</v>
      </c>
      <c r="W6" s="9" t="s">
        <v>154</v>
      </c>
      <c r="X6" s="15">
        <v>5</v>
      </c>
      <c r="Y6" s="39">
        <v>0.49435274903818455</v>
      </c>
      <c r="Z6" s="39">
        <v>0.48361948824220197</v>
      </c>
      <c r="AA6" s="39">
        <v>0.47487983845815018</v>
      </c>
      <c r="AB6" s="39">
        <v>0.49258129772199322</v>
      </c>
      <c r="AC6" s="39">
        <v>0.48642374017418993</v>
      </c>
      <c r="AD6" s="39">
        <v>0.47761398741974964</v>
      </c>
      <c r="AE6" s="39">
        <v>0.46659590038790738</v>
      </c>
      <c r="AF6" s="40">
        <v>0.48919577855642665</v>
      </c>
      <c r="AH6" s="7" t="s">
        <v>375</v>
      </c>
      <c r="AI6" s="8">
        <v>3322</v>
      </c>
      <c r="AJ6" s="8" t="s">
        <v>376</v>
      </c>
      <c r="AK6" s="9" t="s">
        <v>435</v>
      </c>
    </row>
    <row r="7" spans="1:37">
      <c r="A7" s="15">
        <v>5</v>
      </c>
      <c r="B7" s="16">
        <v>1</v>
      </c>
      <c r="C7" s="20">
        <v>0.96</v>
      </c>
      <c r="D7" s="20">
        <v>0.13880369068795359</v>
      </c>
      <c r="E7" s="20">
        <v>0.04</v>
      </c>
      <c r="F7" s="8" t="s">
        <v>434</v>
      </c>
      <c r="G7" s="24">
        <v>0.77211004516594361</v>
      </c>
      <c r="H7" s="24">
        <v>0.77658036524088547</v>
      </c>
      <c r="I7" s="25">
        <v>0.79016169592171781</v>
      </c>
      <c r="L7" s="15">
        <v>5</v>
      </c>
      <c r="M7" s="16">
        <v>0</v>
      </c>
      <c r="N7" s="16">
        <v>0</v>
      </c>
      <c r="O7" s="16">
        <v>0</v>
      </c>
      <c r="P7" s="16">
        <v>61</v>
      </c>
      <c r="Q7" s="29">
        <v>91</v>
      </c>
      <c r="R7" s="20">
        <v>0.53579999999999994</v>
      </c>
      <c r="S7" s="32">
        <v>48.757799999999996</v>
      </c>
      <c r="T7" s="35">
        <v>2.61</v>
      </c>
      <c r="U7" s="35">
        <v>1.34</v>
      </c>
      <c r="V7" s="35">
        <v>2.8681318681318679E-2</v>
      </c>
      <c r="W7" s="9" t="s">
        <v>154</v>
      </c>
      <c r="X7" s="15">
        <v>6</v>
      </c>
      <c r="Y7" s="39">
        <v>0.48512348553188511</v>
      </c>
      <c r="Z7" s="39">
        <v>0.4873637023724362</v>
      </c>
      <c r="AA7" s="39">
        <v>0.49378817186647472</v>
      </c>
      <c r="AB7" s="39">
        <v>0.49170803235980309</v>
      </c>
      <c r="AC7" s="39">
        <v>0.47965514523817959</v>
      </c>
      <c r="AD7" s="39">
        <v>0.48034191341634064</v>
      </c>
      <c r="AE7" s="39">
        <v>0.48762687363506041</v>
      </c>
      <c r="AF7" s="40">
        <v>0.48953383830704617</v>
      </c>
      <c r="AH7" s="7" t="s">
        <v>377</v>
      </c>
      <c r="AI7" s="8">
        <v>273</v>
      </c>
      <c r="AJ7" s="8" t="s">
        <v>378</v>
      </c>
      <c r="AK7" s="9" t="s">
        <v>435</v>
      </c>
    </row>
    <row r="8" spans="1:37">
      <c r="A8" s="15">
        <v>6</v>
      </c>
      <c r="B8" s="16">
        <v>0</v>
      </c>
      <c r="C8" s="20">
        <v>0.92</v>
      </c>
      <c r="D8" s="20">
        <v>0.20258497911151899</v>
      </c>
      <c r="E8" s="20">
        <v>0.08</v>
      </c>
      <c r="F8" s="8" t="s">
        <v>434</v>
      </c>
      <c r="G8" s="24">
        <v>1.185958239800063</v>
      </c>
      <c r="H8" s="24">
        <v>1.1928246352842475</v>
      </c>
      <c r="I8" s="25">
        <v>1.2136855101416919</v>
      </c>
      <c r="L8" s="15">
        <v>6</v>
      </c>
      <c r="M8" s="16">
        <v>0</v>
      </c>
      <c r="N8" s="16">
        <v>0</v>
      </c>
      <c r="O8" s="16">
        <v>0</v>
      </c>
      <c r="P8" s="16">
        <v>62</v>
      </c>
      <c r="Q8" s="29">
        <v>93</v>
      </c>
      <c r="R8" s="20">
        <v>0.53579999999999994</v>
      </c>
      <c r="S8" s="32">
        <v>49.829399999999993</v>
      </c>
      <c r="T8" s="35">
        <v>2.12</v>
      </c>
      <c r="U8" s="35">
        <v>0.63</v>
      </c>
      <c r="V8" s="35">
        <v>2.2795698924731184E-2</v>
      </c>
      <c r="W8" s="9" t="s">
        <v>154</v>
      </c>
      <c r="X8" s="15">
        <v>7</v>
      </c>
      <c r="Y8" s="39">
        <v>0.49978804815336542</v>
      </c>
      <c r="Z8" s="39">
        <v>0.49051676239055253</v>
      </c>
      <c r="AA8" s="39">
        <v>0.48224605223438721</v>
      </c>
      <c r="AB8" s="39">
        <v>0.48474164174031792</v>
      </c>
      <c r="AC8" s="39">
        <v>0.49071121137775309</v>
      </c>
      <c r="AD8" s="39">
        <v>0.48094136711278512</v>
      </c>
      <c r="AE8" s="39">
        <v>0.47457487104596557</v>
      </c>
      <c r="AF8" s="40">
        <v>0.48072639460578687</v>
      </c>
      <c r="AH8" s="7" t="s">
        <v>379</v>
      </c>
      <c r="AI8" s="8">
        <v>232593</v>
      </c>
      <c r="AJ8" s="8" t="s">
        <v>380</v>
      </c>
      <c r="AK8" s="9" t="s">
        <v>437</v>
      </c>
    </row>
    <row r="9" spans="1:37">
      <c r="A9" s="15">
        <v>7</v>
      </c>
      <c r="B9" s="16">
        <v>1</v>
      </c>
      <c r="C9" s="20">
        <v>0.02</v>
      </c>
      <c r="D9" s="20">
        <v>0.99756714174924133</v>
      </c>
      <c r="E9" s="20">
        <v>1</v>
      </c>
      <c r="F9" s="8" t="s">
        <v>436</v>
      </c>
      <c r="G9" s="24">
        <v>1.1079074037396122</v>
      </c>
      <c r="H9" s="24">
        <v>1.1143219048060367</v>
      </c>
      <c r="I9" s="25">
        <v>1.1338098740510114</v>
      </c>
      <c r="L9" s="15">
        <v>7</v>
      </c>
      <c r="M9" s="16">
        <v>0</v>
      </c>
      <c r="N9" s="16">
        <v>0</v>
      </c>
      <c r="O9" s="16">
        <v>0</v>
      </c>
      <c r="P9" s="16">
        <v>63</v>
      </c>
      <c r="Q9" s="29">
        <v>72</v>
      </c>
      <c r="R9" s="20">
        <v>0.53579999999999994</v>
      </c>
      <c r="S9" s="32">
        <v>38.577599999999997</v>
      </c>
      <c r="T9" s="35">
        <v>2.94</v>
      </c>
      <c r="U9" s="35">
        <v>1.95</v>
      </c>
      <c r="V9" s="35">
        <v>4.0833333333333333E-2</v>
      </c>
      <c r="W9" s="9" t="s">
        <v>154</v>
      </c>
      <c r="X9" s="15">
        <v>8</v>
      </c>
      <c r="Y9" s="39">
        <v>0.48512026477371878</v>
      </c>
      <c r="Z9" s="39">
        <v>0.48807864145477164</v>
      </c>
      <c r="AA9" s="39">
        <v>0.47884156167207848</v>
      </c>
      <c r="AB9" s="39">
        <v>0.48209838118372955</v>
      </c>
      <c r="AC9" s="39">
        <v>0.47838368408376031</v>
      </c>
      <c r="AD9" s="39">
        <v>0.48308345658189888</v>
      </c>
      <c r="AE9" s="39">
        <v>0.47302446908298629</v>
      </c>
      <c r="AF9" s="40">
        <v>0.47959027629303086</v>
      </c>
      <c r="AH9" s="7" t="s">
        <v>382</v>
      </c>
      <c r="AI9" s="8">
        <v>14231</v>
      </c>
      <c r="AJ9" s="8" t="s">
        <v>383</v>
      </c>
      <c r="AK9" s="9" t="s">
        <v>435</v>
      </c>
    </row>
    <row r="10" spans="1:37">
      <c r="A10" s="15">
        <v>8</v>
      </c>
      <c r="B10" s="16">
        <v>0</v>
      </c>
      <c r="C10" s="20">
        <v>0.92</v>
      </c>
      <c r="D10" s="20">
        <v>0.20258497911151899</v>
      </c>
      <c r="E10" s="20">
        <v>0.08</v>
      </c>
      <c r="F10" s="8" t="s">
        <v>434</v>
      </c>
      <c r="G10" s="24">
        <v>1.2956289761246056</v>
      </c>
      <c r="H10" s="24">
        <v>1.3031303371778755</v>
      </c>
      <c r="I10" s="25">
        <v>1.3259203082119067</v>
      </c>
      <c r="L10" s="15">
        <v>8</v>
      </c>
      <c r="M10" s="16">
        <v>0</v>
      </c>
      <c r="N10" s="16">
        <v>0</v>
      </c>
      <c r="O10" s="16">
        <v>0</v>
      </c>
      <c r="P10" s="16">
        <v>64</v>
      </c>
      <c r="Q10" s="29">
        <v>66</v>
      </c>
      <c r="R10" s="20">
        <v>0.53579999999999994</v>
      </c>
      <c r="S10" s="32">
        <v>35.362799999999993</v>
      </c>
      <c r="T10" s="35">
        <v>1.9200000000000002</v>
      </c>
      <c r="U10" s="35">
        <v>0.99</v>
      </c>
      <c r="V10" s="35">
        <v>2.9090909090909094E-2</v>
      </c>
      <c r="W10" s="9" t="s">
        <v>153</v>
      </c>
      <c r="X10" s="15">
        <v>9</v>
      </c>
      <c r="Y10" s="39">
        <v>0.47839915768314434</v>
      </c>
      <c r="Z10" s="39">
        <v>0.49255626865537316</v>
      </c>
      <c r="AA10" s="39">
        <v>0.49287645418367565</v>
      </c>
      <c r="AB10" s="39">
        <v>0.50820486851587698</v>
      </c>
      <c r="AC10" s="39">
        <v>0.47348634749486751</v>
      </c>
      <c r="AD10" s="39">
        <v>0.48463657846352343</v>
      </c>
      <c r="AE10" s="39">
        <v>0.48429906296703318</v>
      </c>
      <c r="AF10" s="40">
        <v>0.50386697750135523</v>
      </c>
      <c r="AH10" s="10" t="s">
        <v>384</v>
      </c>
      <c r="AI10" s="11">
        <v>26316</v>
      </c>
      <c r="AJ10" s="11" t="s">
        <v>385</v>
      </c>
      <c r="AK10" s="12" t="s">
        <v>435</v>
      </c>
    </row>
    <row r="11" spans="1:37">
      <c r="A11" s="15">
        <v>9</v>
      </c>
      <c r="B11" s="16">
        <v>0</v>
      </c>
      <c r="C11" s="20">
        <v>0.41</v>
      </c>
      <c r="D11" s="20">
        <v>0.65832021326472689</v>
      </c>
      <c r="E11" s="20">
        <v>0.08</v>
      </c>
      <c r="F11" s="8" t="s">
        <v>436</v>
      </c>
      <c r="G11" s="24">
        <v>1.2609364908763208</v>
      </c>
      <c r="H11" s="24">
        <v>1.268236991295506</v>
      </c>
      <c r="I11" s="25">
        <v>1.2904167253338568</v>
      </c>
      <c r="L11" s="15">
        <v>9</v>
      </c>
      <c r="M11" s="16">
        <v>0</v>
      </c>
      <c r="N11" s="16">
        <v>0</v>
      </c>
      <c r="O11" s="16">
        <v>0</v>
      </c>
      <c r="P11" s="16">
        <v>65</v>
      </c>
      <c r="Q11" s="29">
        <v>89</v>
      </c>
      <c r="R11" s="20">
        <v>0.53579999999999994</v>
      </c>
      <c r="S11" s="32">
        <v>47.686199999999992</v>
      </c>
      <c r="T11" s="35">
        <v>3.0300000000000002</v>
      </c>
      <c r="U11" s="35">
        <v>1.7</v>
      </c>
      <c r="V11" s="35">
        <v>3.4044943820224723E-2</v>
      </c>
      <c r="W11" s="9" t="s">
        <v>155</v>
      </c>
      <c r="X11" s="15">
        <v>10</v>
      </c>
      <c r="Y11" s="39">
        <v>0.47354959373622069</v>
      </c>
      <c r="Z11" s="39">
        <v>0.48401557118599403</v>
      </c>
      <c r="AA11" s="39">
        <v>0.48252635404005395</v>
      </c>
      <c r="AB11" s="39">
        <v>0.48329626144760068</v>
      </c>
      <c r="AC11" s="39">
        <v>0.46754617636681556</v>
      </c>
      <c r="AD11" s="39">
        <v>0.47579968519428406</v>
      </c>
      <c r="AE11" s="39">
        <v>0.47354773446118265</v>
      </c>
      <c r="AF11" s="40">
        <v>0.47857925387354883</v>
      </c>
    </row>
    <row r="12" spans="1:37">
      <c r="A12" s="15">
        <v>10</v>
      </c>
      <c r="B12" s="16">
        <v>1</v>
      </c>
      <c r="C12" s="20">
        <v>0.06</v>
      </c>
      <c r="D12" s="20">
        <v>0.94030058845891407</v>
      </c>
      <c r="E12" s="20">
        <v>0.24</v>
      </c>
      <c r="F12" s="8" t="s">
        <v>436</v>
      </c>
      <c r="G12" s="24">
        <v>1.3435712854562061</v>
      </c>
      <c r="H12" s="24">
        <v>1.3513502202428913</v>
      </c>
      <c r="I12" s="25">
        <v>1.3749834912193488</v>
      </c>
      <c r="L12" s="15">
        <v>10</v>
      </c>
      <c r="M12" s="16">
        <v>0</v>
      </c>
      <c r="N12" s="16">
        <v>0</v>
      </c>
      <c r="O12" s="16">
        <v>0</v>
      </c>
      <c r="P12" s="16">
        <v>66</v>
      </c>
      <c r="Q12" s="29">
        <v>82</v>
      </c>
      <c r="R12" s="20">
        <v>0.53579999999999994</v>
      </c>
      <c r="S12" s="32">
        <v>43.935599999999994</v>
      </c>
      <c r="T12" s="35">
        <v>2.4700000000000002</v>
      </c>
      <c r="U12" s="35">
        <v>1.08</v>
      </c>
      <c r="V12" s="35">
        <v>3.0121951219512198E-2</v>
      </c>
      <c r="W12" s="9" t="s">
        <v>154</v>
      </c>
      <c r="X12" s="15">
        <v>11</v>
      </c>
      <c r="Y12" s="39">
        <v>0.47903991962621945</v>
      </c>
      <c r="Z12" s="39">
        <v>0.48788877882126219</v>
      </c>
      <c r="AA12" s="39">
        <v>0.48590233930569987</v>
      </c>
      <c r="AB12" s="39">
        <v>0.48882064387939417</v>
      </c>
      <c r="AC12" s="39">
        <v>0.47166773815834789</v>
      </c>
      <c r="AD12" s="39">
        <v>0.48136229811888115</v>
      </c>
      <c r="AE12" s="39">
        <v>0.48139373476928426</v>
      </c>
      <c r="AF12" s="40">
        <v>0.48491052407805696</v>
      </c>
    </row>
    <row r="13" spans="1:37">
      <c r="A13" s="15">
        <v>11</v>
      </c>
      <c r="B13" s="16">
        <v>0</v>
      </c>
      <c r="C13" s="20">
        <v>0.02</v>
      </c>
      <c r="D13" s="20">
        <v>0.99835916395484214</v>
      </c>
      <c r="E13" s="20">
        <v>1</v>
      </c>
      <c r="F13" s="8" t="s">
        <v>436</v>
      </c>
      <c r="G13" s="24">
        <v>1.0166384741145922</v>
      </c>
      <c r="H13" s="24">
        <v>1.0225245513755299</v>
      </c>
      <c r="I13" s="25">
        <v>1.0404071101976204</v>
      </c>
      <c r="L13" s="15">
        <v>11</v>
      </c>
      <c r="M13" s="16">
        <v>0</v>
      </c>
      <c r="N13" s="16">
        <v>0</v>
      </c>
      <c r="O13" s="16">
        <v>0</v>
      </c>
      <c r="P13" s="16">
        <v>67</v>
      </c>
      <c r="Q13" s="29">
        <v>75</v>
      </c>
      <c r="R13" s="20">
        <v>0.53579999999999994</v>
      </c>
      <c r="S13" s="32">
        <v>40.184999999999995</v>
      </c>
      <c r="T13" s="35">
        <v>4.01</v>
      </c>
      <c r="U13" s="35">
        <v>2.99</v>
      </c>
      <c r="V13" s="35">
        <v>5.3466666666666662E-2</v>
      </c>
      <c r="W13" s="9" t="s">
        <v>155</v>
      </c>
      <c r="X13" s="15">
        <v>12</v>
      </c>
      <c r="Y13" s="39">
        <v>0.4901388219648492</v>
      </c>
      <c r="Z13" s="39">
        <v>0.48556451127150718</v>
      </c>
      <c r="AA13" s="39">
        <v>0.47762213658660319</v>
      </c>
      <c r="AB13" s="39">
        <v>0.4855276591773296</v>
      </c>
      <c r="AC13" s="39">
        <v>0.48314628666139625</v>
      </c>
      <c r="AD13" s="39">
        <v>0.47540048972823662</v>
      </c>
      <c r="AE13" s="39">
        <v>0.46924150734413228</v>
      </c>
      <c r="AF13" s="40">
        <v>0.4806936862337412</v>
      </c>
    </row>
    <row r="14" spans="1:37">
      <c r="A14" s="15">
        <v>12</v>
      </c>
      <c r="B14" s="16">
        <v>1</v>
      </c>
      <c r="C14" s="20">
        <v>0.91</v>
      </c>
      <c r="D14" s="20">
        <v>0.21727233298780477</v>
      </c>
      <c r="E14" s="20">
        <v>0.09</v>
      </c>
      <c r="F14" s="8" t="s">
        <v>434</v>
      </c>
      <c r="G14" s="24">
        <v>1.0528583078900002</v>
      </c>
      <c r="H14" s="24">
        <v>1.0589540887431279</v>
      </c>
      <c r="I14" s="25">
        <v>1.0774737504533214</v>
      </c>
      <c r="L14" s="15">
        <v>12</v>
      </c>
      <c r="M14" s="16">
        <v>0</v>
      </c>
      <c r="N14" s="16">
        <v>0</v>
      </c>
      <c r="O14" s="16">
        <v>0</v>
      </c>
      <c r="P14" s="16">
        <v>68</v>
      </c>
      <c r="Q14" s="29">
        <v>86</v>
      </c>
      <c r="R14" s="20">
        <v>0.53579999999999994</v>
      </c>
      <c r="S14" s="32">
        <v>46.078799999999994</v>
      </c>
      <c r="T14" s="35">
        <v>1.84</v>
      </c>
      <c r="U14" s="35">
        <v>0.45</v>
      </c>
      <c r="V14" s="35">
        <v>2.1395348837209303E-2</v>
      </c>
      <c r="W14" s="9" t="s">
        <v>153</v>
      </c>
      <c r="X14" s="15">
        <v>13</v>
      </c>
      <c r="Y14" s="39">
        <v>0.46102907100556523</v>
      </c>
      <c r="Z14" s="39">
        <v>0.47223586998671807</v>
      </c>
      <c r="AA14" s="39">
        <v>0.48168038285491455</v>
      </c>
      <c r="AB14" s="39">
        <v>0.4919084846258503</v>
      </c>
      <c r="AC14" s="39">
        <v>0.45550878207454165</v>
      </c>
      <c r="AD14" s="39">
        <v>0.46557010436176188</v>
      </c>
      <c r="AE14" s="39">
        <v>0.47309000990773858</v>
      </c>
      <c r="AF14" s="40">
        <v>0.48752153653334007</v>
      </c>
    </row>
    <row r="15" spans="1:37">
      <c r="A15" s="15">
        <v>13</v>
      </c>
      <c r="B15" s="16">
        <v>1</v>
      </c>
      <c r="C15" s="20">
        <v>0.35</v>
      </c>
      <c r="D15" s="20">
        <v>0.63418258522261917</v>
      </c>
      <c r="E15" s="20">
        <v>0.05</v>
      </c>
      <c r="F15" s="8" t="s">
        <v>436</v>
      </c>
      <c r="G15" s="24">
        <v>0.55918053764115871</v>
      </c>
      <c r="H15" s="24">
        <v>0.56241805021930014</v>
      </c>
      <c r="I15" s="25">
        <v>0.5722539743075018</v>
      </c>
      <c r="L15" s="15">
        <v>13</v>
      </c>
      <c r="M15" s="16">
        <v>0</v>
      </c>
      <c r="N15" s="16">
        <v>0</v>
      </c>
      <c r="O15" s="16">
        <v>0</v>
      </c>
      <c r="P15" s="16">
        <v>69</v>
      </c>
      <c r="Q15" s="29">
        <v>79</v>
      </c>
      <c r="R15" s="20">
        <v>0.53579999999999994</v>
      </c>
      <c r="S15" s="32">
        <v>42.328199999999995</v>
      </c>
      <c r="T15" s="35">
        <v>2.62</v>
      </c>
      <c r="U15" s="35">
        <v>1.34</v>
      </c>
      <c r="V15" s="35">
        <v>3.3164556962025318E-2</v>
      </c>
      <c r="W15" s="9" t="s">
        <v>154</v>
      </c>
      <c r="X15" s="15">
        <v>14</v>
      </c>
      <c r="Y15" s="39">
        <v>0.49228769564755787</v>
      </c>
      <c r="Z15" s="39">
        <v>0.48181174957116724</v>
      </c>
      <c r="AA15" s="39">
        <v>0.48729611748559332</v>
      </c>
      <c r="AB15" s="39">
        <v>0.48819288191207982</v>
      </c>
      <c r="AC15" s="39">
        <v>0.4841618289240105</v>
      </c>
      <c r="AD15" s="39">
        <v>0.47481168172514515</v>
      </c>
      <c r="AE15" s="39">
        <v>0.48319441863156776</v>
      </c>
      <c r="AF15" s="40">
        <v>0.48706061720042504</v>
      </c>
    </row>
    <row r="16" spans="1:37">
      <c r="A16" s="15">
        <v>14</v>
      </c>
      <c r="B16" s="16">
        <v>1</v>
      </c>
      <c r="C16" s="20">
        <v>0.19</v>
      </c>
      <c r="D16" s="20">
        <v>0.79825333887782335</v>
      </c>
      <c r="E16" s="20">
        <v>0.11</v>
      </c>
      <c r="F16" s="8" t="s">
        <v>436</v>
      </c>
      <c r="G16" s="24">
        <v>0.86148450008115307</v>
      </c>
      <c r="H16" s="24">
        <v>0.86647227543659011</v>
      </c>
      <c r="I16" s="25">
        <v>0.88162569293875326</v>
      </c>
      <c r="L16" s="15">
        <v>14</v>
      </c>
      <c r="M16" s="16">
        <v>0</v>
      </c>
      <c r="N16" s="16">
        <v>0</v>
      </c>
      <c r="O16" s="16">
        <v>0</v>
      </c>
      <c r="P16" s="16">
        <v>70</v>
      </c>
      <c r="Q16" s="29">
        <v>88</v>
      </c>
      <c r="R16" s="20">
        <v>0.53579999999999994</v>
      </c>
      <c r="S16" s="32">
        <v>47.150399999999998</v>
      </c>
      <c r="T16" s="35">
        <v>4.7699999999999996</v>
      </c>
      <c r="U16" s="35">
        <v>3.47</v>
      </c>
      <c r="V16" s="35">
        <v>5.420454545454545E-2</v>
      </c>
      <c r="W16" s="9" t="s">
        <v>155</v>
      </c>
      <c r="X16" s="15">
        <v>15</v>
      </c>
      <c r="Y16" s="39">
        <v>0.49208206259858367</v>
      </c>
      <c r="Z16" s="39">
        <v>0.47522384813865887</v>
      </c>
      <c r="AA16" s="39">
        <v>0.49459525157979439</v>
      </c>
      <c r="AB16" s="39">
        <v>0.49222855427120943</v>
      </c>
      <c r="AC16" s="39">
        <v>0.48503474593875451</v>
      </c>
      <c r="AD16" s="39">
        <v>0.47065714450763829</v>
      </c>
      <c r="AE16" s="39">
        <v>0.48696376123217949</v>
      </c>
      <c r="AF16" s="40">
        <v>0.48970907055423002</v>
      </c>
    </row>
    <row r="17" spans="1:32">
      <c r="A17" s="15">
        <v>15</v>
      </c>
      <c r="B17" s="16">
        <v>0</v>
      </c>
      <c r="C17" s="20">
        <v>0.65</v>
      </c>
      <c r="D17" s="20">
        <v>0.43748102345479367</v>
      </c>
      <c r="E17" s="20">
        <v>0.1</v>
      </c>
      <c r="F17" s="8" t="s">
        <v>438</v>
      </c>
      <c r="G17" s="24">
        <v>0.75390098847034115</v>
      </c>
      <c r="H17" s="24">
        <v>0.7582658827550065</v>
      </c>
      <c r="I17" s="25">
        <v>0.77152691813348218</v>
      </c>
      <c r="L17" s="15">
        <v>15</v>
      </c>
      <c r="M17" s="16">
        <v>0</v>
      </c>
      <c r="N17" s="16">
        <v>0</v>
      </c>
      <c r="O17" s="16">
        <v>0</v>
      </c>
      <c r="P17" s="16">
        <v>71</v>
      </c>
      <c r="Q17" s="29">
        <v>98</v>
      </c>
      <c r="R17" s="20">
        <v>0.53579999999999994</v>
      </c>
      <c r="S17" s="32">
        <v>52.508399999999995</v>
      </c>
      <c r="T17" s="35">
        <v>4.7699999999999996</v>
      </c>
      <c r="U17" s="35">
        <v>3.17</v>
      </c>
      <c r="V17" s="35">
        <v>4.8673469387755096E-2</v>
      </c>
      <c r="W17" s="9" t="s">
        <v>155</v>
      </c>
      <c r="X17" s="15">
        <v>16</v>
      </c>
      <c r="Y17" s="39">
        <v>0.47493875423019721</v>
      </c>
      <c r="Z17" s="39">
        <v>0.48925264660351375</v>
      </c>
      <c r="AA17" s="39">
        <v>0.49496394541821265</v>
      </c>
      <c r="AB17" s="39">
        <v>0.48875986345536687</v>
      </c>
      <c r="AC17" s="39">
        <v>0.46778039793033344</v>
      </c>
      <c r="AD17" s="39">
        <v>0.48151746951196078</v>
      </c>
      <c r="AE17" s="39">
        <v>0.48782636747413</v>
      </c>
      <c r="AF17" s="40">
        <v>0.48546954530837316</v>
      </c>
    </row>
    <row r="18" spans="1:32">
      <c r="A18" s="15">
        <v>16</v>
      </c>
      <c r="B18" s="16">
        <v>0</v>
      </c>
      <c r="C18" s="20">
        <v>0.25</v>
      </c>
      <c r="D18" s="20">
        <v>0.81001571522572835</v>
      </c>
      <c r="E18" s="20">
        <v>0.15</v>
      </c>
      <c r="F18" s="8" t="s">
        <v>436</v>
      </c>
      <c r="G18" s="24">
        <v>1.3721007206476732</v>
      </c>
      <c r="H18" s="24">
        <v>1.3800448335817761</v>
      </c>
      <c r="I18" s="25">
        <v>1.4041799341820012</v>
      </c>
      <c r="L18" s="15">
        <v>16</v>
      </c>
      <c r="M18" s="16">
        <v>0</v>
      </c>
      <c r="N18" s="16">
        <v>0</v>
      </c>
      <c r="O18" s="16">
        <v>0</v>
      </c>
      <c r="P18" s="16">
        <v>72</v>
      </c>
      <c r="Q18" s="29">
        <v>104</v>
      </c>
      <c r="R18" s="20">
        <v>0.53579999999999994</v>
      </c>
      <c r="S18" s="32">
        <v>55.723199999999991</v>
      </c>
      <c r="T18" s="35">
        <v>3</v>
      </c>
      <c r="U18" s="35">
        <v>1.65</v>
      </c>
      <c r="V18" s="35">
        <v>2.8846153846153848E-2</v>
      </c>
      <c r="W18" s="9" t="s">
        <v>155</v>
      </c>
      <c r="X18" s="15">
        <v>17</v>
      </c>
      <c r="Y18" s="39">
        <v>0.49845383392709758</v>
      </c>
      <c r="Z18" s="39">
        <v>0.48436395419815298</v>
      </c>
      <c r="AA18" s="39">
        <v>0.48758387345206922</v>
      </c>
      <c r="AB18" s="39">
        <v>0.47444760896544896</v>
      </c>
      <c r="AC18" s="39">
        <v>0.48823716766280917</v>
      </c>
      <c r="AD18" s="39">
        <v>0.47653514317079154</v>
      </c>
      <c r="AE18" s="39">
        <v>0.47949350692284354</v>
      </c>
      <c r="AF18" s="40">
        <v>0.46969251743133206</v>
      </c>
    </row>
    <row r="19" spans="1:32">
      <c r="A19" s="15">
        <v>17</v>
      </c>
      <c r="B19" s="16">
        <v>1</v>
      </c>
      <c r="C19" s="20">
        <v>0.19</v>
      </c>
      <c r="D19" s="20">
        <v>0.74782373433685023</v>
      </c>
      <c r="E19" s="20">
        <v>0.24</v>
      </c>
      <c r="F19" s="8" t="s">
        <v>436</v>
      </c>
      <c r="G19" s="24">
        <v>0.73980341200600808</v>
      </c>
      <c r="H19" s="24">
        <v>0.74408668492145136</v>
      </c>
      <c r="I19" s="25">
        <v>0.75709974548214143</v>
      </c>
      <c r="L19" s="15">
        <v>17</v>
      </c>
      <c r="M19" s="16">
        <v>0</v>
      </c>
      <c r="N19" s="16">
        <v>0</v>
      </c>
      <c r="O19" s="16">
        <v>0</v>
      </c>
      <c r="P19" s="16">
        <v>73</v>
      </c>
      <c r="Q19" s="29">
        <v>83</v>
      </c>
      <c r="R19" s="20">
        <v>0.53579999999999994</v>
      </c>
      <c r="S19" s="32">
        <v>44.471399999999996</v>
      </c>
      <c r="T19" s="35">
        <v>3.83</v>
      </c>
      <c r="U19" s="35">
        <v>2.61</v>
      </c>
      <c r="V19" s="35">
        <v>4.6144578313253012E-2</v>
      </c>
      <c r="W19" s="9" t="s">
        <v>155</v>
      </c>
      <c r="X19" s="15">
        <v>18</v>
      </c>
      <c r="Y19" s="39">
        <v>0.48427720037603755</v>
      </c>
      <c r="Z19" s="39">
        <v>0.50312123871190373</v>
      </c>
      <c r="AA19" s="39">
        <v>0.50128896423003011</v>
      </c>
      <c r="AB19" s="39">
        <v>0.47595598442166831</v>
      </c>
      <c r="AC19" s="39">
        <v>0.47829983365625639</v>
      </c>
      <c r="AD19" s="39">
        <v>0.49604787278484685</v>
      </c>
      <c r="AE19" s="39">
        <v>0.49295308457235831</v>
      </c>
      <c r="AF19" s="40">
        <v>0.47147195465426572</v>
      </c>
    </row>
    <row r="20" spans="1:32">
      <c r="A20" s="15">
        <v>18</v>
      </c>
      <c r="B20" s="16">
        <v>1</v>
      </c>
      <c r="C20" s="20">
        <v>0.02</v>
      </c>
      <c r="D20" s="20">
        <v>0.99835916395484214</v>
      </c>
      <c r="E20" s="20">
        <v>1</v>
      </c>
      <c r="F20" s="8" t="s">
        <v>436</v>
      </c>
      <c r="G20" s="24">
        <v>1.0122538984559459</v>
      </c>
      <c r="H20" s="24">
        <v>1.018114590143014</v>
      </c>
      <c r="I20" s="25">
        <v>1.0359200247620355</v>
      </c>
      <c r="L20" s="15">
        <v>18</v>
      </c>
      <c r="M20" s="16">
        <v>0</v>
      </c>
      <c r="N20" s="16">
        <v>0</v>
      </c>
      <c r="O20" s="16">
        <v>0</v>
      </c>
      <c r="P20" s="16">
        <v>74</v>
      </c>
      <c r="Q20" s="29">
        <v>82</v>
      </c>
      <c r="R20" s="20">
        <v>0.53579999999999994</v>
      </c>
      <c r="S20" s="32">
        <v>43.935599999999994</v>
      </c>
      <c r="T20" s="35">
        <v>2.4700000000000002</v>
      </c>
      <c r="U20" s="35">
        <v>1.19</v>
      </c>
      <c r="V20" s="35">
        <v>3.0121951219512198E-2</v>
      </c>
      <c r="W20" s="9" t="s">
        <v>154</v>
      </c>
      <c r="X20" s="15">
        <v>19</v>
      </c>
      <c r="Y20" s="39">
        <v>0.49066340251244567</v>
      </c>
      <c r="Z20" s="39">
        <v>0.48053253093866205</v>
      </c>
      <c r="AA20" s="39">
        <v>0.4768289694007582</v>
      </c>
      <c r="AB20" s="39">
        <v>0.51019306619457538</v>
      </c>
      <c r="AC20" s="39">
        <v>0.48192372182530263</v>
      </c>
      <c r="AD20" s="39">
        <v>0.47529753520378742</v>
      </c>
      <c r="AE20" s="39">
        <v>0.4733837370814678</v>
      </c>
      <c r="AF20" s="40">
        <v>0.50350991562869285</v>
      </c>
    </row>
    <row r="21" spans="1:32">
      <c r="A21" s="15">
        <v>19</v>
      </c>
      <c r="B21" s="16">
        <v>0</v>
      </c>
      <c r="C21" s="20">
        <v>0.01</v>
      </c>
      <c r="D21" s="20">
        <v>0.99999999999999978</v>
      </c>
      <c r="E21" s="20">
        <v>1</v>
      </c>
      <c r="F21" s="8" t="s">
        <v>436</v>
      </c>
      <c r="G21" s="24">
        <v>1.0263683388961364</v>
      </c>
      <c r="H21" s="24">
        <v>1.0323107495905421</v>
      </c>
      <c r="I21" s="25">
        <v>1.0503644556628275</v>
      </c>
      <c r="L21" s="15">
        <v>19</v>
      </c>
      <c r="M21" s="16">
        <v>0</v>
      </c>
      <c r="N21" s="16">
        <v>0</v>
      </c>
      <c r="O21" s="16">
        <v>0</v>
      </c>
      <c r="P21" s="16">
        <v>75</v>
      </c>
      <c r="Q21" s="29">
        <v>89</v>
      </c>
      <c r="R21" s="20">
        <v>0.53579999999999994</v>
      </c>
      <c r="S21" s="32">
        <v>47.686199999999992</v>
      </c>
      <c r="T21" s="35">
        <v>1.6</v>
      </c>
      <c r="U21" s="35">
        <v>0.24</v>
      </c>
      <c r="V21" s="35">
        <v>1.7977528089887642E-2</v>
      </c>
      <c r="W21" s="9" t="s">
        <v>153</v>
      </c>
      <c r="X21" s="15">
        <v>20</v>
      </c>
      <c r="Y21" s="39">
        <v>0.48599116793818187</v>
      </c>
      <c r="Z21" s="39">
        <v>0.48184819309922061</v>
      </c>
      <c r="AA21" s="39">
        <v>0.48647571402160367</v>
      </c>
      <c r="AB21" s="39">
        <v>0.49290906836105908</v>
      </c>
      <c r="AC21" s="39">
        <v>0.47600887751032223</v>
      </c>
      <c r="AD21" s="39">
        <v>0.4781171281070446</v>
      </c>
      <c r="AE21" s="39">
        <v>0.47871322594594684</v>
      </c>
      <c r="AF21" s="40">
        <v>0.48625063180974359</v>
      </c>
    </row>
    <row r="22" spans="1:32">
      <c r="A22" s="15">
        <v>20</v>
      </c>
      <c r="B22" s="16">
        <v>1</v>
      </c>
      <c r="C22" s="20">
        <v>0.13</v>
      </c>
      <c r="D22" s="20">
        <v>0.93053150586069455</v>
      </c>
      <c r="E22" s="20">
        <v>0.05</v>
      </c>
      <c r="F22" s="8" t="s">
        <v>436</v>
      </c>
      <c r="G22" s="24">
        <v>1.1373321083507781</v>
      </c>
      <c r="H22" s="24">
        <v>1.1439169709460366</v>
      </c>
      <c r="I22" s="25">
        <v>1.1639225175052972</v>
      </c>
      <c r="L22" s="15">
        <v>20</v>
      </c>
      <c r="M22" s="16">
        <v>0</v>
      </c>
      <c r="N22" s="16">
        <v>0</v>
      </c>
      <c r="O22" s="16">
        <v>0</v>
      </c>
      <c r="P22" s="16">
        <v>76</v>
      </c>
      <c r="Q22" s="29">
        <v>73</v>
      </c>
      <c r="R22" s="20">
        <v>0.53579999999999994</v>
      </c>
      <c r="S22" s="32">
        <v>39.113399999999999</v>
      </c>
      <c r="T22" s="35">
        <v>3.14</v>
      </c>
      <c r="U22" s="35">
        <v>2.09</v>
      </c>
      <c r="V22" s="35">
        <v>4.3013698630136987E-2</v>
      </c>
      <c r="W22" s="9" t="s">
        <v>155</v>
      </c>
      <c r="X22" s="15">
        <v>21</v>
      </c>
      <c r="Y22" s="39">
        <v>0.50212016997085285</v>
      </c>
      <c r="Z22" s="39">
        <v>0.48264669496976775</v>
      </c>
      <c r="AA22" s="39">
        <v>0.47074118095332335</v>
      </c>
      <c r="AB22" s="39">
        <v>0.49276489720242805</v>
      </c>
      <c r="AC22" s="39">
        <v>0.49186145601403192</v>
      </c>
      <c r="AD22" s="39">
        <v>0.47433395333692979</v>
      </c>
      <c r="AE22" s="39">
        <v>0.46637450283855575</v>
      </c>
      <c r="AF22" s="40">
        <v>0.48920205720221732</v>
      </c>
    </row>
    <row r="23" spans="1:32">
      <c r="A23" s="15">
        <v>21</v>
      </c>
      <c r="B23" s="16">
        <v>1</v>
      </c>
      <c r="C23" s="20">
        <v>0.02</v>
      </c>
      <c r="D23" s="20">
        <v>0.99756714174924133</v>
      </c>
      <c r="E23" s="20">
        <v>1</v>
      </c>
      <c r="F23" s="8" t="s">
        <v>436</v>
      </c>
      <c r="G23" s="24">
        <v>0.95147000392576353</v>
      </c>
      <c r="H23" s="24">
        <v>0.9569787723790224</v>
      </c>
      <c r="I23" s="25">
        <v>0.97371502498590468</v>
      </c>
      <c r="L23" s="15">
        <v>21</v>
      </c>
      <c r="M23" s="16">
        <v>0</v>
      </c>
      <c r="N23" s="16">
        <v>0</v>
      </c>
      <c r="O23" s="16">
        <v>0</v>
      </c>
      <c r="P23" s="16">
        <v>77</v>
      </c>
      <c r="Q23" s="29">
        <v>111</v>
      </c>
      <c r="R23" s="20">
        <v>0.53579999999999994</v>
      </c>
      <c r="S23" s="32">
        <v>59.473799999999997</v>
      </c>
      <c r="T23" s="35">
        <v>2.8800000000000003</v>
      </c>
      <c r="U23" s="35">
        <v>1.36</v>
      </c>
      <c r="V23" s="35">
        <v>2.5945945945945948E-2</v>
      </c>
      <c r="W23" s="9" t="s">
        <v>154</v>
      </c>
      <c r="X23" s="15">
        <v>22</v>
      </c>
      <c r="Y23" s="39">
        <v>0.50069253283335813</v>
      </c>
      <c r="Z23" s="39">
        <v>0.47670588958355775</v>
      </c>
      <c r="AA23" s="39">
        <v>0.47590888616481886</v>
      </c>
      <c r="AB23" s="39">
        <v>0.48176378295325401</v>
      </c>
      <c r="AC23" s="39">
        <v>0.49398415819427749</v>
      </c>
      <c r="AD23" s="39">
        <v>0.47115601231022536</v>
      </c>
      <c r="AE23" s="39">
        <v>0.46877090885865041</v>
      </c>
      <c r="AF23" s="40">
        <v>0.47809889041863735</v>
      </c>
    </row>
    <row r="24" spans="1:32">
      <c r="A24" s="15">
        <v>22</v>
      </c>
      <c r="B24" s="16">
        <v>1</v>
      </c>
      <c r="C24" s="20">
        <v>0.05</v>
      </c>
      <c r="D24" s="20">
        <v>0.95577602280455742</v>
      </c>
      <c r="E24" s="20">
        <v>0.5</v>
      </c>
      <c r="F24" s="8" t="s">
        <v>436</v>
      </c>
      <c r="G24" s="24">
        <v>0.97242661488159932</v>
      </c>
      <c r="H24" s="24">
        <v>0.97805671676296879</v>
      </c>
      <c r="I24" s="25">
        <v>0.99516159384912417</v>
      </c>
      <c r="L24" s="15">
        <v>22</v>
      </c>
      <c r="M24" s="16">
        <v>0</v>
      </c>
      <c r="N24" s="16">
        <v>0</v>
      </c>
      <c r="O24" s="16">
        <v>0</v>
      </c>
      <c r="P24" s="16">
        <v>78</v>
      </c>
      <c r="Q24" s="29">
        <v>83</v>
      </c>
      <c r="R24" s="20">
        <v>0.53579999999999994</v>
      </c>
      <c r="S24" s="32">
        <v>44.471399999999996</v>
      </c>
      <c r="T24" s="35">
        <v>2.25</v>
      </c>
      <c r="U24" s="35">
        <v>1.08</v>
      </c>
      <c r="V24" s="35">
        <v>2.710843373493976E-2</v>
      </c>
      <c r="W24" s="9" t="s">
        <v>154</v>
      </c>
      <c r="X24" s="15">
        <v>23</v>
      </c>
      <c r="Y24" s="39">
        <v>0.48972181058780595</v>
      </c>
      <c r="Z24" s="39">
        <v>0.48168668696679995</v>
      </c>
      <c r="AA24" s="39">
        <v>0.50456977038559681</v>
      </c>
      <c r="AB24" s="39">
        <v>0.48424962761820817</v>
      </c>
      <c r="AC24" s="39">
        <v>0.48217366988085386</v>
      </c>
      <c r="AD24" s="39">
        <v>0.47714266692331014</v>
      </c>
      <c r="AE24" s="39">
        <v>0.49479332405412713</v>
      </c>
      <c r="AF24" s="40">
        <v>0.47759517555522768</v>
      </c>
    </row>
    <row r="25" spans="1:32">
      <c r="A25" s="15">
        <v>23</v>
      </c>
      <c r="B25" s="16">
        <v>1</v>
      </c>
      <c r="C25" s="20">
        <v>0.92</v>
      </c>
      <c r="D25" s="20">
        <v>0.20258497911151899</v>
      </c>
      <c r="E25" s="20">
        <v>0.08</v>
      </c>
      <c r="F25" s="8" t="s">
        <v>434</v>
      </c>
      <c r="G25" s="24">
        <v>0.67551933605125603</v>
      </c>
      <c r="H25" s="24">
        <v>0.67943042057588787</v>
      </c>
      <c r="I25" s="25">
        <v>0.69131273131857041</v>
      </c>
      <c r="L25" s="15">
        <v>23</v>
      </c>
      <c r="M25" s="16">
        <v>0</v>
      </c>
      <c r="N25" s="16">
        <v>0</v>
      </c>
      <c r="O25" s="16">
        <v>0</v>
      </c>
      <c r="P25" s="16">
        <v>79</v>
      </c>
      <c r="Q25" s="29">
        <v>89</v>
      </c>
      <c r="R25" s="20">
        <v>0.53579999999999994</v>
      </c>
      <c r="S25" s="32">
        <v>47.686199999999992</v>
      </c>
      <c r="T25" s="35">
        <v>2.2800000000000002</v>
      </c>
      <c r="U25" s="35">
        <v>1.08</v>
      </c>
      <c r="V25" s="35">
        <v>2.5617977528089891E-2</v>
      </c>
      <c r="W25" s="9" t="s">
        <v>154</v>
      </c>
      <c r="X25" s="15">
        <v>24</v>
      </c>
      <c r="Y25" s="39">
        <v>0.48607021472813722</v>
      </c>
      <c r="Z25" s="39">
        <v>0.48580884865977275</v>
      </c>
      <c r="AA25" s="39">
        <v>0.49674246157297036</v>
      </c>
      <c r="AB25" s="39">
        <v>0.48660192020022636</v>
      </c>
      <c r="AC25" s="39">
        <v>0.48046147301109532</v>
      </c>
      <c r="AD25" s="39">
        <v>0.48056517940893073</v>
      </c>
      <c r="AE25" s="39">
        <v>0.48860904859461335</v>
      </c>
      <c r="AF25" s="40">
        <v>0.47956605102376348</v>
      </c>
    </row>
    <row r="26" spans="1:32">
      <c r="A26" s="15">
        <v>24</v>
      </c>
      <c r="B26" s="16">
        <v>0</v>
      </c>
      <c r="C26" s="20">
        <v>0.95</v>
      </c>
      <c r="D26" s="20">
        <v>0.15570568692893463</v>
      </c>
      <c r="E26" s="20">
        <v>0.05</v>
      </c>
      <c r="F26" s="8" t="s">
        <v>434</v>
      </c>
      <c r="G26" s="24">
        <v>0.33208094678038996</v>
      </c>
      <c r="H26" s="24">
        <v>0.33400361069622986</v>
      </c>
      <c r="I26" s="25">
        <v>0.33984487798612639</v>
      </c>
      <c r="L26" s="15">
        <v>24</v>
      </c>
      <c r="M26" s="16">
        <v>0</v>
      </c>
      <c r="N26" s="16">
        <v>0</v>
      </c>
      <c r="O26" s="16">
        <v>0</v>
      </c>
      <c r="P26" s="16">
        <v>80</v>
      </c>
      <c r="Q26" s="29">
        <v>77</v>
      </c>
      <c r="R26" s="20">
        <v>0.53579999999999994</v>
      </c>
      <c r="S26" s="32">
        <v>41.256599999999999</v>
      </c>
      <c r="T26" s="35">
        <v>1.6400000000000001</v>
      </c>
      <c r="U26" s="35">
        <v>0.53</v>
      </c>
      <c r="V26" s="35">
        <v>2.12987012987013E-2</v>
      </c>
      <c r="W26" s="9" t="s">
        <v>153</v>
      </c>
      <c r="X26" s="15">
        <v>25</v>
      </c>
      <c r="Y26" s="39">
        <v>0.47804788734868603</v>
      </c>
      <c r="Z26" s="39">
        <v>0.48993094955868743</v>
      </c>
      <c r="AA26" s="39">
        <v>0.50118829979760215</v>
      </c>
      <c r="AB26" s="39">
        <v>0.48532177818657662</v>
      </c>
      <c r="AC26" s="39">
        <v>0.47157177740131812</v>
      </c>
      <c r="AD26" s="39">
        <v>0.48420453994207324</v>
      </c>
      <c r="AE26" s="39">
        <v>0.49588180539075766</v>
      </c>
      <c r="AF26" s="40">
        <v>0.48090336693315933</v>
      </c>
    </row>
    <row r="27" spans="1:32">
      <c r="A27" s="15">
        <v>25</v>
      </c>
      <c r="B27" s="16">
        <v>1</v>
      </c>
      <c r="C27" s="20">
        <v>0.92</v>
      </c>
      <c r="D27" s="20">
        <v>0.20258497911151899</v>
      </c>
      <c r="E27" s="20">
        <v>0.08</v>
      </c>
      <c r="F27" s="8" t="s">
        <v>434</v>
      </c>
      <c r="G27" s="24">
        <v>1.0169877726060848</v>
      </c>
      <c r="H27" s="24">
        <v>1.0228758722161271</v>
      </c>
      <c r="I27" s="25">
        <v>1.0407645751602235</v>
      </c>
      <c r="L27" s="15">
        <v>25</v>
      </c>
      <c r="M27" s="16">
        <v>0</v>
      </c>
      <c r="N27" s="16">
        <v>0</v>
      </c>
      <c r="O27" s="16">
        <v>0</v>
      </c>
      <c r="P27" s="16">
        <v>81</v>
      </c>
      <c r="Q27" s="29">
        <v>76</v>
      </c>
      <c r="R27" s="20">
        <v>0.53579999999999994</v>
      </c>
      <c r="S27" s="32">
        <v>40.720799999999997</v>
      </c>
      <c r="T27" s="35">
        <v>3.34</v>
      </c>
      <c r="U27" s="35">
        <v>2.1800000000000002</v>
      </c>
      <c r="V27" s="35">
        <v>4.3947368421052631E-2</v>
      </c>
      <c r="W27" s="9" t="s">
        <v>155</v>
      </c>
      <c r="X27" s="15">
        <v>26</v>
      </c>
      <c r="Y27" s="39">
        <v>0.47766221512846718</v>
      </c>
      <c r="Z27" s="39">
        <v>0.49396198618805437</v>
      </c>
      <c r="AA27" s="39">
        <v>0.46658446394053354</v>
      </c>
      <c r="AB27" s="39">
        <v>0.48223366373073967</v>
      </c>
      <c r="AC27" s="39">
        <v>0.46806661123143889</v>
      </c>
      <c r="AD27" s="39">
        <v>0.4857533789716913</v>
      </c>
      <c r="AE27" s="39">
        <v>0.4608625899720844</v>
      </c>
      <c r="AF27" s="40">
        <v>0.47755354842613112</v>
      </c>
    </row>
    <row r="28" spans="1:32">
      <c r="A28" s="15">
        <v>26</v>
      </c>
      <c r="B28" s="16">
        <v>0</v>
      </c>
      <c r="C28" s="20">
        <v>0.14000000000000001</v>
      </c>
      <c r="D28" s="20">
        <v>0.91466216043548998</v>
      </c>
      <c r="E28" s="20">
        <v>0.39</v>
      </c>
      <c r="F28" s="8" t="s">
        <v>436</v>
      </c>
      <c r="G28" s="24">
        <v>0.95484299170055009</v>
      </c>
      <c r="H28" s="24">
        <v>0.96037128889204582</v>
      </c>
      <c r="I28" s="25">
        <v>0.97716687198250185</v>
      </c>
      <c r="L28" s="15">
        <v>26</v>
      </c>
      <c r="M28" s="16">
        <v>0</v>
      </c>
      <c r="N28" s="16">
        <v>0</v>
      </c>
      <c r="O28" s="16">
        <v>0</v>
      </c>
      <c r="P28" s="16">
        <v>82</v>
      </c>
      <c r="Q28" s="29">
        <v>80</v>
      </c>
      <c r="R28" s="20">
        <v>0.53579999999999994</v>
      </c>
      <c r="S28" s="32">
        <v>42.863999999999997</v>
      </c>
      <c r="T28" s="35">
        <v>4.32</v>
      </c>
      <c r="U28" s="35">
        <v>3.16</v>
      </c>
      <c r="V28" s="35">
        <v>5.4000000000000006E-2</v>
      </c>
      <c r="W28" s="9" t="s">
        <v>155</v>
      </c>
      <c r="X28" s="15">
        <v>27</v>
      </c>
      <c r="Y28" s="39">
        <v>0.48804161639659838</v>
      </c>
      <c r="Z28" s="39">
        <v>0.47690061521401655</v>
      </c>
      <c r="AA28" s="39">
        <v>0.47152892198945362</v>
      </c>
      <c r="AB28" s="39">
        <v>0.46905750760258375</v>
      </c>
      <c r="AC28" s="39">
        <v>0.47901477182598146</v>
      </c>
      <c r="AD28" s="39">
        <v>0.47139505780667318</v>
      </c>
      <c r="AE28" s="39">
        <v>0.46536641793501571</v>
      </c>
      <c r="AF28" s="40">
        <v>0.46521224128134586</v>
      </c>
    </row>
    <row r="29" spans="1:32">
      <c r="A29" s="15">
        <v>27</v>
      </c>
      <c r="B29" s="16">
        <v>1</v>
      </c>
      <c r="C29" s="20">
        <v>0.16</v>
      </c>
      <c r="D29" s="20">
        <v>0.86773545676031938</v>
      </c>
      <c r="E29" s="20">
        <v>0.08</v>
      </c>
      <c r="F29" s="8" t="s">
        <v>436</v>
      </c>
      <c r="G29" s="24">
        <v>1.0393990234516952</v>
      </c>
      <c r="H29" s="24">
        <v>1.045416878483503</v>
      </c>
      <c r="I29" s="25">
        <v>1.0636997928623693</v>
      </c>
      <c r="L29" s="15">
        <v>27</v>
      </c>
      <c r="M29" s="16">
        <v>0</v>
      </c>
      <c r="N29" s="16">
        <v>0</v>
      </c>
      <c r="O29" s="16">
        <v>0</v>
      </c>
      <c r="P29" s="16">
        <v>83</v>
      </c>
      <c r="Q29" s="29">
        <v>88</v>
      </c>
      <c r="R29" s="20">
        <v>0.53579999999999994</v>
      </c>
      <c r="S29" s="32">
        <v>47.150399999999998</v>
      </c>
      <c r="T29" s="35">
        <v>3.75</v>
      </c>
      <c r="U29" s="35">
        <v>2.42</v>
      </c>
      <c r="V29" s="35">
        <v>4.261363636363636E-2</v>
      </c>
      <c r="W29" s="9" t="s">
        <v>155</v>
      </c>
      <c r="X29" s="15">
        <v>28</v>
      </c>
      <c r="Y29" s="39">
        <v>0.50519900200054413</v>
      </c>
      <c r="Z29" s="39">
        <v>0.49093212357108651</v>
      </c>
      <c r="AA29" s="39">
        <v>0.46935504624173391</v>
      </c>
      <c r="AB29" s="39">
        <v>0.47554922823350487</v>
      </c>
      <c r="AC29" s="39">
        <v>0.49683406377359585</v>
      </c>
      <c r="AD29" s="39">
        <v>0.48346296956581508</v>
      </c>
      <c r="AE29" s="39">
        <v>0.46302018153697644</v>
      </c>
      <c r="AF29" s="40">
        <v>0.47267322989848659</v>
      </c>
    </row>
    <row r="30" spans="1:32">
      <c r="A30" s="15">
        <v>28</v>
      </c>
      <c r="B30" s="16">
        <v>1</v>
      </c>
      <c r="C30" s="20">
        <v>0.03</v>
      </c>
      <c r="D30" s="20">
        <v>0.9956483904099791</v>
      </c>
      <c r="E30" s="20">
        <v>1</v>
      </c>
      <c r="F30" s="8" t="s">
        <v>436</v>
      </c>
      <c r="G30" s="24">
        <v>1.0247607410041299</v>
      </c>
      <c r="H30" s="24">
        <v>1.0306938441170916</v>
      </c>
      <c r="I30" s="25">
        <v>1.0487192727194623</v>
      </c>
      <c r="L30" s="15">
        <v>28</v>
      </c>
      <c r="M30" s="16">
        <v>0</v>
      </c>
      <c r="N30" s="16">
        <v>0</v>
      </c>
      <c r="O30" s="16">
        <v>1</v>
      </c>
      <c r="P30" s="16">
        <v>0</v>
      </c>
      <c r="Q30" s="29">
        <v>38</v>
      </c>
      <c r="R30" s="20">
        <v>0.53579999999999994</v>
      </c>
      <c r="S30" s="32">
        <v>20.360399999999998</v>
      </c>
      <c r="T30" s="35">
        <v>2.79</v>
      </c>
      <c r="U30" s="35">
        <v>2.2000000000000002</v>
      </c>
      <c r="V30" s="35">
        <v>7.3421052631578942E-2</v>
      </c>
      <c r="W30" s="9" t="s">
        <v>154</v>
      </c>
      <c r="X30" s="15">
        <v>29</v>
      </c>
      <c r="Y30" s="39">
        <v>0.48418378281586422</v>
      </c>
      <c r="Z30" s="39">
        <v>0.47414997357473565</v>
      </c>
      <c r="AA30" s="39">
        <v>0.501496552021506</v>
      </c>
      <c r="AB30" s="39">
        <v>0.50024404571829395</v>
      </c>
      <c r="AC30" s="39">
        <v>0.47634279804305912</v>
      </c>
      <c r="AD30" s="39">
        <v>0.46776242835746923</v>
      </c>
      <c r="AE30" s="39">
        <v>0.49321528750039317</v>
      </c>
      <c r="AF30" s="40">
        <v>0.49491293246174645</v>
      </c>
    </row>
    <row r="31" spans="1:32">
      <c r="A31" s="15">
        <v>29</v>
      </c>
      <c r="B31" s="16">
        <v>0</v>
      </c>
      <c r="C31" s="20">
        <v>0.49</v>
      </c>
      <c r="D31" s="20">
        <v>0.48591990602030638</v>
      </c>
      <c r="E31" s="20">
        <v>0.13</v>
      </c>
      <c r="F31" s="8" t="s">
        <v>436</v>
      </c>
      <c r="G31" s="24">
        <v>1.0846007910583106</v>
      </c>
      <c r="H31" s="24">
        <v>1.0908803527864885</v>
      </c>
      <c r="I31" s="25">
        <v>1.1099583612805879</v>
      </c>
      <c r="L31" s="15">
        <v>29</v>
      </c>
      <c r="M31" s="16">
        <v>0</v>
      </c>
      <c r="N31" s="16">
        <v>0</v>
      </c>
      <c r="O31" s="16">
        <v>1</v>
      </c>
      <c r="P31" s="16">
        <v>1</v>
      </c>
      <c r="Q31" s="29">
        <v>57</v>
      </c>
      <c r="R31" s="20">
        <v>0.53579999999999994</v>
      </c>
      <c r="S31" s="32">
        <v>30.540599999999998</v>
      </c>
      <c r="T31" s="35">
        <v>3.2</v>
      </c>
      <c r="U31" s="35">
        <v>2.5</v>
      </c>
      <c r="V31" s="35">
        <v>5.6140350877192984E-2</v>
      </c>
      <c r="W31" s="9" t="s">
        <v>155</v>
      </c>
      <c r="X31" s="15">
        <v>30</v>
      </c>
      <c r="Y31" s="39">
        <v>0.47783102892194534</v>
      </c>
      <c r="Z31" s="39">
        <v>0.47753051682113345</v>
      </c>
      <c r="AA31" s="39">
        <v>0.46458296698832596</v>
      </c>
      <c r="AB31" s="39">
        <v>0.48395229757198027</v>
      </c>
      <c r="AC31" s="39">
        <v>0.47144656869460932</v>
      </c>
      <c r="AD31" s="39">
        <v>0.46996195285380626</v>
      </c>
      <c r="AE31" s="39">
        <v>0.4582088594326445</v>
      </c>
      <c r="AF31" s="40">
        <v>0.48158252752314717</v>
      </c>
    </row>
    <row r="32" spans="1:32">
      <c r="A32" s="15">
        <v>30</v>
      </c>
      <c r="B32" s="16">
        <v>0</v>
      </c>
      <c r="C32" s="20">
        <v>0.42</v>
      </c>
      <c r="D32" s="20">
        <v>0.62329246114919068</v>
      </c>
      <c r="E32" s="20">
        <v>0.05</v>
      </c>
      <c r="F32" s="8" t="s">
        <v>436</v>
      </c>
      <c r="G32" s="24">
        <v>1.2980106634062185</v>
      </c>
      <c r="H32" s="24">
        <v>1.3055258138209063</v>
      </c>
      <c r="I32" s="25">
        <v>1.3283576784719842</v>
      </c>
      <c r="L32" s="15">
        <v>30</v>
      </c>
      <c r="M32" s="16">
        <v>0</v>
      </c>
      <c r="N32" s="16">
        <v>0</v>
      </c>
      <c r="O32" s="16">
        <v>1</v>
      </c>
      <c r="P32" s="16">
        <v>2</v>
      </c>
      <c r="Q32" s="29">
        <v>40</v>
      </c>
      <c r="R32" s="20">
        <v>0.53579999999999994</v>
      </c>
      <c r="S32" s="32">
        <v>21.431999999999999</v>
      </c>
      <c r="T32" s="35">
        <v>1.5</v>
      </c>
      <c r="U32" s="35">
        <v>0.98</v>
      </c>
      <c r="V32" s="35">
        <v>3.7499999999999999E-2</v>
      </c>
      <c r="W32" s="9" t="s">
        <v>153</v>
      </c>
      <c r="X32" s="15">
        <v>31</v>
      </c>
      <c r="Y32" s="39">
        <v>0.49580645561041675</v>
      </c>
      <c r="Z32" s="39">
        <v>0.47803150234061081</v>
      </c>
      <c r="AA32" s="39">
        <v>0.47697079810264648</v>
      </c>
      <c r="AB32" s="39">
        <v>0.48967118532819864</v>
      </c>
      <c r="AC32" s="39">
        <v>0.48687585454524512</v>
      </c>
      <c r="AD32" s="39">
        <v>0.47221736975054257</v>
      </c>
      <c r="AE32" s="39">
        <v>0.47129696595074816</v>
      </c>
      <c r="AF32" s="40">
        <v>0.48705926376737368</v>
      </c>
    </row>
    <row r="33" spans="1:32">
      <c r="A33" s="15">
        <v>31</v>
      </c>
      <c r="B33" s="16">
        <v>1</v>
      </c>
      <c r="C33" s="20">
        <v>0.11</v>
      </c>
      <c r="D33" s="20">
        <v>0.91277015327276556</v>
      </c>
      <c r="E33" s="20">
        <v>0.08</v>
      </c>
      <c r="F33" s="8" t="s">
        <v>436</v>
      </c>
      <c r="G33" s="24">
        <v>1.2131603901850982</v>
      </c>
      <c r="H33" s="24">
        <v>1.2201842791764703</v>
      </c>
      <c r="I33" s="25">
        <v>1.2415236368640783</v>
      </c>
      <c r="L33" s="15">
        <v>31</v>
      </c>
      <c r="M33" s="16">
        <v>0</v>
      </c>
      <c r="N33" s="16">
        <v>0</v>
      </c>
      <c r="O33" s="16">
        <v>1</v>
      </c>
      <c r="P33" s="16">
        <v>3</v>
      </c>
      <c r="Q33" s="29">
        <v>53</v>
      </c>
      <c r="R33" s="20">
        <v>0.53579999999999994</v>
      </c>
      <c r="S33" s="32">
        <v>28.397399999999998</v>
      </c>
      <c r="T33" s="35">
        <v>1.32</v>
      </c>
      <c r="U33" s="35">
        <v>0.35</v>
      </c>
      <c r="V33" s="35">
        <v>2.4905660377358491E-2</v>
      </c>
      <c r="W33" s="9" t="s">
        <v>153</v>
      </c>
      <c r="X33" s="15">
        <v>32</v>
      </c>
      <c r="Y33" s="39">
        <v>0.48202547259368628</v>
      </c>
      <c r="Z33" s="39">
        <v>0.48090704722458871</v>
      </c>
      <c r="AA33" s="39">
        <v>0.47498988992626667</v>
      </c>
      <c r="AB33" s="39">
        <v>0.49226318135736363</v>
      </c>
      <c r="AC33" s="39">
        <v>0.47418882750339303</v>
      </c>
      <c r="AD33" s="39">
        <v>0.47160075876318563</v>
      </c>
      <c r="AE33" s="39">
        <v>0.47096199656532484</v>
      </c>
      <c r="AF33" s="40">
        <v>0.48595707033218993</v>
      </c>
    </row>
    <row r="34" spans="1:32">
      <c r="A34" s="15">
        <v>32</v>
      </c>
      <c r="B34" s="16">
        <v>0</v>
      </c>
      <c r="C34" s="20">
        <v>0.92</v>
      </c>
      <c r="D34" s="20">
        <v>0.20258497911151899</v>
      </c>
      <c r="E34" s="20">
        <v>0.08</v>
      </c>
      <c r="F34" s="8" t="s">
        <v>434</v>
      </c>
      <c r="G34" s="24">
        <v>0.56091339604674939</v>
      </c>
      <c r="H34" s="24">
        <v>0.56416094143273476</v>
      </c>
      <c r="I34" s="25">
        <v>0.57402734630949337</v>
      </c>
      <c r="L34" s="15">
        <v>32</v>
      </c>
      <c r="M34" s="16">
        <v>0</v>
      </c>
      <c r="N34" s="16">
        <v>0</v>
      </c>
      <c r="O34" s="16">
        <v>1</v>
      </c>
      <c r="P34" s="16">
        <v>4</v>
      </c>
      <c r="Q34" s="29">
        <v>41</v>
      </c>
      <c r="R34" s="20">
        <v>0.53579999999999994</v>
      </c>
      <c r="S34" s="32">
        <v>21.967799999999997</v>
      </c>
      <c r="T34" s="35">
        <v>1.52</v>
      </c>
      <c r="U34" s="35">
        <v>0.74</v>
      </c>
      <c r="V34" s="35">
        <v>3.7073170731707315E-2</v>
      </c>
      <c r="W34" s="9" t="s">
        <v>153</v>
      </c>
      <c r="X34" s="15">
        <v>33</v>
      </c>
      <c r="Y34" s="39">
        <v>0.47816474560830308</v>
      </c>
      <c r="Z34" s="39">
        <v>0.48848244340933228</v>
      </c>
      <c r="AA34" s="39">
        <v>0.47506529617543369</v>
      </c>
      <c r="AB34" s="39">
        <v>0.4826390406658147</v>
      </c>
      <c r="AC34" s="39">
        <v>0.47381654575109178</v>
      </c>
      <c r="AD34" s="39">
        <v>0.48163014057300324</v>
      </c>
      <c r="AE34" s="39">
        <v>0.47065384884484751</v>
      </c>
      <c r="AF34" s="40">
        <v>0.47891286141253692</v>
      </c>
    </row>
    <row r="35" spans="1:32">
      <c r="A35" s="15">
        <v>33</v>
      </c>
      <c r="B35" s="16">
        <v>1</v>
      </c>
      <c r="C35" s="20">
        <v>0.02</v>
      </c>
      <c r="D35" s="20">
        <v>0.99835916395484214</v>
      </c>
      <c r="E35" s="20">
        <v>1</v>
      </c>
      <c r="F35" s="8" t="s">
        <v>436</v>
      </c>
      <c r="G35" s="24">
        <v>0.98778926219989738</v>
      </c>
      <c r="H35" s="24">
        <v>0.99350830988781502</v>
      </c>
      <c r="I35" s="25">
        <v>1.0108834142487859</v>
      </c>
      <c r="L35" s="15">
        <v>33</v>
      </c>
      <c r="M35" s="16">
        <v>0</v>
      </c>
      <c r="N35" s="16">
        <v>0</v>
      </c>
      <c r="O35" s="16">
        <v>1</v>
      </c>
      <c r="P35" s="16">
        <v>5</v>
      </c>
      <c r="Q35" s="29">
        <v>55</v>
      </c>
      <c r="R35" s="20">
        <v>0.53579999999999994</v>
      </c>
      <c r="S35" s="32">
        <v>29.468999999999998</v>
      </c>
      <c r="T35" s="35">
        <v>1.37</v>
      </c>
      <c r="U35" s="35">
        <v>0.68</v>
      </c>
      <c r="V35" s="35">
        <v>2.4909090909090912E-2</v>
      </c>
      <c r="W35" s="9" t="s">
        <v>153</v>
      </c>
      <c r="X35" s="15">
        <v>34</v>
      </c>
      <c r="Y35" s="39">
        <v>0.48267948445196934</v>
      </c>
      <c r="Z35" s="39">
        <v>0.49122259971086174</v>
      </c>
      <c r="AA35" s="39">
        <v>0.49191193362046787</v>
      </c>
      <c r="AB35" s="39">
        <v>0.48130735981488337</v>
      </c>
      <c r="AC35" s="39">
        <v>0.47598949114020078</v>
      </c>
      <c r="AD35" s="39">
        <v>0.48205116542671761</v>
      </c>
      <c r="AE35" s="39">
        <v>0.483871098981773</v>
      </c>
      <c r="AF35" s="40">
        <v>0.47697339740915518</v>
      </c>
    </row>
    <row r="36" spans="1:32">
      <c r="A36" s="15">
        <v>34</v>
      </c>
      <c r="B36" s="16">
        <v>0</v>
      </c>
      <c r="C36" s="20">
        <v>0.9</v>
      </c>
      <c r="D36" s="20">
        <v>0.23159538658365303</v>
      </c>
      <c r="E36" s="20">
        <v>0.1</v>
      </c>
      <c r="F36" s="8" t="s">
        <v>434</v>
      </c>
      <c r="G36" s="24">
        <v>0.38753324089818902</v>
      </c>
      <c r="H36" s="24">
        <v>0.38977695944237939</v>
      </c>
      <c r="I36" s="25">
        <v>0.39659362648020008</v>
      </c>
      <c r="L36" s="15">
        <v>34</v>
      </c>
      <c r="M36" s="16">
        <v>0</v>
      </c>
      <c r="N36" s="16">
        <v>0</v>
      </c>
      <c r="O36" s="16">
        <v>1</v>
      </c>
      <c r="P36" s="16">
        <v>6</v>
      </c>
      <c r="Q36" s="29">
        <v>58</v>
      </c>
      <c r="R36" s="20">
        <v>0.53579999999999994</v>
      </c>
      <c r="S36" s="32">
        <v>31.076399999999996</v>
      </c>
      <c r="T36" s="35">
        <v>2.1</v>
      </c>
      <c r="U36" s="35">
        <v>1.32</v>
      </c>
      <c r="V36" s="35">
        <v>3.6206896551724141E-2</v>
      </c>
      <c r="W36" s="9" t="s">
        <v>154</v>
      </c>
      <c r="X36" s="15">
        <v>35</v>
      </c>
      <c r="Y36" s="39">
        <v>0.50166023035869733</v>
      </c>
      <c r="Z36" s="39">
        <v>0.49778421255841943</v>
      </c>
      <c r="AA36" s="39">
        <v>0.49141079921993452</v>
      </c>
      <c r="AB36" s="39">
        <v>0.49775667167047527</v>
      </c>
      <c r="AC36" s="39">
        <v>0.49490065678819095</v>
      </c>
      <c r="AD36" s="39">
        <v>0.49067848488480209</v>
      </c>
      <c r="AE36" s="39">
        <v>0.48508903674325921</v>
      </c>
      <c r="AF36" s="40">
        <v>0.49437216066300149</v>
      </c>
    </row>
    <row r="37" spans="1:32">
      <c r="A37" s="15">
        <v>35</v>
      </c>
      <c r="B37" s="16">
        <v>1</v>
      </c>
      <c r="C37" s="20">
        <v>0.47</v>
      </c>
      <c r="D37" s="20">
        <v>0.47078745680764889</v>
      </c>
      <c r="E37" s="20">
        <v>7.0000000000000007E-2</v>
      </c>
      <c r="F37" s="8" t="s">
        <v>436</v>
      </c>
      <c r="G37" s="24">
        <v>1.4108671316688453</v>
      </c>
      <c r="H37" s="24">
        <v>1.4190356922273593</v>
      </c>
      <c r="I37" s="25">
        <v>1.4438526897290478</v>
      </c>
      <c r="L37" s="15">
        <v>35</v>
      </c>
      <c r="M37" s="16">
        <v>0</v>
      </c>
      <c r="N37" s="16">
        <v>0</v>
      </c>
      <c r="O37" s="16">
        <v>1</v>
      </c>
      <c r="P37" s="16">
        <v>7</v>
      </c>
      <c r="Q37" s="29">
        <v>48</v>
      </c>
      <c r="R37" s="20">
        <v>0.53579999999999994</v>
      </c>
      <c r="S37" s="32">
        <v>25.718399999999995</v>
      </c>
      <c r="T37" s="35">
        <v>0.83000000000000007</v>
      </c>
      <c r="U37" s="35">
        <v>0.25</v>
      </c>
      <c r="V37" s="35">
        <v>1.7291666666666667E-2</v>
      </c>
      <c r="W37" s="9" t="s">
        <v>152</v>
      </c>
      <c r="X37" s="15">
        <v>36</v>
      </c>
      <c r="Y37" s="39">
        <v>0.47741297488634754</v>
      </c>
      <c r="Z37" s="39">
        <v>0.47903791520507505</v>
      </c>
      <c r="AA37" s="39">
        <v>0.48925252922135526</v>
      </c>
      <c r="AB37" s="39">
        <v>0.47288258186234383</v>
      </c>
      <c r="AC37" s="39">
        <v>0.47065192425492919</v>
      </c>
      <c r="AD37" s="39">
        <v>0.47179514922433596</v>
      </c>
      <c r="AE37" s="39">
        <v>0.48575202765341385</v>
      </c>
      <c r="AF37" s="40">
        <v>0.46748954898960871</v>
      </c>
    </row>
    <row r="38" spans="1:32">
      <c r="A38" s="15">
        <v>36</v>
      </c>
      <c r="B38" s="16">
        <v>1</v>
      </c>
      <c r="C38" s="20">
        <v>0.35</v>
      </c>
      <c r="D38" s="20">
        <v>0.60493183860117361</v>
      </c>
      <c r="E38" s="20">
        <v>0.08</v>
      </c>
      <c r="F38" s="8" t="s">
        <v>436</v>
      </c>
      <c r="G38" s="24">
        <v>0.56754542195792368</v>
      </c>
      <c r="H38" s="24">
        <v>0.57083136508106302</v>
      </c>
      <c r="I38" s="25">
        <v>0.58081442656337601</v>
      </c>
      <c r="L38" s="15">
        <v>36</v>
      </c>
      <c r="M38" s="16">
        <v>0</v>
      </c>
      <c r="N38" s="16">
        <v>0</v>
      </c>
      <c r="O38" s="16">
        <v>1</v>
      </c>
      <c r="P38" s="16">
        <v>8</v>
      </c>
      <c r="Q38" s="29">
        <v>41</v>
      </c>
      <c r="R38" s="20">
        <v>0.53579999999999994</v>
      </c>
      <c r="S38" s="32">
        <v>21.967799999999997</v>
      </c>
      <c r="T38" s="35">
        <v>0.99</v>
      </c>
      <c r="U38" s="35">
        <v>0.33</v>
      </c>
      <c r="V38" s="35">
        <v>2.4146341463414635E-2</v>
      </c>
      <c r="W38" s="9" t="s">
        <v>152</v>
      </c>
      <c r="X38" s="15">
        <v>37</v>
      </c>
      <c r="Y38" s="39">
        <v>0.48236878160116942</v>
      </c>
      <c r="Z38" s="39">
        <v>0.48618294254984507</v>
      </c>
      <c r="AA38" s="39">
        <v>0.48081750157284636</v>
      </c>
      <c r="AB38" s="39">
        <v>0.49948457349557268</v>
      </c>
      <c r="AC38" s="39">
        <v>0.47622052643429758</v>
      </c>
      <c r="AD38" s="39">
        <v>0.47709340071366796</v>
      </c>
      <c r="AE38" s="39">
        <v>0.47258736190800005</v>
      </c>
      <c r="AF38" s="40">
        <v>0.49247994984946097</v>
      </c>
    </row>
    <row r="39" spans="1:32">
      <c r="A39" s="15">
        <v>37</v>
      </c>
      <c r="B39" s="16">
        <v>1</v>
      </c>
      <c r="C39" s="20">
        <v>0.02</v>
      </c>
      <c r="D39" s="20">
        <v>0.99679477127711513</v>
      </c>
      <c r="E39" s="20">
        <v>1</v>
      </c>
      <c r="F39" s="8" t="s">
        <v>436</v>
      </c>
      <c r="G39" s="24">
        <v>1.0363818645257603</v>
      </c>
      <c r="H39" s="24">
        <v>1.042382250977538</v>
      </c>
      <c r="I39" s="25">
        <v>1.0606120938631034</v>
      </c>
      <c r="L39" s="15">
        <v>37</v>
      </c>
      <c r="M39" s="16">
        <v>0</v>
      </c>
      <c r="N39" s="16">
        <v>0</v>
      </c>
      <c r="O39" s="16">
        <v>1</v>
      </c>
      <c r="P39" s="16">
        <v>9</v>
      </c>
      <c r="Q39" s="29">
        <v>52</v>
      </c>
      <c r="R39" s="20">
        <v>0.53579999999999994</v>
      </c>
      <c r="S39" s="32">
        <v>27.861599999999996</v>
      </c>
      <c r="T39" s="35">
        <v>2.76</v>
      </c>
      <c r="U39" s="35">
        <v>1.95</v>
      </c>
      <c r="V39" s="35">
        <v>5.307692307692307E-2</v>
      </c>
      <c r="W39" s="9" t="s">
        <v>154</v>
      </c>
      <c r="X39" s="15">
        <v>38</v>
      </c>
      <c r="Y39" s="39">
        <v>0.49474199186773249</v>
      </c>
      <c r="Z39" s="39">
        <v>0.4634527004494563</v>
      </c>
      <c r="AA39" s="39">
        <v>0.49532749460166781</v>
      </c>
      <c r="AB39" s="39">
        <v>0.49632058490397019</v>
      </c>
      <c r="AC39" s="39">
        <v>0.48575634600080519</v>
      </c>
      <c r="AD39" s="39">
        <v>0.45515620133840473</v>
      </c>
      <c r="AE39" s="39">
        <v>0.48524937035237753</v>
      </c>
      <c r="AF39" s="40">
        <v>0.48946013314337472</v>
      </c>
    </row>
    <row r="40" spans="1:32">
      <c r="A40" s="15">
        <v>38</v>
      </c>
      <c r="B40" s="16">
        <v>0</v>
      </c>
      <c r="C40" s="20">
        <v>0.02</v>
      </c>
      <c r="D40" s="20">
        <v>0.99756714174924133</v>
      </c>
      <c r="E40" s="20">
        <v>1</v>
      </c>
      <c r="F40" s="8" t="s">
        <v>436</v>
      </c>
      <c r="G40" s="24">
        <v>0.98039674786099262</v>
      </c>
      <c r="H40" s="24">
        <v>0.98607299477787969</v>
      </c>
      <c r="I40" s="25">
        <v>1.0033180656255865</v>
      </c>
      <c r="L40" s="15">
        <v>38</v>
      </c>
      <c r="M40" s="16">
        <v>0</v>
      </c>
      <c r="N40" s="16">
        <v>0</v>
      </c>
      <c r="O40" s="16">
        <v>1</v>
      </c>
      <c r="P40" s="16">
        <v>10</v>
      </c>
      <c r="Q40" s="29">
        <v>42</v>
      </c>
      <c r="R40" s="20">
        <v>0.53579999999999994</v>
      </c>
      <c r="S40" s="32">
        <v>22.503599999999999</v>
      </c>
      <c r="T40" s="35">
        <v>0.85</v>
      </c>
      <c r="U40" s="35">
        <v>0.24</v>
      </c>
      <c r="V40" s="35">
        <v>2.0238095238095239E-2</v>
      </c>
      <c r="W40" s="9" t="s">
        <v>152</v>
      </c>
      <c r="X40" s="15">
        <v>39</v>
      </c>
      <c r="Y40" s="39">
        <v>0.50117164081899768</v>
      </c>
      <c r="Z40" s="39">
        <v>0.48653961325082229</v>
      </c>
      <c r="AA40" s="39">
        <v>0.50033509762345552</v>
      </c>
      <c r="AB40" s="39">
        <v>0.48773585109833806</v>
      </c>
      <c r="AC40" s="39">
        <v>0.49327430976313341</v>
      </c>
      <c r="AD40" s="39">
        <v>0.48081980822047526</v>
      </c>
      <c r="AE40" s="39">
        <v>0.49077269079739316</v>
      </c>
      <c r="AF40" s="40">
        <v>0.48417088207449788</v>
      </c>
    </row>
    <row r="41" spans="1:32">
      <c r="A41" s="15">
        <v>39</v>
      </c>
      <c r="B41" s="16">
        <v>0</v>
      </c>
      <c r="C41" s="20">
        <v>0.11</v>
      </c>
      <c r="D41" s="20">
        <v>0.90437894058849266</v>
      </c>
      <c r="E41" s="20">
        <v>0.38</v>
      </c>
      <c r="F41" s="8" t="s">
        <v>436</v>
      </c>
      <c r="G41" s="24">
        <v>0.83448629295928978</v>
      </c>
      <c r="H41" s="24">
        <v>0.83931775558697519</v>
      </c>
      <c r="I41" s="25">
        <v>0.85399627759851848</v>
      </c>
      <c r="L41" s="15">
        <v>39</v>
      </c>
      <c r="M41" s="16">
        <v>0</v>
      </c>
      <c r="N41" s="16">
        <v>0</v>
      </c>
      <c r="O41" s="16">
        <v>2</v>
      </c>
      <c r="P41" s="16">
        <v>11</v>
      </c>
      <c r="Q41" s="29">
        <v>77</v>
      </c>
      <c r="R41" s="20">
        <v>0.53579999999999994</v>
      </c>
      <c r="S41" s="32">
        <v>41.256599999999999</v>
      </c>
      <c r="T41" s="35">
        <v>3.5500000000000003</v>
      </c>
      <c r="U41" s="35">
        <v>2.41</v>
      </c>
      <c r="V41" s="35">
        <v>4.6103896103896105E-2</v>
      </c>
      <c r="W41" s="9" t="s">
        <v>155</v>
      </c>
      <c r="X41" s="15">
        <v>40</v>
      </c>
      <c r="Y41" s="39">
        <v>0.48014903429684819</v>
      </c>
      <c r="Z41" s="39">
        <v>0.48153593430293667</v>
      </c>
      <c r="AA41" s="39">
        <v>0.49473743342284188</v>
      </c>
      <c r="AB41" s="39">
        <v>0.47660683588196934</v>
      </c>
      <c r="AC41" s="39">
        <v>0.47497812471937628</v>
      </c>
      <c r="AD41" s="39">
        <v>0.47447089380694396</v>
      </c>
      <c r="AE41" s="39">
        <v>0.4863852535295527</v>
      </c>
      <c r="AF41" s="40">
        <v>0.47062011323169234</v>
      </c>
    </row>
    <row r="42" spans="1:32">
      <c r="A42" s="15">
        <v>40</v>
      </c>
      <c r="B42" s="16">
        <v>1</v>
      </c>
      <c r="C42" s="20">
        <v>0.01</v>
      </c>
      <c r="D42" s="20">
        <v>0.99999999999999978</v>
      </c>
      <c r="E42" s="20">
        <v>1</v>
      </c>
      <c r="F42" s="8" t="s">
        <v>436</v>
      </c>
      <c r="G42" s="24">
        <v>1.0210069545456526</v>
      </c>
      <c r="H42" s="24">
        <v>1.0269183241932005</v>
      </c>
      <c r="I42" s="25">
        <v>1.0448777241050793</v>
      </c>
      <c r="L42" s="15">
        <v>40</v>
      </c>
      <c r="M42" s="16">
        <v>0</v>
      </c>
      <c r="N42" s="16">
        <v>0</v>
      </c>
      <c r="O42" s="16">
        <v>2</v>
      </c>
      <c r="P42" s="16">
        <v>12</v>
      </c>
      <c r="Q42" s="29">
        <v>75</v>
      </c>
      <c r="R42" s="20">
        <v>0.53579999999999994</v>
      </c>
      <c r="S42" s="32">
        <v>40.184999999999995</v>
      </c>
      <c r="T42" s="35">
        <v>1.77</v>
      </c>
      <c r="U42" s="35">
        <v>0.48</v>
      </c>
      <c r="V42" s="35">
        <v>2.3599999999999999E-2</v>
      </c>
      <c r="W42" s="9" t="s">
        <v>153</v>
      </c>
      <c r="X42" s="15">
        <v>41</v>
      </c>
      <c r="Y42" s="39">
        <v>0.48951965757829075</v>
      </c>
      <c r="Z42" s="39">
        <v>0.49901853421939202</v>
      </c>
      <c r="AA42" s="39">
        <v>0.49430018395283304</v>
      </c>
      <c r="AB42" s="39">
        <v>0.49739536071796592</v>
      </c>
      <c r="AC42" s="39">
        <v>0.48029015570539163</v>
      </c>
      <c r="AD42" s="39">
        <v>0.49423127032830333</v>
      </c>
      <c r="AE42" s="39">
        <v>0.48916250332642941</v>
      </c>
      <c r="AF42" s="40">
        <v>0.4896968736331192</v>
      </c>
    </row>
    <row r="43" spans="1:32">
      <c r="A43" s="15">
        <v>41</v>
      </c>
      <c r="B43" s="16">
        <v>1</v>
      </c>
      <c r="C43" s="20">
        <v>0.02</v>
      </c>
      <c r="D43" s="20">
        <v>0.99756714174924133</v>
      </c>
      <c r="E43" s="20">
        <v>1</v>
      </c>
      <c r="F43" s="8" t="s">
        <v>436</v>
      </c>
      <c r="G43" s="24">
        <v>1.073522879604786</v>
      </c>
      <c r="H43" s="24">
        <v>1.0797383030533636</v>
      </c>
      <c r="I43" s="25">
        <v>1.0986214523047353</v>
      </c>
      <c r="L43" s="15">
        <v>41</v>
      </c>
      <c r="M43" s="16">
        <v>0</v>
      </c>
      <c r="N43" s="16">
        <v>0</v>
      </c>
      <c r="O43" s="16">
        <v>2</v>
      </c>
      <c r="P43" s="16">
        <v>13</v>
      </c>
      <c r="Q43" s="29">
        <v>85</v>
      </c>
      <c r="R43" s="20">
        <v>0.53579999999999994</v>
      </c>
      <c r="S43" s="32">
        <v>45.542999999999992</v>
      </c>
      <c r="T43" s="35">
        <v>2.4700000000000002</v>
      </c>
      <c r="U43" s="35">
        <v>1.29</v>
      </c>
      <c r="V43" s="35">
        <v>2.9058823529411765E-2</v>
      </c>
      <c r="W43" s="9" t="s">
        <v>154</v>
      </c>
      <c r="X43" s="15">
        <v>42</v>
      </c>
      <c r="Y43" s="39">
        <v>0.49901480632372747</v>
      </c>
      <c r="Z43" s="39">
        <v>0.48900735634174908</v>
      </c>
      <c r="AA43" s="39">
        <v>0.46518020584962561</v>
      </c>
      <c r="AB43" s="39">
        <v>0.48699467584202683</v>
      </c>
      <c r="AC43" s="39">
        <v>0.49287188056521614</v>
      </c>
      <c r="AD43" s="39">
        <v>0.48262502227690235</v>
      </c>
      <c r="AE43" s="39">
        <v>0.45840291614026624</v>
      </c>
      <c r="AF43" s="40">
        <v>0.48424548331012424</v>
      </c>
    </row>
    <row r="44" spans="1:32">
      <c r="A44" s="15">
        <v>42</v>
      </c>
      <c r="B44" s="16">
        <v>0</v>
      </c>
      <c r="C44" s="20">
        <v>0.47</v>
      </c>
      <c r="D44" s="20">
        <v>0.47016837557130808</v>
      </c>
      <c r="E44" s="20">
        <v>0.08</v>
      </c>
      <c r="F44" s="8" t="s">
        <v>436</v>
      </c>
      <c r="G44" s="24">
        <v>1.5443357445429489</v>
      </c>
      <c r="H44" s="24">
        <v>1.5532770543011931</v>
      </c>
      <c r="I44" s="25">
        <v>1.5804417500076962</v>
      </c>
      <c r="L44" s="15">
        <v>42</v>
      </c>
      <c r="M44" s="16">
        <v>0</v>
      </c>
      <c r="N44" s="16">
        <v>0</v>
      </c>
      <c r="O44" s="16">
        <v>2</v>
      </c>
      <c r="P44" s="16">
        <v>14</v>
      </c>
      <c r="Q44" s="29">
        <v>76</v>
      </c>
      <c r="R44" s="20">
        <v>0.53579999999999994</v>
      </c>
      <c r="S44" s="32">
        <v>40.720799999999997</v>
      </c>
      <c r="T44" s="35">
        <v>2.2400000000000002</v>
      </c>
      <c r="U44" s="35">
        <v>1.1399999999999999</v>
      </c>
      <c r="V44" s="35">
        <v>2.9473684210526319E-2</v>
      </c>
      <c r="W44" s="9" t="s">
        <v>154</v>
      </c>
      <c r="X44" s="15">
        <v>43</v>
      </c>
      <c r="Y44" s="39">
        <v>0.47882338530090812</v>
      </c>
      <c r="Z44" s="39">
        <v>0.47808844697024161</v>
      </c>
      <c r="AA44" s="39">
        <v>0.49618866794635286</v>
      </c>
      <c r="AB44" s="39">
        <v>0.48395670183782125</v>
      </c>
      <c r="AC44" s="39">
        <v>0.47630805082462069</v>
      </c>
      <c r="AD44" s="39">
        <v>0.47073384752997632</v>
      </c>
      <c r="AE44" s="39">
        <v>0.48908975540394273</v>
      </c>
      <c r="AF44" s="40">
        <v>0.47742151885066797</v>
      </c>
    </row>
    <row r="45" spans="1:32">
      <c r="A45" s="15">
        <v>43</v>
      </c>
      <c r="B45" s="16">
        <v>1</v>
      </c>
      <c r="C45" s="20">
        <v>0.02</v>
      </c>
      <c r="D45" s="20">
        <v>0.99679477127711513</v>
      </c>
      <c r="E45" s="20">
        <v>1</v>
      </c>
      <c r="F45" s="8" t="s">
        <v>436</v>
      </c>
      <c r="G45" s="24">
        <v>1.0887790544405442</v>
      </c>
      <c r="H45" s="24">
        <v>1.0950828072471739</v>
      </c>
      <c r="I45" s="25">
        <v>1.1142343109341164</v>
      </c>
      <c r="L45" s="15">
        <v>43</v>
      </c>
      <c r="M45" s="16">
        <v>0</v>
      </c>
      <c r="N45" s="16">
        <v>0</v>
      </c>
      <c r="O45" s="16">
        <v>2</v>
      </c>
      <c r="P45" s="16">
        <v>15</v>
      </c>
      <c r="Q45" s="29">
        <v>80</v>
      </c>
      <c r="R45" s="20">
        <v>0.53579999999999994</v>
      </c>
      <c r="S45" s="32">
        <v>42.863999999999997</v>
      </c>
      <c r="T45" s="35">
        <v>1.47</v>
      </c>
      <c r="U45" s="35">
        <v>0.3</v>
      </c>
      <c r="V45" s="35">
        <v>1.8374999999999999E-2</v>
      </c>
      <c r="W45" s="9" t="s">
        <v>153</v>
      </c>
      <c r="X45" s="15">
        <v>44</v>
      </c>
      <c r="Y45" s="39">
        <v>0.48468564378975726</v>
      </c>
      <c r="Z45" s="39">
        <v>0.47011038561089691</v>
      </c>
      <c r="AA45" s="39">
        <v>0.50332041091793367</v>
      </c>
      <c r="AB45" s="39">
        <v>0.4854343676869321</v>
      </c>
      <c r="AC45" s="39">
        <v>0.47946733866041974</v>
      </c>
      <c r="AD45" s="39">
        <v>0.46443827249856812</v>
      </c>
      <c r="AE45" s="39">
        <v>0.4957317217691859</v>
      </c>
      <c r="AF45" s="40">
        <v>0.48202011652319421</v>
      </c>
    </row>
    <row r="46" spans="1:32">
      <c r="A46" s="15">
        <v>44</v>
      </c>
      <c r="B46" s="16">
        <v>0</v>
      </c>
      <c r="C46" s="20">
        <v>0.22</v>
      </c>
      <c r="D46" s="20">
        <v>0.83516092079525406</v>
      </c>
      <c r="E46" s="20">
        <v>0.06</v>
      </c>
      <c r="F46" s="8" t="s">
        <v>436</v>
      </c>
      <c r="G46" s="24">
        <v>0.84035524344329204</v>
      </c>
      <c r="H46" s="24">
        <v>0.84522068579618859</v>
      </c>
      <c r="I46" s="25">
        <v>0.86000244200054121</v>
      </c>
      <c r="L46" s="15">
        <v>44</v>
      </c>
      <c r="M46" s="16">
        <v>0</v>
      </c>
      <c r="N46" s="16">
        <v>0</v>
      </c>
      <c r="O46" s="16">
        <v>2</v>
      </c>
      <c r="P46" s="16">
        <v>16</v>
      </c>
      <c r="Q46" s="29">
        <v>82</v>
      </c>
      <c r="R46" s="20">
        <v>0.53579999999999994</v>
      </c>
      <c r="S46" s="32">
        <v>43.935599999999994</v>
      </c>
      <c r="T46" s="35">
        <v>3.3</v>
      </c>
      <c r="U46" s="35">
        <v>2.16</v>
      </c>
      <c r="V46" s="35">
        <v>4.0243902439024391E-2</v>
      </c>
      <c r="W46" s="9" t="s">
        <v>155</v>
      </c>
      <c r="X46" s="15">
        <v>45</v>
      </c>
      <c r="Y46" s="39">
        <v>0.47696798213659342</v>
      </c>
      <c r="Z46" s="39">
        <v>0.47945001403136434</v>
      </c>
      <c r="AA46" s="39">
        <v>0.49861030087337993</v>
      </c>
      <c r="AB46" s="39">
        <v>0.48431767287101085</v>
      </c>
      <c r="AC46" s="39">
        <v>0.47108571486275747</v>
      </c>
      <c r="AD46" s="39">
        <v>0.47420986325199627</v>
      </c>
      <c r="AE46" s="39">
        <v>0.49164331976122655</v>
      </c>
      <c r="AF46" s="40">
        <v>0.47693607039744856</v>
      </c>
    </row>
    <row r="47" spans="1:32">
      <c r="A47" s="15">
        <v>45</v>
      </c>
      <c r="B47" s="16">
        <v>1</v>
      </c>
      <c r="C47" s="20">
        <v>0.41</v>
      </c>
      <c r="D47" s="20">
        <v>0.647364125512504</v>
      </c>
      <c r="E47" s="20">
        <v>0.04</v>
      </c>
      <c r="F47" s="8" t="s">
        <v>436</v>
      </c>
      <c r="G47" s="24">
        <v>1.1996411824208786</v>
      </c>
      <c r="H47" s="24">
        <v>1.2065867986501695</v>
      </c>
      <c r="I47" s="25">
        <v>1.2276883549617454</v>
      </c>
      <c r="L47" s="15">
        <v>45</v>
      </c>
      <c r="M47" s="16">
        <v>0</v>
      </c>
      <c r="N47" s="16">
        <v>0</v>
      </c>
      <c r="O47" s="16">
        <v>2</v>
      </c>
      <c r="P47" s="16">
        <v>17</v>
      </c>
      <c r="Q47" s="29">
        <v>70</v>
      </c>
      <c r="R47" s="20">
        <v>0.53579999999999994</v>
      </c>
      <c r="S47" s="32">
        <v>37.505999999999993</v>
      </c>
      <c r="T47" s="35">
        <v>2.8699999999999997</v>
      </c>
      <c r="U47" s="35">
        <v>1.92</v>
      </c>
      <c r="V47" s="35">
        <v>4.0999999999999995E-2</v>
      </c>
      <c r="W47" s="9" t="s">
        <v>154</v>
      </c>
      <c r="X47" s="15">
        <v>46</v>
      </c>
      <c r="Y47" s="39">
        <v>0.50312446160798985</v>
      </c>
      <c r="Z47" s="39">
        <v>0.48978004395679953</v>
      </c>
      <c r="AA47" s="39">
        <v>0.47166080936236648</v>
      </c>
      <c r="AB47" s="39">
        <v>0.48752368776670824</v>
      </c>
      <c r="AC47" s="39">
        <v>0.49526270938776207</v>
      </c>
      <c r="AD47" s="39">
        <v>0.48338764267800599</v>
      </c>
      <c r="AE47" s="39">
        <v>0.46357051857821341</v>
      </c>
      <c r="AF47" s="40">
        <v>0.48576757665564263</v>
      </c>
    </row>
    <row r="48" spans="1:32">
      <c r="A48" s="15">
        <v>46</v>
      </c>
      <c r="B48" s="16">
        <v>1</v>
      </c>
      <c r="C48" s="20">
        <v>0.13</v>
      </c>
      <c r="D48" s="20">
        <v>0.93445663717429583</v>
      </c>
      <c r="E48" s="20">
        <v>0.03</v>
      </c>
      <c r="F48" s="8" t="s">
        <v>436</v>
      </c>
      <c r="G48" s="24">
        <v>0.76388430989847944</v>
      </c>
      <c r="H48" s="24">
        <v>0.76830700506589999</v>
      </c>
      <c r="I48" s="25">
        <v>0.78174364596907708</v>
      </c>
      <c r="L48" s="15">
        <v>46</v>
      </c>
      <c r="M48" s="16">
        <v>0</v>
      </c>
      <c r="N48" s="16">
        <v>0</v>
      </c>
      <c r="O48" s="16">
        <v>2</v>
      </c>
      <c r="P48" s="16">
        <v>18</v>
      </c>
      <c r="Q48" s="29">
        <v>84</v>
      </c>
      <c r="R48" s="20">
        <v>0.53579999999999994</v>
      </c>
      <c r="S48" s="32">
        <v>45.007199999999997</v>
      </c>
      <c r="T48" s="35">
        <v>2.15</v>
      </c>
      <c r="U48" s="35">
        <v>0.89</v>
      </c>
      <c r="V48" s="35">
        <v>2.5595238095238095E-2</v>
      </c>
      <c r="W48" s="9" t="s">
        <v>154</v>
      </c>
      <c r="X48" s="15">
        <v>47</v>
      </c>
      <c r="Y48" s="39">
        <v>0.48516036151394132</v>
      </c>
      <c r="Z48" s="39">
        <v>0.49208898739618001</v>
      </c>
      <c r="AA48" s="39">
        <v>0.47269968992970485</v>
      </c>
      <c r="AB48" s="39">
        <v>0.49357830536191627</v>
      </c>
      <c r="AC48" s="39">
        <v>0.48036017017812521</v>
      </c>
      <c r="AD48" s="39">
        <v>0.48354156324725478</v>
      </c>
      <c r="AE48" s="39">
        <v>0.46337597218800103</v>
      </c>
      <c r="AF48" s="40">
        <v>0.4871383135201281</v>
      </c>
    </row>
    <row r="49" spans="1:32">
      <c r="A49" s="15">
        <v>47</v>
      </c>
      <c r="B49" s="16">
        <v>0</v>
      </c>
      <c r="C49" s="20">
        <v>0.49</v>
      </c>
      <c r="D49" s="20">
        <v>0.5219224352728743</v>
      </c>
      <c r="E49" s="20">
        <v>0.03</v>
      </c>
      <c r="F49" s="8" t="s">
        <v>436</v>
      </c>
      <c r="G49" s="24">
        <v>0.44938554069989506</v>
      </c>
      <c r="H49" s="24">
        <v>0.45198736827169878</v>
      </c>
      <c r="I49" s="25">
        <v>0.45989201045274714</v>
      </c>
      <c r="L49" s="15">
        <v>47</v>
      </c>
      <c r="M49" s="16">
        <v>0</v>
      </c>
      <c r="N49" s="16">
        <v>0</v>
      </c>
      <c r="O49" s="16">
        <v>2</v>
      </c>
      <c r="P49" s="16">
        <v>19</v>
      </c>
      <c r="Q49" s="29">
        <v>75</v>
      </c>
      <c r="R49" s="20">
        <v>0.53579999999999994</v>
      </c>
      <c r="S49" s="32">
        <v>40.184999999999995</v>
      </c>
      <c r="T49" s="35">
        <v>1.62</v>
      </c>
      <c r="U49" s="35">
        <v>0.56999999999999995</v>
      </c>
      <c r="V49" s="35">
        <v>2.1600000000000001E-2</v>
      </c>
      <c r="W49" s="9" t="s">
        <v>153</v>
      </c>
      <c r="X49" s="15">
        <v>48</v>
      </c>
      <c r="Y49" s="39">
        <v>0.49193050185801013</v>
      </c>
      <c r="Z49" s="39">
        <v>0.48560877220363069</v>
      </c>
      <c r="AA49" s="39">
        <v>0.48887848113626847</v>
      </c>
      <c r="AB49" s="39">
        <v>0.49344909094085332</v>
      </c>
      <c r="AC49" s="39">
        <v>0.48677731950846248</v>
      </c>
      <c r="AD49" s="39">
        <v>0.48083679901229676</v>
      </c>
      <c r="AE49" s="39">
        <v>0.48107791320095955</v>
      </c>
      <c r="AF49" s="40">
        <v>0.49224278608454086</v>
      </c>
    </row>
    <row r="50" spans="1:32">
      <c r="A50" s="15">
        <v>48</v>
      </c>
      <c r="B50" s="16">
        <v>0</v>
      </c>
      <c r="C50" s="20">
        <v>0.4</v>
      </c>
      <c r="D50" s="20">
        <v>0.61164375965505613</v>
      </c>
      <c r="E50" s="20">
        <v>0.06</v>
      </c>
      <c r="F50" s="8" t="s">
        <v>436</v>
      </c>
      <c r="G50" s="24">
        <v>0.92014343262937548</v>
      </c>
      <c r="H50" s="24">
        <v>0.92547082823115789</v>
      </c>
      <c r="I50" s="25">
        <v>0.94165604989816754</v>
      </c>
      <c r="L50" s="15">
        <v>48</v>
      </c>
      <c r="M50" s="16">
        <v>0</v>
      </c>
      <c r="N50" s="16">
        <v>0</v>
      </c>
      <c r="O50" s="16">
        <v>2</v>
      </c>
      <c r="P50" s="16">
        <v>20</v>
      </c>
      <c r="Q50" s="29">
        <v>77</v>
      </c>
      <c r="R50" s="20">
        <v>0.53579999999999994</v>
      </c>
      <c r="S50" s="32">
        <v>41.256599999999999</v>
      </c>
      <c r="T50" s="35">
        <v>4.41</v>
      </c>
      <c r="U50" s="35">
        <v>3.39</v>
      </c>
      <c r="V50" s="35">
        <v>5.7272727272727274E-2</v>
      </c>
      <c r="W50" s="9" t="s">
        <v>155</v>
      </c>
      <c r="X50" s="15">
        <v>49</v>
      </c>
      <c r="Y50" s="39">
        <v>0.4889226507434804</v>
      </c>
      <c r="Z50" s="39">
        <v>0.48167455175713614</v>
      </c>
      <c r="AA50" s="39">
        <v>0.47857620749886604</v>
      </c>
      <c r="AB50" s="39">
        <v>0.47627353912886761</v>
      </c>
      <c r="AC50" s="39">
        <v>0.48446816107069801</v>
      </c>
      <c r="AD50" s="39">
        <v>0.47705624575202132</v>
      </c>
      <c r="AE50" s="39">
        <v>0.47121921267292227</v>
      </c>
      <c r="AF50" s="40">
        <v>0.47154824891005276</v>
      </c>
    </row>
    <row r="51" spans="1:32">
      <c r="A51" s="15">
        <v>49</v>
      </c>
      <c r="B51" s="16">
        <v>0</v>
      </c>
      <c r="C51" s="20">
        <v>0.62</v>
      </c>
      <c r="D51" s="20">
        <v>0.45981927326133087</v>
      </c>
      <c r="E51" s="20">
        <v>0.11</v>
      </c>
      <c r="F51" s="8" t="s">
        <v>438</v>
      </c>
      <c r="G51" s="24">
        <v>1.2753905369820249</v>
      </c>
      <c r="H51" s="24">
        <v>1.2827747226386643</v>
      </c>
      <c r="I51" s="25">
        <v>1.305208701756543</v>
      </c>
      <c r="L51" s="15">
        <v>49</v>
      </c>
      <c r="M51" s="16">
        <v>0</v>
      </c>
      <c r="N51" s="16">
        <v>0</v>
      </c>
      <c r="O51" s="16">
        <v>2</v>
      </c>
      <c r="P51" s="16">
        <v>21</v>
      </c>
      <c r="Q51" s="29">
        <v>70</v>
      </c>
      <c r="R51" s="20">
        <v>0.53579999999999994</v>
      </c>
      <c r="S51" s="32">
        <v>37.505999999999993</v>
      </c>
      <c r="T51" s="35">
        <v>3.79</v>
      </c>
      <c r="U51" s="35">
        <v>2.69</v>
      </c>
      <c r="V51" s="35">
        <v>5.4142857142857145E-2</v>
      </c>
      <c r="W51" s="9" t="s">
        <v>155</v>
      </c>
      <c r="X51" s="15">
        <v>50</v>
      </c>
      <c r="Y51" s="39">
        <v>0.48274999703591787</v>
      </c>
      <c r="Z51" s="39">
        <v>0.4780518562545974</v>
      </c>
      <c r="AA51" s="39">
        <v>0.48527563784636069</v>
      </c>
      <c r="AB51" s="39">
        <v>0.50877993169015157</v>
      </c>
      <c r="AC51" s="39">
        <v>0.4732857007666188</v>
      </c>
      <c r="AD51" s="39">
        <v>0.47250065702237348</v>
      </c>
      <c r="AE51" s="39">
        <v>0.47873416623599485</v>
      </c>
      <c r="AF51" s="40">
        <v>0.50520380637120876</v>
      </c>
    </row>
    <row r="52" spans="1:32">
      <c r="A52" s="15">
        <v>50</v>
      </c>
      <c r="B52" s="16">
        <v>1</v>
      </c>
      <c r="C52" s="20">
        <v>0.9</v>
      </c>
      <c r="D52" s="20">
        <v>0.231595386583653</v>
      </c>
      <c r="E52" s="20">
        <v>0.1</v>
      </c>
      <c r="F52" s="8" t="s">
        <v>434</v>
      </c>
      <c r="G52" s="24">
        <v>0.43795979978814747</v>
      </c>
      <c r="H52" s="24">
        <v>0.44049547523657362</v>
      </c>
      <c r="I52" s="25">
        <v>0.4481991398930224</v>
      </c>
      <c r="L52" s="15">
        <v>50</v>
      </c>
      <c r="M52" s="16">
        <v>0</v>
      </c>
      <c r="N52" s="16">
        <v>0</v>
      </c>
      <c r="O52" s="16">
        <v>2</v>
      </c>
      <c r="P52" s="16">
        <v>22</v>
      </c>
      <c r="Q52" s="29">
        <v>70</v>
      </c>
      <c r="R52" s="20">
        <v>0.53579999999999994</v>
      </c>
      <c r="S52" s="32">
        <v>37.505999999999993</v>
      </c>
      <c r="T52" s="35">
        <v>1.46</v>
      </c>
      <c r="U52" s="35">
        <v>0.55000000000000004</v>
      </c>
      <c r="V52" s="35">
        <v>2.0857142857142855E-2</v>
      </c>
      <c r="W52" s="9" t="s">
        <v>153</v>
      </c>
      <c r="X52" s="15">
        <v>51</v>
      </c>
      <c r="Y52" s="39">
        <v>0.47671372636382991</v>
      </c>
      <c r="Z52" s="39">
        <v>0.48552280460607988</v>
      </c>
      <c r="AA52" s="39">
        <v>0.48966029771348868</v>
      </c>
      <c r="AB52" s="39">
        <v>0.47715302433596429</v>
      </c>
      <c r="AC52" s="39">
        <v>0.47036650040691169</v>
      </c>
      <c r="AD52" s="39">
        <v>0.47783877476177083</v>
      </c>
      <c r="AE52" s="39">
        <v>0.48299546538262472</v>
      </c>
      <c r="AF52" s="40">
        <v>0.47261470618780338</v>
      </c>
    </row>
    <row r="53" spans="1:32">
      <c r="A53" s="15">
        <v>51</v>
      </c>
      <c r="B53" s="16">
        <v>1</v>
      </c>
      <c r="C53" s="20">
        <v>0.17</v>
      </c>
      <c r="D53" s="20">
        <v>0.81020490132908118</v>
      </c>
      <c r="E53" s="20">
        <v>0.08</v>
      </c>
      <c r="F53" s="8" t="s">
        <v>436</v>
      </c>
      <c r="G53" s="24">
        <v>1.1802312977028864</v>
      </c>
      <c r="H53" s="24">
        <v>1.1870645356541709</v>
      </c>
      <c r="I53" s="25">
        <v>1.2078246742306944</v>
      </c>
      <c r="L53" s="15">
        <v>51</v>
      </c>
      <c r="M53" s="16">
        <v>0</v>
      </c>
      <c r="N53" s="16">
        <v>0</v>
      </c>
      <c r="O53" s="16">
        <v>2</v>
      </c>
      <c r="P53" s="16">
        <v>23</v>
      </c>
      <c r="Q53" s="29">
        <v>92</v>
      </c>
      <c r="R53" s="20">
        <v>0.53579999999999994</v>
      </c>
      <c r="S53" s="32">
        <v>49.293599999999998</v>
      </c>
      <c r="T53" s="35">
        <v>2.38</v>
      </c>
      <c r="U53" s="35">
        <v>1.1299999999999999</v>
      </c>
      <c r="V53" s="35">
        <v>2.5869565217391303E-2</v>
      </c>
      <c r="W53" s="9" t="s">
        <v>154</v>
      </c>
      <c r="X53" s="15">
        <v>52</v>
      </c>
      <c r="Y53" s="39">
        <v>0.49510382033126094</v>
      </c>
      <c r="Z53" s="39">
        <v>0.47824067345699323</v>
      </c>
      <c r="AA53" s="39">
        <v>0.48389031828217938</v>
      </c>
      <c r="AB53" s="39">
        <v>0.48075442330467771</v>
      </c>
      <c r="AC53" s="39">
        <v>0.48844572661136748</v>
      </c>
      <c r="AD53" s="39">
        <v>0.47178798643532188</v>
      </c>
      <c r="AE53" s="39">
        <v>0.47794839515505944</v>
      </c>
      <c r="AF53" s="40">
        <v>0.47813506960972674</v>
      </c>
    </row>
    <row r="54" spans="1:32">
      <c r="A54" s="15">
        <v>52</v>
      </c>
      <c r="B54" s="16">
        <v>0</v>
      </c>
      <c r="C54" s="20">
        <v>0.96</v>
      </c>
      <c r="D54" s="20">
        <v>0.13880369068795359</v>
      </c>
      <c r="E54" s="20">
        <v>0.04</v>
      </c>
      <c r="F54" s="8" t="s">
        <v>434</v>
      </c>
      <c r="G54" s="24">
        <v>0.59409408578840306</v>
      </c>
      <c r="H54" s="24">
        <v>0.59753373889838601</v>
      </c>
      <c r="I54" s="25">
        <v>0.60798378845432066</v>
      </c>
      <c r="L54" s="15">
        <v>52</v>
      </c>
      <c r="M54" s="16">
        <v>0</v>
      </c>
      <c r="N54" s="16">
        <v>0</v>
      </c>
      <c r="O54" s="16">
        <v>2</v>
      </c>
      <c r="P54" s="16">
        <v>24</v>
      </c>
      <c r="Q54" s="29">
        <v>81</v>
      </c>
      <c r="R54" s="20">
        <v>0.53579999999999994</v>
      </c>
      <c r="S54" s="32">
        <v>43.399799999999992</v>
      </c>
      <c r="T54" s="35">
        <v>2.02</v>
      </c>
      <c r="U54" s="35">
        <v>0.86</v>
      </c>
      <c r="V54" s="35">
        <v>2.4938271604938271E-2</v>
      </c>
      <c r="W54" s="9" t="s">
        <v>154</v>
      </c>
      <c r="X54" s="15">
        <v>53</v>
      </c>
      <c r="Y54" s="39">
        <v>0.47833652669795179</v>
      </c>
      <c r="Z54" s="39">
        <v>0.49445391954952894</v>
      </c>
      <c r="AA54" s="39">
        <v>0.48171138540831332</v>
      </c>
      <c r="AB54" s="39">
        <v>0.49638798226237807</v>
      </c>
      <c r="AC54" s="39">
        <v>0.47129249716908506</v>
      </c>
      <c r="AD54" s="39">
        <v>0.48665645167906291</v>
      </c>
      <c r="AE54" s="39">
        <v>0.47467645708283873</v>
      </c>
      <c r="AF54" s="40">
        <v>0.49411787915684147</v>
      </c>
    </row>
    <row r="55" spans="1:32">
      <c r="A55" s="15">
        <v>53</v>
      </c>
      <c r="B55" s="16">
        <v>1</v>
      </c>
      <c r="C55" s="20">
        <v>0.02</v>
      </c>
      <c r="D55" s="20">
        <v>0.99604261948721451</v>
      </c>
      <c r="E55" s="20">
        <v>1</v>
      </c>
      <c r="F55" s="8" t="s">
        <v>436</v>
      </c>
      <c r="G55" s="24">
        <v>1.0625867340694162</v>
      </c>
      <c r="H55" s="24">
        <v>1.0687388400268727</v>
      </c>
      <c r="I55" s="25">
        <v>1.0874296236824081</v>
      </c>
      <c r="L55" s="15">
        <v>53</v>
      </c>
      <c r="M55" s="16">
        <v>0</v>
      </c>
      <c r="N55" s="16">
        <v>0</v>
      </c>
      <c r="O55" s="16">
        <v>2</v>
      </c>
      <c r="P55" s="16">
        <v>25</v>
      </c>
      <c r="Q55" s="29">
        <v>72</v>
      </c>
      <c r="R55" s="20">
        <v>0.53579999999999994</v>
      </c>
      <c r="S55" s="32">
        <v>38.577599999999997</v>
      </c>
      <c r="T55" s="35">
        <v>2.44</v>
      </c>
      <c r="U55" s="35">
        <v>1.29</v>
      </c>
      <c r="V55" s="35">
        <v>3.3888888888888885E-2</v>
      </c>
      <c r="W55" s="9" t="s">
        <v>154</v>
      </c>
      <c r="X55" s="15">
        <v>54</v>
      </c>
      <c r="Y55" s="39">
        <v>0.48768741160258383</v>
      </c>
      <c r="Z55" s="39">
        <v>0.49258252824576809</v>
      </c>
      <c r="AA55" s="39">
        <v>0.48163229645996919</v>
      </c>
      <c r="AB55" s="39">
        <v>0.47235922270621933</v>
      </c>
      <c r="AC55" s="39">
        <v>0.48037702403366422</v>
      </c>
      <c r="AD55" s="39">
        <v>0.48642171947953744</v>
      </c>
      <c r="AE55" s="39">
        <v>0.47580557693852898</v>
      </c>
      <c r="AF55" s="40">
        <v>0.46972159632340676</v>
      </c>
    </row>
    <row r="56" spans="1:32">
      <c r="A56" s="15">
        <v>54</v>
      </c>
      <c r="B56" s="16">
        <v>1</v>
      </c>
      <c r="C56" s="20">
        <v>0.91</v>
      </c>
      <c r="D56" s="20">
        <v>0.21727233298780477</v>
      </c>
      <c r="E56" s="20">
        <v>0.09</v>
      </c>
      <c r="F56" s="8" t="s">
        <v>434</v>
      </c>
      <c r="G56" s="24">
        <v>0.99160221515195179</v>
      </c>
      <c r="H56" s="24">
        <v>0.99734333886417847</v>
      </c>
      <c r="I56" s="25">
        <v>1.0147855126477485</v>
      </c>
      <c r="L56" s="15">
        <v>54</v>
      </c>
      <c r="M56" s="16">
        <v>0</v>
      </c>
      <c r="N56" s="16">
        <v>0</v>
      </c>
      <c r="O56" s="16">
        <v>2</v>
      </c>
      <c r="P56" s="16">
        <v>26</v>
      </c>
      <c r="Q56" s="29">
        <v>97</v>
      </c>
      <c r="R56" s="20">
        <v>0.53579999999999994</v>
      </c>
      <c r="S56" s="32">
        <v>51.972599999999993</v>
      </c>
      <c r="T56" s="35">
        <v>4.84</v>
      </c>
      <c r="U56" s="35">
        <v>3.43</v>
      </c>
      <c r="V56" s="35">
        <v>4.9896907216494847E-2</v>
      </c>
      <c r="W56" s="9" t="s">
        <v>155</v>
      </c>
      <c r="X56" s="15">
        <v>55</v>
      </c>
      <c r="Y56" s="39">
        <v>0.48780131426451667</v>
      </c>
      <c r="Z56" s="39">
        <v>0.4711077435711844</v>
      </c>
      <c r="AA56" s="39">
        <v>0.47674507931024945</v>
      </c>
      <c r="AB56" s="39">
        <v>0.47477360726344092</v>
      </c>
      <c r="AC56" s="39">
        <v>0.4793704355395848</v>
      </c>
      <c r="AD56" s="39">
        <v>0.46445453104536283</v>
      </c>
      <c r="AE56" s="39">
        <v>0.46835449727535011</v>
      </c>
      <c r="AF56" s="40">
        <v>0.47078976244805576</v>
      </c>
    </row>
    <row r="57" spans="1:32">
      <c r="A57" s="15">
        <v>55</v>
      </c>
      <c r="B57" s="16">
        <v>0</v>
      </c>
      <c r="C57" s="20">
        <v>0.92</v>
      </c>
      <c r="D57" s="20">
        <v>0.20258497911151899</v>
      </c>
      <c r="E57" s="20">
        <v>0.08</v>
      </c>
      <c r="F57" s="8" t="s">
        <v>434</v>
      </c>
      <c r="G57" s="24">
        <v>0.43888435695835287</v>
      </c>
      <c r="H57" s="24">
        <v>0.44142538535679476</v>
      </c>
      <c r="I57" s="25">
        <v>0.44914531287206849</v>
      </c>
      <c r="L57" s="15">
        <v>55</v>
      </c>
      <c r="M57" s="16">
        <v>0</v>
      </c>
      <c r="N57" s="16">
        <v>0</v>
      </c>
      <c r="O57" s="16">
        <v>2</v>
      </c>
      <c r="P57" s="16">
        <v>27</v>
      </c>
      <c r="Q57" s="29">
        <v>74</v>
      </c>
      <c r="R57" s="20">
        <v>0.53579999999999994</v>
      </c>
      <c r="S57" s="32">
        <v>39.649199999999993</v>
      </c>
      <c r="T57" s="35">
        <v>2.2400000000000002</v>
      </c>
      <c r="U57" s="35">
        <v>1.19</v>
      </c>
      <c r="V57" s="35">
        <v>3.0270270270270273E-2</v>
      </c>
      <c r="W57" s="9" t="s">
        <v>154</v>
      </c>
      <c r="X57" s="15">
        <v>56</v>
      </c>
      <c r="Y57" s="39">
        <v>0.48429560008862327</v>
      </c>
      <c r="Z57" s="39">
        <v>0.49818766688798866</v>
      </c>
      <c r="AA57" s="39">
        <v>0.49737591226236783</v>
      </c>
      <c r="AB57" s="39">
        <v>0.47004729263690165</v>
      </c>
      <c r="AC57" s="39">
        <v>0.48072322898417036</v>
      </c>
      <c r="AD57" s="39">
        <v>0.48980518197950196</v>
      </c>
      <c r="AE57" s="39">
        <v>0.48969742418749623</v>
      </c>
      <c r="AF57" s="40">
        <v>0.46648172014558614</v>
      </c>
    </row>
    <row r="58" spans="1:32">
      <c r="A58" s="15">
        <v>56</v>
      </c>
      <c r="B58" s="16">
        <v>0</v>
      </c>
      <c r="C58" s="20">
        <v>0.02</v>
      </c>
      <c r="D58" s="20">
        <v>0.99679477127711513</v>
      </c>
      <c r="E58" s="20">
        <v>1</v>
      </c>
      <c r="F58" s="8" t="s">
        <v>436</v>
      </c>
      <c r="G58" s="24">
        <v>0.98985318669777267</v>
      </c>
      <c r="H58" s="24">
        <v>0.99558418398170156</v>
      </c>
      <c r="I58" s="25">
        <v>1.0129955925473404</v>
      </c>
      <c r="L58" s="15">
        <v>56</v>
      </c>
      <c r="M58" s="16">
        <v>0</v>
      </c>
      <c r="N58" s="16">
        <v>0</v>
      </c>
      <c r="O58" s="16">
        <v>2</v>
      </c>
      <c r="P58" s="16">
        <v>28</v>
      </c>
      <c r="Q58" s="29">
        <v>68</v>
      </c>
      <c r="R58" s="20">
        <v>0.53579999999999994</v>
      </c>
      <c r="S58" s="32">
        <v>36.434399999999997</v>
      </c>
      <c r="T58" s="35">
        <v>2.83</v>
      </c>
      <c r="U58" s="35">
        <v>2.08</v>
      </c>
      <c r="V58" s="35">
        <v>4.161764705882353E-2</v>
      </c>
      <c r="W58" s="9" t="s">
        <v>154</v>
      </c>
      <c r="X58" s="15">
        <v>57</v>
      </c>
      <c r="Y58" s="39">
        <v>0.49574570876102941</v>
      </c>
      <c r="Z58" s="39">
        <v>0.48749211766616823</v>
      </c>
      <c r="AA58" s="39">
        <v>0.49089045213701793</v>
      </c>
      <c r="AB58" s="39">
        <v>0.47549861298216162</v>
      </c>
      <c r="AC58" s="39">
        <v>0.49014124929017849</v>
      </c>
      <c r="AD58" s="39">
        <v>0.48038809794975262</v>
      </c>
      <c r="AE58" s="39">
        <v>0.4839063467438432</v>
      </c>
      <c r="AF58" s="40">
        <v>0.4690455981615832</v>
      </c>
    </row>
    <row r="59" spans="1:32">
      <c r="A59" s="15">
        <v>57</v>
      </c>
      <c r="B59" s="16">
        <v>0</v>
      </c>
      <c r="C59" s="20">
        <v>0.22</v>
      </c>
      <c r="D59" s="20">
        <v>0.75335378087591609</v>
      </c>
      <c r="E59" s="20">
        <v>0.12</v>
      </c>
      <c r="F59" s="8" t="s">
        <v>436</v>
      </c>
      <c r="G59" s="24">
        <v>0.95757097599166019</v>
      </c>
      <c r="H59" s="24">
        <v>0.96311506751586418</v>
      </c>
      <c r="I59" s="25">
        <v>0.97995863554963447</v>
      </c>
      <c r="L59" s="15">
        <v>57</v>
      </c>
      <c r="M59" s="16">
        <v>0</v>
      </c>
      <c r="N59" s="16">
        <v>0</v>
      </c>
      <c r="O59" s="16">
        <v>2</v>
      </c>
      <c r="P59" s="16">
        <v>29</v>
      </c>
      <c r="Q59" s="29">
        <v>73</v>
      </c>
      <c r="R59" s="20">
        <v>0.53579999999999994</v>
      </c>
      <c r="S59" s="32">
        <v>39.113399999999999</v>
      </c>
      <c r="T59" s="35">
        <v>2.87</v>
      </c>
      <c r="U59" s="35">
        <v>1.75</v>
      </c>
      <c r="V59" s="35">
        <v>3.9315068493150689E-2</v>
      </c>
      <c r="W59" s="9" t="s">
        <v>154</v>
      </c>
      <c r="X59" s="15">
        <v>58</v>
      </c>
      <c r="Y59" s="39">
        <v>0.47922811031629525</v>
      </c>
      <c r="Z59" s="39">
        <v>0.49695078559640443</v>
      </c>
      <c r="AA59" s="39">
        <v>0.4850951172580899</v>
      </c>
      <c r="AB59" s="39">
        <v>0.49183852021649571</v>
      </c>
      <c r="AC59" s="39">
        <v>0.47324146263840816</v>
      </c>
      <c r="AD59" s="39">
        <v>0.49031200317601059</v>
      </c>
      <c r="AE59" s="39">
        <v>0.47663010537139677</v>
      </c>
      <c r="AF59" s="40">
        <v>0.48710228877559458</v>
      </c>
    </row>
    <row r="60" spans="1:32">
      <c r="A60" s="15">
        <v>58</v>
      </c>
      <c r="B60" s="16">
        <v>0</v>
      </c>
      <c r="C60" s="20">
        <v>0.3</v>
      </c>
      <c r="D60" s="20">
        <v>0.71123268637413684</v>
      </c>
      <c r="E60" s="20">
        <v>0.05</v>
      </c>
      <c r="F60" s="8" t="s">
        <v>436</v>
      </c>
      <c r="G60" s="24">
        <v>0.96317691620729251</v>
      </c>
      <c r="H60" s="24">
        <v>0.96875346469438894</v>
      </c>
      <c r="I60" s="25">
        <v>0.98569564059930681</v>
      </c>
      <c r="L60" s="15">
        <v>58</v>
      </c>
      <c r="M60" s="16">
        <v>0</v>
      </c>
      <c r="N60" s="16">
        <v>0</v>
      </c>
      <c r="O60" s="16">
        <v>2</v>
      </c>
      <c r="P60" s="16">
        <v>30</v>
      </c>
      <c r="Q60" s="29">
        <v>70</v>
      </c>
      <c r="R60" s="20">
        <v>0.53579999999999994</v>
      </c>
      <c r="S60" s="32">
        <v>37.505999999999993</v>
      </c>
      <c r="T60" s="35">
        <v>1.76</v>
      </c>
      <c r="U60" s="35">
        <v>0.78</v>
      </c>
      <c r="V60" s="35">
        <v>2.5142857142857144E-2</v>
      </c>
      <c r="W60" s="9" t="s">
        <v>153</v>
      </c>
      <c r="X60" s="15">
        <v>59</v>
      </c>
      <c r="Y60" s="39">
        <v>0.4944045631279258</v>
      </c>
      <c r="Z60" s="39">
        <v>0.49017851374808957</v>
      </c>
      <c r="AA60" s="39">
        <v>0.49329702813329379</v>
      </c>
      <c r="AB60" s="39">
        <v>0.47994677515273992</v>
      </c>
      <c r="AC60" s="39">
        <v>0.48782962892029064</v>
      </c>
      <c r="AD60" s="39">
        <v>0.48426623336882141</v>
      </c>
      <c r="AE60" s="39">
        <v>0.48674767539327068</v>
      </c>
      <c r="AF60" s="40">
        <v>0.4781559477688837</v>
      </c>
    </row>
    <row r="61" spans="1:32">
      <c r="A61" s="15">
        <v>59</v>
      </c>
      <c r="B61" s="16">
        <v>0</v>
      </c>
      <c r="C61" s="20">
        <v>0.02</v>
      </c>
      <c r="D61" s="20">
        <v>0.99756714174924133</v>
      </c>
      <c r="E61" s="20">
        <v>1</v>
      </c>
      <c r="F61" s="8" t="s">
        <v>436</v>
      </c>
      <c r="G61" s="24">
        <v>1.0430277152921392</v>
      </c>
      <c r="H61" s="24">
        <v>1.0490665795234537</v>
      </c>
      <c r="I61" s="25">
        <v>1.0674133221922544</v>
      </c>
      <c r="L61" s="15">
        <v>59</v>
      </c>
      <c r="M61" s="16">
        <v>0</v>
      </c>
      <c r="N61" s="16">
        <v>0</v>
      </c>
      <c r="O61" s="16">
        <v>2</v>
      </c>
      <c r="P61" s="16">
        <v>31</v>
      </c>
      <c r="Q61" s="29">
        <v>84</v>
      </c>
      <c r="R61" s="20">
        <v>0.53579999999999994</v>
      </c>
      <c r="S61" s="32">
        <v>45.007199999999997</v>
      </c>
      <c r="T61" s="35">
        <v>1.8900000000000001</v>
      </c>
      <c r="U61" s="35">
        <v>0.48</v>
      </c>
      <c r="V61" s="35">
        <v>2.2500000000000003E-2</v>
      </c>
      <c r="W61" s="9" t="s">
        <v>153</v>
      </c>
      <c r="X61" s="15">
        <v>60</v>
      </c>
      <c r="Y61" s="39">
        <v>0.48122359754058036</v>
      </c>
      <c r="Z61" s="39">
        <v>0.49700602342520384</v>
      </c>
      <c r="AA61" s="39">
        <v>0.47245529450337909</v>
      </c>
      <c r="AB61" s="39">
        <v>0.49005524665164096</v>
      </c>
      <c r="AC61" s="39">
        <v>0.47310826412207602</v>
      </c>
      <c r="AD61" s="39">
        <v>0.48788516965381734</v>
      </c>
      <c r="AE61" s="39">
        <v>0.46445046763085468</v>
      </c>
      <c r="AF61" s="40">
        <v>0.48636474274838742</v>
      </c>
    </row>
    <row r="62" spans="1:32">
      <c r="A62" s="15">
        <v>60</v>
      </c>
      <c r="B62" s="16">
        <v>0</v>
      </c>
      <c r="C62" s="20">
        <v>0.01</v>
      </c>
      <c r="D62" s="20">
        <v>0.99999999999999978</v>
      </c>
      <c r="E62" s="20">
        <v>1</v>
      </c>
      <c r="F62" s="8" t="s">
        <v>436</v>
      </c>
      <c r="G62" s="24">
        <v>1.0613931431351635</v>
      </c>
      <c r="H62" s="24">
        <v>1.0675383385057833</v>
      </c>
      <c r="I62" s="25">
        <v>1.0862081270282062</v>
      </c>
      <c r="L62" s="15">
        <v>60</v>
      </c>
      <c r="M62" s="16">
        <v>0</v>
      </c>
      <c r="N62" s="16">
        <v>0</v>
      </c>
      <c r="O62" s="16">
        <v>2</v>
      </c>
      <c r="P62" s="16">
        <v>32</v>
      </c>
      <c r="Q62" s="29">
        <v>82</v>
      </c>
      <c r="R62" s="20">
        <v>0.53579999999999994</v>
      </c>
      <c r="S62" s="32">
        <v>43.935599999999994</v>
      </c>
      <c r="T62" s="35">
        <v>2.27</v>
      </c>
      <c r="U62" s="35">
        <v>1.1200000000000001</v>
      </c>
      <c r="V62" s="35">
        <v>2.7682926829268293E-2</v>
      </c>
      <c r="W62" s="9" t="s">
        <v>154</v>
      </c>
      <c r="X62" s="15">
        <v>61</v>
      </c>
      <c r="Y62" s="39">
        <v>0.48261938050168168</v>
      </c>
      <c r="Z62" s="39">
        <v>0.48814737680716597</v>
      </c>
      <c r="AA62" s="39">
        <v>0.49663898767148673</v>
      </c>
      <c r="AB62" s="39">
        <v>0.48254792545879366</v>
      </c>
      <c r="AC62" s="39">
        <v>0.47884065356928207</v>
      </c>
      <c r="AD62" s="39">
        <v>0.47967364605539375</v>
      </c>
      <c r="AE62" s="39">
        <v>0.48974637154105655</v>
      </c>
      <c r="AF62" s="40">
        <v>0.47864664619361447</v>
      </c>
    </row>
    <row r="63" spans="1:32">
      <c r="A63" s="15">
        <v>61</v>
      </c>
      <c r="B63" s="16">
        <v>0</v>
      </c>
      <c r="C63" s="20">
        <v>0.2</v>
      </c>
      <c r="D63" s="20">
        <v>0.88809766924584399</v>
      </c>
      <c r="E63" s="20">
        <v>0.06</v>
      </c>
      <c r="F63" s="8" t="s">
        <v>436</v>
      </c>
      <c r="G63" s="24">
        <v>1.208743380393164</v>
      </c>
      <c r="H63" s="24">
        <v>1.2157416960253138</v>
      </c>
      <c r="I63" s="25">
        <v>1.2370033589970193</v>
      </c>
      <c r="L63" s="15">
        <v>61</v>
      </c>
      <c r="M63" s="16">
        <v>0</v>
      </c>
      <c r="N63" s="16">
        <v>0</v>
      </c>
      <c r="O63" s="16">
        <v>2</v>
      </c>
      <c r="P63" s="16">
        <v>33</v>
      </c>
      <c r="Q63" s="29">
        <v>81</v>
      </c>
      <c r="R63" s="20">
        <v>0.53579999999999994</v>
      </c>
      <c r="S63" s="32">
        <v>43.399799999999992</v>
      </c>
      <c r="T63" s="35">
        <v>3.59</v>
      </c>
      <c r="U63" s="35">
        <v>2.29</v>
      </c>
      <c r="V63" s="35">
        <v>4.4320987654320985E-2</v>
      </c>
      <c r="W63" s="9" t="s">
        <v>155</v>
      </c>
      <c r="X63" s="15">
        <v>62</v>
      </c>
      <c r="Y63" s="39">
        <v>0.48546308775479124</v>
      </c>
      <c r="Z63" s="39">
        <v>0.49312943804122883</v>
      </c>
      <c r="AA63" s="39">
        <v>0.49771046741691083</v>
      </c>
      <c r="AB63" s="39">
        <v>0.489925871620848</v>
      </c>
      <c r="AC63" s="39">
        <v>0.47669923946831116</v>
      </c>
      <c r="AD63" s="39">
        <v>0.48447943758626288</v>
      </c>
      <c r="AE63" s="39">
        <v>0.48784853715561194</v>
      </c>
      <c r="AF63" s="40">
        <v>0.48405866013316018</v>
      </c>
    </row>
    <row r="64" spans="1:32">
      <c r="A64" s="15">
        <v>62</v>
      </c>
      <c r="B64" s="16">
        <v>0</v>
      </c>
      <c r="C64" s="20">
        <v>0.93</v>
      </c>
      <c r="D64" s="20">
        <v>0.18747949848141848</v>
      </c>
      <c r="E64" s="20">
        <v>7.0000000000000007E-2</v>
      </c>
      <c r="F64" s="8" t="s">
        <v>434</v>
      </c>
      <c r="G64" s="24">
        <v>0.59980419469763191</v>
      </c>
      <c r="H64" s="24">
        <v>0.60327690788065358</v>
      </c>
      <c r="I64" s="25">
        <v>0.61382739762358651</v>
      </c>
      <c r="L64" s="15">
        <v>62</v>
      </c>
      <c r="M64" s="16">
        <v>0</v>
      </c>
      <c r="N64" s="16">
        <v>0</v>
      </c>
      <c r="O64" s="16">
        <v>3</v>
      </c>
      <c r="P64" s="16">
        <v>34</v>
      </c>
      <c r="Q64" s="29">
        <v>69</v>
      </c>
      <c r="R64" s="20">
        <v>0.53579999999999994</v>
      </c>
      <c r="S64" s="32">
        <v>36.970199999999998</v>
      </c>
      <c r="T64" s="35">
        <v>4.13</v>
      </c>
      <c r="U64" s="35">
        <v>3.09</v>
      </c>
      <c r="V64" s="35">
        <v>5.9855072463768116E-2</v>
      </c>
      <c r="W64" s="9" t="s">
        <v>155</v>
      </c>
      <c r="X64" s="15">
        <v>63</v>
      </c>
      <c r="Y64" s="39">
        <v>0.4932699317288825</v>
      </c>
      <c r="Z64" s="39">
        <v>0.48533893886551038</v>
      </c>
      <c r="AA64" s="39">
        <v>0.4813192501874527</v>
      </c>
      <c r="AB64" s="39">
        <v>0.48864812242684114</v>
      </c>
      <c r="AC64" s="39">
        <v>0.48612135459803657</v>
      </c>
      <c r="AD64" s="39">
        <v>0.47625338371193876</v>
      </c>
      <c r="AE64" s="39">
        <v>0.47367791145326898</v>
      </c>
      <c r="AF64" s="40">
        <v>0.48473512978640709</v>
      </c>
    </row>
    <row r="65" spans="1:32">
      <c r="A65" s="15">
        <v>63</v>
      </c>
      <c r="B65" s="16">
        <v>1</v>
      </c>
      <c r="C65" s="20">
        <v>0.1</v>
      </c>
      <c r="D65" s="20">
        <v>0.90707634603772769</v>
      </c>
      <c r="E65" s="20">
        <v>7.0000000000000007E-2</v>
      </c>
      <c r="F65" s="8" t="s">
        <v>436</v>
      </c>
      <c r="G65" s="24">
        <v>0.9555778153566391</v>
      </c>
      <c r="H65" s="24">
        <v>0.96111036698953467</v>
      </c>
      <c r="I65" s="25">
        <v>0.97791887554719314</v>
      </c>
      <c r="L65" s="15">
        <v>63</v>
      </c>
      <c r="M65" s="16">
        <v>0</v>
      </c>
      <c r="N65" s="16">
        <v>0</v>
      </c>
      <c r="O65" s="16">
        <v>3</v>
      </c>
      <c r="P65" s="16">
        <v>35</v>
      </c>
      <c r="Q65" s="29">
        <v>58</v>
      </c>
      <c r="R65" s="20">
        <v>0.53579999999999994</v>
      </c>
      <c r="S65" s="32">
        <v>31.076399999999996</v>
      </c>
      <c r="T65" s="35">
        <v>1.17</v>
      </c>
      <c r="U65" s="35">
        <v>0.43</v>
      </c>
      <c r="V65" s="35">
        <v>2.0172413793103448E-2</v>
      </c>
      <c r="W65" s="9" t="s">
        <v>153</v>
      </c>
      <c r="X65" s="15">
        <v>64</v>
      </c>
      <c r="Y65" s="39">
        <v>0.4903914865343113</v>
      </c>
      <c r="Z65" s="39">
        <v>0.48933451618050977</v>
      </c>
      <c r="AA65" s="39">
        <v>0.48465894741894411</v>
      </c>
      <c r="AB65" s="39">
        <v>0.48784045321266734</v>
      </c>
      <c r="AC65" s="39">
        <v>0.48657147021076219</v>
      </c>
      <c r="AD65" s="39">
        <v>0.4827881469660717</v>
      </c>
      <c r="AE65" s="39">
        <v>0.47890954548761022</v>
      </c>
      <c r="AF65" s="40">
        <v>0.48496409567186782</v>
      </c>
    </row>
    <row r="66" spans="1:32">
      <c r="A66" s="15">
        <v>64</v>
      </c>
      <c r="B66" s="16">
        <v>1</v>
      </c>
      <c r="C66" s="20">
        <v>0.02</v>
      </c>
      <c r="D66" s="20">
        <v>0.99531127541355291</v>
      </c>
      <c r="E66" s="20">
        <v>1</v>
      </c>
      <c r="F66" s="8" t="s">
        <v>436</v>
      </c>
      <c r="G66" s="24">
        <v>0.9657777226961658</v>
      </c>
      <c r="H66" s="24">
        <v>0.97136932918895846</v>
      </c>
      <c r="I66" s="25">
        <v>0.98835725299365229</v>
      </c>
      <c r="L66" s="15">
        <v>64</v>
      </c>
      <c r="M66" s="16">
        <v>0</v>
      </c>
      <c r="N66" s="16">
        <v>0</v>
      </c>
      <c r="O66" s="16">
        <v>3</v>
      </c>
      <c r="P66" s="16">
        <v>36</v>
      </c>
      <c r="Q66" s="29">
        <v>56</v>
      </c>
      <c r="R66" s="20">
        <v>0.53579999999999994</v>
      </c>
      <c r="S66" s="32">
        <v>30.004799999999996</v>
      </c>
      <c r="T66" s="35">
        <v>1.95</v>
      </c>
      <c r="U66" s="35">
        <v>1.06</v>
      </c>
      <c r="V66" s="35">
        <v>3.4821428571428573E-2</v>
      </c>
      <c r="W66" s="9" t="s">
        <v>153</v>
      </c>
      <c r="X66" s="15">
        <v>65</v>
      </c>
      <c r="Y66" s="39">
        <v>0.4949249592025855</v>
      </c>
      <c r="Z66" s="39">
        <v>0.49333506715522474</v>
      </c>
      <c r="AA66" s="39">
        <v>0.49147706282453835</v>
      </c>
      <c r="AB66" s="39">
        <v>0.48179891488975146</v>
      </c>
      <c r="AC66" s="39">
        <v>0.48738567695828672</v>
      </c>
      <c r="AD66" s="39">
        <v>0.48619903017006849</v>
      </c>
      <c r="AE66" s="39">
        <v>0.484411922940436</v>
      </c>
      <c r="AF66" s="40">
        <v>0.47823625509582385</v>
      </c>
    </row>
    <row r="67" spans="1:32">
      <c r="A67" s="15">
        <v>65</v>
      </c>
      <c r="B67" s="16">
        <v>0</v>
      </c>
      <c r="C67" s="20">
        <v>0.94</v>
      </c>
      <c r="D67" s="20">
        <v>0.17188516685452584</v>
      </c>
      <c r="E67" s="20">
        <v>0.06</v>
      </c>
      <c r="F67" s="8" t="s">
        <v>434</v>
      </c>
      <c r="G67" s="24">
        <v>0.70280885638962198</v>
      </c>
      <c r="H67" s="24">
        <v>0.70687794027116924</v>
      </c>
      <c r="I67" s="25">
        <v>0.71924027067187479</v>
      </c>
      <c r="L67" s="15">
        <v>65</v>
      </c>
      <c r="M67" s="16">
        <v>0</v>
      </c>
      <c r="N67" s="16">
        <v>0</v>
      </c>
      <c r="O67" s="16">
        <v>3</v>
      </c>
      <c r="P67" s="16">
        <v>37</v>
      </c>
      <c r="Q67" s="29">
        <v>78</v>
      </c>
      <c r="R67" s="20">
        <v>0.53579999999999994</v>
      </c>
      <c r="S67" s="32">
        <v>41.792399999999994</v>
      </c>
      <c r="T67" s="35">
        <v>5.99</v>
      </c>
      <c r="U67" s="35">
        <v>4.5599999999999996</v>
      </c>
      <c r="V67" s="35">
        <v>7.6794871794871794E-2</v>
      </c>
      <c r="W67" s="9" t="s">
        <v>156</v>
      </c>
      <c r="X67" s="15">
        <v>66</v>
      </c>
      <c r="Y67" s="39">
        <v>0.48940679813392179</v>
      </c>
      <c r="Z67" s="39">
        <v>0.5027981456650954</v>
      </c>
      <c r="AA67" s="39">
        <v>0.482353330410769</v>
      </c>
      <c r="AB67" s="39">
        <v>0.49848420754204542</v>
      </c>
      <c r="AC67" s="39">
        <v>0.48221431694943595</v>
      </c>
      <c r="AD67" s="39">
        <v>0.49533121712989336</v>
      </c>
      <c r="AE67" s="39">
        <v>0.47566298080089131</v>
      </c>
      <c r="AF67" s="40">
        <v>0.49112800410456525</v>
      </c>
    </row>
    <row r="68" spans="1:32">
      <c r="A68" s="15">
        <v>66</v>
      </c>
      <c r="B68" s="16">
        <v>0</v>
      </c>
      <c r="C68" s="20">
        <v>0.02</v>
      </c>
      <c r="D68" s="20">
        <v>0.99679477127711513</v>
      </c>
      <c r="E68" s="20">
        <v>1</v>
      </c>
      <c r="F68" s="8" t="s">
        <v>436</v>
      </c>
      <c r="G68" s="24">
        <v>1.0559933652958393</v>
      </c>
      <c r="H68" s="24">
        <v>1.062107297331101</v>
      </c>
      <c r="I68" s="25">
        <v>1.0806821043558761</v>
      </c>
      <c r="L68" s="15">
        <v>66</v>
      </c>
      <c r="M68" s="16">
        <v>0</v>
      </c>
      <c r="N68" s="16">
        <v>0</v>
      </c>
      <c r="O68" s="16">
        <v>3</v>
      </c>
      <c r="P68" s="16">
        <v>38</v>
      </c>
      <c r="Q68" s="29">
        <v>59</v>
      </c>
      <c r="R68" s="20">
        <v>0.53579999999999994</v>
      </c>
      <c r="S68" s="32">
        <v>31.612199999999998</v>
      </c>
      <c r="T68" s="35">
        <v>2.52</v>
      </c>
      <c r="U68" s="35">
        <v>1.77</v>
      </c>
      <c r="V68" s="35">
        <v>4.2711864406779661E-2</v>
      </c>
      <c r="W68" s="9" t="s">
        <v>154</v>
      </c>
      <c r="X68" s="15">
        <v>67</v>
      </c>
      <c r="Y68" s="39">
        <v>0.47545357916180619</v>
      </c>
      <c r="Z68" s="39">
        <v>0.47634337423477463</v>
      </c>
      <c r="AA68" s="39">
        <v>0.49246620360912285</v>
      </c>
      <c r="AB68" s="39">
        <v>0.49599318058677372</v>
      </c>
      <c r="AC68" s="39">
        <v>0.46926376947419396</v>
      </c>
      <c r="AD68" s="39">
        <v>0.46949790416918646</v>
      </c>
      <c r="AE68" s="39">
        <v>0.48716208234551106</v>
      </c>
      <c r="AF68" s="40">
        <v>0.49125039124236952</v>
      </c>
    </row>
    <row r="69" spans="1:32">
      <c r="A69" s="15">
        <v>67</v>
      </c>
      <c r="B69" s="16">
        <v>1</v>
      </c>
      <c r="C69" s="20">
        <v>0.56000000000000005</v>
      </c>
      <c r="D69" s="20">
        <v>0.46074580460030429</v>
      </c>
      <c r="E69" s="20">
        <v>0.08</v>
      </c>
      <c r="F69" s="8" t="s">
        <v>438</v>
      </c>
      <c r="G69" s="24">
        <v>0.41256698312862905</v>
      </c>
      <c r="H69" s="24">
        <v>0.41495564065029328</v>
      </c>
      <c r="I69" s="25">
        <v>0.42221264845759232</v>
      </c>
      <c r="L69" s="15">
        <v>67</v>
      </c>
      <c r="M69" s="16">
        <v>0</v>
      </c>
      <c r="N69" s="16">
        <v>0</v>
      </c>
      <c r="O69" s="16">
        <v>3</v>
      </c>
      <c r="P69" s="16">
        <v>39</v>
      </c>
      <c r="Q69" s="29">
        <v>57</v>
      </c>
      <c r="R69" s="20">
        <v>0.53579999999999994</v>
      </c>
      <c r="S69" s="32">
        <v>30.540599999999998</v>
      </c>
      <c r="T69" s="35">
        <v>2.0699999999999998</v>
      </c>
      <c r="U69" s="35">
        <v>1.21</v>
      </c>
      <c r="V69" s="35">
        <v>3.6315789473684211E-2</v>
      </c>
      <c r="W69" s="9" t="s">
        <v>154</v>
      </c>
      <c r="X69" s="15">
        <v>68</v>
      </c>
      <c r="Y69" s="39">
        <v>0.48674406127974873</v>
      </c>
      <c r="Z69" s="39">
        <v>0.48155544690888324</v>
      </c>
      <c r="AA69" s="39">
        <v>0.49193363047339889</v>
      </c>
      <c r="AB69" s="39">
        <v>0.48469385626641759</v>
      </c>
      <c r="AC69" s="39">
        <v>0.48278577916824467</v>
      </c>
      <c r="AD69" s="39">
        <v>0.47348010600965879</v>
      </c>
      <c r="AE69" s="39">
        <v>0.48687368052782087</v>
      </c>
      <c r="AF69" s="40">
        <v>0.48031690681165223</v>
      </c>
    </row>
    <row r="70" spans="1:32">
      <c r="A70" s="15">
        <v>68</v>
      </c>
      <c r="B70" s="16">
        <v>1</v>
      </c>
      <c r="C70" s="20">
        <v>0.88</v>
      </c>
      <c r="D70" s="20">
        <v>0.25930874124763043</v>
      </c>
      <c r="E70" s="20">
        <v>0.12</v>
      </c>
      <c r="F70" s="8" t="s">
        <v>434</v>
      </c>
      <c r="G70" s="24">
        <v>1.4038549585372893</v>
      </c>
      <c r="H70" s="24">
        <v>1.4119829204032786</v>
      </c>
      <c r="I70" s="25">
        <v>1.4366765745516625</v>
      </c>
      <c r="L70" s="15">
        <v>68</v>
      </c>
      <c r="M70" s="16">
        <v>0</v>
      </c>
      <c r="N70" s="16">
        <v>0</v>
      </c>
      <c r="O70" s="16">
        <v>3</v>
      </c>
      <c r="P70" s="16">
        <v>40</v>
      </c>
      <c r="Q70" s="29">
        <v>73</v>
      </c>
      <c r="R70" s="20">
        <v>0.53579999999999994</v>
      </c>
      <c r="S70" s="32">
        <v>39.113399999999999</v>
      </c>
      <c r="T70" s="35">
        <v>2.4</v>
      </c>
      <c r="U70" s="35">
        <v>1.25</v>
      </c>
      <c r="V70" s="35">
        <v>3.287671232876712E-2</v>
      </c>
      <c r="W70" s="9" t="s">
        <v>154</v>
      </c>
      <c r="X70" s="15">
        <v>69</v>
      </c>
      <c r="Y70" s="39">
        <v>0.50192066649518674</v>
      </c>
      <c r="Z70" s="39">
        <v>0.46947844293316887</v>
      </c>
      <c r="AA70" s="39">
        <v>0.49162330519083153</v>
      </c>
      <c r="AB70" s="39">
        <v>0.48156212654312935</v>
      </c>
      <c r="AC70" s="39">
        <v>0.49199875839313445</v>
      </c>
      <c r="AD70" s="39">
        <v>0.46175874011594703</v>
      </c>
      <c r="AE70" s="39">
        <v>0.4853422763552479</v>
      </c>
      <c r="AF70" s="40">
        <v>0.47639809286173912</v>
      </c>
    </row>
    <row r="71" spans="1:32">
      <c r="A71" s="15">
        <v>69</v>
      </c>
      <c r="B71" s="16">
        <v>0</v>
      </c>
      <c r="C71" s="20">
        <v>0.42</v>
      </c>
      <c r="D71" s="20">
        <v>0.57322994749200551</v>
      </c>
      <c r="E71" s="20">
        <v>0.25</v>
      </c>
      <c r="F71" s="8" t="s">
        <v>436</v>
      </c>
      <c r="G71" s="24">
        <v>0.76581031735439309</v>
      </c>
      <c r="H71" s="24">
        <v>0.77024416361335635</v>
      </c>
      <c r="I71" s="25">
        <v>0.78371468277561873</v>
      </c>
      <c r="L71" s="15">
        <v>69</v>
      </c>
      <c r="M71" s="16">
        <v>0</v>
      </c>
      <c r="N71" s="16">
        <v>0</v>
      </c>
      <c r="O71" s="16">
        <v>3</v>
      </c>
      <c r="P71" s="16">
        <v>41</v>
      </c>
      <c r="Q71" s="29">
        <v>73</v>
      </c>
      <c r="R71" s="20">
        <v>0.53579999999999994</v>
      </c>
      <c r="S71" s="32">
        <v>39.113399999999999</v>
      </c>
      <c r="T71" s="35">
        <v>4.66</v>
      </c>
      <c r="U71" s="35">
        <v>3.63</v>
      </c>
      <c r="V71" s="35">
        <v>6.3835616438356169E-2</v>
      </c>
      <c r="W71" s="9" t="s">
        <v>155</v>
      </c>
      <c r="X71" s="15">
        <v>70</v>
      </c>
      <c r="Y71" s="39">
        <v>0.50941473348443667</v>
      </c>
      <c r="Z71" s="39">
        <v>0.48311874360735313</v>
      </c>
      <c r="AA71" s="39">
        <v>0.49347647828729413</v>
      </c>
      <c r="AB71" s="39">
        <v>0.49777875560197166</v>
      </c>
      <c r="AC71" s="39">
        <v>0.50210234402204756</v>
      </c>
      <c r="AD71" s="39">
        <v>0.47702425207934096</v>
      </c>
      <c r="AE71" s="39">
        <v>0.4838444699587659</v>
      </c>
      <c r="AF71" s="40">
        <v>0.49184047046729912</v>
      </c>
    </row>
    <row r="72" spans="1:32">
      <c r="A72" s="15">
        <v>70</v>
      </c>
      <c r="B72" s="16">
        <v>0</v>
      </c>
      <c r="C72" s="20">
        <v>0.02</v>
      </c>
      <c r="D72" s="20">
        <v>0.99917029198757767</v>
      </c>
      <c r="E72" s="20">
        <v>1</v>
      </c>
      <c r="F72" s="8" t="s">
        <v>436</v>
      </c>
      <c r="G72" s="24">
        <v>0.91852308105862457</v>
      </c>
      <c r="H72" s="24">
        <v>0.92384109523841851</v>
      </c>
      <c r="I72" s="25">
        <v>0.93999781509970848</v>
      </c>
      <c r="L72" s="15">
        <v>70</v>
      </c>
      <c r="M72" s="16">
        <v>0</v>
      </c>
      <c r="N72" s="16">
        <v>0</v>
      </c>
      <c r="O72" s="16">
        <v>3</v>
      </c>
      <c r="P72" s="16">
        <v>42</v>
      </c>
      <c r="Q72" s="29">
        <v>75</v>
      </c>
      <c r="R72" s="20">
        <v>0.53579999999999994</v>
      </c>
      <c r="S72" s="32">
        <v>40.184999999999995</v>
      </c>
      <c r="T72" s="35">
        <v>1.86</v>
      </c>
      <c r="U72" s="35">
        <v>0.81</v>
      </c>
      <c r="V72" s="35">
        <v>2.4800000000000003E-2</v>
      </c>
      <c r="W72" s="9" t="s">
        <v>153</v>
      </c>
      <c r="X72" s="15">
        <v>71</v>
      </c>
      <c r="Y72" s="39">
        <v>0.49676033540657477</v>
      </c>
      <c r="Z72" s="39">
        <v>0.48139883768339931</v>
      </c>
      <c r="AA72" s="39">
        <v>0.48812487377051339</v>
      </c>
      <c r="AB72" s="39">
        <v>0.47250541166735183</v>
      </c>
      <c r="AC72" s="39">
        <v>0.4912566182756169</v>
      </c>
      <c r="AD72" s="39">
        <v>0.47400734602532879</v>
      </c>
      <c r="AE72" s="39">
        <v>0.48308562509642894</v>
      </c>
      <c r="AF72" s="40">
        <v>0.46746113645899334</v>
      </c>
    </row>
    <row r="73" spans="1:32">
      <c r="A73" s="15">
        <v>71</v>
      </c>
      <c r="B73" s="16">
        <v>1</v>
      </c>
      <c r="C73" s="20">
        <v>0.02</v>
      </c>
      <c r="D73" s="20">
        <v>0.99835916395484214</v>
      </c>
      <c r="E73" s="20">
        <v>1</v>
      </c>
      <c r="F73" s="8" t="s">
        <v>436</v>
      </c>
      <c r="G73" s="24">
        <v>0.95019244471498765</v>
      </c>
      <c r="H73" s="24">
        <v>0.95569381642652218</v>
      </c>
      <c r="I73" s="25">
        <v>0.97240759690755341</v>
      </c>
      <c r="L73" s="15">
        <v>71</v>
      </c>
      <c r="M73" s="16">
        <v>0</v>
      </c>
      <c r="N73" s="16">
        <v>0</v>
      </c>
      <c r="O73" s="16">
        <v>3</v>
      </c>
      <c r="P73" s="16">
        <v>43</v>
      </c>
      <c r="Q73" s="29">
        <v>66</v>
      </c>
      <c r="R73" s="20">
        <v>0.53579999999999994</v>
      </c>
      <c r="S73" s="32">
        <v>35.362799999999993</v>
      </c>
      <c r="T73" s="35">
        <v>2.23</v>
      </c>
      <c r="U73" s="35">
        <v>1.47</v>
      </c>
      <c r="V73" s="35">
        <v>3.378787878787879E-2</v>
      </c>
      <c r="W73" s="9" t="s">
        <v>154</v>
      </c>
      <c r="X73" s="15">
        <v>72</v>
      </c>
      <c r="Y73" s="39">
        <v>0.46718415415343817</v>
      </c>
      <c r="Z73" s="39">
        <v>0.47271281851768138</v>
      </c>
      <c r="AA73" s="39">
        <v>0.48698728000396801</v>
      </c>
      <c r="AB73" s="39">
        <v>0.47603550454355725</v>
      </c>
      <c r="AC73" s="39">
        <v>0.46070468086312272</v>
      </c>
      <c r="AD73" s="39">
        <v>0.46861917239648093</v>
      </c>
      <c r="AE73" s="39">
        <v>0.48156328848334273</v>
      </c>
      <c r="AF73" s="40">
        <v>0.4737702958935085</v>
      </c>
    </row>
    <row r="74" spans="1:32">
      <c r="A74" s="15">
        <v>72</v>
      </c>
      <c r="B74" s="16">
        <v>0</v>
      </c>
      <c r="C74" s="20">
        <v>0.16</v>
      </c>
      <c r="D74" s="20">
        <v>0.8745648705528507</v>
      </c>
      <c r="E74" s="20">
        <v>7.0000000000000007E-2</v>
      </c>
      <c r="F74" s="8" t="s">
        <v>436</v>
      </c>
      <c r="G74" s="24">
        <v>0.96532717556871761</v>
      </c>
      <c r="H74" s="24">
        <v>0.97091617350864767</v>
      </c>
      <c r="I74" s="25">
        <v>0.98789617223897752</v>
      </c>
      <c r="L74" s="15">
        <v>72</v>
      </c>
      <c r="M74" s="16">
        <v>0</v>
      </c>
      <c r="N74" s="16">
        <v>0</v>
      </c>
      <c r="O74" s="16">
        <v>3</v>
      </c>
      <c r="P74" s="16">
        <v>44</v>
      </c>
      <c r="Q74" s="29">
        <v>53</v>
      </c>
      <c r="R74" s="20">
        <v>0.53579999999999994</v>
      </c>
      <c r="S74" s="32">
        <v>28.397399999999998</v>
      </c>
      <c r="T74" s="35">
        <v>1.32</v>
      </c>
      <c r="U74" s="35">
        <v>0.66</v>
      </c>
      <c r="V74" s="35">
        <v>2.4905660377358491E-2</v>
      </c>
      <c r="W74" s="9" t="s">
        <v>153</v>
      </c>
      <c r="X74" s="15">
        <v>73</v>
      </c>
      <c r="Y74" s="39">
        <v>0.49625689294028125</v>
      </c>
      <c r="Z74" s="39">
        <v>0.48396474335326262</v>
      </c>
      <c r="AA74" s="39">
        <v>0.48152689225654144</v>
      </c>
      <c r="AB74" s="39">
        <v>0.50461880236532586</v>
      </c>
      <c r="AC74" s="39">
        <v>0.49021230647499514</v>
      </c>
      <c r="AD74" s="39">
        <v>0.47798756188178371</v>
      </c>
      <c r="AE74" s="39">
        <v>0.47803617559157158</v>
      </c>
      <c r="AF74" s="40">
        <v>0.50034444150835644</v>
      </c>
    </row>
    <row r="75" spans="1:32">
      <c r="A75" s="15">
        <v>73</v>
      </c>
      <c r="B75" s="16">
        <v>1</v>
      </c>
      <c r="C75" s="20">
        <v>0.47</v>
      </c>
      <c r="D75" s="20">
        <v>0.59659469075194915</v>
      </c>
      <c r="E75" s="20">
        <v>0.06</v>
      </c>
      <c r="F75" s="8" t="s">
        <v>436</v>
      </c>
      <c r="G75" s="24">
        <v>0.8423594145521075</v>
      </c>
      <c r="H75" s="24">
        <v>0.84723646054414514</v>
      </c>
      <c r="I75" s="25">
        <v>0.86205346989763143</v>
      </c>
      <c r="L75" s="15">
        <v>73</v>
      </c>
      <c r="M75" s="16">
        <v>0</v>
      </c>
      <c r="N75" s="16">
        <v>0</v>
      </c>
      <c r="O75" s="16">
        <v>3</v>
      </c>
      <c r="P75" s="16">
        <v>45</v>
      </c>
      <c r="Q75" s="29">
        <v>68</v>
      </c>
      <c r="R75" s="20">
        <v>0.53579999999999994</v>
      </c>
      <c r="S75" s="32">
        <v>36.434399999999997</v>
      </c>
      <c r="T75" s="35">
        <v>1.1300000000000001</v>
      </c>
      <c r="U75" s="35">
        <v>0.12</v>
      </c>
      <c r="V75" s="35">
        <v>1.6617647058823532E-2</v>
      </c>
      <c r="W75" s="9" t="s">
        <v>153</v>
      </c>
      <c r="X75" s="15">
        <v>74</v>
      </c>
      <c r="Y75" s="39">
        <v>0.47296309451170676</v>
      </c>
      <c r="Z75" s="39">
        <v>0.48450403888926319</v>
      </c>
      <c r="AA75" s="39">
        <v>0.48876643302210632</v>
      </c>
      <c r="AB75" s="39">
        <v>0.49273464883553675</v>
      </c>
      <c r="AC75" s="39">
        <v>0.46582538290776893</v>
      </c>
      <c r="AD75" s="39">
        <v>0.47439222753804655</v>
      </c>
      <c r="AE75" s="39">
        <v>0.4814256569932211</v>
      </c>
      <c r="AF75" s="40">
        <v>0.48860379128805648</v>
      </c>
    </row>
    <row r="76" spans="1:32">
      <c r="A76" s="15">
        <v>74</v>
      </c>
      <c r="B76" s="16">
        <v>0</v>
      </c>
      <c r="C76" s="20">
        <v>0.61</v>
      </c>
      <c r="D76" s="20">
        <v>0.44921808160814558</v>
      </c>
      <c r="E76" s="20">
        <v>0.09</v>
      </c>
      <c r="F76" s="8" t="s">
        <v>438</v>
      </c>
      <c r="G76" s="24">
        <v>0.90761619877661714</v>
      </c>
      <c r="H76" s="24">
        <v>0.91287106489205738</v>
      </c>
      <c r="I76" s="25">
        <v>0.9288359338949157</v>
      </c>
      <c r="L76" s="15">
        <v>74</v>
      </c>
      <c r="M76" s="16">
        <v>0</v>
      </c>
      <c r="N76" s="16">
        <v>0</v>
      </c>
      <c r="O76" s="16">
        <v>3</v>
      </c>
      <c r="P76" s="16">
        <v>46</v>
      </c>
      <c r="Q76" s="29">
        <v>67</v>
      </c>
      <c r="R76" s="20">
        <v>0.53579999999999994</v>
      </c>
      <c r="S76" s="32">
        <v>35.898599999999995</v>
      </c>
      <c r="T76" s="35">
        <v>1.99</v>
      </c>
      <c r="U76" s="35">
        <v>1.22</v>
      </c>
      <c r="V76" s="35">
        <v>2.9701492537313433E-2</v>
      </c>
      <c r="W76" s="9" t="s">
        <v>153</v>
      </c>
      <c r="X76" s="15">
        <v>75</v>
      </c>
      <c r="Y76" s="39">
        <v>0.49638327261902476</v>
      </c>
      <c r="Z76" s="39">
        <v>0.48135936644009764</v>
      </c>
      <c r="AA76" s="39">
        <v>0.47373974602001145</v>
      </c>
      <c r="AB76" s="39">
        <v>0.49932170322239117</v>
      </c>
      <c r="AC76" s="39">
        <v>0.49166121364031867</v>
      </c>
      <c r="AD76" s="39">
        <v>0.47267600953015226</v>
      </c>
      <c r="AE76" s="39">
        <v>0.466032112666877</v>
      </c>
      <c r="AF76" s="40">
        <v>0.49378134066137153</v>
      </c>
    </row>
    <row r="77" spans="1:32">
      <c r="A77" s="15">
        <v>75</v>
      </c>
      <c r="B77" s="16">
        <v>1</v>
      </c>
      <c r="C77" s="20">
        <v>0.02</v>
      </c>
      <c r="D77" s="20">
        <v>0.99679477127711513</v>
      </c>
      <c r="E77" s="20">
        <v>1</v>
      </c>
      <c r="F77" s="8" t="s">
        <v>436</v>
      </c>
      <c r="G77" s="24">
        <v>1.0052593961125542</v>
      </c>
      <c r="H77" s="24">
        <v>1.0110795914164505</v>
      </c>
      <c r="I77" s="25">
        <v>1.0287619935093855</v>
      </c>
      <c r="L77" s="15">
        <v>75</v>
      </c>
      <c r="M77" s="16">
        <v>0</v>
      </c>
      <c r="N77" s="16">
        <v>0</v>
      </c>
      <c r="O77" s="16">
        <v>3</v>
      </c>
      <c r="P77" s="16">
        <v>47</v>
      </c>
      <c r="Q77" s="29">
        <v>91</v>
      </c>
      <c r="R77" s="20">
        <v>0.53579999999999994</v>
      </c>
      <c r="S77" s="32">
        <v>48.757799999999996</v>
      </c>
      <c r="T77" s="35">
        <v>4.05</v>
      </c>
      <c r="U77" s="35">
        <v>2.77</v>
      </c>
      <c r="V77" s="35">
        <v>4.4505494505494507E-2</v>
      </c>
      <c r="W77" s="9" t="s">
        <v>155</v>
      </c>
      <c r="X77" s="15">
        <v>76</v>
      </c>
      <c r="Y77" s="39">
        <v>0.48612858427293082</v>
      </c>
      <c r="Z77" s="39">
        <v>0.47557588378629373</v>
      </c>
      <c r="AA77" s="39">
        <v>0.46504652888708498</v>
      </c>
      <c r="AB77" s="39">
        <v>0.49254042257050312</v>
      </c>
      <c r="AC77" s="39">
        <v>0.48040330767091227</v>
      </c>
      <c r="AD77" s="39">
        <v>0.46706270599889804</v>
      </c>
      <c r="AE77" s="39">
        <v>0.45910229399524072</v>
      </c>
      <c r="AF77" s="40">
        <v>0.48819055970919029</v>
      </c>
    </row>
    <row r="78" spans="1:32">
      <c r="A78" s="15">
        <v>76</v>
      </c>
      <c r="B78" s="16">
        <v>0</v>
      </c>
      <c r="C78" s="20">
        <v>0.5</v>
      </c>
      <c r="D78" s="20">
        <v>0.46961182037055549</v>
      </c>
      <c r="E78" s="20">
        <v>7.0000000000000007E-2</v>
      </c>
      <c r="F78" s="8" t="s">
        <v>438</v>
      </c>
      <c r="G78" s="24">
        <v>1.1593961706897453</v>
      </c>
      <c r="H78" s="24">
        <v>1.1661087785739379</v>
      </c>
      <c r="I78" s="25">
        <v>1.1865024295603641</v>
      </c>
      <c r="L78" s="15">
        <v>76</v>
      </c>
      <c r="M78" s="16">
        <v>0</v>
      </c>
      <c r="N78" s="16">
        <v>0</v>
      </c>
      <c r="O78" s="16">
        <v>3</v>
      </c>
      <c r="P78" s="16">
        <v>48</v>
      </c>
      <c r="Q78" s="29">
        <v>52</v>
      </c>
      <c r="R78" s="20">
        <v>0.53579999999999994</v>
      </c>
      <c r="S78" s="32">
        <v>27.861599999999996</v>
      </c>
      <c r="T78" s="35">
        <v>0.84</v>
      </c>
      <c r="U78" s="35">
        <v>0.05</v>
      </c>
      <c r="V78" s="35">
        <v>1.6153846153846154E-2</v>
      </c>
      <c r="W78" s="9" t="s">
        <v>152</v>
      </c>
      <c r="X78" s="15">
        <v>77</v>
      </c>
      <c r="Y78" s="39">
        <v>0.49411476407334753</v>
      </c>
      <c r="Z78" s="39">
        <v>0.49559016453846749</v>
      </c>
      <c r="AA78" s="39">
        <v>0.47059089051915859</v>
      </c>
      <c r="AB78" s="39">
        <v>0.48952535559668503</v>
      </c>
      <c r="AC78" s="39">
        <v>0.48774554043578106</v>
      </c>
      <c r="AD78" s="39">
        <v>0.48737550304074606</v>
      </c>
      <c r="AE78" s="39">
        <v>0.46376259062955055</v>
      </c>
      <c r="AF78" s="40">
        <v>0.48546412504109621</v>
      </c>
    </row>
    <row r="79" spans="1:32">
      <c r="A79" s="15">
        <v>77</v>
      </c>
      <c r="B79" s="16">
        <v>1</v>
      </c>
      <c r="C79" s="20">
        <v>0.02</v>
      </c>
      <c r="D79" s="20">
        <v>0.99531127541355291</v>
      </c>
      <c r="E79" s="20">
        <v>1</v>
      </c>
      <c r="F79" s="8" t="s">
        <v>436</v>
      </c>
      <c r="G79" s="24">
        <v>1.0921734346003102</v>
      </c>
      <c r="H79" s="24">
        <v>1.0984968400016255</v>
      </c>
      <c r="I79" s="25">
        <v>1.117708050461838</v>
      </c>
      <c r="L79" s="15">
        <v>77</v>
      </c>
      <c r="M79" s="16">
        <v>0</v>
      </c>
      <c r="N79" s="16">
        <v>0</v>
      </c>
      <c r="O79" s="16">
        <v>3</v>
      </c>
      <c r="P79" s="16">
        <v>49</v>
      </c>
      <c r="Q79" s="29">
        <v>59</v>
      </c>
      <c r="R79" s="20">
        <v>0.53579999999999994</v>
      </c>
      <c r="S79" s="32">
        <v>31.612199999999998</v>
      </c>
      <c r="T79" s="35">
        <v>2.91</v>
      </c>
      <c r="U79" s="35">
        <v>1.94</v>
      </c>
      <c r="V79" s="35">
        <v>4.9322033898305084E-2</v>
      </c>
      <c r="W79" s="9" t="s">
        <v>154</v>
      </c>
      <c r="X79" s="15">
        <v>78</v>
      </c>
      <c r="Y79" s="39">
        <v>0.49114720696640068</v>
      </c>
      <c r="Z79" s="39">
        <v>0.48695933940186109</v>
      </c>
      <c r="AA79" s="39">
        <v>0.47179755972419296</v>
      </c>
      <c r="AB79" s="39">
        <v>0.48405316502313417</v>
      </c>
      <c r="AC79" s="39">
        <v>0.48445345187300448</v>
      </c>
      <c r="AD79" s="39">
        <v>0.48054271391637959</v>
      </c>
      <c r="AE79" s="39">
        <v>0.46430910199547387</v>
      </c>
      <c r="AF79" s="40">
        <v>0.47898892814333582</v>
      </c>
    </row>
    <row r="80" spans="1:32">
      <c r="A80" s="15">
        <v>78</v>
      </c>
      <c r="B80" s="16">
        <v>0</v>
      </c>
      <c r="C80" s="20">
        <v>0.96</v>
      </c>
      <c r="D80" s="20">
        <v>0.13880369068795359</v>
      </c>
      <c r="E80" s="20">
        <v>0.04</v>
      </c>
      <c r="F80" s="8" t="s">
        <v>434</v>
      </c>
      <c r="G80" s="24">
        <v>0.70287594904677775</v>
      </c>
      <c r="H80" s="24">
        <v>0.70694542137768412</v>
      </c>
      <c r="I80" s="25">
        <v>0.71930893193084167</v>
      </c>
      <c r="L80" s="15">
        <v>78</v>
      </c>
      <c r="M80" s="16">
        <v>0</v>
      </c>
      <c r="N80" s="16">
        <v>0</v>
      </c>
      <c r="O80" s="16">
        <v>3</v>
      </c>
      <c r="P80" s="16">
        <v>50</v>
      </c>
      <c r="Q80" s="29">
        <v>77</v>
      </c>
      <c r="R80" s="20">
        <v>0.53579999999999994</v>
      </c>
      <c r="S80" s="32">
        <v>41.256599999999999</v>
      </c>
      <c r="T80" s="35">
        <v>1.61</v>
      </c>
      <c r="U80" s="35">
        <v>0.49</v>
      </c>
      <c r="V80" s="35">
        <v>2.0909090909090912E-2</v>
      </c>
      <c r="W80" s="9" t="s">
        <v>153</v>
      </c>
      <c r="X80" s="15">
        <v>79</v>
      </c>
      <c r="Y80" s="39">
        <v>0.48193170795830553</v>
      </c>
      <c r="Z80" s="39">
        <v>0.47811472949009293</v>
      </c>
      <c r="AA80" s="39">
        <v>0.48283810418030876</v>
      </c>
      <c r="AB80" s="39">
        <v>0.47605578734820708</v>
      </c>
      <c r="AC80" s="39">
        <v>0.47643068993341747</v>
      </c>
      <c r="AD80" s="39">
        <v>0.47195642485781841</v>
      </c>
      <c r="AE80" s="39">
        <v>0.47467239633879665</v>
      </c>
      <c r="AF80" s="40">
        <v>0.47341482940372254</v>
      </c>
    </row>
    <row r="81" spans="1:32">
      <c r="A81" s="15">
        <v>79</v>
      </c>
      <c r="B81" s="16">
        <v>0</v>
      </c>
      <c r="C81" s="20">
        <v>0.02</v>
      </c>
      <c r="D81" s="20">
        <v>0.99835916395484214</v>
      </c>
      <c r="E81" s="20">
        <v>1</v>
      </c>
      <c r="F81" s="8" t="s">
        <v>436</v>
      </c>
      <c r="G81" s="24">
        <v>1.0891320809880833</v>
      </c>
      <c r="H81" s="24">
        <v>1.0954378777283107</v>
      </c>
      <c r="I81" s="25">
        <v>1.1145955911133543</v>
      </c>
      <c r="L81" s="15">
        <v>79</v>
      </c>
      <c r="M81" s="16">
        <v>0</v>
      </c>
      <c r="N81" s="16">
        <v>0</v>
      </c>
      <c r="O81" s="16">
        <v>3</v>
      </c>
      <c r="P81" s="16">
        <v>51</v>
      </c>
      <c r="Q81" s="29">
        <v>67</v>
      </c>
      <c r="R81" s="20">
        <v>0.53579999999999994</v>
      </c>
      <c r="S81" s="32">
        <v>35.898599999999995</v>
      </c>
      <c r="T81" s="35">
        <v>2.5099999999999998</v>
      </c>
      <c r="U81" s="35">
        <v>1.46</v>
      </c>
      <c r="V81" s="35">
        <v>3.7462686567164179E-2</v>
      </c>
      <c r="W81" s="9" t="s">
        <v>154</v>
      </c>
      <c r="X81" s="15">
        <v>80</v>
      </c>
      <c r="Y81" s="39">
        <v>0.4649823920882829</v>
      </c>
      <c r="Z81" s="39">
        <v>0.49593490393956535</v>
      </c>
      <c r="AA81" s="39">
        <v>0.48677766425479452</v>
      </c>
      <c r="AB81" s="39">
        <v>0.49335600721964912</v>
      </c>
      <c r="AC81" s="39">
        <v>0.45800697510550531</v>
      </c>
      <c r="AD81" s="39">
        <v>0.49035922590680281</v>
      </c>
      <c r="AE81" s="39">
        <v>0.47750041147413791</v>
      </c>
      <c r="AF81" s="40">
        <v>0.48960043285882016</v>
      </c>
    </row>
    <row r="82" spans="1:32">
      <c r="A82" s="15">
        <v>80</v>
      </c>
      <c r="B82" s="16">
        <v>0</v>
      </c>
      <c r="C82" s="20">
        <v>0.26</v>
      </c>
      <c r="D82" s="20">
        <v>0.68528667705500002</v>
      </c>
      <c r="E82" s="20">
        <v>0.1</v>
      </c>
      <c r="F82" s="8" t="s">
        <v>436</v>
      </c>
      <c r="G82" s="24">
        <v>0.87885253236478766</v>
      </c>
      <c r="H82" s="24">
        <v>0.88394086419383344</v>
      </c>
      <c r="I82" s="25">
        <v>0.89939978347154825</v>
      </c>
      <c r="L82" s="15">
        <v>80</v>
      </c>
      <c r="M82" s="16">
        <v>0</v>
      </c>
      <c r="N82" s="16">
        <v>0</v>
      </c>
      <c r="O82" s="16">
        <v>3</v>
      </c>
      <c r="P82" s="16">
        <v>52</v>
      </c>
      <c r="Q82" s="29">
        <v>65</v>
      </c>
      <c r="R82" s="20">
        <v>0.53579999999999994</v>
      </c>
      <c r="S82" s="32">
        <v>34.826999999999998</v>
      </c>
      <c r="T82" s="35">
        <v>2.4</v>
      </c>
      <c r="U82" s="35">
        <v>1.45</v>
      </c>
      <c r="V82" s="35">
        <v>3.692307692307692E-2</v>
      </c>
      <c r="W82" s="9" t="s">
        <v>154</v>
      </c>
      <c r="X82" s="15">
        <v>81</v>
      </c>
      <c r="Y82" s="39">
        <v>0.47309686653720179</v>
      </c>
      <c r="Z82" s="39">
        <v>0.50182163229446064</v>
      </c>
      <c r="AA82" s="39">
        <v>0.48332596915960163</v>
      </c>
      <c r="AB82" s="39">
        <v>0.4957094969628279</v>
      </c>
      <c r="AC82" s="39">
        <v>0.46323693944205729</v>
      </c>
      <c r="AD82" s="39">
        <v>0.49176953077046781</v>
      </c>
      <c r="AE82" s="39">
        <v>0.4767690695206373</v>
      </c>
      <c r="AF82" s="40">
        <v>0.49229256985973913</v>
      </c>
    </row>
    <row r="83" spans="1:32">
      <c r="A83" s="15">
        <v>81</v>
      </c>
      <c r="B83" s="16">
        <v>1</v>
      </c>
      <c r="C83" s="20">
        <v>0.18</v>
      </c>
      <c r="D83" s="20">
        <v>0.7939174611568931</v>
      </c>
      <c r="E83" s="20">
        <v>0.42</v>
      </c>
      <c r="F83" s="8" t="s">
        <v>436</v>
      </c>
      <c r="G83" s="24">
        <v>1.1720602740933868</v>
      </c>
      <c r="H83" s="24">
        <v>1.178846203903684</v>
      </c>
      <c r="I83" s="25">
        <v>1.1994626150745917</v>
      </c>
      <c r="L83" s="15">
        <v>81</v>
      </c>
      <c r="M83" s="16">
        <v>0</v>
      </c>
      <c r="N83" s="16">
        <v>0</v>
      </c>
      <c r="O83" s="16">
        <v>3</v>
      </c>
      <c r="P83" s="16">
        <v>53</v>
      </c>
      <c r="Q83" s="29">
        <v>69</v>
      </c>
      <c r="R83" s="20">
        <v>0.53579999999999994</v>
      </c>
      <c r="S83" s="32">
        <v>36.970199999999998</v>
      </c>
      <c r="T83" s="35">
        <v>1.1700000000000002</v>
      </c>
      <c r="U83" s="35">
        <v>0.28999999999999998</v>
      </c>
      <c r="V83" s="35">
        <v>1.6956521739130436E-2</v>
      </c>
      <c r="W83" s="9" t="s">
        <v>153</v>
      </c>
      <c r="X83" s="15">
        <v>82</v>
      </c>
      <c r="Y83" s="39">
        <v>0.48557942328737319</v>
      </c>
      <c r="Z83" s="39">
        <v>0.48334259442580685</v>
      </c>
      <c r="AA83" s="39">
        <v>0.48664848374621517</v>
      </c>
      <c r="AB83" s="39">
        <v>0.49572356596427575</v>
      </c>
      <c r="AC83" s="39">
        <v>0.47940639103783861</v>
      </c>
      <c r="AD83" s="39">
        <v>0.47740744520480566</v>
      </c>
      <c r="AE83" s="39">
        <v>0.48052050007814767</v>
      </c>
      <c r="AF83" s="40">
        <v>0.49077649427714015</v>
      </c>
    </row>
    <row r="84" spans="1:32">
      <c r="A84" s="15">
        <v>82</v>
      </c>
      <c r="B84" s="16">
        <v>0</v>
      </c>
      <c r="C84" s="20">
        <v>0.91</v>
      </c>
      <c r="D84" s="20">
        <v>0.21727233298780477</v>
      </c>
      <c r="E84" s="20">
        <v>0.09</v>
      </c>
      <c r="F84" s="8" t="s">
        <v>434</v>
      </c>
      <c r="G84" s="24">
        <v>0.70157620665578102</v>
      </c>
      <c r="H84" s="24">
        <v>0.70563815381001194</v>
      </c>
      <c r="I84" s="25">
        <v>0.71797880203762077</v>
      </c>
      <c r="L84" s="15">
        <v>82</v>
      </c>
      <c r="M84" s="16">
        <v>0</v>
      </c>
      <c r="N84" s="16">
        <v>0</v>
      </c>
      <c r="O84" s="16">
        <v>3</v>
      </c>
      <c r="P84" s="16">
        <v>54</v>
      </c>
      <c r="Q84" s="29">
        <v>77</v>
      </c>
      <c r="R84" s="20">
        <v>0.53579999999999994</v>
      </c>
      <c r="S84" s="32">
        <v>41.256599999999999</v>
      </c>
      <c r="T84" s="35">
        <v>2.91</v>
      </c>
      <c r="U84" s="35">
        <v>1.78</v>
      </c>
      <c r="V84" s="35">
        <v>3.7792207792207794E-2</v>
      </c>
      <c r="W84" s="9" t="s">
        <v>154</v>
      </c>
      <c r="X84" s="15">
        <v>83</v>
      </c>
      <c r="Y84" s="39">
        <v>0.47603714664356506</v>
      </c>
      <c r="Z84" s="39">
        <v>0.48081183467975208</v>
      </c>
      <c r="AA84" s="39">
        <v>0.48828437952862713</v>
      </c>
      <c r="AB84" s="39">
        <v>0.48843895260586656</v>
      </c>
      <c r="AC84" s="39">
        <v>0.47026423544492219</v>
      </c>
      <c r="AD84" s="39">
        <v>0.47282449724486281</v>
      </c>
      <c r="AE84" s="39">
        <v>0.47855757948709299</v>
      </c>
      <c r="AF84" s="40">
        <v>0.48311824247742918</v>
      </c>
    </row>
    <row r="85" spans="1:32">
      <c r="A85" s="15">
        <v>83</v>
      </c>
      <c r="B85" s="16">
        <v>1</v>
      </c>
      <c r="C85" s="20">
        <v>0.1</v>
      </c>
      <c r="D85" s="20">
        <v>0.92678960393697862</v>
      </c>
      <c r="E85" s="20">
        <v>0.52</v>
      </c>
      <c r="F85" s="8" t="s">
        <v>436</v>
      </c>
      <c r="G85" s="24">
        <v>0.96092229451961475</v>
      </c>
      <c r="H85" s="24">
        <v>0.96648578932264773</v>
      </c>
      <c r="I85" s="25">
        <v>0.98338830668032584</v>
      </c>
      <c r="L85" s="15">
        <v>83</v>
      </c>
      <c r="M85" s="16">
        <v>0</v>
      </c>
      <c r="N85" s="16">
        <v>0</v>
      </c>
      <c r="O85" s="16">
        <v>3</v>
      </c>
      <c r="P85" s="16">
        <v>55</v>
      </c>
      <c r="Q85" s="29">
        <v>62</v>
      </c>
      <c r="R85" s="20">
        <v>0.53579999999999994</v>
      </c>
      <c r="S85" s="32">
        <v>33.2196</v>
      </c>
      <c r="T85" s="35">
        <v>3.33</v>
      </c>
      <c r="U85" s="35">
        <v>2.52</v>
      </c>
      <c r="V85" s="35">
        <v>5.370967741935484E-2</v>
      </c>
      <c r="W85" s="9" t="s">
        <v>155</v>
      </c>
      <c r="X85" s="15">
        <v>84</v>
      </c>
      <c r="Y85" s="39">
        <v>0.47991702387925855</v>
      </c>
      <c r="Z85" s="39">
        <v>0.49409058855358373</v>
      </c>
      <c r="AA85" s="39">
        <v>0.48395878296549383</v>
      </c>
      <c r="AB85" s="39">
        <v>0.47451774509623351</v>
      </c>
      <c r="AC85" s="39">
        <v>0.47391036321486535</v>
      </c>
      <c r="AD85" s="39">
        <v>0.4851905402327043</v>
      </c>
      <c r="AE85" s="39">
        <v>0.47616234664726897</v>
      </c>
      <c r="AF85" s="40">
        <v>0.46739482397298127</v>
      </c>
    </row>
    <row r="86" spans="1:32">
      <c r="A86" s="15">
        <v>84</v>
      </c>
      <c r="B86" s="16">
        <v>1</v>
      </c>
      <c r="C86" s="20">
        <v>0.92</v>
      </c>
      <c r="D86" s="20">
        <v>0.20258497911151899</v>
      </c>
      <c r="E86" s="20">
        <v>0.08</v>
      </c>
      <c r="F86" s="8" t="s">
        <v>434</v>
      </c>
      <c r="G86" s="24">
        <v>1.755071444809702</v>
      </c>
      <c r="H86" s="24">
        <v>1.7652328604807077</v>
      </c>
      <c r="I86" s="25">
        <v>1.6578926537592125</v>
      </c>
      <c r="L86" s="15">
        <v>84</v>
      </c>
      <c r="M86" s="16">
        <v>0</v>
      </c>
      <c r="N86" s="16">
        <v>0</v>
      </c>
      <c r="O86" s="16">
        <v>4</v>
      </c>
      <c r="P86" s="16">
        <v>84</v>
      </c>
      <c r="Q86" s="29">
        <v>35</v>
      </c>
      <c r="R86" s="20">
        <v>0.53579999999999994</v>
      </c>
      <c r="S86" s="32">
        <v>18.752999999999997</v>
      </c>
      <c r="T86" s="35">
        <v>1.68</v>
      </c>
      <c r="U86" s="35">
        <v>1.1399999999999999</v>
      </c>
      <c r="V86" s="35">
        <v>4.8000000000000001E-2</v>
      </c>
      <c r="W86" s="9" t="s">
        <v>153</v>
      </c>
      <c r="X86" s="15">
        <v>85</v>
      </c>
      <c r="Y86" s="39">
        <v>0.48664307290602432</v>
      </c>
      <c r="Z86" s="39">
        <v>0.48211046758928289</v>
      </c>
      <c r="AA86" s="39">
        <v>0.47876113923228281</v>
      </c>
      <c r="AB86" s="39">
        <v>0.48281351137039952</v>
      </c>
      <c r="AC86" s="39">
        <v>0.48100302731127342</v>
      </c>
      <c r="AD86" s="39">
        <v>0.4795229348598849</v>
      </c>
      <c r="AE86" s="39">
        <v>0.47222492914947461</v>
      </c>
      <c r="AF86" s="40">
        <v>0.47848761042245314</v>
      </c>
    </row>
    <row r="87" spans="1:32">
      <c r="A87" s="15">
        <v>85</v>
      </c>
      <c r="B87" s="16">
        <v>1</v>
      </c>
      <c r="C87" s="20">
        <v>0.42</v>
      </c>
      <c r="D87" s="20">
        <v>0.52067308498600728</v>
      </c>
      <c r="E87" s="20">
        <v>0.18</v>
      </c>
      <c r="F87" s="8" t="s">
        <v>436</v>
      </c>
      <c r="G87" s="24">
        <v>0.81785934289921147</v>
      </c>
      <c r="H87" s="24">
        <v>0.82259453973019603</v>
      </c>
      <c r="I87" s="25">
        <v>0.83698059552090287</v>
      </c>
      <c r="L87" s="15">
        <v>85</v>
      </c>
      <c r="M87" s="16">
        <v>0</v>
      </c>
      <c r="N87" s="16">
        <v>0</v>
      </c>
      <c r="O87" s="16">
        <v>4</v>
      </c>
      <c r="P87" s="16">
        <v>85</v>
      </c>
      <c r="Q87" s="29">
        <v>36</v>
      </c>
      <c r="R87" s="20">
        <v>0.53579999999999994</v>
      </c>
      <c r="S87" s="32">
        <v>19.288799999999998</v>
      </c>
      <c r="T87" s="35">
        <v>0.74</v>
      </c>
      <c r="U87" s="35">
        <v>0.23</v>
      </c>
      <c r="V87" s="35">
        <v>2.0555555555555556E-2</v>
      </c>
      <c r="W87" s="9" t="s">
        <v>152</v>
      </c>
      <c r="X87" s="15">
        <v>86</v>
      </c>
      <c r="Y87" s="39">
        <v>0.48516387689637214</v>
      </c>
      <c r="Z87" s="39">
        <v>0.47137059928369368</v>
      </c>
      <c r="AA87" s="39">
        <v>0.48012188110103715</v>
      </c>
      <c r="AB87" s="39">
        <v>0.49118446605707344</v>
      </c>
      <c r="AC87" s="39">
        <v>0.47879654477560868</v>
      </c>
      <c r="AD87" s="39">
        <v>0.46466414917637344</v>
      </c>
      <c r="AE87" s="39">
        <v>0.47230329754410921</v>
      </c>
      <c r="AF87" s="40">
        <v>0.48531081794126668</v>
      </c>
    </row>
    <row r="88" spans="1:32">
      <c r="A88" s="15">
        <v>86</v>
      </c>
      <c r="B88" s="16">
        <v>0</v>
      </c>
      <c r="C88" s="20">
        <v>0.88</v>
      </c>
      <c r="D88" s="20">
        <v>0.25930874124763043</v>
      </c>
      <c r="E88" s="20">
        <v>0.12</v>
      </c>
      <c r="F88" s="8" t="s">
        <v>434</v>
      </c>
      <c r="G88" s="24">
        <v>0.37223170910058651</v>
      </c>
      <c r="H88" s="24">
        <v>0.37438683568149334</v>
      </c>
      <c r="I88" s="25">
        <v>0.38093435045977847</v>
      </c>
      <c r="L88" s="15">
        <v>86</v>
      </c>
      <c r="M88" s="16">
        <v>0</v>
      </c>
      <c r="N88" s="16">
        <v>0</v>
      </c>
      <c r="O88" s="16">
        <v>4</v>
      </c>
      <c r="P88" s="16">
        <v>86</v>
      </c>
      <c r="Q88" s="29">
        <v>38</v>
      </c>
      <c r="R88" s="20">
        <v>0.53579999999999994</v>
      </c>
      <c r="S88" s="32">
        <v>20.360399999999998</v>
      </c>
      <c r="T88" s="35">
        <v>1.78</v>
      </c>
      <c r="U88" s="35">
        <v>1.2</v>
      </c>
      <c r="V88" s="35">
        <v>4.6842105263157893E-2</v>
      </c>
      <c r="W88" s="9" t="s">
        <v>153</v>
      </c>
      <c r="X88" s="15">
        <v>87</v>
      </c>
      <c r="Y88" s="39">
        <v>0.48608831839683753</v>
      </c>
      <c r="Z88" s="39">
        <v>0.489727269482162</v>
      </c>
      <c r="AA88" s="39">
        <v>0.48234998484947456</v>
      </c>
      <c r="AB88" s="39">
        <v>0.484388391888189</v>
      </c>
      <c r="AC88" s="39">
        <v>0.47737790103138689</v>
      </c>
      <c r="AD88" s="39">
        <v>0.48386557152067178</v>
      </c>
      <c r="AE88" s="39">
        <v>0.47678662033290437</v>
      </c>
      <c r="AF88" s="40">
        <v>0.47966110376042065</v>
      </c>
    </row>
    <row r="89" spans="1:32">
      <c r="A89" s="15">
        <v>87</v>
      </c>
      <c r="B89" s="16">
        <v>1</v>
      </c>
      <c r="C89" s="20">
        <v>0.88</v>
      </c>
      <c r="D89" s="20">
        <v>0.25930874124763043</v>
      </c>
      <c r="E89" s="20">
        <v>0.12</v>
      </c>
      <c r="F89" s="8" t="s">
        <v>434</v>
      </c>
      <c r="G89" s="24">
        <v>0.62812143165433343</v>
      </c>
      <c r="H89" s="24">
        <v>0.6317580944111586</v>
      </c>
      <c r="I89" s="25">
        <v>0.64280668123427376</v>
      </c>
      <c r="L89" s="15">
        <v>87</v>
      </c>
      <c r="M89" s="16">
        <v>0</v>
      </c>
      <c r="N89" s="16">
        <v>0</v>
      </c>
      <c r="O89" s="16">
        <v>4</v>
      </c>
      <c r="P89" s="16">
        <v>87</v>
      </c>
      <c r="Q89" s="29">
        <v>42</v>
      </c>
      <c r="R89" s="20">
        <v>0.53579999999999994</v>
      </c>
      <c r="S89" s="32">
        <v>22.503599999999999</v>
      </c>
      <c r="T89" s="35">
        <v>0.92</v>
      </c>
      <c r="U89" s="35">
        <v>0.3</v>
      </c>
      <c r="V89" s="35">
        <v>2.1904761904761906E-2</v>
      </c>
      <c r="W89" s="9" t="s">
        <v>152</v>
      </c>
      <c r="X89" s="15">
        <v>88</v>
      </c>
      <c r="Y89" s="39">
        <v>0.48046395266334707</v>
      </c>
      <c r="Z89" s="39">
        <v>0.48645591900193325</v>
      </c>
      <c r="AA89" s="39">
        <v>0.48808225689280443</v>
      </c>
      <c r="AB89" s="39">
        <v>0.47625270045469942</v>
      </c>
      <c r="AC89" s="39">
        <v>0.47399189900740479</v>
      </c>
      <c r="AD89" s="39">
        <v>0.47806727146204225</v>
      </c>
      <c r="AE89" s="39">
        <v>0.48095824770109552</v>
      </c>
      <c r="AF89" s="40">
        <v>0.47164900018406364</v>
      </c>
    </row>
    <row r="90" spans="1:32">
      <c r="A90" s="15">
        <v>88</v>
      </c>
      <c r="B90" s="16">
        <v>0</v>
      </c>
      <c r="C90" s="20">
        <v>0.01</v>
      </c>
      <c r="D90" s="20">
        <v>0.99999999999999978</v>
      </c>
      <c r="E90" s="20">
        <v>1</v>
      </c>
      <c r="F90" s="8" t="s">
        <v>436</v>
      </c>
      <c r="G90" s="24">
        <v>1.0673813153281109</v>
      </c>
      <c r="H90" s="24">
        <v>1.0735611806872043</v>
      </c>
      <c r="I90" s="25">
        <v>1.09233630049917</v>
      </c>
      <c r="L90" s="15">
        <v>88</v>
      </c>
      <c r="M90" s="16">
        <v>0</v>
      </c>
      <c r="N90" s="16">
        <v>0</v>
      </c>
      <c r="O90" s="16">
        <v>4</v>
      </c>
      <c r="P90" s="16">
        <v>88</v>
      </c>
      <c r="Q90" s="29">
        <v>37</v>
      </c>
      <c r="R90" s="20">
        <v>0.53579999999999994</v>
      </c>
      <c r="S90" s="32">
        <v>19.824599999999997</v>
      </c>
      <c r="T90" s="35">
        <v>1.5799999999999998</v>
      </c>
      <c r="U90" s="35">
        <v>1.05</v>
      </c>
      <c r="V90" s="35">
        <v>4.2702702702702697E-2</v>
      </c>
      <c r="W90" s="9" t="s">
        <v>153</v>
      </c>
      <c r="X90" s="15">
        <v>89</v>
      </c>
      <c r="Y90" s="39">
        <v>0.48213318135757338</v>
      </c>
      <c r="Z90" s="39">
        <v>0.49383432685225853</v>
      </c>
      <c r="AA90" s="39">
        <v>0.49476468037477189</v>
      </c>
      <c r="AB90" s="39">
        <v>0.4804888448329101</v>
      </c>
      <c r="AC90" s="39">
        <v>0.47501313914958782</v>
      </c>
      <c r="AD90" s="39">
        <v>0.48633001224563532</v>
      </c>
      <c r="AE90" s="39">
        <v>0.48709548580266732</v>
      </c>
      <c r="AF90" s="40">
        <v>0.4769586105662898</v>
      </c>
    </row>
    <row r="91" spans="1:32">
      <c r="A91" s="15">
        <v>89</v>
      </c>
      <c r="B91" s="16">
        <v>1</v>
      </c>
      <c r="C91" s="20">
        <v>0.2</v>
      </c>
      <c r="D91" s="20">
        <v>0.8279592517700286</v>
      </c>
      <c r="E91" s="20">
        <v>0.06</v>
      </c>
      <c r="F91" s="8" t="s">
        <v>436</v>
      </c>
      <c r="G91" s="24">
        <v>1.0733660103855027</v>
      </c>
      <c r="H91" s="24">
        <v>1.0795805256013427</v>
      </c>
      <c r="I91" s="25">
        <v>1.0984609155404195</v>
      </c>
      <c r="L91" s="15">
        <v>89</v>
      </c>
      <c r="M91" s="16">
        <v>0</v>
      </c>
      <c r="N91" s="16">
        <v>0</v>
      </c>
      <c r="O91" s="16">
        <v>4</v>
      </c>
      <c r="P91" s="16">
        <v>89</v>
      </c>
      <c r="Q91" s="29">
        <v>29</v>
      </c>
      <c r="R91" s="20">
        <v>0.53579999999999994</v>
      </c>
      <c r="S91" s="32">
        <v>15.538199999999998</v>
      </c>
      <c r="T91" s="35">
        <v>0.76</v>
      </c>
      <c r="U91" s="35">
        <v>0.39</v>
      </c>
      <c r="V91" s="35">
        <v>2.6206896551724139E-2</v>
      </c>
      <c r="W91" s="9" t="s">
        <v>152</v>
      </c>
      <c r="X91" s="15">
        <v>90</v>
      </c>
      <c r="Y91" s="39">
        <v>0.48240089448932422</v>
      </c>
      <c r="Z91" s="39">
        <v>0.47466745829910167</v>
      </c>
      <c r="AA91" s="39">
        <v>0.46786495211767959</v>
      </c>
      <c r="AB91" s="39">
        <v>0.47760360929757606</v>
      </c>
      <c r="AC91" s="39">
        <v>0.47620850151595645</v>
      </c>
      <c r="AD91" s="39">
        <v>0.46727798501358564</v>
      </c>
      <c r="AE91" s="39">
        <v>0.46265436551645212</v>
      </c>
      <c r="AF91" s="40">
        <v>0.4725037961155249</v>
      </c>
    </row>
    <row r="92" spans="1:32">
      <c r="A92" s="15">
        <v>90</v>
      </c>
      <c r="B92" s="16">
        <v>1</v>
      </c>
      <c r="C92" s="20">
        <v>7.0000000000000007E-2</v>
      </c>
      <c r="D92" s="20">
        <v>0.95099194839275281</v>
      </c>
      <c r="E92" s="20">
        <v>0.44</v>
      </c>
      <c r="F92" s="8" t="s">
        <v>436</v>
      </c>
      <c r="G92" s="24">
        <v>0.94655568674963486</v>
      </c>
      <c r="H92" s="24">
        <v>0.95203600256085819</v>
      </c>
      <c r="I92" s="25">
        <v>0.96868581286970634</v>
      </c>
      <c r="L92" s="15">
        <v>90</v>
      </c>
      <c r="M92" s="16">
        <v>0</v>
      </c>
      <c r="N92" s="16">
        <v>0</v>
      </c>
      <c r="O92" s="16">
        <v>4</v>
      </c>
      <c r="P92" s="16">
        <v>90</v>
      </c>
      <c r="Q92" s="29">
        <v>45</v>
      </c>
      <c r="R92" s="20">
        <v>0.53579999999999994</v>
      </c>
      <c r="S92" s="32">
        <v>24.110999999999997</v>
      </c>
      <c r="T92" s="35">
        <v>1.44</v>
      </c>
      <c r="U92" s="35">
        <v>0.88</v>
      </c>
      <c r="V92" s="35">
        <v>3.2000000000000001E-2</v>
      </c>
      <c r="W92" s="9" t="s">
        <v>153</v>
      </c>
      <c r="X92" s="15">
        <v>91</v>
      </c>
      <c r="Y92" s="39">
        <v>0.477590563554744</v>
      </c>
      <c r="Z92" s="39">
        <v>0.49144112399669421</v>
      </c>
      <c r="AA92" s="39">
        <v>0.4972884358942446</v>
      </c>
      <c r="AB92" s="39">
        <v>0.48875756106457596</v>
      </c>
      <c r="AC92" s="39">
        <v>0.47047653376873588</v>
      </c>
      <c r="AD92" s="39">
        <v>0.48880494449877715</v>
      </c>
      <c r="AE92" s="39">
        <v>0.49124029649546308</v>
      </c>
      <c r="AF92" s="40">
        <v>0.48573699296737677</v>
      </c>
    </row>
    <row r="93" spans="1:32">
      <c r="A93" s="15">
        <v>91</v>
      </c>
      <c r="B93" s="16">
        <v>0</v>
      </c>
      <c r="C93" s="20">
        <v>0.02</v>
      </c>
      <c r="D93" s="20">
        <v>0.99756714174924133</v>
      </c>
      <c r="E93" s="20">
        <v>1</v>
      </c>
      <c r="F93" s="8" t="s">
        <v>436</v>
      </c>
      <c r="G93" s="24">
        <v>0.99760535090566815</v>
      </c>
      <c r="H93" s="24">
        <v>1.003381231241566</v>
      </c>
      <c r="I93" s="25">
        <v>1.020928999522065</v>
      </c>
      <c r="L93" s="15">
        <v>91</v>
      </c>
      <c r="M93" s="16">
        <v>0</v>
      </c>
      <c r="N93" s="16">
        <v>0</v>
      </c>
      <c r="O93" s="16">
        <v>4</v>
      </c>
      <c r="P93" s="16">
        <v>91</v>
      </c>
      <c r="Q93" s="29">
        <v>31</v>
      </c>
      <c r="R93" s="20">
        <v>0.53579999999999994</v>
      </c>
      <c r="S93" s="32">
        <v>16.6098</v>
      </c>
      <c r="T93" s="35">
        <v>1.01</v>
      </c>
      <c r="U93" s="35">
        <v>0.53</v>
      </c>
      <c r="V93" s="35">
        <v>3.258064516129032E-2</v>
      </c>
      <c r="W93" s="9" t="s">
        <v>153</v>
      </c>
      <c r="X93" s="15">
        <v>92</v>
      </c>
      <c r="Y93" s="39">
        <v>0.49381067533518042</v>
      </c>
      <c r="Z93" s="39">
        <v>0.48258926932353524</v>
      </c>
      <c r="AA93" s="39">
        <v>0.4791391356559585</v>
      </c>
      <c r="AB93" s="39">
        <v>0.48918257014352556</v>
      </c>
      <c r="AC93" s="39">
        <v>0.49053591215627451</v>
      </c>
      <c r="AD93" s="39">
        <v>0.47708364584940399</v>
      </c>
      <c r="AE93" s="39">
        <v>0.47103885613968083</v>
      </c>
      <c r="AF93" s="40">
        <v>0.48228595610262404</v>
      </c>
    </row>
    <row r="94" spans="1:32">
      <c r="A94" s="15">
        <v>92</v>
      </c>
      <c r="B94" s="16">
        <v>0</v>
      </c>
      <c r="C94" s="20">
        <v>0.43</v>
      </c>
      <c r="D94" s="20">
        <v>0.61293535277008393</v>
      </c>
      <c r="E94" s="20">
        <v>0.05</v>
      </c>
      <c r="F94" s="8" t="s">
        <v>436</v>
      </c>
      <c r="G94" s="24">
        <v>1.0691721989010221</v>
      </c>
      <c r="H94" s="24">
        <v>1.0753624330188671</v>
      </c>
      <c r="I94" s="25">
        <v>1.0941690542756939</v>
      </c>
      <c r="L94" s="15">
        <v>92</v>
      </c>
      <c r="M94" s="16">
        <v>0</v>
      </c>
      <c r="N94" s="16">
        <v>0</v>
      </c>
      <c r="O94" s="16">
        <v>4</v>
      </c>
      <c r="P94" s="16">
        <v>92</v>
      </c>
      <c r="Q94" s="29">
        <v>39</v>
      </c>
      <c r="R94" s="20">
        <v>0.53579999999999994</v>
      </c>
      <c r="S94" s="32">
        <v>20.896199999999997</v>
      </c>
      <c r="T94" s="35">
        <v>0.81</v>
      </c>
      <c r="U94" s="35">
        <v>0.17</v>
      </c>
      <c r="V94" s="35">
        <v>2.0769230769230769E-2</v>
      </c>
      <c r="W94" s="9" t="s">
        <v>152</v>
      </c>
      <c r="X94" s="15">
        <v>93</v>
      </c>
      <c r="Y94" s="39">
        <v>0.48926217348507611</v>
      </c>
      <c r="Z94" s="39">
        <v>0.49726681599722894</v>
      </c>
      <c r="AA94" s="39">
        <v>0.49155275839852092</v>
      </c>
      <c r="AB94" s="39">
        <v>0.4910825356521647</v>
      </c>
      <c r="AC94" s="39">
        <v>0.48285521450060698</v>
      </c>
      <c r="AD94" s="39">
        <v>0.48914637582083792</v>
      </c>
      <c r="AE94" s="39">
        <v>0.48533097008413462</v>
      </c>
      <c r="AF94" s="40">
        <v>0.48715144321302356</v>
      </c>
    </row>
    <row r="95" spans="1:32">
      <c r="A95" s="15">
        <v>93</v>
      </c>
      <c r="B95" s="16">
        <v>1</v>
      </c>
      <c r="C95" s="20">
        <v>0.32</v>
      </c>
      <c r="D95" s="20">
        <v>0.60161153326909844</v>
      </c>
      <c r="E95" s="20">
        <v>0.1</v>
      </c>
      <c r="F95" s="8" t="s">
        <v>436</v>
      </c>
      <c r="G95" s="24">
        <v>1.2831965229687663</v>
      </c>
      <c r="H95" s="24">
        <v>1.2906259032917358</v>
      </c>
      <c r="I95" s="25">
        <v>1.3131971888436385</v>
      </c>
      <c r="L95" s="15">
        <v>93</v>
      </c>
      <c r="M95" s="16">
        <v>0</v>
      </c>
      <c r="N95" s="16">
        <v>0</v>
      </c>
      <c r="O95" s="16">
        <v>4</v>
      </c>
      <c r="P95" s="16">
        <v>93</v>
      </c>
      <c r="Q95" s="29">
        <v>34</v>
      </c>
      <c r="R95" s="20">
        <v>0.53579999999999994</v>
      </c>
      <c r="S95" s="32">
        <v>18.217199999999998</v>
      </c>
      <c r="T95" s="35">
        <v>1.83</v>
      </c>
      <c r="U95" s="35">
        <v>1.34</v>
      </c>
      <c r="V95" s="35">
        <v>5.3823529411764708E-2</v>
      </c>
      <c r="W95" s="9" t="s">
        <v>153</v>
      </c>
      <c r="X95" s="15">
        <v>94</v>
      </c>
      <c r="Y95" s="39">
        <v>0.50535944747232708</v>
      </c>
      <c r="Z95" s="39">
        <v>0.48531048071487426</v>
      </c>
      <c r="AA95" s="39">
        <v>0.4946187133707235</v>
      </c>
      <c r="AB95" s="39">
        <v>0.49129442593624778</v>
      </c>
      <c r="AC95" s="39">
        <v>0.50055617776633643</v>
      </c>
      <c r="AD95" s="39">
        <v>0.47804211234219668</v>
      </c>
      <c r="AE95" s="39">
        <v>0.48695954154093013</v>
      </c>
      <c r="AF95" s="40">
        <v>0.48568161453219322</v>
      </c>
    </row>
    <row r="96" spans="1:32">
      <c r="A96" s="15">
        <v>94</v>
      </c>
      <c r="B96" s="16">
        <v>1</v>
      </c>
      <c r="C96" s="20">
        <v>0.02</v>
      </c>
      <c r="D96" s="20">
        <v>0.99679477127711513</v>
      </c>
      <c r="E96" s="20">
        <v>1</v>
      </c>
      <c r="F96" s="8" t="s">
        <v>436</v>
      </c>
      <c r="G96" s="24">
        <v>0.99952955496205531</v>
      </c>
      <c r="H96" s="24">
        <v>1.0053165759482727</v>
      </c>
      <c r="I96" s="25">
        <v>1.022898190766258</v>
      </c>
      <c r="L96" s="15">
        <v>94</v>
      </c>
      <c r="M96" s="16">
        <v>0</v>
      </c>
      <c r="N96" s="16">
        <v>0</v>
      </c>
      <c r="O96" s="16">
        <v>4</v>
      </c>
      <c r="P96" s="16">
        <v>94</v>
      </c>
      <c r="Q96" s="29">
        <v>27</v>
      </c>
      <c r="R96" s="20">
        <v>0.53579999999999994</v>
      </c>
      <c r="S96" s="32">
        <v>14.466599999999998</v>
      </c>
      <c r="T96" s="35">
        <v>0.74</v>
      </c>
      <c r="U96" s="35">
        <v>0.28000000000000003</v>
      </c>
      <c r="V96" s="35">
        <v>2.7407407407407408E-2</v>
      </c>
      <c r="W96" s="9" t="s">
        <v>152</v>
      </c>
      <c r="X96" s="15">
        <v>95</v>
      </c>
      <c r="Y96" s="39">
        <v>0.46890826159521909</v>
      </c>
      <c r="Z96" s="39">
        <v>0.47953243019331554</v>
      </c>
      <c r="AA96" s="39">
        <v>0.47943357149739441</v>
      </c>
      <c r="AB96" s="39">
        <v>0.49210705483452394</v>
      </c>
      <c r="AC96" s="39">
        <v>0.46573910882177966</v>
      </c>
      <c r="AD96" s="39">
        <v>0.47287179224255083</v>
      </c>
      <c r="AE96" s="39">
        <v>0.47329330054916141</v>
      </c>
      <c r="AF96" s="40">
        <v>0.4854578263017113</v>
      </c>
    </row>
    <row r="97" spans="1:32">
      <c r="A97" s="15">
        <v>95</v>
      </c>
      <c r="B97" s="16">
        <v>0</v>
      </c>
      <c r="C97" s="20">
        <v>0.69</v>
      </c>
      <c r="D97" s="20">
        <v>0.48624926500130355</v>
      </c>
      <c r="E97" s="20">
        <v>0.23</v>
      </c>
      <c r="F97" s="8" t="s">
        <v>438</v>
      </c>
      <c r="G97" s="24">
        <v>0.62633326261942257</v>
      </c>
      <c r="H97" s="24">
        <v>0.62995957233397848</v>
      </c>
      <c r="I97" s="25">
        <v>0.64097670546065699</v>
      </c>
      <c r="L97" s="15">
        <v>95</v>
      </c>
      <c r="M97" s="16">
        <v>0</v>
      </c>
      <c r="N97" s="16">
        <v>0</v>
      </c>
      <c r="O97" s="16">
        <v>4</v>
      </c>
      <c r="P97" s="16">
        <v>95</v>
      </c>
      <c r="Q97" s="29">
        <v>33</v>
      </c>
      <c r="R97" s="20">
        <v>0.53579999999999994</v>
      </c>
      <c r="S97" s="32">
        <v>17.681399999999996</v>
      </c>
      <c r="T97" s="35">
        <v>1.1300000000000001</v>
      </c>
      <c r="U97" s="35">
        <v>0.63</v>
      </c>
      <c r="V97" s="35">
        <v>3.4242424242424248E-2</v>
      </c>
      <c r="W97" s="9" t="s">
        <v>153</v>
      </c>
      <c r="X97" s="15">
        <v>96</v>
      </c>
      <c r="Y97" s="39">
        <v>0.48209851027339606</v>
      </c>
      <c r="Z97" s="39">
        <v>0.49056409632721087</v>
      </c>
      <c r="AA97" s="39">
        <v>0.48861527197137405</v>
      </c>
      <c r="AB97" s="39">
        <v>0.49238016138795943</v>
      </c>
      <c r="AC97" s="39">
        <v>0.47368537565877278</v>
      </c>
      <c r="AD97" s="39">
        <v>0.48299198962950207</v>
      </c>
      <c r="AE97" s="39">
        <v>0.4791768383223714</v>
      </c>
      <c r="AF97" s="40">
        <v>0.48964499447711424</v>
      </c>
    </row>
    <row r="98" spans="1:32">
      <c r="A98" s="15">
        <v>96</v>
      </c>
      <c r="B98" s="16">
        <v>0</v>
      </c>
      <c r="C98" s="20">
        <v>0.02</v>
      </c>
      <c r="D98" s="20">
        <v>0.99917029198757767</v>
      </c>
      <c r="E98" s="20">
        <v>1</v>
      </c>
      <c r="F98" s="8" t="s">
        <v>436</v>
      </c>
      <c r="G98" s="24">
        <v>1.061489886477583</v>
      </c>
      <c r="H98" s="24">
        <v>1.0676356419674611</v>
      </c>
      <c r="I98" s="25">
        <v>1.0863071321946252</v>
      </c>
      <c r="L98" s="15">
        <v>96</v>
      </c>
      <c r="M98" s="16">
        <v>0</v>
      </c>
      <c r="N98" s="16">
        <v>0</v>
      </c>
      <c r="O98" s="16">
        <v>4</v>
      </c>
      <c r="P98" s="16">
        <v>96</v>
      </c>
      <c r="Q98" s="29">
        <v>21</v>
      </c>
      <c r="R98" s="20">
        <v>0.53579999999999994</v>
      </c>
      <c r="S98" s="32">
        <v>11.251799999999999</v>
      </c>
      <c r="T98" s="35">
        <v>0.52</v>
      </c>
      <c r="U98" s="35">
        <v>0.23</v>
      </c>
      <c r="V98" s="35">
        <v>2.4761904761904763E-2</v>
      </c>
      <c r="W98" s="9" t="s">
        <v>152</v>
      </c>
      <c r="X98" s="15">
        <v>97</v>
      </c>
      <c r="Y98" s="39">
        <v>0.48648082816886606</v>
      </c>
      <c r="Z98" s="39">
        <v>0.49115876231903816</v>
      </c>
      <c r="AA98" s="39">
        <v>0.47298447686682044</v>
      </c>
      <c r="AB98" s="39">
        <v>0.48653008395645958</v>
      </c>
      <c r="AC98" s="39">
        <v>0.48110154099028085</v>
      </c>
      <c r="AD98" s="39">
        <v>0.48566789499321827</v>
      </c>
      <c r="AE98" s="39">
        <v>0.46479319865234126</v>
      </c>
      <c r="AF98" s="40">
        <v>0.48387726405366588</v>
      </c>
    </row>
    <row r="99" spans="1:32">
      <c r="A99" s="15">
        <v>97</v>
      </c>
      <c r="B99" s="16">
        <v>0</v>
      </c>
      <c r="C99" s="20">
        <v>0.02</v>
      </c>
      <c r="D99" s="20">
        <v>0.99756714174924133</v>
      </c>
      <c r="E99" s="20">
        <v>1</v>
      </c>
      <c r="F99" s="8" t="s">
        <v>436</v>
      </c>
      <c r="G99" s="24">
        <v>1.023791098762</v>
      </c>
      <c r="H99" s="24">
        <v>1.0297185878938879</v>
      </c>
      <c r="I99" s="25">
        <v>1.0477269605959825</v>
      </c>
      <c r="L99" s="15">
        <v>97</v>
      </c>
      <c r="M99" s="16">
        <v>0</v>
      </c>
      <c r="N99" s="16">
        <v>0</v>
      </c>
      <c r="O99" s="16">
        <v>4</v>
      </c>
      <c r="P99" s="16">
        <v>97</v>
      </c>
      <c r="Q99" s="29">
        <v>31</v>
      </c>
      <c r="R99" s="20">
        <v>0.53579999999999994</v>
      </c>
      <c r="S99" s="32">
        <v>16.6098</v>
      </c>
      <c r="T99" s="35">
        <v>0.6</v>
      </c>
      <c r="U99" s="35">
        <v>0.28000000000000003</v>
      </c>
      <c r="V99" s="35">
        <v>1.935483870967742E-2</v>
      </c>
      <c r="W99" s="9" t="s">
        <v>152</v>
      </c>
      <c r="X99" s="15">
        <v>98</v>
      </c>
      <c r="Y99" s="39">
        <v>0.4810207330694613</v>
      </c>
      <c r="Z99" s="39">
        <v>0.48028985110184352</v>
      </c>
      <c r="AA99" s="39">
        <v>0.46974241140260353</v>
      </c>
      <c r="AB99" s="39">
        <v>0.47953515840836969</v>
      </c>
      <c r="AC99" s="39">
        <v>0.47459721379844105</v>
      </c>
      <c r="AD99" s="39">
        <v>0.47207673529504257</v>
      </c>
      <c r="AE99" s="39">
        <v>0.46654080429630446</v>
      </c>
      <c r="AF99" s="40">
        <v>0.47459320898028545</v>
      </c>
    </row>
    <row r="100" spans="1:32">
      <c r="A100" s="15">
        <v>98</v>
      </c>
      <c r="B100" s="16">
        <v>1</v>
      </c>
      <c r="C100" s="20">
        <v>0.25</v>
      </c>
      <c r="D100" s="20">
        <v>0.75047054779314248</v>
      </c>
      <c r="E100" s="20">
        <v>0.08</v>
      </c>
      <c r="F100" s="8" t="s">
        <v>436</v>
      </c>
      <c r="G100" s="24">
        <v>0.85273685422148571</v>
      </c>
      <c r="H100" s="24">
        <v>0.85767398294029396</v>
      </c>
      <c r="I100" s="25">
        <v>0.87267353031495043</v>
      </c>
      <c r="L100" s="15">
        <v>98</v>
      </c>
      <c r="M100" s="16">
        <v>0</v>
      </c>
      <c r="N100" s="16">
        <v>0</v>
      </c>
      <c r="O100" s="16">
        <v>5</v>
      </c>
      <c r="P100" s="16">
        <v>98</v>
      </c>
      <c r="Q100" s="29">
        <v>41</v>
      </c>
      <c r="R100" s="20">
        <v>0.53579999999999994</v>
      </c>
      <c r="S100" s="32">
        <v>21.967799999999997</v>
      </c>
      <c r="T100" s="35">
        <v>2.76</v>
      </c>
      <c r="U100" s="35">
        <v>2.09</v>
      </c>
      <c r="V100" s="35">
        <v>6.7317073170731698E-2</v>
      </c>
      <c r="W100" s="9" t="s">
        <v>154</v>
      </c>
      <c r="X100" s="15">
        <v>99</v>
      </c>
      <c r="Y100" s="39">
        <v>0.48112120845083306</v>
      </c>
      <c r="Z100" s="39">
        <v>0.49617215293233707</v>
      </c>
      <c r="AA100" s="39">
        <v>0.49475740563398513</v>
      </c>
      <c r="AB100" s="39">
        <v>0.49605245165866968</v>
      </c>
      <c r="AC100" s="39">
        <v>0.47413372631604533</v>
      </c>
      <c r="AD100" s="39">
        <v>0.48974853667963064</v>
      </c>
      <c r="AE100" s="39">
        <v>0.48507789331801143</v>
      </c>
      <c r="AF100" s="40">
        <v>0.49173269685334481</v>
      </c>
    </row>
    <row r="101" spans="1:32">
      <c r="A101" s="15">
        <v>99</v>
      </c>
      <c r="B101" s="16">
        <v>1</v>
      </c>
      <c r="C101" s="20">
        <v>0.02</v>
      </c>
      <c r="D101" s="20">
        <v>0.99835916395484214</v>
      </c>
      <c r="E101" s="20">
        <v>1</v>
      </c>
      <c r="F101" s="8" t="s">
        <v>436</v>
      </c>
      <c r="G101" s="24">
        <v>0.99331291561924862</v>
      </c>
      <c r="H101" s="24">
        <v>0.99906394385051256</v>
      </c>
      <c r="I101" s="25">
        <v>1.0165362086669445</v>
      </c>
      <c r="L101" s="15">
        <v>99</v>
      </c>
      <c r="M101" s="16">
        <v>0</v>
      </c>
      <c r="N101" s="16">
        <v>0</v>
      </c>
      <c r="O101" s="16">
        <v>5</v>
      </c>
      <c r="P101" s="16">
        <v>99</v>
      </c>
      <c r="Q101" s="29">
        <v>42</v>
      </c>
      <c r="R101" s="20">
        <v>0.53579999999999994</v>
      </c>
      <c r="S101" s="32">
        <v>22.503599999999999</v>
      </c>
      <c r="T101" s="35">
        <v>1.6700000000000002</v>
      </c>
      <c r="U101" s="35">
        <v>0.96</v>
      </c>
      <c r="V101" s="35">
        <v>3.9761904761904762E-2</v>
      </c>
      <c r="W101" s="9" t="s">
        <v>153</v>
      </c>
      <c r="X101" s="15">
        <v>100</v>
      </c>
      <c r="Y101" s="39">
        <v>0.4731023695738627</v>
      </c>
      <c r="Z101" s="39">
        <v>0.47881411513563643</v>
      </c>
      <c r="AA101" s="39">
        <v>0.48534660291173748</v>
      </c>
      <c r="AB101" s="39">
        <v>0.48427280137364187</v>
      </c>
      <c r="AC101" s="39">
        <v>0.46700827085429225</v>
      </c>
      <c r="AD101" s="39">
        <v>0.47335094128401328</v>
      </c>
      <c r="AE101" s="39">
        <v>0.47940601778838488</v>
      </c>
      <c r="AF101" s="40">
        <v>0.47973798821340385</v>
      </c>
    </row>
    <row r="102" spans="1:32">
      <c r="A102" s="15">
        <v>100</v>
      </c>
      <c r="B102" s="16">
        <v>0</v>
      </c>
      <c r="C102" s="20">
        <v>0.02</v>
      </c>
      <c r="D102" s="20">
        <v>0.99835916395484214</v>
      </c>
      <c r="E102" s="20">
        <v>1</v>
      </c>
      <c r="F102" s="8" t="s">
        <v>436</v>
      </c>
      <c r="G102" s="24">
        <v>1.0841069948958888</v>
      </c>
      <c r="H102" s="24">
        <v>1.0903836976703314</v>
      </c>
      <c r="I102" s="25">
        <v>1.1094530203443034</v>
      </c>
      <c r="L102" s="15">
        <v>100</v>
      </c>
      <c r="M102" s="16">
        <v>0</v>
      </c>
      <c r="N102" s="16">
        <v>0</v>
      </c>
      <c r="O102" s="16">
        <v>5</v>
      </c>
      <c r="P102" s="16">
        <v>100</v>
      </c>
      <c r="Q102" s="29">
        <v>40</v>
      </c>
      <c r="R102" s="20">
        <v>0.53579999999999994</v>
      </c>
      <c r="S102" s="32">
        <v>21.431999999999999</v>
      </c>
      <c r="T102" s="35">
        <v>0.64</v>
      </c>
      <c r="U102" s="35">
        <v>0.08</v>
      </c>
      <c r="V102" s="35">
        <v>1.6E-2</v>
      </c>
      <c r="W102" s="9" t="s">
        <v>152</v>
      </c>
      <c r="X102" s="15">
        <v>101</v>
      </c>
      <c r="Y102" s="39">
        <v>0.49182263996502795</v>
      </c>
      <c r="Z102" s="39">
        <v>0.48671758421667138</v>
      </c>
      <c r="AA102" s="39">
        <v>0.48495108142147897</v>
      </c>
      <c r="AB102" s="39">
        <v>0.49031502787360787</v>
      </c>
      <c r="AC102" s="39">
        <v>0.48253616177424902</v>
      </c>
      <c r="AD102" s="39">
        <v>0.48200721355884085</v>
      </c>
      <c r="AE102" s="39">
        <v>0.47968202887840361</v>
      </c>
      <c r="AF102" s="40">
        <v>0.48615581530366159</v>
      </c>
    </row>
    <row r="103" spans="1:32">
      <c r="A103" s="15">
        <v>101</v>
      </c>
      <c r="B103" s="16">
        <v>0</v>
      </c>
      <c r="C103" s="20">
        <v>0.93</v>
      </c>
      <c r="D103" s="20">
        <v>0.18747949848141848</v>
      </c>
      <c r="E103" s="20">
        <v>7.0000000000000007E-2</v>
      </c>
      <c r="F103" s="8" t="s">
        <v>434</v>
      </c>
      <c r="G103" s="24">
        <v>0.70532742166667861</v>
      </c>
      <c r="H103" s="24">
        <v>0.70941108739829839</v>
      </c>
      <c r="I103" s="25">
        <v>0.72181771908491921</v>
      </c>
      <c r="L103" s="15">
        <v>101</v>
      </c>
      <c r="M103" s="16">
        <v>0</v>
      </c>
      <c r="N103" s="16">
        <v>0</v>
      </c>
      <c r="O103" s="16">
        <v>5</v>
      </c>
      <c r="P103" s="16">
        <v>101</v>
      </c>
      <c r="Q103" s="29">
        <v>48</v>
      </c>
      <c r="R103" s="20">
        <v>0.53579999999999994</v>
      </c>
      <c r="S103" s="32">
        <v>25.718399999999995</v>
      </c>
      <c r="T103" s="35">
        <v>1.9800000000000002</v>
      </c>
      <c r="U103" s="35">
        <v>1.23</v>
      </c>
      <c r="V103" s="35">
        <v>4.1250000000000002E-2</v>
      </c>
      <c r="W103" s="9" t="s">
        <v>153</v>
      </c>
      <c r="X103" s="15">
        <v>102</v>
      </c>
      <c r="Y103" s="39">
        <v>0.50322089680244686</v>
      </c>
      <c r="Z103" s="39">
        <v>0.49999273859557308</v>
      </c>
      <c r="AA103" s="39">
        <v>0.48071892015146112</v>
      </c>
      <c r="AB103" s="39">
        <v>0.48978190465981114</v>
      </c>
      <c r="AC103" s="39">
        <v>0.49455484249110199</v>
      </c>
      <c r="AD103" s="39">
        <v>0.49402332388628262</v>
      </c>
      <c r="AE103" s="39">
        <v>0.4734130152957764</v>
      </c>
      <c r="AF103" s="40">
        <v>0.48541940522308125</v>
      </c>
    </row>
    <row r="104" spans="1:32">
      <c r="A104" s="15">
        <v>102</v>
      </c>
      <c r="B104" s="16">
        <v>0</v>
      </c>
      <c r="C104" s="20">
        <v>0.02</v>
      </c>
      <c r="D104" s="20">
        <v>0.99917029198757767</v>
      </c>
      <c r="E104" s="20">
        <v>1</v>
      </c>
      <c r="F104" s="8" t="s">
        <v>436</v>
      </c>
      <c r="G104" s="24">
        <v>1.0421232019469489</v>
      </c>
      <c r="H104" s="24">
        <v>1.0481568292768781</v>
      </c>
      <c r="I104" s="25">
        <v>1.0664876616555288</v>
      </c>
      <c r="L104" s="15">
        <v>102</v>
      </c>
      <c r="M104" s="16">
        <v>0</v>
      </c>
      <c r="N104" s="16">
        <v>0</v>
      </c>
      <c r="O104" s="16">
        <v>5</v>
      </c>
      <c r="P104" s="16">
        <v>102</v>
      </c>
      <c r="Q104" s="29">
        <v>17</v>
      </c>
      <c r="R104" s="20">
        <v>0.53579999999999994</v>
      </c>
      <c r="S104" s="32">
        <v>9.1085999999999991</v>
      </c>
      <c r="T104" s="35">
        <v>0.82000000000000006</v>
      </c>
      <c r="U104" s="35">
        <v>0.56999999999999995</v>
      </c>
      <c r="V104" s="35">
        <v>4.8235294117647064E-2</v>
      </c>
      <c r="W104" s="9" t="s">
        <v>152</v>
      </c>
      <c r="X104" s="15">
        <v>103</v>
      </c>
      <c r="Y104" s="39">
        <v>0.49154192293242754</v>
      </c>
      <c r="Z104" s="39">
        <v>0.48314425288449719</v>
      </c>
      <c r="AA104" s="39">
        <v>0.49162109405842813</v>
      </c>
      <c r="AB104" s="39">
        <v>0.47794098766823906</v>
      </c>
      <c r="AC104" s="39">
        <v>0.48425601012000835</v>
      </c>
      <c r="AD104" s="39">
        <v>0.4777351331018283</v>
      </c>
      <c r="AE104" s="39">
        <v>0.48509040561119293</v>
      </c>
      <c r="AF104" s="40">
        <v>0.47398803392484029</v>
      </c>
    </row>
    <row r="105" spans="1:32">
      <c r="A105" s="15">
        <v>103</v>
      </c>
      <c r="B105" s="16">
        <v>1</v>
      </c>
      <c r="C105" s="20">
        <v>0.95</v>
      </c>
      <c r="D105" s="20">
        <v>0.15570568692893463</v>
      </c>
      <c r="E105" s="20">
        <v>0.05</v>
      </c>
      <c r="F105" s="8" t="s">
        <v>434</v>
      </c>
      <c r="G105" s="24">
        <v>0.59977814778716732</v>
      </c>
      <c r="H105" s="24">
        <v>0.60325071016522602</v>
      </c>
      <c r="I105" s="25">
        <v>0.61380074174587185</v>
      </c>
      <c r="L105" s="15">
        <v>103</v>
      </c>
      <c r="M105" s="16">
        <v>0</v>
      </c>
      <c r="N105" s="16">
        <v>0</v>
      </c>
      <c r="O105" s="16">
        <v>6</v>
      </c>
      <c r="P105" s="16">
        <v>103</v>
      </c>
      <c r="Q105" s="29">
        <v>18</v>
      </c>
      <c r="R105" s="20">
        <v>0.53579999999999994</v>
      </c>
      <c r="S105" s="32">
        <v>9.6443999999999992</v>
      </c>
      <c r="T105" s="35">
        <v>0.5</v>
      </c>
      <c r="U105" s="35">
        <v>0.2</v>
      </c>
      <c r="V105" s="35">
        <v>2.7777777777777776E-2</v>
      </c>
      <c r="W105" s="9" t="s">
        <v>152</v>
      </c>
      <c r="X105" s="15">
        <v>104</v>
      </c>
      <c r="Y105" s="39">
        <v>0.48033937390489384</v>
      </c>
      <c r="Z105" s="39">
        <v>0.48483746078571016</v>
      </c>
      <c r="AA105" s="39">
        <v>0.47595944065216778</v>
      </c>
      <c r="AB105" s="39">
        <v>0.4887105939114802</v>
      </c>
      <c r="AC105" s="39">
        <v>0.47607663490079133</v>
      </c>
      <c r="AD105" s="39">
        <v>0.47793605388408217</v>
      </c>
      <c r="AE105" s="39">
        <v>0.46858079813018177</v>
      </c>
      <c r="AF105" s="40">
        <v>0.48342402543903795</v>
      </c>
    </row>
    <row r="106" spans="1:32">
      <c r="A106" s="15">
        <v>104</v>
      </c>
      <c r="B106" s="16">
        <v>1</v>
      </c>
      <c r="C106" s="20">
        <v>0.17</v>
      </c>
      <c r="D106" s="20">
        <v>0.85261654504551365</v>
      </c>
      <c r="E106" s="20">
        <v>0.46</v>
      </c>
      <c r="F106" s="8" t="s">
        <v>436</v>
      </c>
      <c r="G106" s="24">
        <v>0.91652229508839955</v>
      </c>
      <c r="H106" s="24">
        <v>0.92182872522814074</v>
      </c>
      <c r="I106" s="25">
        <v>0.93795025148451217</v>
      </c>
      <c r="L106" s="15">
        <v>104</v>
      </c>
      <c r="M106" s="16">
        <v>0</v>
      </c>
      <c r="N106" s="16">
        <v>0</v>
      </c>
      <c r="O106" s="16">
        <v>6</v>
      </c>
      <c r="P106" s="16">
        <v>104</v>
      </c>
      <c r="Q106" s="29">
        <v>28</v>
      </c>
      <c r="R106" s="20">
        <v>0.53579999999999994</v>
      </c>
      <c r="S106" s="32">
        <v>15.002399999999998</v>
      </c>
      <c r="T106" s="35">
        <v>0.88</v>
      </c>
      <c r="U106" s="35">
        <v>0.52</v>
      </c>
      <c r="V106" s="35">
        <v>3.1428571428571431E-2</v>
      </c>
      <c r="W106" s="9" t="s">
        <v>152</v>
      </c>
      <c r="X106" s="15">
        <v>105</v>
      </c>
      <c r="Y106" s="39">
        <v>0.48592785720099013</v>
      </c>
      <c r="Z106" s="39">
        <v>0.48589022321019865</v>
      </c>
      <c r="AA106" s="39">
        <v>0.47538914719468117</v>
      </c>
      <c r="AB106" s="39">
        <v>0.48935832333067997</v>
      </c>
      <c r="AC106" s="39">
        <v>0.47911277706529048</v>
      </c>
      <c r="AD106" s="39">
        <v>0.47929124707315068</v>
      </c>
      <c r="AE106" s="39">
        <v>0.46930060039004756</v>
      </c>
      <c r="AF106" s="40">
        <v>0.48889797523484724</v>
      </c>
    </row>
    <row r="107" spans="1:32">
      <c r="A107" s="15">
        <v>105</v>
      </c>
      <c r="B107" s="16">
        <v>0</v>
      </c>
      <c r="C107" s="20">
        <v>0.9</v>
      </c>
      <c r="D107" s="20">
        <v>0.23159538658365303</v>
      </c>
      <c r="E107" s="20">
        <v>0.1</v>
      </c>
      <c r="F107" s="8" t="s">
        <v>434</v>
      </c>
      <c r="G107" s="24">
        <v>0.66860115229032513</v>
      </c>
      <c r="H107" s="24">
        <v>0.67247218229689676</v>
      </c>
      <c r="I107" s="25">
        <v>0.68423280294895528</v>
      </c>
      <c r="L107" s="15">
        <v>105</v>
      </c>
      <c r="M107" s="16">
        <v>0</v>
      </c>
      <c r="N107" s="16">
        <v>0</v>
      </c>
      <c r="O107" s="16">
        <v>6</v>
      </c>
      <c r="P107" s="16">
        <v>105</v>
      </c>
      <c r="Q107" s="29">
        <v>20</v>
      </c>
      <c r="R107" s="20">
        <v>0.53579999999999994</v>
      </c>
      <c r="S107" s="32">
        <v>10.715999999999999</v>
      </c>
      <c r="T107" s="35">
        <v>0.45</v>
      </c>
      <c r="U107" s="35">
        <v>0.19</v>
      </c>
      <c r="V107" s="35">
        <v>2.2499999999999999E-2</v>
      </c>
      <c r="W107" s="9" t="s">
        <v>152</v>
      </c>
      <c r="X107" s="15">
        <v>106</v>
      </c>
      <c r="Y107" s="39">
        <v>0.48304267214305724</v>
      </c>
      <c r="Z107" s="39">
        <v>0.48815326956901162</v>
      </c>
      <c r="AA107" s="39">
        <v>0.47548325242416495</v>
      </c>
      <c r="AB107" s="39">
        <v>0.49468587468075959</v>
      </c>
      <c r="AC107" s="39">
        <v>0.47332369644358918</v>
      </c>
      <c r="AD107" s="39">
        <v>0.48265036634920461</v>
      </c>
      <c r="AE107" s="39">
        <v>0.46961769300583062</v>
      </c>
      <c r="AF107" s="40">
        <v>0.49017704852773092</v>
      </c>
    </row>
    <row r="108" spans="1:32">
      <c r="A108" s="15">
        <v>106</v>
      </c>
      <c r="B108" s="16">
        <v>0</v>
      </c>
      <c r="C108" s="20">
        <v>0.91</v>
      </c>
      <c r="D108" s="20">
        <v>0.21727233298780477</v>
      </c>
      <c r="E108" s="20">
        <v>0.09</v>
      </c>
      <c r="F108" s="8" t="s">
        <v>434</v>
      </c>
      <c r="G108" s="24">
        <v>0.55248972762335169</v>
      </c>
      <c r="H108" s="24">
        <v>0.55568850211936671</v>
      </c>
      <c r="I108" s="25">
        <v>0.56540673559605081</v>
      </c>
      <c r="L108" s="15">
        <v>106</v>
      </c>
      <c r="M108" s="16">
        <v>0</v>
      </c>
      <c r="N108" s="16">
        <v>0</v>
      </c>
      <c r="O108" s="16">
        <v>6</v>
      </c>
      <c r="P108" s="16">
        <v>106</v>
      </c>
      <c r="Q108" s="29">
        <v>24</v>
      </c>
      <c r="R108" s="20">
        <v>0.53579999999999994</v>
      </c>
      <c r="S108" s="32">
        <v>12.859199999999998</v>
      </c>
      <c r="T108" s="35">
        <v>2.44</v>
      </c>
      <c r="U108" s="35">
        <v>2.0499999999999998</v>
      </c>
      <c r="V108" s="35">
        <v>0.10166666666666667</v>
      </c>
      <c r="W108" s="9" t="s">
        <v>154</v>
      </c>
      <c r="X108" s="15">
        <v>107</v>
      </c>
      <c r="Y108" s="39">
        <v>0.48757411923750271</v>
      </c>
      <c r="Z108" s="39">
        <v>0.48390975937539621</v>
      </c>
      <c r="AA108" s="39">
        <v>0.49125176307836971</v>
      </c>
      <c r="AB108" s="39">
        <v>0.49262940975997055</v>
      </c>
      <c r="AC108" s="39">
        <v>0.48053377186102636</v>
      </c>
      <c r="AD108" s="39">
        <v>0.47578647921252176</v>
      </c>
      <c r="AE108" s="39">
        <v>0.48246035435874957</v>
      </c>
      <c r="AF108" s="40">
        <v>0.49272360006032523</v>
      </c>
    </row>
    <row r="109" spans="1:32">
      <c r="A109" s="15">
        <v>107</v>
      </c>
      <c r="B109" s="16">
        <v>1</v>
      </c>
      <c r="C109" s="20">
        <v>0.47</v>
      </c>
      <c r="D109" s="20">
        <v>0.474176671198758</v>
      </c>
      <c r="E109" s="20">
        <v>0.1</v>
      </c>
      <c r="F109" s="8" t="s">
        <v>436</v>
      </c>
      <c r="G109" s="24">
        <v>1.8020682033759414</v>
      </c>
      <c r="H109" s="24">
        <v>1.8125017182827894</v>
      </c>
      <c r="I109" s="25">
        <v>1.6578926537592125</v>
      </c>
      <c r="L109" s="15">
        <v>107</v>
      </c>
      <c r="M109" s="16">
        <v>0</v>
      </c>
      <c r="N109" s="16">
        <v>0</v>
      </c>
      <c r="O109" s="16">
        <v>6</v>
      </c>
      <c r="P109" s="16">
        <v>107</v>
      </c>
      <c r="Q109" s="29">
        <v>23</v>
      </c>
      <c r="R109" s="20">
        <v>0.53579999999999994</v>
      </c>
      <c r="S109" s="32">
        <v>12.323399999999999</v>
      </c>
      <c r="T109" s="35">
        <v>1.1299999999999999</v>
      </c>
      <c r="U109" s="35">
        <v>0.83</v>
      </c>
      <c r="V109" s="35">
        <v>4.9130434782608694E-2</v>
      </c>
      <c r="W109" s="9" t="s">
        <v>153</v>
      </c>
      <c r="X109" s="15">
        <v>108</v>
      </c>
      <c r="Y109" s="39">
        <v>0.48679426530574887</v>
      </c>
      <c r="Z109" s="39">
        <v>0.47026331101653784</v>
      </c>
      <c r="AA109" s="39">
        <v>0.48845641391861477</v>
      </c>
      <c r="AB109" s="39">
        <v>0.49378555660576195</v>
      </c>
      <c r="AC109" s="39">
        <v>0.48126147855405066</v>
      </c>
      <c r="AD109" s="39">
        <v>0.4642418340271004</v>
      </c>
      <c r="AE109" s="39">
        <v>0.48164263901865317</v>
      </c>
      <c r="AF109" s="40">
        <v>0.48992908806148544</v>
      </c>
    </row>
    <row r="110" spans="1:32">
      <c r="A110" s="15">
        <v>108</v>
      </c>
      <c r="B110" s="16">
        <v>0</v>
      </c>
      <c r="C110" s="20">
        <v>0.02</v>
      </c>
      <c r="D110" s="20">
        <v>0.99917029198757767</v>
      </c>
      <c r="E110" s="20">
        <v>1</v>
      </c>
      <c r="F110" s="8" t="s">
        <v>436</v>
      </c>
      <c r="G110" s="24">
        <v>1.1862943553272092</v>
      </c>
      <c r="H110" s="24">
        <v>1.1931626968345002</v>
      </c>
      <c r="I110" s="25">
        <v>1.2140294839270587</v>
      </c>
      <c r="L110" s="15">
        <v>108</v>
      </c>
      <c r="M110" s="16">
        <v>0</v>
      </c>
      <c r="N110" s="16">
        <v>0</v>
      </c>
      <c r="O110" s="16">
        <v>6</v>
      </c>
      <c r="P110" s="16">
        <v>108</v>
      </c>
      <c r="Q110" s="29">
        <v>20</v>
      </c>
      <c r="R110" s="20">
        <v>0.53579999999999994</v>
      </c>
      <c r="S110" s="32">
        <v>10.715999999999999</v>
      </c>
      <c r="T110" s="35">
        <v>0.41000000000000003</v>
      </c>
      <c r="U110" s="35">
        <v>0.14000000000000001</v>
      </c>
      <c r="V110" s="35">
        <v>2.0500000000000001E-2</v>
      </c>
      <c r="W110" s="9" t="s">
        <v>152</v>
      </c>
      <c r="X110" s="15">
        <v>109</v>
      </c>
      <c r="Y110" s="39">
        <v>0.48201806193836977</v>
      </c>
      <c r="Z110" s="39">
        <v>0.48115031373489314</v>
      </c>
      <c r="AA110" s="39">
        <v>0.48452448371973783</v>
      </c>
      <c r="AB110" s="39">
        <v>0.48948721937686185</v>
      </c>
      <c r="AC110" s="39">
        <v>0.47334349815091081</v>
      </c>
      <c r="AD110" s="39">
        <v>0.47384293150374768</v>
      </c>
      <c r="AE110" s="39">
        <v>0.47450969821800565</v>
      </c>
      <c r="AF110" s="40">
        <v>0.48859477236553178</v>
      </c>
    </row>
    <row r="111" spans="1:32">
      <c r="A111" s="15">
        <v>109</v>
      </c>
      <c r="B111" s="16">
        <v>1</v>
      </c>
      <c r="C111" s="20">
        <v>0.02</v>
      </c>
      <c r="D111" s="20">
        <v>0.99756714174924133</v>
      </c>
      <c r="E111" s="20">
        <v>1</v>
      </c>
      <c r="F111" s="8" t="s">
        <v>436</v>
      </c>
      <c r="G111" s="24">
        <v>0.99362226105715568</v>
      </c>
      <c r="H111" s="24">
        <v>0.99937508031954247</v>
      </c>
      <c r="I111" s="25">
        <v>1.0168527864881667</v>
      </c>
      <c r="L111" s="15">
        <v>109</v>
      </c>
      <c r="M111" s="16">
        <v>0</v>
      </c>
      <c r="N111" s="16">
        <v>0</v>
      </c>
      <c r="O111" s="16">
        <v>6</v>
      </c>
      <c r="P111" s="16">
        <v>109</v>
      </c>
      <c r="Q111" s="29">
        <v>18</v>
      </c>
      <c r="R111" s="20">
        <v>0.53579999999999994</v>
      </c>
      <c r="S111" s="32">
        <v>9.6443999999999992</v>
      </c>
      <c r="T111" s="35">
        <v>0.28000000000000003</v>
      </c>
      <c r="U111" s="35">
        <v>0.02</v>
      </c>
      <c r="V111" s="35">
        <v>1.5555555555555557E-2</v>
      </c>
      <c r="W111" s="9" t="s">
        <v>152</v>
      </c>
      <c r="X111" s="15">
        <v>110</v>
      </c>
      <c r="Y111" s="39">
        <v>0.48567081952081448</v>
      </c>
      <c r="Z111" s="39">
        <v>0.4806133904996337</v>
      </c>
      <c r="AA111" s="39">
        <v>0.48679725568586091</v>
      </c>
      <c r="AB111" s="39">
        <v>0.48834019521616023</v>
      </c>
      <c r="AC111" s="39">
        <v>0.4769011411428799</v>
      </c>
      <c r="AD111" s="39">
        <v>0.47375068896486994</v>
      </c>
      <c r="AE111" s="39">
        <v>0.48162912938119223</v>
      </c>
      <c r="AF111" s="40">
        <v>0.48151082091297104</v>
      </c>
    </row>
    <row r="112" spans="1:32">
      <c r="A112" s="15">
        <v>110</v>
      </c>
      <c r="B112" s="16">
        <v>1</v>
      </c>
      <c r="C112" s="20">
        <v>0.02</v>
      </c>
      <c r="D112" s="20">
        <v>0.99679477127711513</v>
      </c>
      <c r="E112" s="20">
        <v>1</v>
      </c>
      <c r="F112" s="8" t="s">
        <v>436</v>
      </c>
      <c r="G112" s="24">
        <v>1.0514082427946696</v>
      </c>
      <c r="H112" s="24">
        <v>1.0574956281410346</v>
      </c>
      <c r="I112" s="25">
        <v>1.0759897833658618</v>
      </c>
      <c r="L112" s="15">
        <v>110</v>
      </c>
      <c r="M112" s="16">
        <v>0</v>
      </c>
      <c r="N112" s="16">
        <v>0</v>
      </c>
      <c r="O112" s="16">
        <v>6</v>
      </c>
      <c r="P112" s="16">
        <v>110</v>
      </c>
      <c r="Q112" s="29">
        <v>23</v>
      </c>
      <c r="R112" s="20">
        <v>0.53579999999999994</v>
      </c>
      <c r="S112" s="32">
        <v>12.323399999999999</v>
      </c>
      <c r="T112" s="35">
        <v>1.47</v>
      </c>
      <c r="U112" s="35">
        <v>1.1599999999999999</v>
      </c>
      <c r="V112" s="35">
        <v>6.3913043478260864E-2</v>
      </c>
      <c r="W112" s="9" t="s">
        <v>153</v>
      </c>
      <c r="X112" s="15">
        <v>111</v>
      </c>
      <c r="Y112" s="39">
        <v>0.48616807926065037</v>
      </c>
      <c r="Z112" s="39">
        <v>0.49344908804644139</v>
      </c>
      <c r="AA112" s="39">
        <v>0.49909696458824332</v>
      </c>
      <c r="AB112" s="39">
        <v>0.5037249009677025</v>
      </c>
      <c r="AC112" s="39">
        <v>0.47977365061537663</v>
      </c>
      <c r="AD112" s="39">
        <v>0.4823555816016642</v>
      </c>
      <c r="AE112" s="39">
        <v>0.48902263450911798</v>
      </c>
      <c r="AF112" s="40">
        <v>0.50105481763669035</v>
      </c>
    </row>
    <row r="113" spans="1:32">
      <c r="A113" s="15">
        <v>111</v>
      </c>
      <c r="B113" s="16">
        <v>1</v>
      </c>
      <c r="C113" s="20">
        <v>0.27</v>
      </c>
      <c r="D113" s="20">
        <v>0.78703362309919178</v>
      </c>
      <c r="E113" s="20">
        <v>7.0000000000000007E-2</v>
      </c>
      <c r="F113" s="8" t="s">
        <v>436</v>
      </c>
      <c r="G113" s="24">
        <v>1.1963733455760059</v>
      </c>
      <c r="H113" s="24">
        <v>1.2033000418641036</v>
      </c>
      <c r="I113" s="25">
        <v>1.2243441172853853</v>
      </c>
      <c r="L113" s="15">
        <v>111</v>
      </c>
      <c r="M113" s="16">
        <v>0</v>
      </c>
      <c r="N113" s="16">
        <v>0</v>
      </c>
      <c r="O113" s="16">
        <v>6</v>
      </c>
      <c r="P113" s="16">
        <v>111</v>
      </c>
      <c r="Q113" s="29">
        <v>24</v>
      </c>
      <c r="R113" s="20">
        <v>0.53579999999999994</v>
      </c>
      <c r="S113" s="32">
        <v>12.859199999999998</v>
      </c>
      <c r="T113" s="35">
        <v>0.65</v>
      </c>
      <c r="U113" s="35">
        <v>0.18</v>
      </c>
      <c r="V113" s="35">
        <v>2.7083333333333334E-2</v>
      </c>
      <c r="W113" s="9" t="s">
        <v>152</v>
      </c>
      <c r="X113" s="15">
        <v>112</v>
      </c>
      <c r="Y113" s="39">
        <v>0.48022548984463159</v>
      </c>
      <c r="Z113" s="39">
        <v>0.47441643850938803</v>
      </c>
      <c r="AA113" s="39">
        <v>0.47587765864816661</v>
      </c>
      <c r="AB113" s="39">
        <v>0.48413533886628657</v>
      </c>
      <c r="AC113" s="39">
        <v>0.47238208140635818</v>
      </c>
      <c r="AD113" s="39">
        <v>0.47041258950863207</v>
      </c>
      <c r="AE113" s="39">
        <v>0.47048443243590832</v>
      </c>
      <c r="AF113" s="40">
        <v>0.47781136312129913</v>
      </c>
    </row>
    <row r="114" spans="1:32">
      <c r="A114" s="15">
        <v>112</v>
      </c>
      <c r="B114" s="16">
        <v>1</v>
      </c>
      <c r="C114" s="20">
        <v>0.03</v>
      </c>
      <c r="D114" s="20">
        <v>0.99344694056334126</v>
      </c>
      <c r="E114" s="20">
        <v>1</v>
      </c>
      <c r="F114" s="8" t="s">
        <v>436</v>
      </c>
      <c r="G114" s="24">
        <v>1.1720914826237445</v>
      </c>
      <c r="H114" s="24">
        <v>1.1788775931234663</v>
      </c>
      <c r="I114" s="25">
        <v>1.1994945532489869</v>
      </c>
      <c r="L114" s="15">
        <v>112</v>
      </c>
      <c r="M114" s="16">
        <v>0</v>
      </c>
      <c r="N114" s="16">
        <v>0</v>
      </c>
      <c r="O114" s="16">
        <v>6</v>
      </c>
      <c r="P114" s="16">
        <v>112</v>
      </c>
      <c r="Q114" s="29">
        <v>22</v>
      </c>
      <c r="R114" s="20">
        <v>0.53579999999999994</v>
      </c>
      <c r="S114" s="32">
        <v>11.787599999999999</v>
      </c>
      <c r="T114" s="35">
        <v>0.67999999999999994</v>
      </c>
      <c r="U114" s="35">
        <v>0.42</v>
      </c>
      <c r="V114" s="35">
        <v>3.0909090909090907E-2</v>
      </c>
      <c r="W114" s="9" t="s">
        <v>152</v>
      </c>
      <c r="X114" s="15">
        <v>113</v>
      </c>
      <c r="Y114" s="39">
        <v>0.47966352505521137</v>
      </c>
      <c r="Z114" s="39">
        <v>0.48978950102015362</v>
      </c>
      <c r="AA114" s="39">
        <v>0.48890259305159828</v>
      </c>
      <c r="AB114" s="39">
        <v>0.49520189611110599</v>
      </c>
      <c r="AC114" s="39">
        <v>0.47456036839878846</v>
      </c>
      <c r="AD114" s="39">
        <v>0.48300696531914605</v>
      </c>
      <c r="AE114" s="39">
        <v>0.48045818839986321</v>
      </c>
      <c r="AF114" s="40">
        <v>0.49252191549988855</v>
      </c>
    </row>
    <row r="115" spans="1:32">
      <c r="A115" s="15">
        <v>113</v>
      </c>
      <c r="B115" s="16">
        <v>1</v>
      </c>
      <c r="C115" s="20">
        <v>0.09</v>
      </c>
      <c r="D115" s="20">
        <v>0.93887630833350011</v>
      </c>
      <c r="E115" s="20">
        <v>0.39</v>
      </c>
      <c r="F115" s="8" t="s">
        <v>436</v>
      </c>
      <c r="G115" s="24">
        <v>0.91386969499429827</v>
      </c>
      <c r="H115" s="24">
        <v>0.91916076725658957</v>
      </c>
      <c r="I115" s="25">
        <v>0.93523563456937198</v>
      </c>
      <c r="L115" s="15">
        <v>113</v>
      </c>
      <c r="M115" s="16">
        <v>0</v>
      </c>
      <c r="N115" s="16">
        <v>0</v>
      </c>
      <c r="O115" s="16">
        <v>6</v>
      </c>
      <c r="P115" s="16">
        <v>113</v>
      </c>
      <c r="Q115" s="29">
        <v>21</v>
      </c>
      <c r="R115" s="20">
        <v>0.53579999999999994</v>
      </c>
      <c r="S115" s="32">
        <v>11.251799999999999</v>
      </c>
      <c r="T115" s="35">
        <v>1.6700000000000002</v>
      </c>
      <c r="U115" s="35">
        <v>1.42</v>
      </c>
      <c r="V115" s="35">
        <v>7.9523809523809524E-2</v>
      </c>
      <c r="W115" s="9" t="s">
        <v>153</v>
      </c>
      <c r="X115" s="15">
        <v>114</v>
      </c>
      <c r="Y115" s="39">
        <v>0.48297581218130092</v>
      </c>
      <c r="Z115" s="39">
        <v>0.47440028215051422</v>
      </c>
      <c r="AA115" s="39">
        <v>0.4908517656751139</v>
      </c>
      <c r="AB115" s="39">
        <v>0.48968332268089049</v>
      </c>
      <c r="AC115" s="39">
        <v>0.47619196825104976</v>
      </c>
      <c r="AD115" s="39">
        <v>0.46492519317058484</v>
      </c>
      <c r="AE115" s="39">
        <v>0.48657147420635494</v>
      </c>
      <c r="AF115" s="40">
        <v>0.48436748552323872</v>
      </c>
    </row>
    <row r="116" spans="1:32">
      <c r="A116" s="15">
        <v>114</v>
      </c>
      <c r="B116" s="16">
        <v>0</v>
      </c>
      <c r="C116" s="20">
        <v>0.27</v>
      </c>
      <c r="D116" s="20">
        <v>0.75403124831373924</v>
      </c>
      <c r="E116" s="20">
        <v>0.06</v>
      </c>
      <c r="F116" s="8" t="s">
        <v>436</v>
      </c>
      <c r="G116" s="24">
        <v>1.0035942299714269</v>
      </c>
      <c r="H116" s="24">
        <v>1.0094047843884115</v>
      </c>
      <c r="I116" s="25">
        <v>1.0270578963922681</v>
      </c>
      <c r="L116" s="15">
        <v>114</v>
      </c>
      <c r="M116" s="16">
        <v>0</v>
      </c>
      <c r="N116" s="16">
        <v>0</v>
      </c>
      <c r="O116" s="16">
        <v>6</v>
      </c>
      <c r="P116" s="16">
        <v>114</v>
      </c>
      <c r="Q116" s="29">
        <v>23</v>
      </c>
      <c r="R116" s="20">
        <v>0.53579999999999994</v>
      </c>
      <c r="S116" s="32">
        <v>12.323399999999999</v>
      </c>
      <c r="T116" s="35">
        <v>0.78</v>
      </c>
      <c r="U116" s="35">
        <v>0.45</v>
      </c>
      <c r="V116" s="35">
        <v>3.3913043478260872E-2</v>
      </c>
      <c r="W116" s="9" t="s">
        <v>152</v>
      </c>
      <c r="X116" s="15">
        <v>115</v>
      </c>
      <c r="Y116" s="39">
        <v>0.48200653252878894</v>
      </c>
      <c r="Z116" s="39">
        <v>0.49310492067921441</v>
      </c>
      <c r="AA116" s="39">
        <v>0.47873007425285002</v>
      </c>
      <c r="AB116" s="39">
        <v>0.49323201774097181</v>
      </c>
      <c r="AC116" s="39">
        <v>0.47588235792625178</v>
      </c>
      <c r="AD116" s="39">
        <v>0.48499306698905814</v>
      </c>
      <c r="AE116" s="39">
        <v>0.47041027010448888</v>
      </c>
      <c r="AF116" s="40">
        <v>0.48879767571593324</v>
      </c>
    </row>
    <row r="117" spans="1:32">
      <c r="A117" s="15">
        <v>115</v>
      </c>
      <c r="B117" s="16">
        <v>1</v>
      </c>
      <c r="C117" s="20">
        <v>0.32</v>
      </c>
      <c r="D117" s="20">
        <v>0.74081099671685502</v>
      </c>
      <c r="E117" s="20">
        <v>0.04</v>
      </c>
      <c r="F117" s="8" t="s">
        <v>436</v>
      </c>
      <c r="G117" s="24">
        <v>1.4684702896348896</v>
      </c>
      <c r="H117" s="24">
        <v>1.476972357774412</v>
      </c>
      <c r="I117" s="25">
        <v>1.5028025884822933</v>
      </c>
      <c r="L117" s="15">
        <v>115</v>
      </c>
      <c r="M117" s="16">
        <v>0</v>
      </c>
      <c r="N117" s="16">
        <v>0</v>
      </c>
      <c r="O117" s="16">
        <v>6</v>
      </c>
      <c r="P117" s="16">
        <v>115</v>
      </c>
      <c r="Q117" s="29">
        <v>27</v>
      </c>
      <c r="R117" s="20">
        <v>0.53579999999999994</v>
      </c>
      <c r="S117" s="32">
        <v>14.466599999999998</v>
      </c>
      <c r="T117" s="35">
        <v>2.09</v>
      </c>
      <c r="U117" s="35">
        <v>1.75</v>
      </c>
      <c r="V117" s="35">
        <v>7.7407407407407397E-2</v>
      </c>
      <c r="W117" s="9" t="s">
        <v>154</v>
      </c>
      <c r="X117" s="15">
        <v>116</v>
      </c>
      <c r="Y117" s="39">
        <v>0.47708955078179349</v>
      </c>
      <c r="Z117" s="39">
        <v>0.50236848834406667</v>
      </c>
      <c r="AA117" s="39">
        <v>0.49723063909336174</v>
      </c>
      <c r="AB117" s="39">
        <v>0.4757902504695381</v>
      </c>
      <c r="AC117" s="39">
        <v>0.47299783282542945</v>
      </c>
      <c r="AD117" s="39">
        <v>0.49457071524687912</v>
      </c>
      <c r="AE117" s="39">
        <v>0.48911562403846853</v>
      </c>
      <c r="AF117" s="40">
        <v>0.47286361207722216</v>
      </c>
    </row>
    <row r="118" spans="1:32">
      <c r="A118" s="15">
        <v>116</v>
      </c>
      <c r="B118" s="16">
        <v>1</v>
      </c>
      <c r="C118" s="20">
        <v>0.95</v>
      </c>
      <c r="D118" s="20">
        <v>0.15570568692893463</v>
      </c>
      <c r="E118" s="20">
        <v>0.05</v>
      </c>
      <c r="F118" s="8" t="s">
        <v>434</v>
      </c>
      <c r="G118" s="24">
        <v>0.53541374841272382</v>
      </c>
      <c r="H118" s="24">
        <v>0.53851365734787426</v>
      </c>
      <c r="I118" s="25">
        <v>0.5479315262304042</v>
      </c>
      <c r="L118" s="15">
        <v>116</v>
      </c>
      <c r="M118" s="16">
        <v>0</v>
      </c>
      <c r="N118" s="16">
        <v>0</v>
      </c>
      <c r="O118" s="16">
        <v>6</v>
      </c>
      <c r="P118" s="16">
        <v>116</v>
      </c>
      <c r="Q118" s="29">
        <v>33</v>
      </c>
      <c r="R118" s="20">
        <v>0.53579999999999994</v>
      </c>
      <c r="S118" s="32">
        <v>17.681399999999996</v>
      </c>
      <c r="T118" s="35">
        <v>1.59</v>
      </c>
      <c r="U118" s="35">
        <v>1.08</v>
      </c>
      <c r="V118" s="35">
        <v>4.8181818181818187E-2</v>
      </c>
      <c r="W118" s="9" t="s">
        <v>153</v>
      </c>
      <c r="X118" s="15">
        <v>117</v>
      </c>
      <c r="Y118" s="39">
        <v>0.49210753204688312</v>
      </c>
      <c r="Z118" s="39">
        <v>0.49186564074528177</v>
      </c>
      <c r="AA118" s="39">
        <v>0.49407116513538474</v>
      </c>
      <c r="AB118" s="39">
        <v>0.48447849380902286</v>
      </c>
      <c r="AC118" s="39">
        <v>0.48413872579796102</v>
      </c>
      <c r="AD118" s="39">
        <v>0.48497136101413851</v>
      </c>
      <c r="AE118" s="39">
        <v>0.4866737357580701</v>
      </c>
      <c r="AF118" s="40">
        <v>0.48022464325540398</v>
      </c>
    </row>
    <row r="119" spans="1:32">
      <c r="A119" s="15">
        <v>117</v>
      </c>
      <c r="B119" s="16">
        <v>1</v>
      </c>
      <c r="C119" s="20">
        <v>0.86</v>
      </c>
      <c r="D119" s="20">
        <v>0.28597383862931031</v>
      </c>
      <c r="E119" s="20">
        <v>0.14000000000000001</v>
      </c>
      <c r="F119" s="8" t="s">
        <v>434</v>
      </c>
      <c r="G119" s="24">
        <v>0.54982405525959221</v>
      </c>
      <c r="H119" s="24">
        <v>0.55300739619305295</v>
      </c>
      <c r="I119" s="25">
        <v>0.56267874078636382</v>
      </c>
      <c r="L119" s="15">
        <v>117</v>
      </c>
      <c r="M119" s="16">
        <v>0</v>
      </c>
      <c r="N119" s="16">
        <v>0</v>
      </c>
      <c r="O119" s="16">
        <v>6</v>
      </c>
      <c r="P119" s="16">
        <v>117</v>
      </c>
      <c r="Q119" s="29">
        <v>17</v>
      </c>
      <c r="R119" s="20">
        <v>0.53579999999999994</v>
      </c>
      <c r="S119" s="32">
        <v>9.1085999999999991</v>
      </c>
      <c r="T119" s="35">
        <v>1.39</v>
      </c>
      <c r="U119" s="35">
        <v>1.1399999999999999</v>
      </c>
      <c r="V119" s="35">
        <v>8.1764705882352934E-2</v>
      </c>
      <c r="W119" s="9" t="s">
        <v>153</v>
      </c>
      <c r="X119" s="15">
        <v>118</v>
      </c>
      <c r="Y119" s="39">
        <v>0.4804748004334447</v>
      </c>
      <c r="Z119" s="39">
        <v>0.49225414083119495</v>
      </c>
      <c r="AA119" s="39">
        <v>0.47515046542577477</v>
      </c>
      <c r="AB119" s="39">
        <v>0.47227536033528322</v>
      </c>
      <c r="AC119" s="39">
        <v>0.47309169563941994</v>
      </c>
      <c r="AD119" s="39">
        <v>0.47910093187743436</v>
      </c>
      <c r="AE119" s="39">
        <v>0.47093020638229749</v>
      </c>
      <c r="AF119" s="40">
        <v>0.46672670787682285</v>
      </c>
    </row>
    <row r="120" spans="1:32">
      <c r="A120" s="15">
        <v>118</v>
      </c>
      <c r="B120" s="16">
        <v>1</v>
      </c>
      <c r="C120" s="20">
        <v>0.24</v>
      </c>
      <c r="D120" s="20">
        <v>0.79656434996846359</v>
      </c>
      <c r="E120" s="20">
        <v>0.04</v>
      </c>
      <c r="F120" s="8" t="s">
        <v>436</v>
      </c>
      <c r="G120" s="24">
        <v>1.4637854689692964</v>
      </c>
      <c r="H120" s="24">
        <v>1.4722604131929988</v>
      </c>
      <c r="I120" s="25">
        <v>1.4980082384211972</v>
      </c>
      <c r="L120" s="15">
        <v>118</v>
      </c>
      <c r="M120" s="16">
        <v>0</v>
      </c>
      <c r="N120" s="16">
        <v>0</v>
      </c>
      <c r="O120" s="16">
        <v>6</v>
      </c>
      <c r="P120" s="16">
        <v>118</v>
      </c>
      <c r="Q120" s="29">
        <v>25</v>
      </c>
      <c r="R120" s="20">
        <v>0.53579999999999994</v>
      </c>
      <c r="S120" s="32">
        <v>13.394999999999998</v>
      </c>
      <c r="T120" s="35">
        <v>0.79</v>
      </c>
      <c r="U120" s="35">
        <v>0.41</v>
      </c>
      <c r="V120" s="35">
        <v>3.1600000000000003E-2</v>
      </c>
      <c r="W120" s="9" t="s">
        <v>152</v>
      </c>
      <c r="X120" s="15">
        <v>119</v>
      </c>
      <c r="Y120" s="39">
        <v>0.48454583972816123</v>
      </c>
      <c r="Z120" s="39">
        <v>0.4857545913998968</v>
      </c>
      <c r="AA120" s="39">
        <v>0.47901557861277089</v>
      </c>
      <c r="AB120" s="39">
        <v>0.49727044088731587</v>
      </c>
      <c r="AC120" s="39">
        <v>0.47594192622255876</v>
      </c>
      <c r="AD120" s="39">
        <v>0.4787985121938918</v>
      </c>
      <c r="AE120" s="39">
        <v>0.46790058067548884</v>
      </c>
      <c r="AF120" s="40">
        <v>0.49355424674513554</v>
      </c>
    </row>
    <row r="121" spans="1:32">
      <c r="A121" s="15">
        <v>119</v>
      </c>
      <c r="B121" s="16">
        <v>1</v>
      </c>
      <c r="C121" s="20">
        <v>0.02</v>
      </c>
      <c r="D121" s="20">
        <v>0.99679477127711513</v>
      </c>
      <c r="E121" s="20">
        <v>1</v>
      </c>
      <c r="F121" s="8" t="s">
        <v>436</v>
      </c>
      <c r="G121" s="24">
        <v>1.0610848356481639</v>
      </c>
      <c r="H121" s="24">
        <v>1.0672282459971316</v>
      </c>
      <c r="I121" s="25">
        <v>1.0858926114248046</v>
      </c>
      <c r="L121" s="15">
        <v>119</v>
      </c>
      <c r="M121" s="16">
        <v>0</v>
      </c>
      <c r="N121" s="16">
        <v>0</v>
      </c>
      <c r="O121" s="16">
        <v>6</v>
      </c>
      <c r="P121" s="16">
        <v>119</v>
      </c>
      <c r="Q121" s="29">
        <v>18</v>
      </c>
      <c r="R121" s="20">
        <v>0.53579999999999994</v>
      </c>
      <c r="S121" s="32">
        <v>9.6443999999999992</v>
      </c>
      <c r="T121" s="35">
        <v>0.48</v>
      </c>
      <c r="U121" s="35">
        <v>0.17</v>
      </c>
      <c r="V121" s="35">
        <v>2.6666666666666665E-2</v>
      </c>
      <c r="W121" s="9" t="s">
        <v>152</v>
      </c>
      <c r="X121" s="15">
        <v>120</v>
      </c>
      <c r="Y121" s="39">
        <v>0.49241674591295281</v>
      </c>
      <c r="Z121" s="39">
        <v>0.48922976625540726</v>
      </c>
      <c r="AA121" s="39">
        <v>0.49060027143387552</v>
      </c>
      <c r="AB121" s="39">
        <v>0.48137133830703321</v>
      </c>
      <c r="AC121" s="39">
        <v>0.48775103752738541</v>
      </c>
      <c r="AD121" s="39">
        <v>0.48198066526790656</v>
      </c>
      <c r="AE121" s="39">
        <v>0.48378803364698297</v>
      </c>
      <c r="AF121" s="40">
        <v>0.47377803198724655</v>
      </c>
    </row>
    <row r="122" spans="1:32">
      <c r="A122" s="15">
        <v>120</v>
      </c>
      <c r="B122" s="16">
        <v>0</v>
      </c>
      <c r="C122" s="20">
        <v>0.02</v>
      </c>
      <c r="D122" s="20">
        <v>0.99679477127711513</v>
      </c>
      <c r="E122" s="20">
        <v>1</v>
      </c>
      <c r="F122" s="8" t="s">
        <v>436</v>
      </c>
      <c r="G122" s="24">
        <v>1.0960961257084072</v>
      </c>
      <c r="H122" s="24">
        <v>1.1024422424899436</v>
      </c>
      <c r="I122" s="25">
        <v>1.1217224526548373</v>
      </c>
      <c r="L122" s="15">
        <v>120</v>
      </c>
      <c r="M122" s="16">
        <v>0</v>
      </c>
      <c r="N122" s="16">
        <v>0</v>
      </c>
      <c r="O122" s="16">
        <v>6</v>
      </c>
      <c r="P122" s="16">
        <v>120</v>
      </c>
      <c r="Q122" s="29">
        <v>27</v>
      </c>
      <c r="R122" s="20">
        <v>0.53579999999999994</v>
      </c>
      <c r="S122" s="32">
        <v>14.466599999999998</v>
      </c>
      <c r="T122" s="35">
        <v>0.45</v>
      </c>
      <c r="U122" s="35">
        <v>0.13</v>
      </c>
      <c r="V122" s="35">
        <v>1.6666666666666666E-2</v>
      </c>
      <c r="W122" s="9" t="s">
        <v>152</v>
      </c>
      <c r="X122" s="15">
        <v>121</v>
      </c>
      <c r="Y122" s="39">
        <v>0.48171648873109191</v>
      </c>
      <c r="Z122" s="39">
        <v>0.47991703597091195</v>
      </c>
      <c r="AA122" s="39">
        <v>0.49482783436884092</v>
      </c>
      <c r="AB122" s="39">
        <v>0.48916281661551486</v>
      </c>
      <c r="AC122" s="39">
        <v>0.47672152201793866</v>
      </c>
      <c r="AD122" s="39">
        <v>0.47320866843512133</v>
      </c>
      <c r="AE122" s="39">
        <v>0.48656380669429505</v>
      </c>
      <c r="AF122" s="40">
        <v>0.48515173165223457</v>
      </c>
    </row>
    <row r="123" spans="1:32">
      <c r="A123" s="15">
        <v>121</v>
      </c>
      <c r="B123" s="16">
        <v>1</v>
      </c>
      <c r="C123" s="20">
        <v>0.13</v>
      </c>
      <c r="D123" s="20">
        <v>0.91864875219182363</v>
      </c>
      <c r="E123" s="20">
        <v>0.06</v>
      </c>
      <c r="F123" s="8" t="s">
        <v>436</v>
      </c>
      <c r="G123" s="24">
        <v>0.84012609898738555</v>
      </c>
      <c r="H123" s="24">
        <v>0.84499021465237312</v>
      </c>
      <c r="I123" s="25">
        <v>0.85976794023097647</v>
      </c>
      <c r="L123" s="15">
        <v>121</v>
      </c>
      <c r="M123" s="16">
        <v>0</v>
      </c>
      <c r="N123" s="16">
        <v>0</v>
      </c>
      <c r="O123" s="16">
        <v>6</v>
      </c>
      <c r="P123" s="16">
        <v>121</v>
      </c>
      <c r="Q123" s="29">
        <v>16</v>
      </c>
      <c r="R123" s="20">
        <v>0.53579999999999994</v>
      </c>
      <c r="S123" s="32">
        <v>8.5727999999999991</v>
      </c>
      <c r="T123" s="35">
        <v>2.0300000000000002</v>
      </c>
      <c r="U123" s="35">
        <v>1.83</v>
      </c>
      <c r="V123" s="35">
        <v>0.12687500000000002</v>
      </c>
      <c r="W123" s="9" t="s">
        <v>154</v>
      </c>
      <c r="X123" s="15">
        <v>122</v>
      </c>
      <c r="Y123" s="39">
        <v>0.49280053700633236</v>
      </c>
      <c r="Z123" s="39">
        <v>0.48621966818948364</v>
      </c>
      <c r="AA123" s="39">
        <v>0.48621304133536319</v>
      </c>
      <c r="AB123" s="39">
        <v>0.50094789851565236</v>
      </c>
      <c r="AC123" s="39">
        <v>0.48660492731648475</v>
      </c>
      <c r="AD123" s="39">
        <v>0.4783844687471514</v>
      </c>
      <c r="AE123" s="39">
        <v>0.47997122482070298</v>
      </c>
      <c r="AF123" s="40">
        <v>0.49559665437681744</v>
      </c>
    </row>
    <row r="124" spans="1:32">
      <c r="A124" s="15">
        <v>122</v>
      </c>
      <c r="B124" s="16">
        <v>0</v>
      </c>
      <c r="C124" s="20">
        <v>0.02</v>
      </c>
      <c r="D124" s="20">
        <v>0.99756714174924133</v>
      </c>
      <c r="E124" s="20">
        <v>1</v>
      </c>
      <c r="F124" s="8" t="s">
        <v>436</v>
      </c>
      <c r="G124" s="24">
        <v>1.1655489140870083</v>
      </c>
      <c r="H124" s="24">
        <v>1.1722971447849395</v>
      </c>
      <c r="I124" s="25">
        <v>1.1927990218502722</v>
      </c>
      <c r="L124" s="15">
        <v>122</v>
      </c>
      <c r="M124" s="16">
        <v>0</v>
      </c>
      <c r="N124" s="16">
        <v>0</v>
      </c>
      <c r="O124" s="16">
        <v>6</v>
      </c>
      <c r="P124" s="16">
        <v>122</v>
      </c>
      <c r="Q124" s="29">
        <v>22</v>
      </c>
      <c r="R124" s="20">
        <v>0.53579999999999994</v>
      </c>
      <c r="S124" s="32">
        <v>11.787599999999999</v>
      </c>
      <c r="T124" s="35">
        <v>1.48</v>
      </c>
      <c r="U124" s="35">
        <v>1.18</v>
      </c>
      <c r="V124" s="35">
        <v>6.7272727272727276E-2</v>
      </c>
      <c r="W124" s="9" t="s">
        <v>153</v>
      </c>
      <c r="X124" s="15">
        <v>123</v>
      </c>
      <c r="Y124" s="39">
        <v>0.48481594161472147</v>
      </c>
      <c r="Z124" s="39">
        <v>0.48757242025212777</v>
      </c>
      <c r="AA124" s="39">
        <v>0.4875287750463409</v>
      </c>
      <c r="AB124" s="39">
        <v>0.48757372796046772</v>
      </c>
      <c r="AC124" s="39">
        <v>0.48167771442389068</v>
      </c>
      <c r="AD124" s="39">
        <v>0.48146879934311188</v>
      </c>
      <c r="AE124" s="39">
        <v>0.48171904784486802</v>
      </c>
      <c r="AF124" s="40">
        <v>0.48426487405684332</v>
      </c>
    </row>
    <row r="125" spans="1:32">
      <c r="A125" s="15">
        <v>123</v>
      </c>
      <c r="B125" s="16">
        <v>1</v>
      </c>
      <c r="C125" s="20">
        <v>0.2</v>
      </c>
      <c r="D125" s="20">
        <v>0.7791685459110298</v>
      </c>
      <c r="E125" s="20">
        <v>0.24</v>
      </c>
      <c r="F125" s="8" t="s">
        <v>436</v>
      </c>
      <c r="G125" s="24">
        <v>0.97547340805895799</v>
      </c>
      <c r="H125" s="24">
        <v>0.9811211500951087</v>
      </c>
      <c r="I125" s="25">
        <v>0.99827961993778491</v>
      </c>
      <c r="L125" s="15">
        <v>123</v>
      </c>
      <c r="M125" s="16">
        <v>0</v>
      </c>
      <c r="N125" s="16">
        <v>0</v>
      </c>
      <c r="O125" s="16">
        <v>6</v>
      </c>
      <c r="P125" s="16">
        <v>123</v>
      </c>
      <c r="Q125" s="29">
        <v>25</v>
      </c>
      <c r="R125" s="20">
        <v>0.53579999999999994</v>
      </c>
      <c r="S125" s="32">
        <v>13.394999999999998</v>
      </c>
      <c r="T125" s="35">
        <v>1.28</v>
      </c>
      <c r="U125" s="35">
        <v>1</v>
      </c>
      <c r="V125" s="35">
        <v>5.1200000000000002E-2</v>
      </c>
      <c r="W125" s="9" t="s">
        <v>153</v>
      </c>
      <c r="X125" s="15">
        <v>124</v>
      </c>
      <c r="Y125" s="39">
        <v>0.4809489877640506</v>
      </c>
      <c r="Z125" s="39">
        <v>0.48146454265041411</v>
      </c>
      <c r="AA125" s="39">
        <v>0.48181027721192343</v>
      </c>
      <c r="AB125" s="39">
        <v>0.47661641191381265</v>
      </c>
      <c r="AC125" s="39">
        <v>0.47553745708981737</v>
      </c>
      <c r="AD125" s="39">
        <v>0.47529365974716897</v>
      </c>
      <c r="AE125" s="39">
        <v>0.47408099130620701</v>
      </c>
      <c r="AF125" s="40">
        <v>0.4713271692591352</v>
      </c>
    </row>
    <row r="126" spans="1:32">
      <c r="A126" s="15">
        <v>124</v>
      </c>
      <c r="B126" s="16">
        <v>0</v>
      </c>
      <c r="C126" s="20">
        <v>0.92</v>
      </c>
      <c r="D126" s="20">
        <v>0.20258497911151899</v>
      </c>
      <c r="E126" s="20">
        <v>0.08</v>
      </c>
      <c r="F126" s="8" t="s">
        <v>434</v>
      </c>
      <c r="G126" s="24">
        <v>0.85018411685007511</v>
      </c>
      <c r="H126" s="24">
        <v>0.85510646587110728</v>
      </c>
      <c r="I126" s="25">
        <v>0.8700611108764712</v>
      </c>
      <c r="L126" s="15">
        <v>124</v>
      </c>
      <c r="M126" s="16">
        <v>0</v>
      </c>
      <c r="N126" s="16">
        <v>0</v>
      </c>
      <c r="O126" s="16">
        <v>6</v>
      </c>
      <c r="P126" s="16">
        <v>124</v>
      </c>
      <c r="Q126" s="29">
        <v>31</v>
      </c>
      <c r="R126" s="20">
        <v>0.53579999999999994</v>
      </c>
      <c r="S126" s="32">
        <v>16.6098</v>
      </c>
      <c r="T126" s="35">
        <v>0.78</v>
      </c>
      <c r="U126" s="35">
        <v>0.35</v>
      </c>
      <c r="V126" s="35">
        <v>2.5161290322580646E-2</v>
      </c>
      <c r="W126" s="9" t="s">
        <v>152</v>
      </c>
      <c r="X126" s="15">
        <v>125</v>
      </c>
      <c r="Y126" s="39">
        <v>0.4903979214654075</v>
      </c>
      <c r="Z126" s="39">
        <v>0.49366026280580982</v>
      </c>
      <c r="AA126" s="39">
        <v>0.49610786098513815</v>
      </c>
      <c r="AB126" s="39">
        <v>0.48139374662573592</v>
      </c>
      <c r="AC126" s="39">
        <v>0.48690331874855103</v>
      </c>
      <c r="AD126" s="39">
        <v>0.48629340099022084</v>
      </c>
      <c r="AE126" s="39">
        <v>0.48809504221735373</v>
      </c>
      <c r="AF126" s="40">
        <v>0.47928487861360736</v>
      </c>
    </row>
    <row r="127" spans="1:32">
      <c r="A127" s="15">
        <v>125</v>
      </c>
      <c r="B127" s="16">
        <v>1</v>
      </c>
      <c r="C127" s="20">
        <v>0.01</v>
      </c>
      <c r="D127" s="20">
        <v>0.99999999999999978</v>
      </c>
      <c r="E127" s="20">
        <v>1</v>
      </c>
      <c r="F127" s="8" t="s">
        <v>436</v>
      </c>
      <c r="G127" s="24">
        <v>0.9996423555961178</v>
      </c>
      <c r="H127" s="24">
        <v>1.0054300296692134</v>
      </c>
      <c r="I127" s="25">
        <v>1.0230136286379317</v>
      </c>
      <c r="L127" s="15">
        <v>125</v>
      </c>
      <c r="M127" s="16">
        <v>0</v>
      </c>
      <c r="N127" s="16">
        <v>0</v>
      </c>
      <c r="O127" s="16">
        <v>6</v>
      </c>
      <c r="P127" s="16">
        <v>125</v>
      </c>
      <c r="Q127" s="29">
        <v>17</v>
      </c>
      <c r="R127" s="20">
        <v>0.53579999999999994</v>
      </c>
      <c r="S127" s="32">
        <v>9.1085999999999991</v>
      </c>
      <c r="T127" s="35">
        <v>1.38</v>
      </c>
      <c r="U127" s="35">
        <v>1.1200000000000001</v>
      </c>
      <c r="V127" s="35">
        <v>8.1176470588235294E-2</v>
      </c>
      <c r="W127" s="9" t="s">
        <v>153</v>
      </c>
      <c r="X127" s="15">
        <v>126</v>
      </c>
      <c r="Y127" s="39">
        <v>0.49353572940495971</v>
      </c>
      <c r="Z127" s="39">
        <v>0.48256248117938189</v>
      </c>
      <c r="AA127" s="39">
        <v>0.4812054090581514</v>
      </c>
      <c r="AB127" s="39">
        <v>0.50140093059480617</v>
      </c>
      <c r="AC127" s="39">
        <v>0.48896752289172307</v>
      </c>
      <c r="AD127" s="39">
        <v>0.47582017761290391</v>
      </c>
      <c r="AE127" s="39">
        <v>0.47440744268497032</v>
      </c>
      <c r="AF127" s="40">
        <v>0.49693283936268134</v>
      </c>
    </row>
    <row r="128" spans="1:32">
      <c r="A128" s="15">
        <v>126</v>
      </c>
      <c r="B128" s="16">
        <v>1</v>
      </c>
      <c r="C128" s="20">
        <v>0.95</v>
      </c>
      <c r="D128" s="20">
        <v>0.15570568692893463</v>
      </c>
      <c r="E128" s="20">
        <v>0.05</v>
      </c>
      <c r="F128" s="8" t="s">
        <v>434</v>
      </c>
      <c r="G128" s="24">
        <v>0.70323520766725445</v>
      </c>
      <c r="H128" s="24">
        <v>0.70730676001387005</v>
      </c>
      <c r="I128" s="25">
        <v>0.71967658988660543</v>
      </c>
      <c r="L128" s="15">
        <v>126</v>
      </c>
      <c r="M128" s="16">
        <v>0</v>
      </c>
      <c r="N128" s="16">
        <v>0</v>
      </c>
      <c r="O128" s="16">
        <v>6</v>
      </c>
      <c r="P128" s="16">
        <v>126</v>
      </c>
      <c r="Q128" s="29">
        <v>27</v>
      </c>
      <c r="R128" s="20">
        <v>0.53579999999999994</v>
      </c>
      <c r="S128" s="32">
        <v>14.466599999999998</v>
      </c>
      <c r="T128" s="35">
        <v>1.34</v>
      </c>
      <c r="U128" s="35">
        <v>0.98</v>
      </c>
      <c r="V128" s="35">
        <v>4.9629629629629635E-2</v>
      </c>
      <c r="W128" s="9" t="s">
        <v>153</v>
      </c>
      <c r="X128" s="15">
        <v>127</v>
      </c>
      <c r="Y128" s="39">
        <v>0.4942534295461089</v>
      </c>
      <c r="Z128" s="39">
        <v>0.50278326800364681</v>
      </c>
      <c r="AA128" s="39">
        <v>0.49313424609489953</v>
      </c>
      <c r="AB128" s="39">
        <v>0.49856126187024236</v>
      </c>
      <c r="AC128" s="39">
        <v>0.48854991548416787</v>
      </c>
      <c r="AD128" s="39">
        <v>0.49601072440386579</v>
      </c>
      <c r="AE128" s="39">
        <v>0.48710726019565215</v>
      </c>
      <c r="AF128" s="40">
        <v>0.49718425394668636</v>
      </c>
    </row>
    <row r="129" spans="1:32">
      <c r="A129" s="15">
        <v>127</v>
      </c>
      <c r="B129" s="16">
        <v>1</v>
      </c>
      <c r="C129" s="20">
        <v>0.93</v>
      </c>
      <c r="D129" s="20">
        <v>0.18747949848141848</v>
      </c>
      <c r="E129" s="20">
        <v>7.0000000000000007E-2</v>
      </c>
      <c r="F129" s="8" t="s">
        <v>434</v>
      </c>
      <c r="G129" s="24">
        <v>0.54250203286338172</v>
      </c>
      <c r="H129" s="24">
        <v>0.5456429811561665</v>
      </c>
      <c r="I129" s="25">
        <v>0.55518553218172373</v>
      </c>
      <c r="L129" s="15">
        <v>127</v>
      </c>
      <c r="M129" s="16">
        <v>0</v>
      </c>
      <c r="N129" s="16">
        <v>0</v>
      </c>
      <c r="O129" s="16">
        <v>6</v>
      </c>
      <c r="P129" s="16">
        <v>127</v>
      </c>
      <c r="Q129" s="29">
        <v>31</v>
      </c>
      <c r="R129" s="20">
        <v>0.53579999999999994</v>
      </c>
      <c r="S129" s="32">
        <v>16.6098</v>
      </c>
      <c r="T129" s="35">
        <v>2.88</v>
      </c>
      <c r="U129" s="35">
        <v>2.39</v>
      </c>
      <c r="V129" s="35">
        <v>9.2903225806451606E-2</v>
      </c>
      <c r="W129" s="9" t="s">
        <v>154</v>
      </c>
      <c r="X129" s="15">
        <v>128</v>
      </c>
      <c r="Y129" s="39">
        <v>0.47804151450549109</v>
      </c>
      <c r="Z129" s="39">
        <v>0.4876444731066143</v>
      </c>
      <c r="AA129" s="39">
        <v>0.4731726978332858</v>
      </c>
      <c r="AB129" s="39">
        <v>0.49004904503184943</v>
      </c>
      <c r="AC129" s="39">
        <v>0.46717851327085413</v>
      </c>
      <c r="AD129" s="39">
        <v>0.48036146265880697</v>
      </c>
      <c r="AE129" s="39">
        <v>0.46694456382459382</v>
      </c>
      <c r="AF129" s="40">
        <v>0.48386572536622319</v>
      </c>
    </row>
    <row r="130" spans="1:32">
      <c r="A130" s="15">
        <v>128</v>
      </c>
      <c r="B130" s="16">
        <v>0</v>
      </c>
      <c r="C130" s="20">
        <v>0.03</v>
      </c>
      <c r="D130" s="20">
        <v>0.9948936026028764</v>
      </c>
      <c r="E130" s="20">
        <v>1</v>
      </c>
      <c r="F130" s="8" t="s">
        <v>436</v>
      </c>
      <c r="G130" s="24">
        <v>0.92118665795892229</v>
      </c>
      <c r="H130" s="24">
        <v>0.92652009356907206</v>
      </c>
      <c r="I130" s="25">
        <v>0.9427236654547636</v>
      </c>
      <c r="L130" s="15">
        <v>128</v>
      </c>
      <c r="M130" s="16">
        <v>0</v>
      </c>
      <c r="N130" s="16">
        <v>0</v>
      </c>
      <c r="O130" s="16">
        <v>6</v>
      </c>
      <c r="P130" s="16">
        <v>128</v>
      </c>
      <c r="Q130" s="29">
        <v>16</v>
      </c>
      <c r="R130" s="20">
        <v>0.53579999999999994</v>
      </c>
      <c r="S130" s="32">
        <v>8.5727999999999991</v>
      </c>
      <c r="T130" s="35">
        <v>1.32</v>
      </c>
      <c r="U130" s="35">
        <v>1.1599999999999999</v>
      </c>
      <c r="V130" s="35">
        <v>8.2500000000000004E-2</v>
      </c>
      <c r="W130" s="9" t="s">
        <v>153</v>
      </c>
      <c r="X130" s="15">
        <v>129</v>
      </c>
      <c r="Y130" s="39">
        <v>0.47907875162249708</v>
      </c>
      <c r="Z130" s="39">
        <v>0.48129789147559887</v>
      </c>
      <c r="AA130" s="39">
        <v>0.48099683445612029</v>
      </c>
      <c r="AB130" s="39">
        <v>0.49589968479151408</v>
      </c>
      <c r="AC130" s="39">
        <v>0.47232417736231924</v>
      </c>
      <c r="AD130" s="39">
        <v>0.47568910580259077</v>
      </c>
      <c r="AE130" s="39">
        <v>0.47259419315574686</v>
      </c>
      <c r="AF130" s="40">
        <v>0.49409088546624963</v>
      </c>
    </row>
    <row r="131" spans="1:32">
      <c r="A131" s="15">
        <v>129</v>
      </c>
      <c r="B131" s="16">
        <v>1</v>
      </c>
      <c r="C131" s="20">
        <v>0.61</v>
      </c>
      <c r="D131" s="20">
        <v>0.47616062422075356</v>
      </c>
      <c r="E131" s="20">
        <v>0.04</v>
      </c>
      <c r="F131" s="8" t="s">
        <v>438</v>
      </c>
      <c r="G131" s="24">
        <v>0.63571766730021906</v>
      </c>
      <c r="H131" s="24">
        <v>0.63939831032244088</v>
      </c>
      <c r="I131" s="25">
        <v>0.65058051409417916</v>
      </c>
      <c r="L131" s="15">
        <v>129</v>
      </c>
      <c r="M131" s="16">
        <v>0</v>
      </c>
      <c r="N131" s="16">
        <v>0</v>
      </c>
      <c r="O131" s="16">
        <v>6</v>
      </c>
      <c r="P131" s="16">
        <v>129</v>
      </c>
      <c r="Q131" s="29">
        <v>15</v>
      </c>
      <c r="R131" s="20">
        <v>0.53579999999999994</v>
      </c>
      <c r="S131" s="32">
        <v>8.036999999999999</v>
      </c>
      <c r="T131" s="35">
        <v>0.51</v>
      </c>
      <c r="U131" s="35">
        <v>0.35</v>
      </c>
      <c r="V131" s="35">
        <v>3.4000000000000002E-2</v>
      </c>
      <c r="W131" s="9" t="s">
        <v>152</v>
      </c>
      <c r="X131" s="15">
        <v>130</v>
      </c>
      <c r="Y131" s="39">
        <v>0.48223140348389754</v>
      </c>
      <c r="Z131" s="39">
        <v>0.47771579078415588</v>
      </c>
      <c r="AA131" s="39">
        <v>0.48672030244585029</v>
      </c>
      <c r="AB131" s="39">
        <v>0.48979765296110328</v>
      </c>
      <c r="AC131" s="39">
        <v>0.47533754259236011</v>
      </c>
      <c r="AD131" s="39">
        <v>0.47230671746015457</v>
      </c>
      <c r="AE131" s="39">
        <v>0.47980009195846979</v>
      </c>
      <c r="AF131" s="40">
        <v>0.48542091112441915</v>
      </c>
    </row>
    <row r="132" spans="1:32">
      <c r="A132" s="15">
        <v>130</v>
      </c>
      <c r="B132" s="16">
        <v>0</v>
      </c>
      <c r="C132" s="20">
        <v>0.92</v>
      </c>
      <c r="D132" s="20">
        <v>0.20258497911151899</v>
      </c>
      <c r="E132" s="20">
        <v>0.08</v>
      </c>
      <c r="F132" s="8" t="s">
        <v>434</v>
      </c>
      <c r="G132" s="24">
        <v>0.43960214436459349</v>
      </c>
      <c r="H132" s="24">
        <v>0.44214732856889716</v>
      </c>
      <c r="I132" s="25">
        <v>0.44987988188561429</v>
      </c>
      <c r="L132" s="15">
        <v>130</v>
      </c>
      <c r="M132" s="16">
        <v>0</v>
      </c>
      <c r="N132" s="16">
        <v>0</v>
      </c>
      <c r="O132" s="16">
        <v>6</v>
      </c>
      <c r="P132" s="16">
        <v>130</v>
      </c>
      <c r="Q132" s="29">
        <v>17</v>
      </c>
      <c r="R132" s="20">
        <v>0.53579999999999994</v>
      </c>
      <c r="S132" s="32">
        <v>9.1085999999999991</v>
      </c>
      <c r="T132" s="35">
        <v>0.28000000000000003</v>
      </c>
      <c r="U132" s="35">
        <v>0.02</v>
      </c>
      <c r="V132" s="35">
        <v>1.6470588235294119E-2</v>
      </c>
      <c r="W132" s="9" t="s">
        <v>152</v>
      </c>
      <c r="X132" s="15">
        <v>131</v>
      </c>
      <c r="Y132" s="39">
        <v>0.48752146858651246</v>
      </c>
      <c r="Z132" s="39">
        <v>0.48901779914273386</v>
      </c>
      <c r="AA132" s="39">
        <v>0.48903968301115619</v>
      </c>
      <c r="AB132" s="39">
        <v>0.48993236358085446</v>
      </c>
      <c r="AC132" s="39">
        <v>0.48236073700272564</v>
      </c>
      <c r="AD132" s="39">
        <v>0.4835446174838085</v>
      </c>
      <c r="AE132" s="39">
        <v>0.47975875410516372</v>
      </c>
      <c r="AF132" s="40">
        <v>0.48578531528577823</v>
      </c>
    </row>
    <row r="133" spans="1:32">
      <c r="A133" s="15">
        <v>131</v>
      </c>
      <c r="B133" s="16">
        <v>0</v>
      </c>
      <c r="C133" s="20">
        <v>0.85</v>
      </c>
      <c r="D133" s="20">
        <v>0.30097435934842953</v>
      </c>
      <c r="E133" s="20">
        <v>0.15</v>
      </c>
      <c r="F133" s="8" t="s">
        <v>434</v>
      </c>
      <c r="G133" s="24">
        <v>1.0068523279410109</v>
      </c>
      <c r="H133" s="24">
        <v>1.0126817459135866</v>
      </c>
      <c r="I133" s="25">
        <v>1.0303921675019936</v>
      </c>
      <c r="L133" s="15">
        <v>131</v>
      </c>
      <c r="M133" s="16">
        <v>0</v>
      </c>
      <c r="N133" s="16">
        <v>0</v>
      </c>
      <c r="O133" s="16">
        <v>6</v>
      </c>
      <c r="P133" s="16">
        <v>131</v>
      </c>
      <c r="Q133" s="29">
        <v>27</v>
      </c>
      <c r="R133" s="20">
        <v>0.53579999999999994</v>
      </c>
      <c r="S133" s="32">
        <v>14.466599999999998</v>
      </c>
      <c r="T133" s="35">
        <v>0.33</v>
      </c>
      <c r="U133" s="35">
        <v>0</v>
      </c>
      <c r="V133" s="35">
        <v>1.2222222222222223E-2</v>
      </c>
      <c r="W133" s="9" t="s">
        <v>152</v>
      </c>
      <c r="X133" s="15">
        <v>132</v>
      </c>
      <c r="Y133" s="39">
        <v>0.47109876374675547</v>
      </c>
      <c r="Z133" s="39">
        <v>0.4870740103062986</v>
      </c>
      <c r="AA133" s="39">
        <v>0.50508709881374081</v>
      </c>
      <c r="AB133" s="39">
        <v>0.49917445667728605</v>
      </c>
      <c r="AC133" s="39">
        <v>0.46600700489205749</v>
      </c>
      <c r="AD133" s="39">
        <v>0.48156778062597233</v>
      </c>
      <c r="AE133" s="39">
        <v>0.49755829089557063</v>
      </c>
      <c r="AF133" s="40">
        <v>0.4923810633523521</v>
      </c>
    </row>
    <row r="134" spans="1:32">
      <c r="A134" s="15">
        <v>132</v>
      </c>
      <c r="B134" s="16">
        <v>1</v>
      </c>
      <c r="C134" s="20">
        <v>0.56000000000000005</v>
      </c>
      <c r="D134" s="20">
        <v>0.46584165943796801</v>
      </c>
      <c r="E134" s="20">
        <v>0.06</v>
      </c>
      <c r="F134" s="8" t="s">
        <v>438</v>
      </c>
      <c r="G134" s="24">
        <v>1.6749299325339537</v>
      </c>
      <c r="H134" s="24">
        <v>1.6846273493055726</v>
      </c>
      <c r="I134" s="25">
        <v>1.6578926537592125</v>
      </c>
      <c r="L134" s="15">
        <v>132</v>
      </c>
      <c r="M134" s="16">
        <v>0</v>
      </c>
      <c r="N134" s="16">
        <v>0</v>
      </c>
      <c r="O134" s="16">
        <v>6</v>
      </c>
      <c r="P134" s="16">
        <v>132</v>
      </c>
      <c r="Q134" s="29">
        <v>18</v>
      </c>
      <c r="R134" s="20">
        <v>0.53579999999999994</v>
      </c>
      <c r="S134" s="32">
        <v>9.6443999999999992</v>
      </c>
      <c r="T134" s="35">
        <v>0.33</v>
      </c>
      <c r="U134" s="35">
        <v>0.01</v>
      </c>
      <c r="V134" s="35">
        <v>1.8333333333333333E-2</v>
      </c>
      <c r="W134" s="9" t="s">
        <v>152</v>
      </c>
      <c r="X134" s="15">
        <v>133</v>
      </c>
      <c r="Y134" s="39">
        <v>0.49558428143493904</v>
      </c>
      <c r="Z134" s="39">
        <v>0.48723948987694321</v>
      </c>
      <c r="AA134" s="39">
        <v>0.5075858378069743</v>
      </c>
      <c r="AB134" s="39">
        <v>0.47217182275643654</v>
      </c>
      <c r="AC134" s="39">
        <v>0.48921651229616414</v>
      </c>
      <c r="AD134" s="39">
        <v>0.48141306219057106</v>
      </c>
      <c r="AE134" s="39">
        <v>0.50037145912640646</v>
      </c>
      <c r="AF134" s="40">
        <v>0.47085932170752715</v>
      </c>
    </row>
    <row r="135" spans="1:32">
      <c r="A135" s="15">
        <v>133</v>
      </c>
      <c r="B135" s="16">
        <v>1</v>
      </c>
      <c r="C135" s="20">
        <v>0.89</v>
      </c>
      <c r="D135" s="20">
        <v>0.24559627500636821</v>
      </c>
      <c r="E135" s="20">
        <v>0.11</v>
      </c>
      <c r="F135" s="8" t="s">
        <v>434</v>
      </c>
      <c r="G135" s="24">
        <v>1.6999648754262016</v>
      </c>
      <c r="H135" s="24">
        <v>1.7098072381268197</v>
      </c>
      <c r="I135" s="25">
        <v>1.6578926537592125</v>
      </c>
      <c r="L135" s="15">
        <v>133</v>
      </c>
      <c r="M135" s="16">
        <v>0</v>
      </c>
      <c r="N135" s="16">
        <v>0</v>
      </c>
      <c r="O135" s="16">
        <v>6</v>
      </c>
      <c r="P135" s="16">
        <v>133</v>
      </c>
      <c r="Q135" s="29">
        <v>23</v>
      </c>
      <c r="R135" s="20">
        <v>0.53579999999999994</v>
      </c>
      <c r="S135" s="32">
        <v>12.323399999999999</v>
      </c>
      <c r="T135" s="35">
        <v>0.73</v>
      </c>
      <c r="U135" s="35">
        <v>0.41</v>
      </c>
      <c r="V135" s="35">
        <v>3.173913043478261E-2</v>
      </c>
      <c r="W135" s="9" t="s">
        <v>152</v>
      </c>
      <c r="X135" s="15">
        <v>134</v>
      </c>
      <c r="Y135" s="39">
        <v>0.49545447534029707</v>
      </c>
      <c r="Z135" s="39">
        <v>0.48646365099262578</v>
      </c>
      <c r="AA135" s="39">
        <v>0.46446834135284754</v>
      </c>
      <c r="AB135" s="39">
        <v>0.49816250818595792</v>
      </c>
      <c r="AC135" s="39">
        <v>0.48680329636284358</v>
      </c>
      <c r="AD135" s="39">
        <v>0.4790835772300408</v>
      </c>
      <c r="AE135" s="39">
        <v>0.45703846064178688</v>
      </c>
      <c r="AF135" s="40">
        <v>0.49441116858891276</v>
      </c>
    </row>
    <row r="136" spans="1:32">
      <c r="A136" s="15">
        <v>134</v>
      </c>
      <c r="B136" s="16">
        <v>1</v>
      </c>
      <c r="C136" s="20">
        <v>0.02</v>
      </c>
      <c r="D136" s="20">
        <v>0.99604261948721451</v>
      </c>
      <c r="E136" s="20">
        <v>1</v>
      </c>
      <c r="F136" s="8" t="s">
        <v>436</v>
      </c>
      <c r="G136" s="24">
        <v>0.97555194247660459</v>
      </c>
      <c r="H136" s="24">
        <v>0.98120013920698701</v>
      </c>
      <c r="I136" s="25">
        <v>0.99835999046142254</v>
      </c>
      <c r="L136" s="15">
        <v>134</v>
      </c>
      <c r="M136" s="16">
        <v>0</v>
      </c>
      <c r="N136" s="16">
        <v>0</v>
      </c>
      <c r="O136" s="16">
        <v>6</v>
      </c>
      <c r="P136" s="16">
        <v>134</v>
      </c>
      <c r="Q136" s="29">
        <v>28</v>
      </c>
      <c r="R136" s="20">
        <v>0.53579999999999994</v>
      </c>
      <c r="S136" s="32">
        <v>15.002399999999998</v>
      </c>
      <c r="T136" s="35">
        <v>0.9</v>
      </c>
      <c r="U136" s="35">
        <v>0.56999999999999995</v>
      </c>
      <c r="V136" s="35">
        <v>3.2142857142857147E-2</v>
      </c>
      <c r="W136" s="9" t="s">
        <v>152</v>
      </c>
      <c r="X136" s="15">
        <v>135</v>
      </c>
      <c r="Y136" s="39">
        <v>0.49655319193514136</v>
      </c>
      <c r="Z136" s="39">
        <v>0.47913729747180783</v>
      </c>
      <c r="AA136" s="39">
        <v>0.48296807800439362</v>
      </c>
      <c r="AB136" s="39">
        <v>0.48886588584660429</v>
      </c>
      <c r="AC136" s="39">
        <v>0.49037540211365982</v>
      </c>
      <c r="AD136" s="39">
        <v>0.47349367278969567</v>
      </c>
      <c r="AE136" s="39">
        <v>0.477649442453564</v>
      </c>
      <c r="AF136" s="40">
        <v>0.4857395374638131</v>
      </c>
    </row>
    <row r="137" spans="1:32">
      <c r="A137" s="15">
        <v>135</v>
      </c>
      <c r="B137" s="16">
        <v>1</v>
      </c>
      <c r="C137" s="20">
        <v>0.92</v>
      </c>
      <c r="D137" s="20">
        <v>0.20258497911151899</v>
      </c>
      <c r="E137" s="20">
        <v>0.08</v>
      </c>
      <c r="F137" s="8" t="s">
        <v>434</v>
      </c>
      <c r="G137" s="24">
        <v>0.44185885329265112</v>
      </c>
      <c r="H137" s="24">
        <v>0.44441710326560729</v>
      </c>
      <c r="I137" s="25">
        <v>0.45218935184389264</v>
      </c>
      <c r="L137" s="15">
        <v>135</v>
      </c>
      <c r="M137" s="16">
        <v>0</v>
      </c>
      <c r="N137" s="16">
        <v>0</v>
      </c>
      <c r="O137" s="16">
        <v>6</v>
      </c>
      <c r="P137" s="16">
        <v>135</v>
      </c>
      <c r="Q137" s="29">
        <v>30</v>
      </c>
      <c r="R137" s="20">
        <v>0.53579999999999994</v>
      </c>
      <c r="S137" s="32">
        <v>16.073999999999998</v>
      </c>
      <c r="T137" s="35">
        <v>0.82</v>
      </c>
      <c r="U137" s="35">
        <v>0.37</v>
      </c>
      <c r="V137" s="35">
        <v>2.7333333333333331E-2</v>
      </c>
      <c r="W137" s="9" t="s">
        <v>152</v>
      </c>
      <c r="X137" s="15">
        <v>136</v>
      </c>
      <c r="Y137" s="39">
        <v>0.48069716233130833</v>
      </c>
      <c r="Z137" s="39">
        <v>0.48108247522664715</v>
      </c>
      <c r="AA137" s="39">
        <v>0.48517032359774293</v>
      </c>
      <c r="AB137" s="39">
        <v>0.50219618989201797</v>
      </c>
      <c r="AC137" s="39">
        <v>0.47438636801011891</v>
      </c>
      <c r="AD137" s="39">
        <v>0.47454959958998</v>
      </c>
      <c r="AE137" s="39">
        <v>0.47986275515117105</v>
      </c>
      <c r="AF137" s="40">
        <v>0.49695013777310165</v>
      </c>
    </row>
    <row r="138" spans="1:32">
      <c r="A138" s="15">
        <v>136</v>
      </c>
      <c r="B138" s="16">
        <v>1</v>
      </c>
      <c r="C138" s="20">
        <v>0.9</v>
      </c>
      <c r="D138" s="20">
        <v>0.231595386583653</v>
      </c>
      <c r="E138" s="20">
        <v>0.1</v>
      </c>
      <c r="F138" s="8" t="s">
        <v>434</v>
      </c>
      <c r="G138" s="24">
        <v>1.2630122880267187</v>
      </c>
      <c r="H138" s="24">
        <v>1.2703248067815429</v>
      </c>
      <c r="I138" s="25">
        <v>1.2925410538632123</v>
      </c>
      <c r="L138" s="15">
        <v>136</v>
      </c>
      <c r="M138" s="16">
        <v>0</v>
      </c>
      <c r="N138" s="16">
        <v>0</v>
      </c>
      <c r="O138" s="16">
        <v>6</v>
      </c>
      <c r="P138" s="16">
        <v>136</v>
      </c>
      <c r="Q138" s="29">
        <v>21</v>
      </c>
      <c r="R138" s="20">
        <v>0.53579999999999994</v>
      </c>
      <c r="S138" s="32">
        <v>11.251799999999999</v>
      </c>
      <c r="T138" s="35">
        <v>0.53</v>
      </c>
      <c r="U138" s="35">
        <v>0.26</v>
      </c>
      <c r="V138" s="35">
        <v>2.523809523809524E-2</v>
      </c>
      <c r="W138" s="9" t="s">
        <v>152</v>
      </c>
      <c r="X138" s="15">
        <v>137</v>
      </c>
      <c r="Y138" s="39">
        <v>0.46762482165127167</v>
      </c>
      <c r="Z138" s="39">
        <v>0.48092018393518227</v>
      </c>
      <c r="AA138" s="39">
        <v>0.50218252262809093</v>
      </c>
      <c r="AB138" s="39">
        <v>0.49131083621887817</v>
      </c>
      <c r="AC138" s="39">
        <v>0.46438583826820395</v>
      </c>
      <c r="AD138" s="39">
        <v>0.47706130683458353</v>
      </c>
      <c r="AE138" s="39">
        <v>0.49323397844616512</v>
      </c>
      <c r="AF138" s="40">
        <v>0.48868312989213347</v>
      </c>
    </row>
    <row r="139" spans="1:32">
      <c r="A139" s="15">
        <v>137</v>
      </c>
      <c r="B139" s="16">
        <v>0</v>
      </c>
      <c r="C139" s="20">
        <v>0.91</v>
      </c>
      <c r="D139" s="20">
        <v>0.21727233298780477</v>
      </c>
      <c r="E139" s="20">
        <v>0.09</v>
      </c>
      <c r="F139" s="8" t="s">
        <v>434</v>
      </c>
      <c r="G139" s="24">
        <v>0.40064661083463399</v>
      </c>
      <c r="H139" s="24">
        <v>0.40296625244347561</v>
      </c>
      <c r="I139" s="25">
        <v>0.41001358221462297</v>
      </c>
      <c r="L139" s="15">
        <v>137</v>
      </c>
      <c r="M139" s="16">
        <v>0</v>
      </c>
      <c r="N139" s="16">
        <v>0</v>
      </c>
      <c r="O139" s="16">
        <v>6</v>
      </c>
      <c r="P139" s="16">
        <v>137</v>
      </c>
      <c r="Q139" s="29">
        <v>18</v>
      </c>
      <c r="R139" s="20">
        <v>0.53579999999999994</v>
      </c>
      <c r="S139" s="32">
        <v>9.6443999999999992</v>
      </c>
      <c r="T139" s="35">
        <v>1.58</v>
      </c>
      <c r="U139" s="35">
        <v>1.35</v>
      </c>
      <c r="V139" s="35">
        <v>8.7777777777777788E-2</v>
      </c>
      <c r="W139" s="9" t="s">
        <v>153</v>
      </c>
      <c r="X139" s="15">
        <v>138</v>
      </c>
      <c r="Y139" s="39">
        <v>0.49001828212780391</v>
      </c>
      <c r="Z139" s="39">
        <v>0.48379655896924006</v>
      </c>
      <c r="AA139" s="39">
        <v>0.48295199169128716</v>
      </c>
      <c r="AB139" s="39">
        <v>0.4842813871107024</v>
      </c>
      <c r="AC139" s="39">
        <v>0.48381390170495575</v>
      </c>
      <c r="AD139" s="39">
        <v>0.4792706463649048</v>
      </c>
      <c r="AE139" s="39">
        <v>0.47651104599391397</v>
      </c>
      <c r="AF139" s="40">
        <v>0.4763338544369648</v>
      </c>
    </row>
    <row r="140" spans="1:32">
      <c r="A140" s="15">
        <v>138</v>
      </c>
      <c r="B140" s="16">
        <v>1</v>
      </c>
      <c r="C140" s="20">
        <v>0.12</v>
      </c>
      <c r="D140" s="20">
        <v>0.92038820906145058</v>
      </c>
      <c r="E140" s="20">
        <v>7.0000000000000007E-2</v>
      </c>
      <c r="F140" s="8" t="s">
        <v>436</v>
      </c>
      <c r="G140" s="24">
        <v>1.1301871678541575</v>
      </c>
      <c r="H140" s="24">
        <v>1.1367306630677372</v>
      </c>
      <c r="I140" s="25">
        <v>1.1566105309103603</v>
      </c>
      <c r="L140" s="15">
        <v>138</v>
      </c>
      <c r="M140" s="16">
        <v>0</v>
      </c>
      <c r="N140" s="16">
        <v>0</v>
      </c>
      <c r="O140" s="16">
        <v>6</v>
      </c>
      <c r="P140" s="16">
        <v>138</v>
      </c>
      <c r="Q140" s="29">
        <v>26</v>
      </c>
      <c r="R140" s="20">
        <v>0.53579999999999994</v>
      </c>
      <c r="S140" s="32">
        <v>13.930799999999998</v>
      </c>
      <c r="T140" s="35">
        <v>0.78</v>
      </c>
      <c r="U140" s="35">
        <v>0.28999999999999998</v>
      </c>
      <c r="V140" s="35">
        <v>3.0000000000000002E-2</v>
      </c>
      <c r="W140" s="9" t="s">
        <v>152</v>
      </c>
      <c r="X140" s="15">
        <v>139</v>
      </c>
      <c r="Y140" s="39">
        <v>0.48570469307859543</v>
      </c>
      <c r="Z140" s="39">
        <v>0.48422360747767812</v>
      </c>
      <c r="AA140" s="39">
        <v>0.48198608262574627</v>
      </c>
      <c r="AB140" s="39">
        <v>0.4857814961242633</v>
      </c>
      <c r="AC140" s="39">
        <v>0.47640671062682183</v>
      </c>
      <c r="AD140" s="39">
        <v>0.47891015698067729</v>
      </c>
      <c r="AE140" s="39">
        <v>0.47469087998446902</v>
      </c>
      <c r="AF140" s="40">
        <v>0.48447888715210424</v>
      </c>
    </row>
    <row r="141" spans="1:32">
      <c r="A141" s="15">
        <v>139</v>
      </c>
      <c r="B141" s="16">
        <v>0</v>
      </c>
      <c r="C141" s="20">
        <v>0.94</v>
      </c>
      <c r="D141" s="20">
        <v>0.17188516685452584</v>
      </c>
      <c r="E141" s="20">
        <v>0.06</v>
      </c>
      <c r="F141" s="8" t="s">
        <v>434</v>
      </c>
      <c r="G141" s="24">
        <v>0.7601214647754404</v>
      </c>
      <c r="H141" s="24">
        <v>0.76452237403009149</v>
      </c>
      <c r="I141" s="25">
        <v>0.77789282690186468</v>
      </c>
      <c r="L141" s="15">
        <v>139</v>
      </c>
      <c r="M141" s="16">
        <v>0</v>
      </c>
      <c r="N141" s="16">
        <v>0</v>
      </c>
      <c r="O141" s="16">
        <v>6</v>
      </c>
      <c r="P141" s="16">
        <v>139</v>
      </c>
      <c r="Q141" s="29">
        <v>18</v>
      </c>
      <c r="R141" s="20">
        <v>0.53579999999999994</v>
      </c>
      <c r="S141" s="32">
        <v>9.6443999999999992</v>
      </c>
      <c r="T141" s="35">
        <v>0.86</v>
      </c>
      <c r="U141" s="35">
        <v>0.56000000000000005</v>
      </c>
      <c r="V141" s="35">
        <v>4.777777777777778E-2</v>
      </c>
      <c r="W141" s="9" t="s">
        <v>152</v>
      </c>
      <c r="X141" s="15">
        <v>140</v>
      </c>
      <c r="Y141" s="39">
        <v>0.47166960703667143</v>
      </c>
      <c r="Z141" s="39">
        <v>0.48674154230601641</v>
      </c>
      <c r="AA141" s="39">
        <v>0.47837948027374649</v>
      </c>
      <c r="AB141" s="39">
        <v>0.47913170148220646</v>
      </c>
      <c r="AC141" s="39">
        <v>0.46551664628962447</v>
      </c>
      <c r="AD141" s="39">
        <v>0.4812373143545034</v>
      </c>
      <c r="AE141" s="39">
        <v>0.47200924750466466</v>
      </c>
      <c r="AF141" s="40">
        <v>0.47458179356857116</v>
      </c>
    </row>
    <row r="142" spans="1:32">
      <c r="A142" s="15">
        <v>140</v>
      </c>
      <c r="B142" s="16">
        <v>0</v>
      </c>
      <c r="C142" s="20">
        <v>0.91</v>
      </c>
      <c r="D142" s="20">
        <v>0.21727233298780477</v>
      </c>
      <c r="E142" s="20">
        <v>0.09</v>
      </c>
      <c r="F142" s="8" t="s">
        <v>434</v>
      </c>
      <c r="G142" s="24">
        <v>1.2316608257067265</v>
      </c>
      <c r="H142" s="24">
        <v>1.2387918274974012</v>
      </c>
      <c r="I142" s="25">
        <v>1.2604566058088333</v>
      </c>
      <c r="L142" s="15">
        <v>140</v>
      </c>
      <c r="M142" s="16">
        <v>0</v>
      </c>
      <c r="N142" s="16">
        <v>0</v>
      </c>
      <c r="O142" s="16">
        <v>6</v>
      </c>
      <c r="P142" s="16">
        <v>140</v>
      </c>
      <c r="Q142" s="29">
        <v>32</v>
      </c>
      <c r="R142" s="20">
        <v>0.53579999999999994</v>
      </c>
      <c r="S142" s="32">
        <v>17.145599999999998</v>
      </c>
      <c r="T142" s="35">
        <v>0.76</v>
      </c>
      <c r="U142" s="35">
        <v>0.37</v>
      </c>
      <c r="V142" s="35">
        <v>2.375E-2</v>
      </c>
      <c r="W142" s="9" t="s">
        <v>152</v>
      </c>
      <c r="X142" s="15">
        <v>141</v>
      </c>
      <c r="Y142" s="39">
        <v>0.47530148623379559</v>
      </c>
      <c r="Z142" s="39">
        <v>0.48663186173380757</v>
      </c>
      <c r="AA142" s="39">
        <v>0.49315055354125675</v>
      </c>
      <c r="AB142" s="39">
        <v>0.49089983450515423</v>
      </c>
      <c r="AC142" s="39">
        <v>0.46857936767986103</v>
      </c>
      <c r="AD142" s="39">
        <v>0.48110106671418257</v>
      </c>
      <c r="AE142" s="39">
        <v>0.48456205747508485</v>
      </c>
      <c r="AF142" s="40">
        <v>0.48568987024257126</v>
      </c>
    </row>
    <row r="143" spans="1:32">
      <c r="A143" s="15">
        <v>141</v>
      </c>
      <c r="B143" s="16">
        <v>1</v>
      </c>
      <c r="C143" s="20">
        <v>0.92</v>
      </c>
      <c r="D143" s="20">
        <v>0.20258497911151899</v>
      </c>
      <c r="E143" s="20">
        <v>0.08</v>
      </c>
      <c r="F143" s="8" t="s">
        <v>434</v>
      </c>
      <c r="G143" s="24">
        <v>0.53843804824585051</v>
      </c>
      <c r="H143" s="24">
        <v>0.54155546710506075</v>
      </c>
      <c r="I143" s="25">
        <v>0.55102653308866301</v>
      </c>
      <c r="L143" s="15">
        <v>141</v>
      </c>
      <c r="M143" s="16">
        <v>0</v>
      </c>
      <c r="N143" s="16">
        <v>0</v>
      </c>
      <c r="O143" s="16">
        <v>6</v>
      </c>
      <c r="P143" s="16">
        <v>141</v>
      </c>
      <c r="Q143" s="29">
        <v>17</v>
      </c>
      <c r="R143" s="20">
        <v>0.53579999999999994</v>
      </c>
      <c r="S143" s="32">
        <v>9.1085999999999991</v>
      </c>
      <c r="T143" s="35">
        <v>0.5</v>
      </c>
      <c r="U143" s="35">
        <v>0.28999999999999998</v>
      </c>
      <c r="V143" s="35">
        <v>2.9411764705882353E-2</v>
      </c>
      <c r="W143" s="9" t="s">
        <v>152</v>
      </c>
      <c r="X143" s="15">
        <v>142</v>
      </c>
      <c r="Y143" s="39">
        <v>0.49303165748807504</v>
      </c>
      <c r="Z143" s="39">
        <v>0.4942837308724306</v>
      </c>
      <c r="AA143" s="39">
        <v>0.48659947395909275</v>
      </c>
      <c r="AB143" s="39">
        <v>0.4881413483282398</v>
      </c>
      <c r="AC143" s="39">
        <v>0.48683377455522453</v>
      </c>
      <c r="AD143" s="39">
        <v>0.4851009562652962</v>
      </c>
      <c r="AE143" s="39">
        <v>0.48097346117891154</v>
      </c>
      <c r="AF143" s="40">
        <v>0.48173074708467473</v>
      </c>
    </row>
    <row r="144" spans="1:32">
      <c r="A144" s="15">
        <v>142</v>
      </c>
      <c r="B144" s="16">
        <v>1</v>
      </c>
      <c r="C144" s="20">
        <v>0.35</v>
      </c>
      <c r="D144" s="20">
        <v>0.76383933212824595</v>
      </c>
      <c r="E144" s="20">
        <v>0.13</v>
      </c>
      <c r="F144" s="8" t="s">
        <v>436</v>
      </c>
      <c r="G144" s="24">
        <v>0.74511663615670909</v>
      </c>
      <c r="H144" s="24">
        <v>0.74943067128374674</v>
      </c>
      <c r="I144" s="25">
        <v>0.76253719087223204</v>
      </c>
      <c r="L144" s="15">
        <v>142</v>
      </c>
      <c r="M144" s="16">
        <v>0</v>
      </c>
      <c r="N144" s="16">
        <v>0</v>
      </c>
      <c r="O144" s="16">
        <v>6</v>
      </c>
      <c r="P144" s="16">
        <v>142</v>
      </c>
      <c r="Q144" s="29">
        <v>20</v>
      </c>
      <c r="R144" s="20">
        <v>0.53579999999999994</v>
      </c>
      <c r="S144" s="32">
        <v>10.715999999999999</v>
      </c>
      <c r="T144" s="35">
        <v>0.57000000000000006</v>
      </c>
      <c r="U144" s="35">
        <v>0.35</v>
      </c>
      <c r="V144" s="35">
        <v>2.8500000000000004E-2</v>
      </c>
      <c r="W144" s="9" t="s">
        <v>152</v>
      </c>
      <c r="X144" s="15">
        <v>143</v>
      </c>
      <c r="Y144" s="39">
        <v>0.4914797998270608</v>
      </c>
      <c r="Z144" s="39">
        <v>0.48405503959269147</v>
      </c>
      <c r="AA144" s="39">
        <v>0.49663031082922493</v>
      </c>
      <c r="AB144" s="39">
        <v>0.49949279045110218</v>
      </c>
      <c r="AC144" s="39">
        <v>0.4845023254574885</v>
      </c>
      <c r="AD144" s="39">
        <v>0.47899686583975937</v>
      </c>
      <c r="AE144" s="39">
        <v>0.48630980430416298</v>
      </c>
      <c r="AF144" s="40">
        <v>0.49517152146108667</v>
      </c>
    </row>
    <row r="145" spans="1:32">
      <c r="A145" s="15">
        <v>143</v>
      </c>
      <c r="B145" s="16">
        <v>1</v>
      </c>
      <c r="C145" s="20">
        <v>0.02</v>
      </c>
      <c r="D145" s="20">
        <v>0.99756714174924133</v>
      </c>
      <c r="E145" s="20">
        <v>1</v>
      </c>
      <c r="F145" s="8" t="s">
        <v>436</v>
      </c>
      <c r="G145" s="24">
        <v>1.0782339294232453</v>
      </c>
      <c r="H145" s="24">
        <v>1.0844766286477427</v>
      </c>
      <c r="I145" s="25">
        <v>1.1034426447467083</v>
      </c>
      <c r="L145" s="15">
        <v>143</v>
      </c>
      <c r="M145" s="16">
        <v>0</v>
      </c>
      <c r="N145" s="16">
        <v>0</v>
      </c>
      <c r="O145" s="16">
        <v>7</v>
      </c>
      <c r="P145" s="16">
        <v>188</v>
      </c>
      <c r="Q145" s="29">
        <v>21</v>
      </c>
      <c r="R145" s="20">
        <v>0.53579999999999994</v>
      </c>
      <c r="S145" s="32">
        <v>11.251799999999999</v>
      </c>
      <c r="T145" s="35">
        <v>0.61</v>
      </c>
      <c r="U145" s="35">
        <v>0.37</v>
      </c>
      <c r="V145" s="35">
        <v>2.9047619047619048E-2</v>
      </c>
      <c r="W145" s="9" t="s">
        <v>152</v>
      </c>
      <c r="X145" s="15">
        <v>144</v>
      </c>
      <c r="Y145" s="39">
        <v>0.49216850789218874</v>
      </c>
      <c r="Z145" s="39">
        <v>0.48676242638144518</v>
      </c>
      <c r="AA145" s="39">
        <v>0.48943006577937181</v>
      </c>
      <c r="AB145" s="39">
        <v>0.49714625678399943</v>
      </c>
      <c r="AC145" s="39">
        <v>0.48674059156937166</v>
      </c>
      <c r="AD145" s="39">
        <v>0.48163474997325667</v>
      </c>
      <c r="AE145" s="39">
        <v>0.48259148937136959</v>
      </c>
      <c r="AF145" s="40">
        <v>0.49127151096999405</v>
      </c>
    </row>
    <row r="146" spans="1:32">
      <c r="A146" s="15">
        <v>144</v>
      </c>
      <c r="B146" s="16">
        <v>0</v>
      </c>
      <c r="C146" s="20">
        <v>0.09</v>
      </c>
      <c r="D146" s="20">
        <v>0.93598737862703496</v>
      </c>
      <c r="E146" s="20">
        <v>0.08</v>
      </c>
      <c r="F146" s="8" t="s">
        <v>436</v>
      </c>
      <c r="G146" s="24">
        <v>1.1219791879628123</v>
      </c>
      <c r="H146" s="24">
        <v>1.1284751610679662</v>
      </c>
      <c r="I146" s="25">
        <v>1.148210651448045</v>
      </c>
      <c r="L146" s="15">
        <v>144</v>
      </c>
      <c r="M146" s="16">
        <v>0</v>
      </c>
      <c r="N146" s="16">
        <v>0</v>
      </c>
      <c r="O146" s="16">
        <v>7</v>
      </c>
      <c r="P146" s="16">
        <v>189</v>
      </c>
      <c r="Q146" s="29">
        <v>33</v>
      </c>
      <c r="R146" s="20">
        <v>0.53579999999999994</v>
      </c>
      <c r="S146" s="32">
        <v>17.681399999999996</v>
      </c>
      <c r="T146" s="35">
        <v>0.89</v>
      </c>
      <c r="U146" s="35">
        <v>0.39</v>
      </c>
      <c r="V146" s="35">
        <v>2.696969696969697E-2</v>
      </c>
      <c r="W146" s="9" t="s">
        <v>152</v>
      </c>
      <c r="X146" s="15">
        <v>145</v>
      </c>
      <c r="Y146" s="39">
        <v>0.50707710747179191</v>
      </c>
      <c r="Z146" s="39">
        <v>0.46662410483928674</v>
      </c>
      <c r="AA146" s="39">
        <v>0.48073630995244521</v>
      </c>
      <c r="AB146" s="39">
        <v>0.48929001719429299</v>
      </c>
      <c r="AC146" s="39">
        <v>0.49992113062343019</v>
      </c>
      <c r="AD146" s="39">
        <v>0.46048245436317842</v>
      </c>
      <c r="AE146" s="39">
        <v>0.47359368205382729</v>
      </c>
      <c r="AF146" s="40">
        <v>0.48636711039851649</v>
      </c>
    </row>
    <row r="147" spans="1:32">
      <c r="A147" s="15">
        <v>145</v>
      </c>
      <c r="B147" s="16">
        <v>0</v>
      </c>
      <c r="C147" s="20">
        <v>0.63</v>
      </c>
      <c r="D147" s="20">
        <v>0.44473274464235513</v>
      </c>
      <c r="E147" s="20">
        <v>0.1</v>
      </c>
      <c r="F147" s="8" t="s">
        <v>438</v>
      </c>
      <c r="G147" s="24">
        <v>0.81896775370431396</v>
      </c>
      <c r="H147" s="24">
        <v>0.82370936795093042</v>
      </c>
      <c r="I147" s="25">
        <v>0.83811492056565662</v>
      </c>
      <c r="L147" s="15">
        <v>145</v>
      </c>
      <c r="M147" s="16">
        <v>0</v>
      </c>
      <c r="N147" s="16">
        <v>0</v>
      </c>
      <c r="O147" s="16">
        <v>7</v>
      </c>
      <c r="P147" s="16">
        <v>190</v>
      </c>
      <c r="Q147" s="29">
        <v>25</v>
      </c>
      <c r="R147" s="20">
        <v>0.53579999999999994</v>
      </c>
      <c r="S147" s="32">
        <v>13.394999999999998</v>
      </c>
      <c r="T147" s="35">
        <v>1.65</v>
      </c>
      <c r="U147" s="35">
        <v>1.34</v>
      </c>
      <c r="V147" s="35">
        <v>6.6000000000000003E-2</v>
      </c>
      <c r="W147" s="9" t="s">
        <v>153</v>
      </c>
      <c r="X147" s="15">
        <v>146</v>
      </c>
      <c r="Y147" s="39">
        <v>0.48285764620143368</v>
      </c>
      <c r="Z147" s="39">
        <v>0.49397111187655718</v>
      </c>
      <c r="AA147" s="39">
        <v>0.48661390969528223</v>
      </c>
      <c r="AB147" s="39">
        <v>0.48789429399867401</v>
      </c>
      <c r="AC147" s="39">
        <v>0.47566190472698172</v>
      </c>
      <c r="AD147" s="39">
        <v>0.48630361866611305</v>
      </c>
      <c r="AE147" s="39">
        <v>0.47786038466443542</v>
      </c>
      <c r="AF147" s="40">
        <v>0.48263783791158926</v>
      </c>
    </row>
    <row r="148" spans="1:32">
      <c r="A148" s="15">
        <v>146</v>
      </c>
      <c r="B148" s="16">
        <v>1</v>
      </c>
      <c r="C148" s="20">
        <v>0.06</v>
      </c>
      <c r="D148" s="20">
        <v>0.93801203094492813</v>
      </c>
      <c r="E148" s="20">
        <v>0.37</v>
      </c>
      <c r="F148" s="8" t="s">
        <v>436</v>
      </c>
      <c r="G148" s="24">
        <v>1.0348179997553273</v>
      </c>
      <c r="H148" s="24">
        <v>1.0408093318292717</v>
      </c>
      <c r="I148" s="25">
        <v>1.0590116665057154</v>
      </c>
      <c r="L148" s="15">
        <v>146</v>
      </c>
      <c r="M148" s="16">
        <v>0</v>
      </c>
      <c r="N148" s="16">
        <v>0</v>
      </c>
      <c r="O148" s="16">
        <v>7</v>
      </c>
      <c r="P148" s="16">
        <v>191</v>
      </c>
      <c r="Q148" s="29">
        <v>31</v>
      </c>
      <c r="R148" s="20">
        <v>0.53579999999999994</v>
      </c>
      <c r="S148" s="32">
        <v>16.6098</v>
      </c>
      <c r="T148" s="35">
        <v>0.45</v>
      </c>
      <c r="U148" s="35">
        <v>0.06</v>
      </c>
      <c r="V148" s="35">
        <v>1.4516129032258065E-2</v>
      </c>
      <c r="W148" s="9" t="s">
        <v>152</v>
      </c>
      <c r="X148" s="15">
        <v>147</v>
      </c>
      <c r="Y148" s="39">
        <v>0.48782631119180475</v>
      </c>
      <c r="Z148" s="39">
        <v>0.47843475925145112</v>
      </c>
      <c r="AA148" s="39">
        <v>0.47600005333361223</v>
      </c>
      <c r="AB148" s="39">
        <v>0.49476972322970986</v>
      </c>
      <c r="AC148" s="39">
        <v>0.48164202290095282</v>
      </c>
      <c r="AD148" s="39">
        <v>0.47331732428047413</v>
      </c>
      <c r="AE148" s="39">
        <v>0.47027641065846743</v>
      </c>
      <c r="AF148" s="40">
        <v>0.49232395230492665</v>
      </c>
    </row>
    <row r="149" spans="1:32">
      <c r="A149" s="15">
        <v>147</v>
      </c>
      <c r="B149" s="16">
        <v>0</v>
      </c>
      <c r="C149" s="20">
        <v>0.02</v>
      </c>
      <c r="D149" s="20">
        <v>0.99756714174924133</v>
      </c>
      <c r="E149" s="20">
        <v>1</v>
      </c>
      <c r="F149" s="8" t="s">
        <v>436</v>
      </c>
      <c r="G149" s="24">
        <v>1.0277443723271631</v>
      </c>
      <c r="H149" s="24">
        <v>1.0336947499038922</v>
      </c>
      <c r="I149" s="25">
        <v>1.0517726602527204</v>
      </c>
      <c r="L149" s="15">
        <v>147</v>
      </c>
      <c r="M149" s="16">
        <v>0</v>
      </c>
      <c r="N149" s="16">
        <v>0</v>
      </c>
      <c r="O149" s="16">
        <v>7</v>
      </c>
      <c r="P149" s="16">
        <v>192</v>
      </c>
      <c r="Q149" s="29">
        <v>23</v>
      </c>
      <c r="R149" s="20">
        <v>0.53579999999999994</v>
      </c>
      <c r="S149" s="32">
        <v>12.323399999999999</v>
      </c>
      <c r="T149" s="35">
        <v>0.83000000000000007</v>
      </c>
      <c r="U149" s="35">
        <v>0.38</v>
      </c>
      <c r="V149" s="35">
        <v>3.6086956521739134E-2</v>
      </c>
      <c r="W149" s="9" t="s">
        <v>152</v>
      </c>
      <c r="X149" s="15">
        <v>148</v>
      </c>
      <c r="Y149" s="39">
        <v>0.4890238984119884</v>
      </c>
      <c r="Z149" s="39">
        <v>0.48208520967448654</v>
      </c>
      <c r="AA149" s="39">
        <v>0.47971150274814234</v>
      </c>
      <c r="AB149" s="39">
        <v>0.50108379130430691</v>
      </c>
      <c r="AC149" s="39">
        <v>0.48083455942735548</v>
      </c>
      <c r="AD149" s="39">
        <v>0.47417325080115197</v>
      </c>
      <c r="AE149" s="39">
        <v>0.47188317794902496</v>
      </c>
      <c r="AF149" s="40">
        <v>0.49677290161200477</v>
      </c>
    </row>
    <row r="150" spans="1:32">
      <c r="A150" s="15">
        <v>148</v>
      </c>
      <c r="B150" s="16">
        <v>0</v>
      </c>
      <c r="C150" s="20">
        <v>0.91</v>
      </c>
      <c r="D150" s="20">
        <v>0.21727233298780477</v>
      </c>
      <c r="E150" s="20">
        <v>0.09</v>
      </c>
      <c r="F150" s="8" t="s">
        <v>434</v>
      </c>
      <c r="G150" s="24">
        <v>0.91103142699159645</v>
      </c>
      <c r="H150" s="24">
        <v>0.91630606640664025</v>
      </c>
      <c r="I150" s="25">
        <v>0.93233100889776421</v>
      </c>
      <c r="L150" s="15">
        <v>148</v>
      </c>
      <c r="M150" s="16">
        <v>0</v>
      </c>
      <c r="N150" s="16">
        <v>0</v>
      </c>
      <c r="O150" s="16">
        <v>7</v>
      </c>
      <c r="P150" s="16">
        <v>193</v>
      </c>
      <c r="Q150" s="29">
        <v>25</v>
      </c>
      <c r="R150" s="20">
        <v>0.53579999999999994</v>
      </c>
      <c r="S150" s="32">
        <v>13.394999999999998</v>
      </c>
      <c r="T150" s="35">
        <v>0.57999999999999996</v>
      </c>
      <c r="U150" s="35">
        <v>0.14000000000000001</v>
      </c>
      <c r="V150" s="35">
        <v>2.3199999999999998E-2</v>
      </c>
      <c r="W150" s="9" t="s">
        <v>152</v>
      </c>
      <c r="X150" s="15">
        <v>149</v>
      </c>
      <c r="Y150" s="39">
        <v>0.47876759126131158</v>
      </c>
      <c r="Z150" s="39">
        <v>0.5025598748290161</v>
      </c>
      <c r="AA150" s="39">
        <v>0.49042262056178676</v>
      </c>
      <c r="AB150" s="39">
        <v>0.49450407236090232</v>
      </c>
      <c r="AC150" s="39">
        <v>0.47441207968583771</v>
      </c>
      <c r="AD150" s="39">
        <v>0.49352227429966816</v>
      </c>
      <c r="AE150" s="39">
        <v>0.48486269827052514</v>
      </c>
      <c r="AF150" s="40">
        <v>0.48905692394264294</v>
      </c>
    </row>
    <row r="151" spans="1:32">
      <c r="A151" s="15">
        <v>149</v>
      </c>
      <c r="B151" s="16">
        <v>0</v>
      </c>
      <c r="C151" s="20">
        <v>0.8</v>
      </c>
      <c r="D151" s="20">
        <v>0.36115643774699402</v>
      </c>
      <c r="E151" s="20">
        <v>0.2</v>
      </c>
      <c r="F151" s="8" t="s">
        <v>434</v>
      </c>
      <c r="G151" s="24">
        <v>1.326967248996179</v>
      </c>
      <c r="H151" s="24">
        <v>1.3346500506500587</v>
      </c>
      <c r="I151" s="25">
        <v>1.3579912584533818</v>
      </c>
      <c r="L151" s="15">
        <v>149</v>
      </c>
      <c r="M151" s="16">
        <v>0</v>
      </c>
      <c r="N151" s="16">
        <v>0</v>
      </c>
      <c r="O151" s="16">
        <v>7</v>
      </c>
      <c r="P151" s="16">
        <v>194</v>
      </c>
      <c r="Q151" s="29">
        <v>38</v>
      </c>
      <c r="R151" s="20">
        <v>0.53579999999999994</v>
      </c>
      <c r="S151" s="32">
        <v>20.360399999999998</v>
      </c>
      <c r="T151" s="35">
        <v>1.04</v>
      </c>
      <c r="U151" s="35">
        <v>0.55000000000000004</v>
      </c>
      <c r="V151" s="35">
        <v>2.736842105263158E-2</v>
      </c>
      <c r="W151" s="9" t="s">
        <v>153</v>
      </c>
      <c r="X151" s="15">
        <v>150</v>
      </c>
      <c r="Y151" s="39">
        <v>0.49800236928041375</v>
      </c>
      <c r="Z151" s="39">
        <v>0.48879790388518335</v>
      </c>
      <c r="AA151" s="39">
        <v>0.49007935514289147</v>
      </c>
      <c r="AB151" s="39">
        <v>0.498171251504888</v>
      </c>
      <c r="AC151" s="39">
        <v>0.4896685150983745</v>
      </c>
      <c r="AD151" s="39">
        <v>0.48292263478336406</v>
      </c>
      <c r="AE151" s="39">
        <v>0.48480905972196842</v>
      </c>
      <c r="AF151" s="40">
        <v>0.49212311665843417</v>
      </c>
    </row>
    <row r="152" spans="1:32">
      <c r="A152" s="15">
        <v>150</v>
      </c>
      <c r="B152" s="16">
        <v>0</v>
      </c>
      <c r="C152" s="20">
        <v>0.3</v>
      </c>
      <c r="D152" s="20">
        <v>0.75675563996202577</v>
      </c>
      <c r="E152" s="20">
        <v>0.08</v>
      </c>
      <c r="F152" s="8" t="s">
        <v>436</v>
      </c>
      <c r="G152" s="24">
        <v>0.76958076127735187</v>
      </c>
      <c r="H152" s="24">
        <v>0.77403643744419648</v>
      </c>
      <c r="I152" s="25">
        <v>0.78757327829991675</v>
      </c>
      <c r="L152" s="15">
        <v>150</v>
      </c>
      <c r="M152" s="16">
        <v>0</v>
      </c>
      <c r="N152" s="16">
        <v>0</v>
      </c>
      <c r="O152" s="16">
        <v>7</v>
      </c>
      <c r="P152" s="16">
        <v>195</v>
      </c>
      <c r="Q152" s="29">
        <v>50</v>
      </c>
      <c r="R152" s="20">
        <v>0.53579999999999994</v>
      </c>
      <c r="S152" s="32">
        <v>26.789999999999996</v>
      </c>
      <c r="T152" s="35">
        <v>1.29</v>
      </c>
      <c r="U152" s="35">
        <v>0.55000000000000004</v>
      </c>
      <c r="V152" s="35">
        <v>2.58E-2</v>
      </c>
      <c r="W152" s="9" t="s">
        <v>153</v>
      </c>
      <c r="X152" s="15">
        <v>151</v>
      </c>
      <c r="Y152" s="39">
        <v>0.48864294077178161</v>
      </c>
      <c r="Z152" s="39">
        <v>0.47715461815752475</v>
      </c>
      <c r="AA152" s="39">
        <v>0.46694576251320202</v>
      </c>
      <c r="AB152" s="39">
        <v>0.49500939502999097</v>
      </c>
      <c r="AC152" s="39">
        <v>0.48308642777370786</v>
      </c>
      <c r="AD152" s="39">
        <v>0.47285446074721404</v>
      </c>
      <c r="AE152" s="39">
        <v>0.46405879801073946</v>
      </c>
      <c r="AF152" s="40">
        <v>0.48812557921062621</v>
      </c>
    </row>
    <row r="153" spans="1:32">
      <c r="A153" s="15">
        <v>151</v>
      </c>
      <c r="B153" s="16">
        <v>0</v>
      </c>
      <c r="C153" s="20">
        <v>0.02</v>
      </c>
      <c r="D153" s="20">
        <v>0.99604261948721451</v>
      </c>
      <c r="E153" s="20">
        <v>1</v>
      </c>
      <c r="F153" s="8" t="s">
        <v>436</v>
      </c>
      <c r="G153" s="24">
        <v>1.0442093639280758</v>
      </c>
      <c r="H153" s="24">
        <v>1.0502550696033681</v>
      </c>
      <c r="I153" s="25">
        <v>1.0686225973415688</v>
      </c>
      <c r="L153" s="15">
        <v>151</v>
      </c>
      <c r="M153" s="16">
        <v>0</v>
      </c>
      <c r="N153" s="16">
        <v>0</v>
      </c>
      <c r="O153" s="16">
        <v>8</v>
      </c>
      <c r="P153" s="16">
        <v>143</v>
      </c>
      <c r="Q153" s="29">
        <v>45</v>
      </c>
      <c r="R153" s="20">
        <v>0.53579999999999994</v>
      </c>
      <c r="S153" s="32">
        <v>24.110999999999997</v>
      </c>
      <c r="T153" s="35">
        <v>1.25</v>
      </c>
      <c r="U153" s="35">
        <v>0.6</v>
      </c>
      <c r="V153" s="35">
        <v>2.7777777777777776E-2</v>
      </c>
      <c r="W153" s="9" t="s">
        <v>153</v>
      </c>
      <c r="X153" s="15">
        <v>152</v>
      </c>
      <c r="Y153" s="39">
        <v>0.48685746843675681</v>
      </c>
      <c r="Z153" s="39">
        <v>0.48645806073021219</v>
      </c>
      <c r="AA153" s="39">
        <v>0.48092342323796022</v>
      </c>
      <c r="AB153" s="39">
        <v>0.48500474418320022</v>
      </c>
      <c r="AC153" s="39">
        <v>0.48059476043694282</v>
      </c>
      <c r="AD153" s="39">
        <v>0.47957789919072247</v>
      </c>
      <c r="AE153" s="39">
        <v>0.47229680336244689</v>
      </c>
      <c r="AF153" s="40">
        <v>0.4803905945120302</v>
      </c>
    </row>
    <row r="154" spans="1:32">
      <c r="A154" s="15">
        <v>152</v>
      </c>
      <c r="B154" s="16">
        <v>1</v>
      </c>
      <c r="C154" s="20">
        <v>0.18</v>
      </c>
      <c r="D154" s="20">
        <v>0.86586383089075036</v>
      </c>
      <c r="E154" s="20">
        <v>0.1</v>
      </c>
      <c r="F154" s="8" t="s">
        <v>436</v>
      </c>
      <c r="G154" s="24">
        <v>1.244125531477474</v>
      </c>
      <c r="H154" s="24">
        <v>1.2513287007328566</v>
      </c>
      <c r="I154" s="25">
        <v>1.2732127318463624</v>
      </c>
      <c r="L154" s="15">
        <v>152</v>
      </c>
      <c r="M154" s="16">
        <v>0</v>
      </c>
      <c r="N154" s="16">
        <v>0</v>
      </c>
      <c r="O154" s="16">
        <v>8</v>
      </c>
      <c r="P154" s="16">
        <v>144</v>
      </c>
      <c r="Q154" s="29">
        <v>33</v>
      </c>
      <c r="R154" s="20">
        <v>0.53579999999999994</v>
      </c>
      <c r="S154" s="32">
        <v>17.681399999999996</v>
      </c>
      <c r="T154" s="35">
        <v>0.47000000000000003</v>
      </c>
      <c r="U154" s="35">
        <v>0.09</v>
      </c>
      <c r="V154" s="35">
        <v>1.4242424242424244E-2</v>
      </c>
      <c r="W154" s="9" t="s">
        <v>152</v>
      </c>
      <c r="X154" s="15">
        <v>153</v>
      </c>
      <c r="Y154" s="39">
        <v>0.49523061513398381</v>
      </c>
      <c r="Z154" s="39">
        <v>0.49764495291152483</v>
      </c>
      <c r="AA154" s="39">
        <v>0.48628587722801064</v>
      </c>
      <c r="AB154" s="39">
        <v>0.47232196012292721</v>
      </c>
      <c r="AC154" s="39">
        <v>0.48962421187729088</v>
      </c>
      <c r="AD154" s="39">
        <v>0.49052607161683198</v>
      </c>
      <c r="AE154" s="39">
        <v>0.48186633081981634</v>
      </c>
      <c r="AF154" s="40">
        <v>0.46627195829703266</v>
      </c>
    </row>
    <row r="155" spans="1:32">
      <c r="A155" s="15">
        <v>153</v>
      </c>
      <c r="B155" s="16">
        <v>0</v>
      </c>
      <c r="C155" s="20">
        <v>0.91</v>
      </c>
      <c r="D155" s="20">
        <v>0.21727233298780477</v>
      </c>
      <c r="E155" s="20">
        <v>0.09</v>
      </c>
      <c r="F155" s="8" t="s">
        <v>434</v>
      </c>
      <c r="G155" s="24">
        <v>0.95592163868163627</v>
      </c>
      <c r="H155" s="24">
        <v>0.96145618096382024</v>
      </c>
      <c r="I155" s="25">
        <v>0.97827073733590852</v>
      </c>
      <c r="L155" s="15">
        <v>153</v>
      </c>
      <c r="M155" s="16">
        <v>0</v>
      </c>
      <c r="N155" s="16">
        <v>0</v>
      </c>
      <c r="O155" s="16">
        <v>8</v>
      </c>
      <c r="P155" s="16">
        <v>145</v>
      </c>
      <c r="Q155" s="29">
        <v>54</v>
      </c>
      <c r="R155" s="20">
        <v>0.53579999999999994</v>
      </c>
      <c r="S155" s="32">
        <v>28.933199999999996</v>
      </c>
      <c r="T155" s="35">
        <v>1.54</v>
      </c>
      <c r="U155" s="35">
        <v>0.81</v>
      </c>
      <c r="V155" s="35">
        <v>2.8518518518518519E-2</v>
      </c>
      <c r="W155" s="9" t="s">
        <v>153</v>
      </c>
      <c r="X155" s="15">
        <v>154</v>
      </c>
      <c r="Y155" s="39">
        <v>0.47789138303736151</v>
      </c>
      <c r="Z155" s="39">
        <v>0.47889446258039126</v>
      </c>
      <c r="AA155" s="39">
        <v>0.48954142094850944</v>
      </c>
      <c r="AB155" s="39">
        <v>0.48251981940150301</v>
      </c>
      <c r="AC155" s="39">
        <v>0.47163738529774329</v>
      </c>
      <c r="AD155" s="39">
        <v>0.47159239197585234</v>
      </c>
      <c r="AE155" s="39">
        <v>0.47898205815855766</v>
      </c>
      <c r="AF155" s="40">
        <v>0.48157080311063372</v>
      </c>
    </row>
    <row r="156" spans="1:32">
      <c r="A156" s="15">
        <v>154</v>
      </c>
      <c r="B156" s="16">
        <v>0</v>
      </c>
      <c r="C156" s="20">
        <v>0.4</v>
      </c>
      <c r="D156" s="20">
        <v>0.66470516764241272</v>
      </c>
      <c r="E156" s="20">
        <v>0.12</v>
      </c>
      <c r="F156" s="8" t="s">
        <v>436</v>
      </c>
      <c r="G156" s="24">
        <v>1.2144535640317586</v>
      </c>
      <c r="H156" s="24">
        <v>1.2214849401696111</v>
      </c>
      <c r="I156" s="25">
        <v>1.2428470446427962</v>
      </c>
      <c r="L156" s="15">
        <v>154</v>
      </c>
      <c r="M156" s="16">
        <v>0</v>
      </c>
      <c r="N156" s="16">
        <v>0</v>
      </c>
      <c r="O156" s="16">
        <v>8</v>
      </c>
      <c r="P156" s="16">
        <v>146</v>
      </c>
      <c r="Q156" s="29">
        <v>48</v>
      </c>
      <c r="R156" s="20">
        <v>0.53579999999999994</v>
      </c>
      <c r="S156" s="32">
        <v>25.718399999999995</v>
      </c>
      <c r="T156" s="35">
        <v>2.73</v>
      </c>
      <c r="U156" s="35">
        <v>2.11</v>
      </c>
      <c r="V156" s="35">
        <v>5.6875000000000002E-2</v>
      </c>
      <c r="W156" s="9" t="s">
        <v>154</v>
      </c>
      <c r="X156" s="15">
        <v>155</v>
      </c>
      <c r="Y156" s="39">
        <v>0.48009223985011651</v>
      </c>
      <c r="Z156" s="39">
        <v>0.49385883983704132</v>
      </c>
      <c r="AA156" s="39">
        <v>0.50208335696231365</v>
      </c>
      <c r="AB156" s="39">
        <v>0.47627550509219424</v>
      </c>
      <c r="AC156" s="39">
        <v>0.47214998871548247</v>
      </c>
      <c r="AD156" s="39">
        <v>0.48765982139771274</v>
      </c>
      <c r="AE156" s="39">
        <v>0.49290431688614733</v>
      </c>
      <c r="AF156" s="40">
        <v>0.47429321923318857</v>
      </c>
    </row>
    <row r="157" spans="1:32">
      <c r="A157" s="15">
        <v>155</v>
      </c>
      <c r="B157" s="16">
        <v>0</v>
      </c>
      <c r="C157" s="20">
        <v>0.98</v>
      </c>
      <c r="D157" s="20">
        <v>0.10185764172235329</v>
      </c>
      <c r="E157" s="20">
        <v>0.02</v>
      </c>
      <c r="F157" s="8" t="s">
        <v>434</v>
      </c>
      <c r="G157" s="24">
        <v>0.57524455500011096</v>
      </c>
      <c r="H157" s="24">
        <v>0.57857507413830622</v>
      </c>
      <c r="I157" s="25">
        <v>0.58869356252311367</v>
      </c>
      <c r="L157" s="15">
        <v>155</v>
      </c>
      <c r="M157" s="16">
        <v>0</v>
      </c>
      <c r="N157" s="16">
        <v>0</v>
      </c>
      <c r="O157" s="16">
        <v>8</v>
      </c>
      <c r="P157" s="16">
        <v>147</v>
      </c>
      <c r="Q157" s="29">
        <v>35</v>
      </c>
      <c r="R157" s="20">
        <v>0.53579999999999994</v>
      </c>
      <c r="S157" s="32">
        <v>18.752999999999997</v>
      </c>
      <c r="T157" s="35">
        <v>0.66</v>
      </c>
      <c r="U157" s="35">
        <v>0.25</v>
      </c>
      <c r="V157" s="35">
        <v>1.8857142857142857E-2</v>
      </c>
      <c r="W157" s="9" t="s">
        <v>152</v>
      </c>
      <c r="X157" s="15">
        <v>156</v>
      </c>
      <c r="Y157" s="39">
        <v>0.48029657732172881</v>
      </c>
      <c r="Z157" s="39">
        <v>0.47869135439037735</v>
      </c>
      <c r="AA157" s="39">
        <v>0.49820025063869716</v>
      </c>
      <c r="AB157" s="39">
        <v>0.47946026568849548</v>
      </c>
      <c r="AC157" s="39">
        <v>0.47780428793526641</v>
      </c>
      <c r="AD157" s="39">
        <v>0.471648715841746</v>
      </c>
      <c r="AE157" s="39">
        <v>0.49204834567315087</v>
      </c>
      <c r="AF157" s="40">
        <v>0.47445274032625695</v>
      </c>
    </row>
    <row r="158" spans="1:32">
      <c r="A158" s="15">
        <v>156</v>
      </c>
      <c r="B158" s="16">
        <v>1</v>
      </c>
      <c r="C158" s="20">
        <v>0.02</v>
      </c>
      <c r="D158" s="20">
        <v>0.99917029198757767</v>
      </c>
      <c r="E158" s="20">
        <v>1</v>
      </c>
      <c r="F158" s="8" t="s">
        <v>436</v>
      </c>
      <c r="G158" s="24">
        <v>1.0026795800619102</v>
      </c>
      <c r="H158" s="24">
        <v>1.0084848388893894</v>
      </c>
      <c r="I158" s="25">
        <v>1.0261218623020458</v>
      </c>
      <c r="L158" s="15">
        <v>156</v>
      </c>
      <c r="M158" s="16">
        <v>0</v>
      </c>
      <c r="N158" s="16">
        <v>0</v>
      </c>
      <c r="O158" s="16">
        <v>8</v>
      </c>
      <c r="P158" s="16">
        <v>148</v>
      </c>
      <c r="Q158" s="29">
        <v>43</v>
      </c>
      <c r="R158" s="20">
        <v>0.53579999999999994</v>
      </c>
      <c r="S158" s="32">
        <v>23.039399999999997</v>
      </c>
      <c r="T158" s="35">
        <v>0.65</v>
      </c>
      <c r="U158" s="35">
        <v>0</v>
      </c>
      <c r="V158" s="35">
        <v>1.5116279069767442E-2</v>
      </c>
      <c r="W158" s="9" t="s">
        <v>152</v>
      </c>
      <c r="X158" s="15">
        <v>157</v>
      </c>
      <c r="Y158" s="39">
        <v>0.48451751205336652</v>
      </c>
      <c r="Z158" s="39">
        <v>0.50040231227550724</v>
      </c>
      <c r="AA158" s="39">
        <v>0.46815339916533238</v>
      </c>
      <c r="AB158" s="39">
        <v>0.49586830458346126</v>
      </c>
      <c r="AC158" s="39">
        <v>0.47845913132303997</v>
      </c>
      <c r="AD158" s="39">
        <v>0.4896629509837897</v>
      </c>
      <c r="AE158" s="39">
        <v>0.46248362796002201</v>
      </c>
      <c r="AF158" s="40">
        <v>0.48971087811145747</v>
      </c>
    </row>
    <row r="159" spans="1:32">
      <c r="A159" s="15">
        <v>157</v>
      </c>
      <c r="B159" s="16">
        <v>1</v>
      </c>
      <c r="C159" s="20">
        <v>0.02</v>
      </c>
      <c r="D159" s="20">
        <v>0.99679477127711513</v>
      </c>
      <c r="E159" s="20">
        <v>1</v>
      </c>
      <c r="F159" s="8" t="s">
        <v>436</v>
      </c>
      <c r="G159" s="24">
        <v>0.95124453648965179</v>
      </c>
      <c r="H159" s="24">
        <v>0.95675199954400769</v>
      </c>
      <c r="I159" s="25">
        <v>0.97348428620351413</v>
      </c>
      <c r="L159" s="15">
        <v>157</v>
      </c>
      <c r="M159" s="16">
        <v>0</v>
      </c>
      <c r="N159" s="16">
        <v>0</v>
      </c>
      <c r="O159" s="16">
        <v>8</v>
      </c>
      <c r="P159" s="16">
        <v>149</v>
      </c>
      <c r="Q159" s="29">
        <v>59</v>
      </c>
      <c r="R159" s="20">
        <v>0.53579999999999994</v>
      </c>
      <c r="S159" s="32">
        <v>31.612199999999998</v>
      </c>
      <c r="T159" s="35">
        <v>1.8699999999999999</v>
      </c>
      <c r="U159" s="35">
        <v>1.07</v>
      </c>
      <c r="V159" s="35">
        <v>3.1694915254237288E-2</v>
      </c>
      <c r="W159" s="9" t="s">
        <v>153</v>
      </c>
      <c r="X159" s="15">
        <v>158</v>
      </c>
      <c r="Y159" s="39">
        <v>0.48578794058745539</v>
      </c>
      <c r="Z159" s="39">
        <v>0.48208128909073211</v>
      </c>
      <c r="AA159" s="39">
        <v>0.4766419715924326</v>
      </c>
      <c r="AB159" s="39">
        <v>0.48638592946752929</v>
      </c>
      <c r="AC159" s="39">
        <v>0.47784253076836852</v>
      </c>
      <c r="AD159" s="39">
        <v>0.47526194777776432</v>
      </c>
      <c r="AE159" s="39">
        <v>0.46825606911305134</v>
      </c>
      <c r="AF159" s="40">
        <v>0.48302440206223074</v>
      </c>
    </row>
    <row r="160" spans="1:32">
      <c r="A160" s="15">
        <v>158</v>
      </c>
      <c r="B160" s="16">
        <v>0</v>
      </c>
      <c r="C160" s="20">
        <v>0.22</v>
      </c>
      <c r="D160" s="20">
        <v>0.87847492840430341</v>
      </c>
      <c r="E160" s="20">
        <v>0.57999999999999996</v>
      </c>
      <c r="F160" s="8" t="s">
        <v>436</v>
      </c>
      <c r="G160" s="24">
        <v>1.1400466124057449</v>
      </c>
      <c r="H160" s="24">
        <v>1.1466471912865852</v>
      </c>
      <c r="I160" s="25">
        <v>1.1667004856732905</v>
      </c>
      <c r="L160" s="15">
        <v>158</v>
      </c>
      <c r="M160" s="16">
        <v>0</v>
      </c>
      <c r="N160" s="16">
        <v>0</v>
      </c>
      <c r="O160" s="16">
        <v>8</v>
      </c>
      <c r="P160" s="16">
        <v>150</v>
      </c>
      <c r="Q160" s="29">
        <v>42</v>
      </c>
      <c r="R160" s="20">
        <v>0.53579999999999994</v>
      </c>
      <c r="S160" s="32">
        <v>22.503599999999999</v>
      </c>
      <c r="T160" s="35">
        <v>1.64</v>
      </c>
      <c r="U160" s="35">
        <v>1.02</v>
      </c>
      <c r="V160" s="35">
        <v>3.9047619047619046E-2</v>
      </c>
      <c r="W160" s="9" t="s">
        <v>153</v>
      </c>
      <c r="X160" s="15">
        <v>159</v>
      </c>
      <c r="Y160" s="39">
        <v>0.48621388750328554</v>
      </c>
      <c r="Z160" s="39">
        <v>0.48192084506912458</v>
      </c>
      <c r="AA160" s="39">
        <v>0.49360952514523354</v>
      </c>
      <c r="AB160" s="39">
        <v>0.48266212988784751</v>
      </c>
      <c r="AC160" s="39">
        <v>0.47910727953540944</v>
      </c>
      <c r="AD160" s="39">
        <v>0.47678162863657303</v>
      </c>
      <c r="AE160" s="39">
        <v>0.49050496352227907</v>
      </c>
      <c r="AF160" s="40">
        <v>0.47745723005260199</v>
      </c>
    </row>
    <row r="161" spans="1:32">
      <c r="A161" s="15">
        <v>159</v>
      </c>
      <c r="B161" s="16">
        <v>0</v>
      </c>
      <c r="C161" s="20">
        <v>0.02</v>
      </c>
      <c r="D161" s="20">
        <v>0.99756714174924133</v>
      </c>
      <c r="E161" s="20">
        <v>1</v>
      </c>
      <c r="F161" s="8" t="s">
        <v>436</v>
      </c>
      <c r="G161" s="24">
        <v>1.0200758239116356</v>
      </c>
      <c r="H161" s="24">
        <v>1.0259818025504901</v>
      </c>
      <c r="I161" s="25">
        <v>1.0439248239770393</v>
      </c>
      <c r="L161" s="15">
        <v>159</v>
      </c>
      <c r="M161" s="16">
        <v>0</v>
      </c>
      <c r="N161" s="16">
        <v>0</v>
      </c>
      <c r="O161" s="16">
        <v>8</v>
      </c>
      <c r="P161" s="16">
        <v>151</v>
      </c>
      <c r="Q161" s="29">
        <v>55</v>
      </c>
      <c r="R161" s="20">
        <v>0.53579999999999994</v>
      </c>
      <c r="S161" s="32">
        <v>29.468999999999998</v>
      </c>
      <c r="T161" s="35">
        <v>1.1600000000000001</v>
      </c>
      <c r="U161" s="35">
        <v>0.44</v>
      </c>
      <c r="V161" s="35">
        <v>2.1090909090909094E-2</v>
      </c>
      <c r="W161" s="9" t="s">
        <v>153</v>
      </c>
      <c r="X161" s="15">
        <v>160</v>
      </c>
      <c r="Y161" s="39">
        <v>0.4811673091643609</v>
      </c>
      <c r="Z161" s="39">
        <v>0.48188220488111888</v>
      </c>
      <c r="AA161" s="39">
        <v>0.47963644615276968</v>
      </c>
      <c r="AB161" s="39">
        <v>0.49877335691354102</v>
      </c>
      <c r="AC161" s="39">
        <v>0.4751647773307921</v>
      </c>
      <c r="AD161" s="39">
        <v>0.47744686904330341</v>
      </c>
      <c r="AE161" s="39">
        <v>0.47343904074761289</v>
      </c>
      <c r="AF161" s="40">
        <v>0.49671446736899411</v>
      </c>
    </row>
    <row r="162" spans="1:32">
      <c r="A162" s="15">
        <v>160</v>
      </c>
      <c r="B162" s="16">
        <v>1</v>
      </c>
      <c r="C162" s="20">
        <v>0.08</v>
      </c>
      <c r="D162" s="20">
        <v>0.95096889540570728</v>
      </c>
      <c r="E162" s="20">
        <v>0.5</v>
      </c>
      <c r="F162" s="8" t="s">
        <v>436</v>
      </c>
      <c r="G162" s="24">
        <v>1.0599920198590302</v>
      </c>
      <c r="H162" s="24">
        <v>1.0661291030835278</v>
      </c>
      <c r="I162" s="25">
        <v>1.0847742460017953</v>
      </c>
      <c r="L162" s="15">
        <v>160</v>
      </c>
      <c r="M162" s="16">
        <v>0</v>
      </c>
      <c r="N162" s="16">
        <v>0</v>
      </c>
      <c r="O162" s="16">
        <v>8</v>
      </c>
      <c r="P162" s="16">
        <v>152</v>
      </c>
      <c r="Q162" s="29">
        <v>43</v>
      </c>
      <c r="R162" s="20">
        <v>0.53579999999999994</v>
      </c>
      <c r="S162" s="32">
        <v>23.039399999999997</v>
      </c>
      <c r="T162" s="35">
        <v>1.1400000000000001</v>
      </c>
      <c r="U162" s="35">
        <v>0.51</v>
      </c>
      <c r="V162" s="35">
        <v>2.6511627906976747E-2</v>
      </c>
      <c r="W162" s="9" t="s">
        <v>153</v>
      </c>
      <c r="X162" s="15">
        <v>161</v>
      </c>
      <c r="Y162" s="39">
        <v>0.47798478290287771</v>
      </c>
      <c r="Z162" s="39">
        <v>0.49291019366574412</v>
      </c>
      <c r="AA162" s="39">
        <v>0.49476273074849991</v>
      </c>
      <c r="AB162" s="39">
        <v>0.49493382238334332</v>
      </c>
      <c r="AC162" s="39">
        <v>0.47110370759959741</v>
      </c>
      <c r="AD162" s="39">
        <v>0.48688485945212706</v>
      </c>
      <c r="AE162" s="39">
        <v>0.48815564964862768</v>
      </c>
      <c r="AF162" s="40">
        <v>0.49078452276773343</v>
      </c>
    </row>
    <row r="163" spans="1:32">
      <c r="A163" s="15">
        <v>161</v>
      </c>
      <c r="B163" s="16">
        <v>0</v>
      </c>
      <c r="C163" s="20">
        <v>0.54</v>
      </c>
      <c r="D163" s="20">
        <v>0.46502413421237959</v>
      </c>
      <c r="E163" s="20">
        <v>0.09</v>
      </c>
      <c r="F163" s="8" t="s">
        <v>438</v>
      </c>
      <c r="G163" s="24">
        <v>0.69367480765645984</v>
      </c>
      <c r="H163" s="24">
        <v>0.69769100772737291</v>
      </c>
      <c r="I163" s="25">
        <v>0.70989267121657196</v>
      </c>
      <c r="L163" s="15">
        <v>161</v>
      </c>
      <c r="M163" s="16">
        <v>0</v>
      </c>
      <c r="N163" s="16">
        <v>0</v>
      </c>
      <c r="O163" s="16">
        <v>9</v>
      </c>
      <c r="P163" s="16">
        <v>153</v>
      </c>
      <c r="Q163" s="29">
        <v>64</v>
      </c>
      <c r="R163" s="20">
        <v>0.53579999999999994</v>
      </c>
      <c r="S163" s="32">
        <v>34.291199999999996</v>
      </c>
      <c r="T163" s="35">
        <v>2.63</v>
      </c>
      <c r="U163" s="35">
        <v>1.67</v>
      </c>
      <c r="V163" s="35">
        <v>4.1093749999999998E-2</v>
      </c>
      <c r="W163" s="9" t="s">
        <v>154</v>
      </c>
      <c r="X163" s="15">
        <v>162</v>
      </c>
      <c r="Y163" s="39">
        <v>0.49314928594520463</v>
      </c>
      <c r="Z163" s="39">
        <v>0.48580410494645798</v>
      </c>
      <c r="AA163" s="39">
        <v>0.49022715856662791</v>
      </c>
      <c r="AB163" s="39">
        <v>0.49279260675677411</v>
      </c>
      <c r="AC163" s="39">
        <v>0.48506479796865276</v>
      </c>
      <c r="AD163" s="39">
        <v>0.47811954350567809</v>
      </c>
      <c r="AE163" s="39">
        <v>0.48367554294351472</v>
      </c>
      <c r="AF163" s="40">
        <v>0.48955594474074227</v>
      </c>
    </row>
    <row r="164" spans="1:32">
      <c r="A164" s="15">
        <v>162</v>
      </c>
      <c r="B164" s="16">
        <v>0</v>
      </c>
      <c r="C164" s="20">
        <v>0.89</v>
      </c>
      <c r="D164" s="20">
        <v>0.24559627500636821</v>
      </c>
      <c r="E164" s="20">
        <v>0.11</v>
      </c>
      <c r="F164" s="8" t="s">
        <v>434</v>
      </c>
      <c r="G164" s="24">
        <v>0.45478999194596836</v>
      </c>
      <c r="H164" s="24">
        <v>0.4574231099109623</v>
      </c>
      <c r="I164" s="25">
        <v>0.46542281579436878</v>
      </c>
      <c r="L164" s="15">
        <v>162</v>
      </c>
      <c r="M164" s="16">
        <v>0</v>
      </c>
      <c r="N164" s="16">
        <v>0</v>
      </c>
      <c r="O164" s="16">
        <v>9</v>
      </c>
      <c r="P164" s="16">
        <v>154</v>
      </c>
      <c r="Q164" s="29">
        <v>48</v>
      </c>
      <c r="R164" s="20">
        <v>0.53579999999999994</v>
      </c>
      <c r="S164" s="32">
        <v>25.718399999999995</v>
      </c>
      <c r="T164" s="35">
        <v>2.2599999999999998</v>
      </c>
      <c r="U164" s="35">
        <v>1.49</v>
      </c>
      <c r="V164" s="35">
        <v>4.7083333333333331E-2</v>
      </c>
      <c r="W164" s="9" t="s">
        <v>154</v>
      </c>
      <c r="X164" s="15">
        <v>163</v>
      </c>
      <c r="Y164" s="39">
        <v>0.4714554158824063</v>
      </c>
      <c r="Z164" s="39">
        <v>0.48464638928907144</v>
      </c>
      <c r="AA164" s="39">
        <v>0.4838323026252544</v>
      </c>
      <c r="AB164" s="39">
        <v>0.49580592124416217</v>
      </c>
      <c r="AC164" s="39">
        <v>0.46625221370844844</v>
      </c>
      <c r="AD164" s="39">
        <v>0.47767924059277173</v>
      </c>
      <c r="AE164" s="39">
        <v>0.47766736328364251</v>
      </c>
      <c r="AF164" s="40">
        <v>0.49192170282154929</v>
      </c>
    </row>
    <row r="165" spans="1:32">
      <c r="A165" s="15">
        <v>163</v>
      </c>
      <c r="B165" s="16">
        <v>1</v>
      </c>
      <c r="C165" s="20">
        <v>0.64</v>
      </c>
      <c r="D165" s="20">
        <v>0.45791290162657294</v>
      </c>
      <c r="E165" s="20">
        <v>0.13</v>
      </c>
      <c r="F165" s="8" t="s">
        <v>438</v>
      </c>
      <c r="G165" s="24">
        <v>1.5564656642999213</v>
      </c>
      <c r="H165" s="24">
        <v>1.5654772031973103</v>
      </c>
      <c r="I165" s="25">
        <v>1.5928552628567665</v>
      </c>
      <c r="L165" s="15">
        <v>163</v>
      </c>
      <c r="M165" s="16">
        <v>0</v>
      </c>
      <c r="N165" s="16">
        <v>0</v>
      </c>
      <c r="O165" s="16">
        <v>9</v>
      </c>
      <c r="P165" s="16">
        <v>155</v>
      </c>
      <c r="Q165" s="29">
        <v>55</v>
      </c>
      <c r="R165" s="20">
        <v>0.53579999999999994</v>
      </c>
      <c r="S165" s="32">
        <v>29.468999999999998</v>
      </c>
      <c r="T165" s="35">
        <v>2.81</v>
      </c>
      <c r="U165" s="35">
        <v>1.85</v>
      </c>
      <c r="V165" s="35">
        <v>5.109090909090909E-2</v>
      </c>
      <c r="W165" s="9" t="s">
        <v>154</v>
      </c>
      <c r="X165" s="15">
        <v>164</v>
      </c>
      <c r="Y165" s="39">
        <v>0.49119223364257991</v>
      </c>
      <c r="Z165" s="39">
        <v>0.48039317145313454</v>
      </c>
      <c r="AA165" s="39">
        <v>0.48263219707934396</v>
      </c>
      <c r="AB165" s="39">
        <v>0.48944623216087718</v>
      </c>
      <c r="AC165" s="39">
        <v>0.48432677833002291</v>
      </c>
      <c r="AD165" s="39">
        <v>0.47452191864800758</v>
      </c>
      <c r="AE165" s="39">
        <v>0.47656321051153738</v>
      </c>
      <c r="AF165" s="40">
        <v>0.48348224151067332</v>
      </c>
    </row>
    <row r="166" spans="1:32">
      <c r="A166" s="15">
        <v>164</v>
      </c>
      <c r="B166" s="16">
        <v>0</v>
      </c>
      <c r="C166" s="20">
        <v>0.02</v>
      </c>
      <c r="D166" s="20">
        <v>0.99679477127711513</v>
      </c>
      <c r="E166" s="20">
        <v>1</v>
      </c>
      <c r="F166" s="8" t="s">
        <v>436</v>
      </c>
      <c r="G166" s="24">
        <v>1.0679179703842943</v>
      </c>
      <c r="H166" s="24">
        <v>1.0741009428391781</v>
      </c>
      <c r="I166" s="25">
        <v>1.0928855023544932</v>
      </c>
      <c r="L166" s="15">
        <v>164</v>
      </c>
      <c r="M166" s="16">
        <v>0</v>
      </c>
      <c r="N166" s="16">
        <v>0</v>
      </c>
      <c r="O166" s="16">
        <v>9</v>
      </c>
      <c r="P166" s="16">
        <v>156</v>
      </c>
      <c r="Q166" s="29">
        <v>54</v>
      </c>
      <c r="R166" s="20">
        <v>0.53579999999999994</v>
      </c>
      <c r="S166" s="32">
        <v>28.933199999999996</v>
      </c>
      <c r="T166" s="35">
        <v>4.08</v>
      </c>
      <c r="U166" s="35">
        <v>3.37</v>
      </c>
      <c r="V166" s="35">
        <v>7.5555555555555556E-2</v>
      </c>
      <c r="W166" s="9" t="s">
        <v>155</v>
      </c>
      <c r="X166" s="15">
        <v>165</v>
      </c>
      <c r="Y166" s="39">
        <v>0.48403281120887959</v>
      </c>
      <c r="Z166" s="39">
        <v>0.48841062516200057</v>
      </c>
      <c r="AA166" s="39">
        <v>0.49402649648559083</v>
      </c>
      <c r="AB166" s="39">
        <v>0.47951639340700275</v>
      </c>
      <c r="AC166" s="39">
        <v>0.47881099561430507</v>
      </c>
      <c r="AD166" s="39">
        <v>0.48121538681421477</v>
      </c>
      <c r="AE166" s="39">
        <v>0.48937426610653023</v>
      </c>
      <c r="AF166" s="40">
        <v>0.47549064812113084</v>
      </c>
    </row>
    <row r="167" spans="1:32">
      <c r="A167" s="15">
        <v>165</v>
      </c>
      <c r="B167" s="16">
        <v>1</v>
      </c>
      <c r="C167" s="20">
        <v>0.86</v>
      </c>
      <c r="D167" s="20">
        <v>0.28597383862931031</v>
      </c>
      <c r="E167" s="20">
        <v>0.14000000000000001</v>
      </c>
      <c r="F167" s="8" t="s">
        <v>434</v>
      </c>
      <c r="G167" s="24">
        <v>0.70895943825057695</v>
      </c>
      <c r="H167" s="24">
        <v>0.71306413243111955</v>
      </c>
      <c r="I167" s="25">
        <v>0.72553465088954572</v>
      </c>
      <c r="L167" s="15">
        <v>165</v>
      </c>
      <c r="M167" s="16">
        <v>0</v>
      </c>
      <c r="N167" s="16">
        <v>0</v>
      </c>
      <c r="O167" s="16">
        <v>9</v>
      </c>
      <c r="P167" s="16">
        <v>157</v>
      </c>
      <c r="Q167" s="29">
        <v>62</v>
      </c>
      <c r="R167" s="20">
        <v>0.53579999999999994</v>
      </c>
      <c r="S167" s="32">
        <v>33.2196</v>
      </c>
      <c r="T167" s="35">
        <v>2.5</v>
      </c>
      <c r="U167" s="35">
        <v>1.66</v>
      </c>
      <c r="V167" s="35">
        <v>4.0322580645161289E-2</v>
      </c>
      <c r="W167" s="9" t="s">
        <v>154</v>
      </c>
      <c r="X167" s="15">
        <v>166</v>
      </c>
      <c r="Y167" s="39">
        <v>0.48989102778284188</v>
      </c>
      <c r="Z167" s="39">
        <v>0.47509419700935784</v>
      </c>
      <c r="AA167" s="39">
        <v>0.47693820488582966</v>
      </c>
      <c r="AB167" s="39">
        <v>0.48584616614898019</v>
      </c>
      <c r="AC167" s="39">
        <v>0.48244020584563757</v>
      </c>
      <c r="AD167" s="39">
        <v>0.46743689774318303</v>
      </c>
      <c r="AE167" s="39">
        <v>0.46973350821934273</v>
      </c>
      <c r="AF167" s="40">
        <v>0.48264849118377917</v>
      </c>
    </row>
    <row r="168" spans="1:32">
      <c r="A168" s="15">
        <v>166</v>
      </c>
      <c r="B168" s="16">
        <v>1</v>
      </c>
      <c r="C168" s="20">
        <v>0.53</v>
      </c>
      <c r="D168" s="20">
        <v>0.49314622706468336</v>
      </c>
      <c r="E168" s="20">
        <v>0.04</v>
      </c>
      <c r="F168" s="8" t="s">
        <v>438</v>
      </c>
      <c r="G168" s="24">
        <v>0.89513545022322161</v>
      </c>
      <c r="H168" s="24">
        <v>0.90031805599033732</v>
      </c>
      <c r="I168" s="25">
        <v>0.91606339000034165</v>
      </c>
      <c r="L168" s="15">
        <v>166</v>
      </c>
      <c r="M168" s="16">
        <v>0</v>
      </c>
      <c r="N168" s="16">
        <v>0</v>
      </c>
      <c r="O168" s="16">
        <v>9</v>
      </c>
      <c r="P168" s="16">
        <v>158</v>
      </c>
      <c r="Q168" s="29">
        <v>57</v>
      </c>
      <c r="R168" s="20">
        <v>0.53579999999999994</v>
      </c>
      <c r="S168" s="32">
        <v>30.540599999999998</v>
      </c>
      <c r="T168" s="35">
        <v>1.62</v>
      </c>
      <c r="U168" s="35">
        <v>0.71</v>
      </c>
      <c r="V168" s="35">
        <v>2.8421052631578948E-2</v>
      </c>
      <c r="W168" s="9" t="s">
        <v>153</v>
      </c>
      <c r="X168" s="15">
        <v>167</v>
      </c>
      <c r="Y168" s="39">
        <v>0.48251770466349703</v>
      </c>
      <c r="Z168" s="39">
        <v>0.49128604314071228</v>
      </c>
      <c r="AA168" s="39">
        <v>0.49486790488646198</v>
      </c>
      <c r="AB168" s="39">
        <v>0.49653169165169492</v>
      </c>
      <c r="AC168" s="39">
        <v>0.47647360324415206</v>
      </c>
      <c r="AD168" s="39">
        <v>0.48365974675513934</v>
      </c>
      <c r="AE168" s="39">
        <v>0.49035480128484632</v>
      </c>
      <c r="AF168" s="40">
        <v>0.49574995385041465</v>
      </c>
    </row>
    <row r="169" spans="1:32">
      <c r="A169" s="15">
        <v>167</v>
      </c>
      <c r="B169" s="16">
        <v>1</v>
      </c>
      <c r="C169" s="20">
        <v>0.18</v>
      </c>
      <c r="D169" s="20">
        <v>0.79981579343081477</v>
      </c>
      <c r="E169" s="20">
        <v>0.4</v>
      </c>
      <c r="F169" s="8" t="s">
        <v>436</v>
      </c>
      <c r="G169" s="24">
        <v>1.0102574003482934</v>
      </c>
      <c r="H169" s="24">
        <v>1.0161065328209384</v>
      </c>
      <c r="I169" s="25">
        <v>1.0338768492580719</v>
      </c>
      <c r="L169" s="15">
        <v>167</v>
      </c>
      <c r="M169" s="16">
        <v>0</v>
      </c>
      <c r="N169" s="16">
        <v>0</v>
      </c>
      <c r="O169" s="16">
        <v>9</v>
      </c>
      <c r="P169" s="16">
        <v>159</v>
      </c>
      <c r="Q169" s="29">
        <v>41</v>
      </c>
      <c r="R169" s="20">
        <v>0.53579999999999994</v>
      </c>
      <c r="S169" s="32">
        <v>21.967799999999997</v>
      </c>
      <c r="T169" s="35">
        <v>1.55</v>
      </c>
      <c r="U169" s="35">
        <v>0.84</v>
      </c>
      <c r="V169" s="35">
        <v>3.7804878048780487E-2</v>
      </c>
      <c r="W169" s="9" t="s">
        <v>153</v>
      </c>
      <c r="X169" s="15">
        <v>168</v>
      </c>
      <c r="Y169" s="39">
        <v>0.48991063491451275</v>
      </c>
      <c r="Z169" s="39">
        <v>0.50053739355020777</v>
      </c>
      <c r="AA169" s="39">
        <v>0.46910861523721875</v>
      </c>
      <c r="AB169" s="39">
        <v>0.49217874342897666</v>
      </c>
      <c r="AC169" s="39">
        <v>0.47918337347353862</v>
      </c>
      <c r="AD169" s="39">
        <v>0.49203101573819369</v>
      </c>
      <c r="AE169" s="39">
        <v>0.46402117395240583</v>
      </c>
      <c r="AF169" s="40">
        <v>0.48650303453009963</v>
      </c>
    </row>
    <row r="170" spans="1:32">
      <c r="A170" s="15">
        <v>168</v>
      </c>
      <c r="B170" s="16">
        <v>1</v>
      </c>
      <c r="C170" s="20">
        <v>0.27</v>
      </c>
      <c r="D170" s="20">
        <v>0.69611105779194571</v>
      </c>
      <c r="E170" s="20">
        <v>0.22</v>
      </c>
      <c r="F170" s="8" t="s">
        <v>436</v>
      </c>
      <c r="G170" s="24">
        <v>1.1370290257207336</v>
      </c>
      <c r="H170" s="24">
        <v>1.1436121335449281</v>
      </c>
      <c r="I170" s="25">
        <v>1.1636123489140973</v>
      </c>
      <c r="L170" s="15">
        <v>168</v>
      </c>
      <c r="M170" s="16">
        <v>0</v>
      </c>
      <c r="N170" s="16">
        <v>0</v>
      </c>
      <c r="O170" s="16">
        <v>9</v>
      </c>
      <c r="P170" s="16">
        <v>160</v>
      </c>
      <c r="Q170" s="29">
        <v>51</v>
      </c>
      <c r="R170" s="20">
        <v>0.53579999999999994</v>
      </c>
      <c r="S170" s="32">
        <v>27.325799999999997</v>
      </c>
      <c r="T170" s="35">
        <v>2.5</v>
      </c>
      <c r="U170" s="35">
        <v>1.91</v>
      </c>
      <c r="V170" s="35">
        <v>4.9019607843137254E-2</v>
      </c>
      <c r="W170" s="9" t="s">
        <v>154</v>
      </c>
      <c r="X170" s="15">
        <v>169</v>
      </c>
      <c r="Y170" s="39">
        <v>0.49509799365933704</v>
      </c>
      <c r="Z170" s="39">
        <v>0.47688114201940146</v>
      </c>
      <c r="AA170" s="39">
        <v>0.49241417880182337</v>
      </c>
      <c r="AB170" s="39">
        <v>0.48832802998071428</v>
      </c>
      <c r="AC170" s="39">
        <v>0.48808939994629436</v>
      </c>
      <c r="AD170" s="39">
        <v>0.46990932490603532</v>
      </c>
      <c r="AE170" s="39">
        <v>0.48553899393877203</v>
      </c>
      <c r="AF170" s="40">
        <v>0.48373945814594516</v>
      </c>
    </row>
    <row r="171" spans="1:32">
      <c r="A171" s="15">
        <v>169</v>
      </c>
      <c r="B171" s="16">
        <v>1</v>
      </c>
      <c r="C171" s="20">
        <v>0.92</v>
      </c>
      <c r="D171" s="20">
        <v>0.20258497911151899</v>
      </c>
      <c r="E171" s="20">
        <v>0.08</v>
      </c>
      <c r="F171" s="8" t="s">
        <v>434</v>
      </c>
      <c r="G171" s="24">
        <v>1.4152189641637529</v>
      </c>
      <c r="H171" s="24">
        <v>1.4234127207215763</v>
      </c>
      <c r="I171" s="25">
        <v>1.4483062664776891</v>
      </c>
      <c r="L171" s="15">
        <v>169</v>
      </c>
      <c r="M171" s="16">
        <v>0</v>
      </c>
      <c r="N171" s="16">
        <v>0</v>
      </c>
      <c r="O171" s="16">
        <v>9</v>
      </c>
      <c r="P171" s="16">
        <v>161</v>
      </c>
      <c r="Q171" s="29">
        <v>64</v>
      </c>
      <c r="R171" s="20">
        <v>0.53579999999999994</v>
      </c>
      <c r="S171" s="32">
        <v>34.291199999999996</v>
      </c>
      <c r="T171" s="35">
        <v>1.5</v>
      </c>
      <c r="U171" s="35">
        <v>0.57999999999999996</v>
      </c>
      <c r="V171" s="35">
        <v>2.34375E-2</v>
      </c>
      <c r="W171" s="9" t="s">
        <v>153</v>
      </c>
      <c r="X171" s="15">
        <v>170</v>
      </c>
      <c r="Y171" s="39">
        <v>0.48612675910159925</v>
      </c>
      <c r="Z171" s="39">
        <v>0.49796845885128382</v>
      </c>
      <c r="AA171" s="39">
        <v>0.48605625951881393</v>
      </c>
      <c r="AB171" s="39">
        <v>0.49104712740989476</v>
      </c>
      <c r="AC171" s="39">
        <v>0.47870168448565009</v>
      </c>
      <c r="AD171" s="39">
        <v>0.49030717472249641</v>
      </c>
      <c r="AE171" s="39">
        <v>0.47943671039724189</v>
      </c>
      <c r="AF171" s="40">
        <v>0.48961873559656865</v>
      </c>
    </row>
    <row r="172" spans="1:32">
      <c r="A172" s="15">
        <v>170</v>
      </c>
      <c r="B172" s="16">
        <v>0</v>
      </c>
      <c r="C172" s="20">
        <v>0.18</v>
      </c>
      <c r="D172" s="20">
        <v>0.82844295646660993</v>
      </c>
      <c r="E172" s="20">
        <v>0.39</v>
      </c>
      <c r="F172" s="8" t="s">
        <v>436</v>
      </c>
      <c r="G172" s="24">
        <v>1.4345675825262729</v>
      </c>
      <c r="H172" s="24">
        <v>1.442873362645543</v>
      </c>
      <c r="I172" s="25">
        <v>1.4681072484682616</v>
      </c>
      <c r="L172" s="15">
        <v>170</v>
      </c>
      <c r="M172" s="16">
        <v>0</v>
      </c>
      <c r="N172" s="16">
        <v>0</v>
      </c>
      <c r="O172" s="16">
        <v>9</v>
      </c>
      <c r="P172" s="16">
        <v>162</v>
      </c>
      <c r="Q172" s="29">
        <v>57</v>
      </c>
      <c r="R172" s="20">
        <v>0.53579999999999994</v>
      </c>
      <c r="S172" s="32">
        <v>30.540599999999998</v>
      </c>
      <c r="T172" s="35">
        <v>1.91</v>
      </c>
      <c r="U172" s="35">
        <v>1.1200000000000001</v>
      </c>
      <c r="V172" s="35">
        <v>3.3508771929824557E-2</v>
      </c>
      <c r="W172" s="9" t="s">
        <v>153</v>
      </c>
      <c r="X172" s="15">
        <v>171</v>
      </c>
      <c r="Y172" s="39">
        <v>0.47145356718184123</v>
      </c>
      <c r="Z172" s="39">
        <v>0.47314652214328035</v>
      </c>
      <c r="AA172" s="39">
        <v>0.4905185332638739</v>
      </c>
      <c r="AB172" s="39">
        <v>0.48978831779823662</v>
      </c>
      <c r="AC172" s="39">
        <v>0.46430307125215448</v>
      </c>
      <c r="AD172" s="39">
        <v>0.46594428108964075</v>
      </c>
      <c r="AE172" s="39">
        <v>0.48232778580571811</v>
      </c>
      <c r="AF172" s="40">
        <v>0.4832027640091977</v>
      </c>
    </row>
    <row r="173" spans="1:32">
      <c r="A173" s="15">
        <v>171</v>
      </c>
      <c r="B173" s="16">
        <v>0</v>
      </c>
      <c r="C173" s="20">
        <v>0.26</v>
      </c>
      <c r="D173" s="20">
        <v>0.708674870141493</v>
      </c>
      <c r="E173" s="20">
        <v>0.06</v>
      </c>
      <c r="F173" s="8" t="s">
        <v>436</v>
      </c>
      <c r="G173" s="24">
        <v>1.0735505471117215</v>
      </c>
      <c r="H173" s="24">
        <v>1.0797661307481019</v>
      </c>
      <c r="I173" s="25">
        <v>1.0986497666678743</v>
      </c>
      <c r="L173" s="15">
        <v>171</v>
      </c>
      <c r="M173" s="16">
        <v>0</v>
      </c>
      <c r="N173" s="16">
        <v>0</v>
      </c>
      <c r="O173" s="16">
        <v>9</v>
      </c>
      <c r="P173" s="16">
        <v>163</v>
      </c>
      <c r="Q173" s="29">
        <v>60</v>
      </c>
      <c r="R173" s="20">
        <v>0.53579999999999994</v>
      </c>
      <c r="S173" s="32">
        <v>32.147999999999996</v>
      </c>
      <c r="T173" s="35">
        <v>3.23</v>
      </c>
      <c r="U173" s="35">
        <v>2.27</v>
      </c>
      <c r="V173" s="35">
        <v>5.383333333333333E-2</v>
      </c>
      <c r="W173" s="9" t="s">
        <v>155</v>
      </c>
      <c r="X173" s="15">
        <v>172</v>
      </c>
      <c r="Y173" s="39">
        <v>0.47812887191017095</v>
      </c>
      <c r="Z173" s="39">
        <v>0.48262271358969699</v>
      </c>
      <c r="AA173" s="39">
        <v>0.49138864267816657</v>
      </c>
      <c r="AB173" s="39">
        <v>0.5005842437962561</v>
      </c>
      <c r="AC173" s="39">
        <v>0.47286215787059199</v>
      </c>
      <c r="AD173" s="39">
        <v>0.47510628592710774</v>
      </c>
      <c r="AE173" s="39">
        <v>0.4837597918441448</v>
      </c>
      <c r="AF173" s="40">
        <v>0.49439376113865563</v>
      </c>
    </row>
    <row r="174" spans="1:32">
      <c r="A174" s="15">
        <v>172</v>
      </c>
      <c r="B174" s="16">
        <v>1</v>
      </c>
      <c r="C174" s="20">
        <v>0.15</v>
      </c>
      <c r="D174" s="20">
        <v>0.85653788503715333</v>
      </c>
      <c r="E174" s="20">
        <v>0.06</v>
      </c>
      <c r="F174" s="8" t="s">
        <v>436</v>
      </c>
      <c r="G174" s="24">
        <v>0.76068435126687883</v>
      </c>
      <c r="H174" s="24">
        <v>0.76508851949063461</v>
      </c>
      <c r="I174" s="25">
        <v>0.77846887347381521</v>
      </c>
      <c r="L174" s="15">
        <v>172</v>
      </c>
      <c r="M174" s="16">
        <v>0</v>
      </c>
      <c r="N174" s="16">
        <v>0</v>
      </c>
      <c r="O174" s="16">
        <v>9</v>
      </c>
      <c r="P174" s="16">
        <v>164</v>
      </c>
      <c r="Q174" s="29">
        <v>46</v>
      </c>
      <c r="R174" s="20">
        <v>0.53579999999999994</v>
      </c>
      <c r="S174" s="32">
        <v>24.646799999999999</v>
      </c>
      <c r="T174" s="35">
        <v>2.56</v>
      </c>
      <c r="U174" s="35">
        <v>1.79</v>
      </c>
      <c r="V174" s="35">
        <v>5.565217391304348E-2</v>
      </c>
      <c r="W174" s="9" t="s">
        <v>154</v>
      </c>
      <c r="X174" s="15">
        <v>173</v>
      </c>
      <c r="Y174" s="39">
        <v>0.47723703891824243</v>
      </c>
      <c r="Z174" s="39">
        <v>0.48754182316950717</v>
      </c>
      <c r="AA174" s="39">
        <v>0.48468027215730314</v>
      </c>
      <c r="AB174" s="39">
        <v>0.47266547734299053</v>
      </c>
      <c r="AC174" s="39">
        <v>0.47096374422672899</v>
      </c>
      <c r="AD174" s="39">
        <v>0.48237366364563666</v>
      </c>
      <c r="AE174" s="39">
        <v>0.47742327750118074</v>
      </c>
      <c r="AF174" s="40">
        <v>0.4720428078166754</v>
      </c>
    </row>
    <row r="175" spans="1:32">
      <c r="A175" s="15">
        <v>173</v>
      </c>
      <c r="B175" s="16">
        <v>0</v>
      </c>
      <c r="C175" s="20">
        <v>0.02</v>
      </c>
      <c r="D175" s="20">
        <v>0.99756714174924133</v>
      </c>
      <c r="E175" s="20">
        <v>1</v>
      </c>
      <c r="F175" s="8" t="s">
        <v>436</v>
      </c>
      <c r="G175" s="24">
        <v>1.023360714003863</v>
      </c>
      <c r="H175" s="24">
        <v>1.02928571131786</v>
      </c>
      <c r="I175" s="25">
        <v>1.0472865135994467</v>
      </c>
      <c r="L175" s="15">
        <v>173</v>
      </c>
      <c r="M175" s="16">
        <v>0</v>
      </c>
      <c r="N175" s="16">
        <v>0</v>
      </c>
      <c r="O175" s="16">
        <v>9</v>
      </c>
      <c r="P175" s="16">
        <v>165</v>
      </c>
      <c r="Q175" s="29">
        <v>64</v>
      </c>
      <c r="R175" s="20">
        <v>0.53579999999999994</v>
      </c>
      <c r="S175" s="32">
        <v>34.291199999999996</v>
      </c>
      <c r="T175" s="35">
        <v>1.4200000000000002</v>
      </c>
      <c r="U175" s="35">
        <v>0.47</v>
      </c>
      <c r="V175" s="35">
        <v>2.2187500000000002E-2</v>
      </c>
      <c r="W175" s="9" t="s">
        <v>153</v>
      </c>
      <c r="X175" s="15">
        <v>174</v>
      </c>
      <c r="Y175" s="39">
        <v>0.50385847105726833</v>
      </c>
      <c r="Z175" s="39">
        <v>0.46937923348909621</v>
      </c>
      <c r="AA175" s="39">
        <v>0.48944971388760034</v>
      </c>
      <c r="AB175" s="39">
        <v>0.49719894498784256</v>
      </c>
      <c r="AC175" s="39">
        <v>0.49775074912705175</v>
      </c>
      <c r="AD175" s="39">
        <v>0.46542107909173286</v>
      </c>
      <c r="AE175" s="39">
        <v>0.48355643023317635</v>
      </c>
      <c r="AF175" s="40">
        <v>0.49507880287450468</v>
      </c>
    </row>
    <row r="176" spans="1:32">
      <c r="A176" s="15">
        <v>174</v>
      </c>
      <c r="B176" s="16">
        <v>0</v>
      </c>
      <c r="C176" s="20">
        <v>0.89</v>
      </c>
      <c r="D176" s="20">
        <v>0.24559627500636821</v>
      </c>
      <c r="E176" s="20">
        <v>0.11</v>
      </c>
      <c r="F176" s="8" t="s">
        <v>434</v>
      </c>
      <c r="G176" s="24">
        <v>1.2296770274517212</v>
      </c>
      <c r="H176" s="24">
        <v>1.2367965435568782</v>
      </c>
      <c r="I176" s="25">
        <v>1.258426427075432</v>
      </c>
      <c r="L176" s="15">
        <v>174</v>
      </c>
      <c r="M176" s="16">
        <v>0</v>
      </c>
      <c r="N176" s="16">
        <v>0</v>
      </c>
      <c r="O176" s="16">
        <v>9</v>
      </c>
      <c r="P176" s="16">
        <v>166</v>
      </c>
      <c r="Q176" s="29">
        <v>53</v>
      </c>
      <c r="R176" s="20">
        <v>0.53579999999999994</v>
      </c>
      <c r="S176" s="32">
        <v>28.397399999999998</v>
      </c>
      <c r="T176" s="35">
        <v>2.3199999999999998</v>
      </c>
      <c r="U176" s="35">
        <v>1.7</v>
      </c>
      <c r="V176" s="35">
        <v>4.3773584905660377E-2</v>
      </c>
      <c r="W176" s="9" t="s">
        <v>154</v>
      </c>
      <c r="X176" s="15">
        <v>175</v>
      </c>
      <c r="Y176" s="39">
        <v>0.48669481882014609</v>
      </c>
      <c r="Z176" s="39">
        <v>0.48365184916037246</v>
      </c>
      <c r="AA176" s="39">
        <v>0.49578132694352223</v>
      </c>
      <c r="AB176" s="39">
        <v>0.47872746453485859</v>
      </c>
      <c r="AC176" s="39">
        <v>0.48130956359289112</v>
      </c>
      <c r="AD176" s="39">
        <v>0.47709735208800502</v>
      </c>
      <c r="AE176" s="39">
        <v>0.48997303299181866</v>
      </c>
      <c r="AF176" s="40">
        <v>0.47304740753753943</v>
      </c>
    </row>
    <row r="177" spans="1:32">
      <c r="A177" s="15">
        <v>175</v>
      </c>
      <c r="B177" s="16">
        <v>1</v>
      </c>
      <c r="C177" s="20">
        <v>0.26</v>
      </c>
      <c r="D177" s="20">
        <v>0.69155890823363964</v>
      </c>
      <c r="E177" s="20">
        <v>0.31</v>
      </c>
      <c r="F177" s="8" t="s">
        <v>436</v>
      </c>
      <c r="G177" s="24">
        <v>1.1326343814731938</v>
      </c>
      <c r="H177" s="24">
        <v>1.1391920454289592</v>
      </c>
      <c r="I177" s="25">
        <v>1.159114959489689</v>
      </c>
      <c r="L177" s="15">
        <v>175</v>
      </c>
      <c r="M177" s="16">
        <v>0</v>
      </c>
      <c r="N177" s="16">
        <v>0</v>
      </c>
      <c r="O177" s="16">
        <v>9</v>
      </c>
      <c r="P177" s="16">
        <v>167</v>
      </c>
      <c r="Q177" s="29">
        <v>51</v>
      </c>
      <c r="R177" s="20">
        <v>0.53579999999999994</v>
      </c>
      <c r="S177" s="32">
        <v>27.325799999999997</v>
      </c>
      <c r="T177" s="35">
        <v>1.21</v>
      </c>
      <c r="U177" s="35">
        <v>0.43</v>
      </c>
      <c r="V177" s="35">
        <v>2.372549019607843E-2</v>
      </c>
      <c r="W177" s="9" t="s">
        <v>153</v>
      </c>
      <c r="X177" s="15">
        <v>176</v>
      </c>
      <c r="Y177" s="39">
        <v>0.48658773371865599</v>
      </c>
      <c r="Z177" s="39">
        <v>0.49363721621125795</v>
      </c>
      <c r="AA177" s="39">
        <v>0.50381432193611564</v>
      </c>
      <c r="AB177" s="39">
        <v>0.48745273635359154</v>
      </c>
      <c r="AC177" s="39">
        <v>0.47808938828652292</v>
      </c>
      <c r="AD177" s="39">
        <v>0.49085203488872275</v>
      </c>
      <c r="AE177" s="39">
        <v>0.49851179757220271</v>
      </c>
      <c r="AF177" s="40">
        <v>0.48210425123165668</v>
      </c>
    </row>
    <row r="178" spans="1:32">
      <c r="A178" s="15">
        <v>176</v>
      </c>
      <c r="B178" s="16">
        <v>0</v>
      </c>
      <c r="C178" s="20">
        <v>0.19</v>
      </c>
      <c r="D178" s="20">
        <v>0.81027421069955308</v>
      </c>
      <c r="E178" s="20">
        <v>0.41</v>
      </c>
      <c r="F178" s="8" t="s">
        <v>436</v>
      </c>
      <c r="G178" s="24">
        <v>0.9436485476213784</v>
      </c>
      <c r="H178" s="24">
        <v>0.94911203183911708</v>
      </c>
      <c r="I178" s="25">
        <v>0.96571070589079144</v>
      </c>
      <c r="L178" s="15">
        <v>176</v>
      </c>
      <c r="M178" s="16">
        <v>0</v>
      </c>
      <c r="N178" s="16">
        <v>0</v>
      </c>
      <c r="O178" s="16">
        <v>9</v>
      </c>
      <c r="P178" s="16">
        <v>168</v>
      </c>
      <c r="Q178" s="29">
        <v>57</v>
      </c>
      <c r="R178" s="20">
        <v>0.53579999999999994</v>
      </c>
      <c r="S178" s="32">
        <v>30.540599999999998</v>
      </c>
      <c r="T178" s="35">
        <v>2.12</v>
      </c>
      <c r="U178" s="35">
        <v>1.18</v>
      </c>
      <c r="V178" s="35">
        <v>3.7192982456140354E-2</v>
      </c>
      <c r="W178" s="9" t="s">
        <v>154</v>
      </c>
      <c r="X178" s="15">
        <v>177</v>
      </c>
      <c r="Y178" s="39">
        <v>0.49470916576195262</v>
      </c>
      <c r="Z178" s="39">
        <v>0.5022773152716774</v>
      </c>
      <c r="AA178" s="39">
        <v>0.47384715037882463</v>
      </c>
      <c r="AB178" s="39">
        <v>0.50494036744878501</v>
      </c>
      <c r="AC178" s="39">
        <v>0.48754000000409237</v>
      </c>
      <c r="AD178" s="39">
        <v>0.49463494512620715</v>
      </c>
      <c r="AE178" s="39">
        <v>0.46711931770979676</v>
      </c>
      <c r="AF178" s="40">
        <v>0.50298146743367</v>
      </c>
    </row>
    <row r="179" spans="1:32">
      <c r="A179" s="15">
        <v>177</v>
      </c>
      <c r="B179" s="16">
        <v>1</v>
      </c>
      <c r="C179" s="20">
        <v>0.02</v>
      </c>
      <c r="D179" s="20">
        <v>0.99917029198757767</v>
      </c>
      <c r="E179" s="20">
        <v>1</v>
      </c>
      <c r="F179" s="8" t="s">
        <v>436</v>
      </c>
      <c r="G179" s="24">
        <v>1.5159376183546101</v>
      </c>
      <c r="H179" s="24">
        <v>1.5247145102110471</v>
      </c>
      <c r="I179" s="25">
        <v>1.5513796860046898</v>
      </c>
      <c r="L179" s="15">
        <v>177</v>
      </c>
      <c r="M179" s="16">
        <v>0</v>
      </c>
      <c r="N179" s="16">
        <v>0</v>
      </c>
      <c r="O179" s="16">
        <v>9</v>
      </c>
      <c r="P179" s="16">
        <v>169</v>
      </c>
      <c r="Q179" s="29">
        <v>63</v>
      </c>
      <c r="R179" s="20">
        <v>0.53579999999999994</v>
      </c>
      <c r="S179" s="32">
        <v>33.755399999999995</v>
      </c>
      <c r="T179" s="35">
        <v>4.0999999999999996</v>
      </c>
      <c r="U179" s="35">
        <v>3.14</v>
      </c>
      <c r="V179" s="35">
        <v>6.507936507936507E-2</v>
      </c>
      <c r="W179" s="9" t="s">
        <v>155</v>
      </c>
      <c r="X179" s="15">
        <v>178</v>
      </c>
      <c r="Y179" s="39">
        <v>0.49022266907843398</v>
      </c>
      <c r="Z179" s="39">
        <v>0.4828274537675501</v>
      </c>
      <c r="AA179" s="39">
        <v>0.4736200254824649</v>
      </c>
      <c r="AB179" s="39">
        <v>0.48924427076612176</v>
      </c>
      <c r="AC179" s="39">
        <v>0.4834942261288192</v>
      </c>
      <c r="AD179" s="39">
        <v>0.47297233659032084</v>
      </c>
      <c r="AE179" s="39">
        <v>0.46591393643920714</v>
      </c>
      <c r="AF179" s="40">
        <v>0.48397461330330999</v>
      </c>
    </row>
    <row r="180" spans="1:32">
      <c r="A180" s="15">
        <v>178</v>
      </c>
      <c r="B180" s="16">
        <v>1</v>
      </c>
      <c r="C180" s="20">
        <v>0.89</v>
      </c>
      <c r="D180" s="20">
        <v>0.24559627500636821</v>
      </c>
      <c r="E180" s="20">
        <v>0.11</v>
      </c>
      <c r="F180" s="8" t="s">
        <v>434</v>
      </c>
      <c r="G180" s="24">
        <v>1.372721027193365</v>
      </c>
      <c r="H180" s="24">
        <v>1.3806687315440298</v>
      </c>
      <c r="I180" s="25">
        <v>1.4048147432680944</v>
      </c>
      <c r="L180" s="15">
        <v>178</v>
      </c>
      <c r="M180" s="16">
        <v>0</v>
      </c>
      <c r="N180" s="16">
        <v>0</v>
      </c>
      <c r="O180" s="16">
        <v>9</v>
      </c>
      <c r="P180" s="16">
        <v>170</v>
      </c>
      <c r="Q180" s="29">
        <v>56</v>
      </c>
      <c r="R180" s="20">
        <v>0.53579999999999994</v>
      </c>
      <c r="S180" s="32">
        <v>30.004799999999996</v>
      </c>
      <c r="T180" s="35">
        <v>3.98</v>
      </c>
      <c r="U180" s="35">
        <v>3.14</v>
      </c>
      <c r="V180" s="35">
        <v>7.1071428571428577E-2</v>
      </c>
      <c r="W180" s="9" t="s">
        <v>155</v>
      </c>
      <c r="X180" s="15">
        <v>179</v>
      </c>
      <c r="Y180" s="39">
        <v>0.4909704546844505</v>
      </c>
      <c r="Z180" s="39">
        <v>0.49083036325048657</v>
      </c>
      <c r="AA180" s="39">
        <v>0.47495678947481706</v>
      </c>
      <c r="AB180" s="39">
        <v>0.50419495298085482</v>
      </c>
      <c r="AC180" s="39">
        <v>0.48031386991943992</v>
      </c>
      <c r="AD180" s="39">
        <v>0.48254694297179346</v>
      </c>
      <c r="AE180" s="39">
        <v>0.46731413115331155</v>
      </c>
      <c r="AF180" s="40">
        <v>0.50081819958961238</v>
      </c>
    </row>
    <row r="181" spans="1:32">
      <c r="A181" s="15">
        <v>179</v>
      </c>
      <c r="B181" s="16">
        <v>1</v>
      </c>
      <c r="C181" s="20">
        <v>0.95</v>
      </c>
      <c r="D181" s="20">
        <v>0.15570568692893463</v>
      </c>
      <c r="E181" s="20">
        <v>0.05</v>
      </c>
      <c r="F181" s="8" t="s">
        <v>434</v>
      </c>
      <c r="G181" s="24">
        <v>0.47509585757354145</v>
      </c>
      <c r="H181" s="24">
        <v>0.4778465413173027</v>
      </c>
      <c r="I181" s="25">
        <v>0.48620342514130876</v>
      </c>
      <c r="L181" s="15">
        <v>179</v>
      </c>
      <c r="M181" s="16">
        <v>0</v>
      </c>
      <c r="N181" s="16">
        <v>0</v>
      </c>
      <c r="O181" s="16">
        <v>9</v>
      </c>
      <c r="P181" s="16">
        <v>171</v>
      </c>
      <c r="Q181" s="29">
        <v>58</v>
      </c>
      <c r="R181" s="20">
        <v>0.53579999999999994</v>
      </c>
      <c r="S181" s="32">
        <v>31.076399999999996</v>
      </c>
      <c r="T181" s="35">
        <v>3.54</v>
      </c>
      <c r="U181" s="35">
        <v>2.75</v>
      </c>
      <c r="V181" s="35">
        <v>6.1034482758620688E-2</v>
      </c>
      <c r="W181" s="9" t="s">
        <v>155</v>
      </c>
      <c r="X181" s="15">
        <v>180</v>
      </c>
      <c r="Y181" s="39">
        <v>0.48853172066066575</v>
      </c>
      <c r="Z181" s="39">
        <v>0.48227386647687914</v>
      </c>
      <c r="AA181" s="39">
        <v>0.48381211750857639</v>
      </c>
      <c r="AB181" s="39">
        <v>0.49497212146790698</v>
      </c>
      <c r="AC181" s="39">
        <v>0.48274231840615378</v>
      </c>
      <c r="AD181" s="39">
        <v>0.4735020125212554</v>
      </c>
      <c r="AE181" s="39">
        <v>0.47947726347966574</v>
      </c>
      <c r="AF181" s="40">
        <v>0.49191206288667033</v>
      </c>
    </row>
    <row r="182" spans="1:32">
      <c r="A182" s="15">
        <v>180</v>
      </c>
      <c r="B182" s="16">
        <v>1</v>
      </c>
      <c r="C182" s="20">
        <v>0.26</v>
      </c>
      <c r="D182" s="20">
        <v>0.81216640644065818</v>
      </c>
      <c r="E182" s="20">
        <v>0.09</v>
      </c>
      <c r="F182" s="8" t="s">
        <v>436</v>
      </c>
      <c r="G182" s="24">
        <v>1.5437850469665875</v>
      </c>
      <c r="H182" s="24">
        <v>1.5527231683264342</v>
      </c>
      <c r="I182" s="25">
        <v>1.5798781773232038</v>
      </c>
      <c r="L182" s="15">
        <v>180</v>
      </c>
      <c r="M182" s="16">
        <v>0</v>
      </c>
      <c r="N182" s="16">
        <v>0</v>
      </c>
      <c r="O182" s="16">
        <v>9</v>
      </c>
      <c r="P182" s="16">
        <v>172</v>
      </c>
      <c r="Q182" s="29">
        <v>53</v>
      </c>
      <c r="R182" s="20">
        <v>0.53579999999999994</v>
      </c>
      <c r="S182" s="32">
        <v>28.397399999999998</v>
      </c>
      <c r="T182" s="35">
        <v>1.48</v>
      </c>
      <c r="U182" s="35">
        <v>0.8</v>
      </c>
      <c r="V182" s="35">
        <v>2.792452830188679E-2</v>
      </c>
      <c r="W182" s="9" t="s">
        <v>153</v>
      </c>
      <c r="X182" s="15">
        <v>181</v>
      </c>
      <c r="Y182" s="39">
        <v>0.49525225009593976</v>
      </c>
      <c r="Z182" s="39">
        <v>0.49821846831351191</v>
      </c>
      <c r="AA182" s="39">
        <v>0.48840373715399749</v>
      </c>
      <c r="AB182" s="39">
        <v>0.4921930713655272</v>
      </c>
      <c r="AC182" s="39">
        <v>0.48881726077622584</v>
      </c>
      <c r="AD182" s="39">
        <v>0.48820684155793576</v>
      </c>
      <c r="AE182" s="39">
        <v>0.48241337619996078</v>
      </c>
      <c r="AF182" s="40">
        <v>0.48820052946101317</v>
      </c>
    </row>
    <row r="183" spans="1:32">
      <c r="A183" s="15">
        <v>181</v>
      </c>
      <c r="B183" s="16">
        <v>1</v>
      </c>
      <c r="C183" s="20">
        <v>0.15</v>
      </c>
      <c r="D183" s="20">
        <v>0.86986594448058696</v>
      </c>
      <c r="E183" s="20">
        <v>7.0000000000000007E-2</v>
      </c>
      <c r="F183" s="8" t="s">
        <v>436</v>
      </c>
      <c r="G183" s="24">
        <v>1.0057350120095223</v>
      </c>
      <c r="H183" s="24">
        <v>1.0115579610080576</v>
      </c>
      <c r="I183" s="25">
        <v>1.0292487291322523</v>
      </c>
      <c r="L183" s="15">
        <v>181</v>
      </c>
      <c r="M183" s="16">
        <v>0</v>
      </c>
      <c r="N183" s="16">
        <v>0</v>
      </c>
      <c r="O183" s="16">
        <v>9</v>
      </c>
      <c r="P183" s="16">
        <v>173</v>
      </c>
      <c r="Q183" s="29">
        <v>57</v>
      </c>
      <c r="R183" s="20">
        <v>0.53579999999999994</v>
      </c>
      <c r="S183" s="32">
        <v>30.540599999999998</v>
      </c>
      <c r="T183" s="35">
        <v>3.19</v>
      </c>
      <c r="U183" s="35">
        <v>2.35</v>
      </c>
      <c r="V183" s="35">
        <v>5.5964912280701752E-2</v>
      </c>
      <c r="W183" s="9" t="s">
        <v>155</v>
      </c>
      <c r="X183" s="15">
        <v>182</v>
      </c>
      <c r="Y183" s="39">
        <v>0.48237958084329285</v>
      </c>
      <c r="Z183" s="39">
        <v>0.47944380921495378</v>
      </c>
      <c r="AA183" s="39">
        <v>0.48584779973869796</v>
      </c>
      <c r="AB183" s="39">
        <v>0.47991691047171525</v>
      </c>
      <c r="AC183" s="39">
        <v>0.47646280098652327</v>
      </c>
      <c r="AD183" s="39">
        <v>0.47492125612600739</v>
      </c>
      <c r="AE183" s="39">
        <v>0.47764158185258437</v>
      </c>
      <c r="AF183" s="40">
        <v>0.47675453273507284</v>
      </c>
    </row>
    <row r="184" spans="1:32">
      <c r="A184" s="15">
        <v>182</v>
      </c>
      <c r="B184" s="16">
        <v>0</v>
      </c>
      <c r="C184" s="20">
        <v>0.51</v>
      </c>
      <c r="D184" s="20">
        <v>0.69290701351517214</v>
      </c>
      <c r="E184" s="20">
        <v>0.02</v>
      </c>
      <c r="F184" s="8" t="s">
        <v>438</v>
      </c>
      <c r="G184" s="24">
        <v>0.60297291870903269</v>
      </c>
      <c r="H184" s="24">
        <v>0.60646397799524099</v>
      </c>
      <c r="I184" s="25">
        <v>0.6170702052446404</v>
      </c>
      <c r="L184" s="15">
        <v>182</v>
      </c>
      <c r="M184" s="16">
        <v>0</v>
      </c>
      <c r="N184" s="16">
        <v>0</v>
      </c>
      <c r="O184" s="16">
        <v>9</v>
      </c>
      <c r="P184" s="16">
        <v>174</v>
      </c>
      <c r="Q184" s="29">
        <v>47</v>
      </c>
      <c r="R184" s="20">
        <v>0.53579999999999994</v>
      </c>
      <c r="S184" s="32">
        <v>25.182599999999997</v>
      </c>
      <c r="T184" s="35">
        <v>1.46</v>
      </c>
      <c r="U184" s="35">
        <v>0.78</v>
      </c>
      <c r="V184" s="35">
        <v>3.1063829787234043E-2</v>
      </c>
      <c r="W184" s="9" t="s">
        <v>153</v>
      </c>
      <c r="X184" s="15">
        <v>183</v>
      </c>
      <c r="Y184" s="39">
        <v>0.48286906226426235</v>
      </c>
      <c r="Z184" s="39">
        <v>0.48188437693921915</v>
      </c>
      <c r="AA184" s="39">
        <v>0.48527744937107309</v>
      </c>
      <c r="AB184" s="39">
        <v>0.49417278080397892</v>
      </c>
      <c r="AC184" s="39">
        <v>0.47709858722179149</v>
      </c>
      <c r="AD184" s="39">
        <v>0.47397442184668975</v>
      </c>
      <c r="AE184" s="39">
        <v>0.47554275552899045</v>
      </c>
      <c r="AF184" s="40">
        <v>0.48970997669574373</v>
      </c>
    </row>
    <row r="185" spans="1:32">
      <c r="A185" s="15">
        <v>183</v>
      </c>
      <c r="B185" s="16">
        <v>1</v>
      </c>
      <c r="C185" s="20">
        <v>0.15</v>
      </c>
      <c r="D185" s="20">
        <v>0.84054893035800649</v>
      </c>
      <c r="E185" s="20">
        <v>0.51</v>
      </c>
      <c r="F185" s="8" t="s">
        <v>436</v>
      </c>
      <c r="G185" s="24">
        <v>1.0073998230447134</v>
      </c>
      <c r="H185" s="24">
        <v>1.0132324108741877</v>
      </c>
      <c r="I185" s="25">
        <v>1.0309524628411864</v>
      </c>
      <c r="L185" s="15">
        <v>183</v>
      </c>
      <c r="M185" s="16">
        <v>0</v>
      </c>
      <c r="N185" s="16">
        <v>0</v>
      </c>
      <c r="O185" s="16">
        <v>9</v>
      </c>
      <c r="P185" s="16">
        <v>175</v>
      </c>
      <c r="Q185" s="29">
        <v>49</v>
      </c>
      <c r="R185" s="20">
        <v>0.53579999999999994</v>
      </c>
      <c r="S185" s="32">
        <v>26.254199999999997</v>
      </c>
      <c r="T185" s="35">
        <v>1.1100000000000001</v>
      </c>
      <c r="U185" s="35">
        <v>0.35</v>
      </c>
      <c r="V185" s="35">
        <v>2.2653061224489797E-2</v>
      </c>
      <c r="W185" s="9" t="s">
        <v>153</v>
      </c>
      <c r="X185" s="15">
        <v>184</v>
      </c>
      <c r="Y185" s="39">
        <v>0.48390718568431546</v>
      </c>
      <c r="Z185" s="39">
        <v>0.47825026820596467</v>
      </c>
      <c r="AA185" s="39">
        <v>0.48277484822706046</v>
      </c>
      <c r="AB185" s="39">
        <v>0.49288721541333003</v>
      </c>
      <c r="AC185" s="39">
        <v>0.47940857434321732</v>
      </c>
      <c r="AD185" s="39">
        <v>0.47195841704902552</v>
      </c>
      <c r="AE185" s="39">
        <v>0.47813006824251009</v>
      </c>
      <c r="AF185" s="40">
        <v>0.48610367251031728</v>
      </c>
    </row>
    <row r="186" spans="1:32">
      <c r="A186" s="15">
        <v>184</v>
      </c>
      <c r="B186" s="16">
        <v>1</v>
      </c>
      <c r="C186" s="20">
        <v>0.06</v>
      </c>
      <c r="D186" s="20">
        <v>0.95139919623855485</v>
      </c>
      <c r="E186" s="20">
        <v>0.48</v>
      </c>
      <c r="F186" s="8" t="s">
        <v>436</v>
      </c>
      <c r="G186" s="24">
        <v>0.96599750145221497</v>
      </c>
      <c r="H186" s="24">
        <v>0.97159038040790513</v>
      </c>
      <c r="I186" s="25">
        <v>0.988582170096719</v>
      </c>
      <c r="L186" s="15">
        <v>184</v>
      </c>
      <c r="M186" s="16">
        <v>0</v>
      </c>
      <c r="N186" s="16">
        <v>0</v>
      </c>
      <c r="O186" s="16">
        <v>9</v>
      </c>
      <c r="P186" s="16">
        <v>176</v>
      </c>
      <c r="Q186" s="29">
        <v>50</v>
      </c>
      <c r="R186" s="20">
        <v>0.53579999999999994</v>
      </c>
      <c r="S186" s="32">
        <v>26.789999999999996</v>
      </c>
      <c r="T186" s="35">
        <v>0.87</v>
      </c>
      <c r="U186" s="35">
        <v>0.12</v>
      </c>
      <c r="V186" s="35">
        <v>1.7399999999999999E-2</v>
      </c>
      <c r="W186" s="9" t="s">
        <v>152</v>
      </c>
      <c r="X186" s="15">
        <v>185</v>
      </c>
      <c r="Y186" s="39">
        <v>0.46952746140112361</v>
      </c>
      <c r="Z186" s="39">
        <v>0.48008063552288865</v>
      </c>
      <c r="AA186" s="39">
        <v>0.48891456494609725</v>
      </c>
      <c r="AB186" s="39">
        <v>0.48610684756013955</v>
      </c>
      <c r="AC186" s="39">
        <v>0.46567630946487143</v>
      </c>
      <c r="AD186" s="39">
        <v>0.47207157882048106</v>
      </c>
      <c r="AE186" s="39">
        <v>0.48133462956616935</v>
      </c>
      <c r="AF186" s="40">
        <v>0.48033175329169814</v>
      </c>
    </row>
    <row r="187" spans="1:32">
      <c r="A187" s="15">
        <v>185</v>
      </c>
      <c r="B187" s="16">
        <v>1</v>
      </c>
      <c r="C187" s="20">
        <v>0.9</v>
      </c>
      <c r="D187" s="20">
        <v>0.23516114159132792</v>
      </c>
      <c r="E187" s="20">
        <v>0.1</v>
      </c>
      <c r="F187" s="8" t="s">
        <v>434</v>
      </c>
      <c r="G187" s="24">
        <v>0.86883069783415057</v>
      </c>
      <c r="H187" s="24">
        <v>0.8738610057994084</v>
      </c>
      <c r="I187" s="25">
        <v>0.88914364211118935</v>
      </c>
      <c r="L187" s="15">
        <v>185</v>
      </c>
      <c r="M187" s="16">
        <v>0</v>
      </c>
      <c r="N187" s="16">
        <v>0</v>
      </c>
      <c r="O187" s="16">
        <v>9</v>
      </c>
      <c r="P187" s="16">
        <v>177</v>
      </c>
      <c r="Q187" s="29">
        <v>43</v>
      </c>
      <c r="R187" s="20">
        <v>0.53579999999999994</v>
      </c>
      <c r="S187" s="32">
        <v>23.039399999999997</v>
      </c>
      <c r="T187" s="35">
        <v>2.2600000000000002</v>
      </c>
      <c r="U187" s="35">
        <v>1.61</v>
      </c>
      <c r="V187" s="35">
        <v>5.2558139534883724E-2</v>
      </c>
      <c r="W187" s="9" t="s">
        <v>154</v>
      </c>
      <c r="X187" s="15">
        <v>186</v>
      </c>
      <c r="Y187" s="39">
        <v>0.49689105422341917</v>
      </c>
      <c r="Z187" s="39">
        <v>0.49949588389696081</v>
      </c>
      <c r="AA187" s="39">
        <v>0.48004926432359152</v>
      </c>
      <c r="AB187" s="39">
        <v>0.49001792204369671</v>
      </c>
      <c r="AC187" s="39">
        <v>0.48839260989089595</v>
      </c>
      <c r="AD187" s="39">
        <v>0.48830554800496151</v>
      </c>
      <c r="AE187" s="39">
        <v>0.47529704567391928</v>
      </c>
      <c r="AF187" s="40">
        <v>0.48772032125462522</v>
      </c>
    </row>
    <row r="188" spans="1:32">
      <c r="A188" s="15">
        <v>186</v>
      </c>
      <c r="B188" s="16">
        <v>1</v>
      </c>
      <c r="C188" s="20">
        <v>0.06</v>
      </c>
      <c r="D188" s="20">
        <v>0.94950628557544003</v>
      </c>
      <c r="E188" s="20">
        <v>0.39</v>
      </c>
      <c r="F188" s="8" t="s">
        <v>436</v>
      </c>
      <c r="G188" s="24">
        <v>0.93177176226318459</v>
      </c>
      <c r="H188" s="24">
        <v>0.93716648292533311</v>
      </c>
      <c r="I188" s="25">
        <v>0.95355624563025732</v>
      </c>
      <c r="L188" s="15">
        <v>186</v>
      </c>
      <c r="M188" s="16">
        <v>0</v>
      </c>
      <c r="N188" s="16">
        <v>0</v>
      </c>
      <c r="O188" s="16">
        <v>10</v>
      </c>
      <c r="P188" s="16">
        <v>178</v>
      </c>
      <c r="Q188" s="29">
        <v>78</v>
      </c>
      <c r="R188" s="20">
        <v>0.53579999999999994</v>
      </c>
      <c r="S188" s="32">
        <v>41.792399999999994</v>
      </c>
      <c r="T188" s="35">
        <v>3.47</v>
      </c>
      <c r="U188" s="35">
        <v>2.42</v>
      </c>
      <c r="V188" s="35">
        <v>4.4487179487179493E-2</v>
      </c>
      <c r="W188" s="9" t="s">
        <v>155</v>
      </c>
      <c r="X188" s="15">
        <v>187</v>
      </c>
      <c r="Y188" s="39">
        <v>0.48778595723299883</v>
      </c>
      <c r="Z188" s="39">
        <v>0.48030605506195156</v>
      </c>
      <c r="AA188" s="39">
        <v>0.47615151903810837</v>
      </c>
      <c r="AB188" s="39">
        <v>0.48314168460357998</v>
      </c>
      <c r="AC188" s="39">
        <v>0.48050114621795875</v>
      </c>
      <c r="AD188" s="39">
        <v>0.47235995173413553</v>
      </c>
      <c r="AE188" s="39">
        <v>0.46886750820371487</v>
      </c>
      <c r="AF188" s="40">
        <v>0.48036823832590547</v>
      </c>
    </row>
    <row r="189" spans="1:32">
      <c r="A189" s="15">
        <v>187</v>
      </c>
      <c r="B189" s="16">
        <v>0</v>
      </c>
      <c r="C189" s="20">
        <v>0.91</v>
      </c>
      <c r="D189" s="20">
        <v>0.21727233298780477</v>
      </c>
      <c r="E189" s="20">
        <v>0.09</v>
      </c>
      <c r="F189" s="8" t="s">
        <v>434</v>
      </c>
      <c r="G189" s="24">
        <v>0.91997654006571072</v>
      </c>
      <c r="H189" s="24">
        <v>0.92530296940214996</v>
      </c>
      <c r="I189" s="25">
        <v>0.94148525544734063</v>
      </c>
      <c r="L189" s="15">
        <v>187</v>
      </c>
      <c r="M189" s="16">
        <v>0</v>
      </c>
      <c r="N189" s="16">
        <v>0</v>
      </c>
      <c r="O189" s="16">
        <v>10</v>
      </c>
      <c r="P189" s="16">
        <v>179</v>
      </c>
      <c r="Q189" s="29">
        <v>26</v>
      </c>
      <c r="R189" s="20">
        <v>0.53579999999999994</v>
      </c>
      <c r="S189" s="32">
        <v>13.930799999999998</v>
      </c>
      <c r="T189" s="35">
        <v>0.53</v>
      </c>
      <c r="U189" s="35">
        <v>0.2</v>
      </c>
      <c r="V189" s="35">
        <v>2.0384615384615386E-2</v>
      </c>
      <c r="W189" s="9" t="s">
        <v>152</v>
      </c>
      <c r="X189" s="15">
        <v>188</v>
      </c>
      <c r="Y189" s="39">
        <v>0.47478624236946054</v>
      </c>
      <c r="Z189" s="39">
        <v>0.47895738138261656</v>
      </c>
      <c r="AA189" s="39">
        <v>0.47480892843719152</v>
      </c>
      <c r="AB189" s="39">
        <v>0.48431492410628829</v>
      </c>
      <c r="AC189" s="39">
        <v>0.4676785448448097</v>
      </c>
      <c r="AD189" s="39">
        <v>0.4725967850907884</v>
      </c>
      <c r="AE189" s="39">
        <v>0.46967248431323849</v>
      </c>
      <c r="AF189" s="40">
        <v>0.47885778534571971</v>
      </c>
    </row>
    <row r="190" spans="1:32">
      <c r="A190" s="15">
        <v>188</v>
      </c>
      <c r="B190" s="16">
        <v>0</v>
      </c>
      <c r="C190" s="20">
        <v>0.34</v>
      </c>
      <c r="D190" s="20">
        <v>0.72390220425816953</v>
      </c>
      <c r="E190" s="20">
        <v>0.04</v>
      </c>
      <c r="F190" s="8" t="s">
        <v>436</v>
      </c>
      <c r="G190" s="24">
        <v>1.0779640094776897</v>
      </c>
      <c r="H190" s="24">
        <v>1.0842051459346014</v>
      </c>
      <c r="I190" s="25">
        <v>1.1031664141714443</v>
      </c>
      <c r="L190" s="15">
        <v>188</v>
      </c>
      <c r="M190" s="16">
        <v>0</v>
      </c>
      <c r="N190" s="16">
        <v>0</v>
      </c>
      <c r="O190" s="16">
        <v>10</v>
      </c>
      <c r="P190" s="16">
        <v>180</v>
      </c>
      <c r="Q190" s="29">
        <v>48</v>
      </c>
      <c r="R190" s="20">
        <v>0.53579999999999994</v>
      </c>
      <c r="S190" s="32">
        <v>25.718399999999995</v>
      </c>
      <c r="T190" s="35">
        <v>1.71</v>
      </c>
      <c r="U190" s="35">
        <v>1.0900000000000001</v>
      </c>
      <c r="V190" s="35">
        <v>3.5624999999999997E-2</v>
      </c>
      <c r="W190" s="9" t="s">
        <v>153</v>
      </c>
      <c r="X190" s="15">
        <v>189</v>
      </c>
      <c r="Y190" s="39">
        <v>0.48482269417155954</v>
      </c>
      <c r="Z190" s="39">
        <v>0.49858324830719297</v>
      </c>
      <c r="AA190" s="39">
        <v>0.48783943081113368</v>
      </c>
      <c r="AB190" s="39">
        <v>0.49584157289762293</v>
      </c>
      <c r="AC190" s="39">
        <v>0.47759812061618989</v>
      </c>
      <c r="AD190" s="39">
        <v>0.49133698707692935</v>
      </c>
      <c r="AE190" s="39">
        <v>0.47887593713859222</v>
      </c>
      <c r="AF190" s="40">
        <v>0.48868249415940929</v>
      </c>
    </row>
    <row r="191" spans="1:32">
      <c r="A191" s="15">
        <v>189</v>
      </c>
      <c r="B191" s="16">
        <v>1</v>
      </c>
      <c r="C191" s="20">
        <v>0.02</v>
      </c>
      <c r="D191" s="20">
        <v>0.99835916395484214</v>
      </c>
      <c r="E191" s="20">
        <v>1</v>
      </c>
      <c r="F191" s="8" t="s">
        <v>436</v>
      </c>
      <c r="G191" s="24">
        <v>0.91671224742712243</v>
      </c>
      <c r="H191" s="24">
        <v>0.92201977734241813</v>
      </c>
      <c r="I191" s="25">
        <v>0.93814464483951288</v>
      </c>
      <c r="L191" s="15">
        <v>189</v>
      </c>
      <c r="M191" s="16">
        <v>0</v>
      </c>
      <c r="N191" s="16">
        <v>0</v>
      </c>
      <c r="O191" s="16">
        <v>10</v>
      </c>
      <c r="P191" s="16">
        <v>181</v>
      </c>
      <c r="Q191" s="29">
        <v>59</v>
      </c>
      <c r="R191" s="20">
        <v>0.53579999999999994</v>
      </c>
      <c r="S191" s="32">
        <v>31.612199999999998</v>
      </c>
      <c r="T191" s="35">
        <v>2.2800000000000002</v>
      </c>
      <c r="U191" s="35">
        <v>1.47</v>
      </c>
      <c r="V191" s="35">
        <v>3.8644067796610171E-2</v>
      </c>
      <c r="W191" s="9" t="s">
        <v>154</v>
      </c>
      <c r="X191" s="15">
        <v>190</v>
      </c>
      <c r="Y191" s="39">
        <v>0.49622373688128468</v>
      </c>
      <c r="Z191" s="39">
        <v>0.48531854525784657</v>
      </c>
      <c r="AA191" s="39">
        <v>0.49513165106652596</v>
      </c>
      <c r="AB191" s="39">
        <v>0.48377796976819676</v>
      </c>
      <c r="AC191" s="39">
        <v>0.48947977062374598</v>
      </c>
      <c r="AD191" s="39">
        <v>0.47712546030551611</v>
      </c>
      <c r="AE191" s="39">
        <v>0.48804805019721292</v>
      </c>
      <c r="AF191" s="40">
        <v>0.47970454085706166</v>
      </c>
    </row>
    <row r="192" spans="1:32">
      <c r="A192" s="15">
        <v>190</v>
      </c>
      <c r="B192" s="16">
        <v>1</v>
      </c>
      <c r="C192" s="20">
        <v>0.9</v>
      </c>
      <c r="D192" s="20">
        <v>0.231595386583653</v>
      </c>
      <c r="E192" s="20">
        <v>0.1</v>
      </c>
      <c r="F192" s="8" t="s">
        <v>434</v>
      </c>
      <c r="G192" s="24">
        <v>1.0555132431613088</v>
      </c>
      <c r="H192" s="24">
        <v>1.0616243954119662</v>
      </c>
      <c r="I192" s="25">
        <v>1.080190757141259</v>
      </c>
      <c r="L192" s="15">
        <v>190</v>
      </c>
      <c r="M192" s="16">
        <v>0</v>
      </c>
      <c r="N192" s="16">
        <v>0</v>
      </c>
      <c r="O192" s="16">
        <v>10</v>
      </c>
      <c r="P192" s="16">
        <v>182</v>
      </c>
      <c r="Q192" s="29">
        <v>59</v>
      </c>
      <c r="R192" s="20">
        <v>0.53579999999999994</v>
      </c>
      <c r="S192" s="32">
        <v>31.612199999999998</v>
      </c>
      <c r="T192" s="35">
        <v>1.29</v>
      </c>
      <c r="U192" s="35">
        <v>0.27</v>
      </c>
      <c r="V192" s="35">
        <v>2.1864406779661019E-2</v>
      </c>
      <c r="W192" s="9" t="s">
        <v>153</v>
      </c>
      <c r="X192" s="15">
        <v>191</v>
      </c>
      <c r="Y192" s="39">
        <v>0.473167366375911</v>
      </c>
      <c r="Z192" s="39">
        <v>0.49198510807025647</v>
      </c>
      <c r="AA192" s="39">
        <v>0.48914544163150409</v>
      </c>
      <c r="AB192" s="39">
        <v>0.47403861876713921</v>
      </c>
      <c r="AC192" s="39">
        <v>0.46771778815088533</v>
      </c>
      <c r="AD192" s="39">
        <v>0.48313296106623049</v>
      </c>
      <c r="AE192" s="39">
        <v>0.4812697152621177</v>
      </c>
      <c r="AF192" s="40">
        <v>0.46823846911093725</v>
      </c>
    </row>
    <row r="193" spans="1:32">
      <c r="A193" s="15">
        <v>191</v>
      </c>
      <c r="B193" s="16">
        <v>1</v>
      </c>
      <c r="C193" s="20">
        <v>0.02</v>
      </c>
      <c r="D193" s="20">
        <v>0.99917029198757767</v>
      </c>
      <c r="E193" s="20">
        <v>1</v>
      </c>
      <c r="F193" s="8" t="s">
        <v>436</v>
      </c>
      <c r="G193" s="24">
        <v>1.0760246008247143</v>
      </c>
      <c r="H193" s="24">
        <v>1.0822545086005733</v>
      </c>
      <c r="I193" s="25">
        <v>1.10118166285275</v>
      </c>
      <c r="L193" s="15">
        <v>191</v>
      </c>
      <c r="M193" s="16">
        <v>0</v>
      </c>
      <c r="N193" s="16">
        <v>0</v>
      </c>
      <c r="O193" s="16">
        <v>10</v>
      </c>
      <c r="P193" s="16">
        <v>183</v>
      </c>
      <c r="Q193" s="29">
        <v>64</v>
      </c>
      <c r="R193" s="20">
        <v>0.53579999999999994</v>
      </c>
      <c r="S193" s="32">
        <v>34.291199999999996</v>
      </c>
      <c r="T193" s="35">
        <v>2.81</v>
      </c>
      <c r="U193" s="35">
        <v>1.9</v>
      </c>
      <c r="V193" s="35">
        <v>4.3906250000000001E-2</v>
      </c>
      <c r="W193" s="9" t="s">
        <v>154</v>
      </c>
      <c r="X193" s="15">
        <v>192</v>
      </c>
      <c r="Y193" s="39">
        <v>0.49911483801724887</v>
      </c>
      <c r="Z193" s="39">
        <v>0.49180081165777101</v>
      </c>
      <c r="AA193" s="39">
        <v>0.48775118444939719</v>
      </c>
      <c r="AB193" s="39">
        <v>0.48072246538767188</v>
      </c>
      <c r="AC193" s="39">
        <v>0.4899069781612253</v>
      </c>
      <c r="AD193" s="39">
        <v>0.48447892512358887</v>
      </c>
      <c r="AE193" s="39">
        <v>0.47951056747598886</v>
      </c>
      <c r="AF193" s="40">
        <v>0.47316191967987525</v>
      </c>
    </row>
    <row r="194" spans="1:32">
      <c r="A194" s="15">
        <v>192</v>
      </c>
      <c r="B194" s="16">
        <v>1</v>
      </c>
      <c r="C194" s="20">
        <v>0.02</v>
      </c>
      <c r="D194" s="20">
        <v>0.99835916395484214</v>
      </c>
      <c r="E194" s="20">
        <v>1</v>
      </c>
      <c r="F194" s="8" t="s">
        <v>436</v>
      </c>
      <c r="G194" s="24">
        <v>1.0745328673579773</v>
      </c>
      <c r="H194" s="24">
        <v>1.0807541383778394</v>
      </c>
      <c r="I194" s="25">
        <v>1.0996550532025844</v>
      </c>
      <c r="L194" s="15">
        <v>192</v>
      </c>
      <c r="M194" s="16">
        <v>0</v>
      </c>
      <c r="N194" s="16">
        <v>0</v>
      </c>
      <c r="O194" s="16">
        <v>10</v>
      </c>
      <c r="P194" s="16">
        <v>184</v>
      </c>
      <c r="Q194" s="29">
        <v>62</v>
      </c>
      <c r="R194" s="20">
        <v>0.53579999999999994</v>
      </c>
      <c r="S194" s="32">
        <v>33.2196</v>
      </c>
      <c r="T194" s="35">
        <v>3.18</v>
      </c>
      <c r="U194" s="35">
        <v>2.42</v>
      </c>
      <c r="V194" s="35">
        <v>5.1290322580645163E-2</v>
      </c>
      <c r="W194" s="9" t="s">
        <v>155</v>
      </c>
      <c r="X194" s="15">
        <v>193</v>
      </c>
      <c r="Y194" s="39">
        <v>0.48440086208236505</v>
      </c>
      <c r="Z194" s="39">
        <v>0.47605361468141111</v>
      </c>
      <c r="AA194" s="39">
        <v>0.49748108659645085</v>
      </c>
      <c r="AB194" s="39">
        <v>0.49205194967201316</v>
      </c>
      <c r="AC194" s="39">
        <v>0.47831205422400358</v>
      </c>
      <c r="AD194" s="39">
        <v>0.46938936879160081</v>
      </c>
      <c r="AE194" s="39">
        <v>0.48889369323124993</v>
      </c>
      <c r="AF194" s="40">
        <v>0.48803727783247614</v>
      </c>
    </row>
    <row r="195" spans="1:32">
      <c r="A195" s="15">
        <v>193</v>
      </c>
      <c r="B195" s="16">
        <v>0</v>
      </c>
      <c r="C195" s="20">
        <v>0.9</v>
      </c>
      <c r="D195" s="20">
        <v>0.231595386583653</v>
      </c>
      <c r="E195" s="20">
        <v>0.1</v>
      </c>
      <c r="F195" s="8" t="s">
        <v>434</v>
      </c>
      <c r="G195" s="24">
        <v>1.0176365489241495</v>
      </c>
      <c r="H195" s="24">
        <v>1.0235284047834687</v>
      </c>
      <c r="I195" s="25">
        <v>1.0414285196315658</v>
      </c>
      <c r="L195" s="15">
        <v>193</v>
      </c>
      <c r="M195" s="16">
        <v>0</v>
      </c>
      <c r="N195" s="16">
        <v>0</v>
      </c>
      <c r="O195" s="16">
        <v>10</v>
      </c>
      <c r="P195" s="16">
        <v>185</v>
      </c>
      <c r="Q195" s="29">
        <v>47</v>
      </c>
      <c r="R195" s="20">
        <v>0.53579999999999994</v>
      </c>
      <c r="S195" s="32">
        <v>25.182599999999997</v>
      </c>
      <c r="T195" s="35">
        <v>1.27</v>
      </c>
      <c r="U195" s="35">
        <v>0.57999999999999996</v>
      </c>
      <c r="V195" s="35">
        <v>2.702127659574468E-2</v>
      </c>
      <c r="W195" s="9" t="s">
        <v>153</v>
      </c>
      <c r="X195" s="15">
        <v>194</v>
      </c>
      <c r="Y195" s="39">
        <v>0.46537458773138041</v>
      </c>
      <c r="Z195" s="39">
        <v>0.49586699355306979</v>
      </c>
      <c r="AA195" s="39">
        <v>0.48619821375998862</v>
      </c>
      <c r="AB195" s="39">
        <v>0.48175569094334719</v>
      </c>
      <c r="AC195" s="39">
        <v>0.46334769353550831</v>
      </c>
      <c r="AD195" s="39">
        <v>0.48829462340518037</v>
      </c>
      <c r="AE195" s="39">
        <v>0.47883509595503321</v>
      </c>
      <c r="AF195" s="40">
        <v>0.47485354925530904</v>
      </c>
    </row>
    <row r="196" spans="1:32">
      <c r="A196" s="15">
        <v>194</v>
      </c>
      <c r="B196" s="16">
        <v>1</v>
      </c>
      <c r="C196" s="20">
        <v>0.99</v>
      </c>
      <c r="D196" s="20">
        <v>8.0793135895911181E-2</v>
      </c>
      <c r="E196" s="20">
        <v>0.01</v>
      </c>
      <c r="F196" s="8" t="s">
        <v>434</v>
      </c>
      <c r="G196" s="24">
        <v>0.64058931812886821</v>
      </c>
      <c r="H196" s="24">
        <v>0.64429816676586449</v>
      </c>
      <c r="I196" s="25">
        <v>0.65556606233928261</v>
      </c>
      <c r="L196" s="15">
        <v>194</v>
      </c>
      <c r="M196" s="16">
        <v>0</v>
      </c>
      <c r="N196" s="16">
        <v>0</v>
      </c>
      <c r="O196" s="16">
        <v>10</v>
      </c>
      <c r="P196" s="16">
        <v>186</v>
      </c>
      <c r="Q196" s="29">
        <v>63</v>
      </c>
      <c r="R196" s="20">
        <v>0.53579999999999994</v>
      </c>
      <c r="S196" s="32">
        <v>33.755399999999995</v>
      </c>
      <c r="T196" s="35">
        <v>3.67</v>
      </c>
      <c r="U196" s="35">
        <v>2.69</v>
      </c>
      <c r="V196" s="35">
        <v>5.8253968253968252E-2</v>
      </c>
      <c r="W196" s="9" t="s">
        <v>155</v>
      </c>
      <c r="X196" s="15">
        <v>195</v>
      </c>
      <c r="Y196" s="39">
        <v>0.47827344651384579</v>
      </c>
      <c r="Z196" s="39">
        <v>0.48936989603080622</v>
      </c>
      <c r="AA196" s="39">
        <v>0.4905735054001446</v>
      </c>
      <c r="AB196" s="39">
        <v>0.48405635651673384</v>
      </c>
      <c r="AC196" s="39">
        <v>0.47059840885280546</v>
      </c>
      <c r="AD196" s="39">
        <v>0.48369188595559243</v>
      </c>
      <c r="AE196" s="39">
        <v>0.48335177704548665</v>
      </c>
      <c r="AF196" s="40">
        <v>0.48126049827304979</v>
      </c>
    </row>
    <row r="197" spans="1:32">
      <c r="A197" s="15">
        <v>195</v>
      </c>
      <c r="B197" s="16">
        <v>0</v>
      </c>
      <c r="C197" s="20">
        <v>0.02</v>
      </c>
      <c r="D197" s="20">
        <v>0.99756714174924133</v>
      </c>
      <c r="E197" s="20">
        <v>1</v>
      </c>
      <c r="F197" s="8" t="s">
        <v>436</v>
      </c>
      <c r="G197" s="24">
        <v>0.97424794856915697</v>
      </c>
      <c r="H197" s="24">
        <v>0.97988859550766905</v>
      </c>
      <c r="I197" s="25">
        <v>0.99702550965284953</v>
      </c>
      <c r="L197" s="15">
        <v>195</v>
      </c>
      <c r="M197" s="16">
        <v>0</v>
      </c>
      <c r="N197" s="16">
        <v>0</v>
      </c>
      <c r="O197" s="16">
        <v>10</v>
      </c>
      <c r="P197" s="16">
        <v>187</v>
      </c>
      <c r="Q197" s="29">
        <v>59</v>
      </c>
      <c r="R197" s="20">
        <v>0.53579999999999994</v>
      </c>
      <c r="S197" s="32">
        <v>31.612199999999998</v>
      </c>
      <c r="T197" s="35">
        <v>1.17</v>
      </c>
      <c r="U197" s="35">
        <v>0.33</v>
      </c>
      <c r="V197" s="35">
        <v>1.9830508474576271E-2</v>
      </c>
      <c r="W197" s="9" t="s">
        <v>153</v>
      </c>
      <c r="X197" s="15">
        <v>196</v>
      </c>
      <c r="Y197" s="39">
        <v>0.50608136025286021</v>
      </c>
      <c r="Z197" s="39">
        <v>0.49163344303124684</v>
      </c>
      <c r="AA197" s="39">
        <v>0.48029016193120555</v>
      </c>
      <c r="AB197" s="39">
        <v>0.48961100285289383</v>
      </c>
      <c r="AC197" s="39">
        <v>0.49786268666505734</v>
      </c>
      <c r="AD197" s="39">
        <v>0.48326193389364513</v>
      </c>
      <c r="AE197" s="39">
        <v>0.47487409071601561</v>
      </c>
      <c r="AF197" s="40">
        <v>0.48937969452923774</v>
      </c>
    </row>
    <row r="198" spans="1:32">
      <c r="A198" s="15">
        <v>196</v>
      </c>
      <c r="B198" s="16">
        <v>0</v>
      </c>
      <c r="C198" s="20">
        <v>0.95</v>
      </c>
      <c r="D198" s="20">
        <v>0.15570568692893463</v>
      </c>
      <c r="E198" s="20">
        <v>0.05</v>
      </c>
      <c r="F198" s="8" t="s">
        <v>434</v>
      </c>
      <c r="G198" s="24">
        <v>1.4397017324531929</v>
      </c>
      <c r="H198" s="24">
        <v>1.4480372379900117</v>
      </c>
      <c r="I198" s="25">
        <v>1.4733614329446461</v>
      </c>
      <c r="L198" s="15">
        <v>196</v>
      </c>
      <c r="M198" s="16">
        <v>0</v>
      </c>
      <c r="N198" s="16">
        <v>0</v>
      </c>
      <c r="O198" s="16">
        <v>11</v>
      </c>
      <c r="P198" s="16">
        <v>196</v>
      </c>
      <c r="Q198" s="29">
        <v>18</v>
      </c>
      <c r="R198" s="20">
        <v>0.53579999999999994</v>
      </c>
      <c r="S198" s="32">
        <v>9.6443999999999992</v>
      </c>
      <c r="T198" s="35">
        <v>0.32</v>
      </c>
      <c r="U198" s="35">
        <v>0.08</v>
      </c>
      <c r="V198" s="35">
        <v>1.7777777777777778E-2</v>
      </c>
      <c r="W198" s="9" t="s">
        <v>152</v>
      </c>
      <c r="X198" s="15">
        <v>197</v>
      </c>
      <c r="Y198" s="39">
        <v>0.48192522818265776</v>
      </c>
      <c r="Z198" s="39">
        <v>0.47019000079483536</v>
      </c>
      <c r="AA198" s="39">
        <v>0.48613823406341783</v>
      </c>
      <c r="AB198" s="39">
        <v>0.490553850289979</v>
      </c>
      <c r="AC198" s="39">
        <v>0.47536239910682204</v>
      </c>
      <c r="AD198" s="39">
        <v>0.46325247699544497</v>
      </c>
      <c r="AE198" s="39">
        <v>0.47866578422136313</v>
      </c>
      <c r="AF198" s="40">
        <v>0.48450662465906619</v>
      </c>
    </row>
    <row r="199" spans="1:32">
      <c r="A199" s="15">
        <v>197</v>
      </c>
      <c r="B199" s="16">
        <v>1</v>
      </c>
      <c r="C199" s="20">
        <v>0.13</v>
      </c>
      <c r="D199" s="20">
        <v>0.92116121616246427</v>
      </c>
      <c r="E199" s="20">
        <v>0.03</v>
      </c>
      <c r="F199" s="8" t="s">
        <v>436</v>
      </c>
      <c r="G199" s="24">
        <v>1.6120496025534394</v>
      </c>
      <c r="H199" s="24">
        <v>1.6213829582651216</v>
      </c>
      <c r="I199" s="25">
        <v>1.6497387332783544</v>
      </c>
      <c r="L199" s="15">
        <v>197</v>
      </c>
      <c r="M199" s="16">
        <v>0</v>
      </c>
      <c r="N199" s="16">
        <v>0</v>
      </c>
      <c r="O199" s="16">
        <v>11</v>
      </c>
      <c r="P199" s="16">
        <v>197</v>
      </c>
      <c r="Q199" s="29">
        <v>8</v>
      </c>
      <c r="R199" s="20">
        <v>0.53579999999999994</v>
      </c>
      <c r="S199" s="32">
        <v>4.2863999999999995</v>
      </c>
      <c r="T199" s="35">
        <v>0.64000000000000012</v>
      </c>
      <c r="U199" s="35">
        <v>0.52</v>
      </c>
      <c r="V199" s="35">
        <v>8.0000000000000016E-2</v>
      </c>
      <c r="W199" s="9" t="s">
        <v>152</v>
      </c>
      <c r="X199" s="15">
        <v>198</v>
      </c>
      <c r="Y199" s="39">
        <v>0.47860664979155576</v>
      </c>
      <c r="Z199" s="39">
        <v>0.48822502717796273</v>
      </c>
      <c r="AA199" s="39">
        <v>0.49526977427672114</v>
      </c>
      <c r="AB199" s="39">
        <v>0.48242912041109015</v>
      </c>
      <c r="AC199" s="39">
        <v>0.47418880137587183</v>
      </c>
      <c r="AD199" s="39">
        <v>0.47859558681592612</v>
      </c>
      <c r="AE199" s="39">
        <v>0.48948477752794084</v>
      </c>
      <c r="AF199" s="40">
        <v>0.4768632152205074</v>
      </c>
    </row>
    <row r="200" spans="1:32">
      <c r="A200" s="15">
        <v>198</v>
      </c>
      <c r="B200" s="16">
        <v>1</v>
      </c>
      <c r="C200" s="20">
        <v>0.94</v>
      </c>
      <c r="D200" s="20">
        <v>0.17188516685452584</v>
      </c>
      <c r="E200" s="20">
        <v>0.06</v>
      </c>
      <c r="F200" s="8" t="s">
        <v>434</v>
      </c>
      <c r="G200" s="24">
        <v>1.4465740545299419</v>
      </c>
      <c r="H200" s="24">
        <v>1.4549493490573762</v>
      </c>
      <c r="I200" s="25">
        <v>1.4803944274006595</v>
      </c>
      <c r="L200" s="15">
        <v>198</v>
      </c>
      <c r="M200" s="16">
        <v>0</v>
      </c>
      <c r="N200" s="16">
        <v>0</v>
      </c>
      <c r="O200" s="16">
        <v>11</v>
      </c>
      <c r="P200" s="16">
        <v>198</v>
      </c>
      <c r="Q200" s="29">
        <v>18</v>
      </c>
      <c r="R200" s="20">
        <v>0.53579999999999994</v>
      </c>
      <c r="S200" s="32">
        <v>9.6443999999999992</v>
      </c>
      <c r="T200" s="35">
        <v>0.95000000000000007</v>
      </c>
      <c r="U200" s="35">
        <v>0.59</v>
      </c>
      <c r="V200" s="35">
        <v>5.2777777777777785E-2</v>
      </c>
      <c r="W200" s="9" t="s">
        <v>152</v>
      </c>
      <c r="X200" s="15">
        <v>199</v>
      </c>
      <c r="Y200" s="39">
        <v>0.48720001317646916</v>
      </c>
      <c r="Z200" s="39">
        <v>0.49666690452926515</v>
      </c>
      <c r="AA200" s="39">
        <v>0.48151290532123686</v>
      </c>
      <c r="AB200" s="39">
        <v>0.49972228485177772</v>
      </c>
      <c r="AC200" s="39">
        <v>0.47708042444601545</v>
      </c>
      <c r="AD200" s="39">
        <v>0.48959102816552019</v>
      </c>
      <c r="AE200" s="39">
        <v>0.47040278064499852</v>
      </c>
      <c r="AF200" s="40">
        <v>0.49578017286267362</v>
      </c>
    </row>
    <row r="201" spans="1:32">
      <c r="A201" s="15">
        <v>199</v>
      </c>
      <c r="B201" s="16">
        <v>0</v>
      </c>
      <c r="C201" s="20">
        <v>0.89</v>
      </c>
      <c r="D201" s="20">
        <v>0.24559627500636821</v>
      </c>
      <c r="E201" s="20">
        <v>0.11</v>
      </c>
      <c r="F201" s="8" t="s">
        <v>434</v>
      </c>
      <c r="G201" s="24">
        <v>1.9861882238537378</v>
      </c>
      <c r="H201" s="24">
        <v>1.9976877466812104</v>
      </c>
      <c r="I201" s="25">
        <v>1.6578926537592125</v>
      </c>
      <c r="L201" s="15">
        <v>199</v>
      </c>
      <c r="M201" s="16">
        <v>0</v>
      </c>
      <c r="N201" s="16">
        <v>0</v>
      </c>
      <c r="O201" s="16">
        <v>11</v>
      </c>
      <c r="P201" s="16">
        <v>199</v>
      </c>
      <c r="Q201" s="29">
        <v>24</v>
      </c>
      <c r="R201" s="20">
        <v>0.53579999999999994</v>
      </c>
      <c r="S201" s="32">
        <v>12.859199999999998</v>
      </c>
      <c r="T201" s="35">
        <v>1.23</v>
      </c>
      <c r="U201" s="35">
        <v>0.91</v>
      </c>
      <c r="V201" s="35">
        <v>5.1249999999999997E-2</v>
      </c>
      <c r="W201" s="9" t="s">
        <v>153</v>
      </c>
      <c r="X201" s="15">
        <v>200</v>
      </c>
      <c r="Y201" s="39">
        <v>0.47738677778143923</v>
      </c>
      <c r="Z201" s="39">
        <v>0.49093094734600218</v>
      </c>
      <c r="AA201" s="39">
        <v>0.50863832087348282</v>
      </c>
      <c r="AB201" s="39">
        <v>0.49678514211918623</v>
      </c>
      <c r="AC201" s="39">
        <v>0.46970088038180219</v>
      </c>
      <c r="AD201" s="39">
        <v>0.48360534550431378</v>
      </c>
      <c r="AE201" s="39">
        <v>0.50141392004818774</v>
      </c>
      <c r="AF201" s="40">
        <v>0.48848895500446965</v>
      </c>
    </row>
    <row r="202" spans="1:32">
      <c r="A202" s="15">
        <v>200</v>
      </c>
      <c r="B202" s="16">
        <v>1</v>
      </c>
      <c r="C202" s="20">
        <v>0.13</v>
      </c>
      <c r="D202" s="20">
        <v>0.91136950732639488</v>
      </c>
      <c r="E202" s="20">
        <v>0.06</v>
      </c>
      <c r="F202" s="8" t="s">
        <v>436</v>
      </c>
      <c r="G202" s="24">
        <v>0.80627441784484977</v>
      </c>
      <c r="H202" s="24">
        <v>0.81094254091690399</v>
      </c>
      <c r="I202" s="25">
        <v>0.82512481915146962</v>
      </c>
      <c r="L202" s="15">
        <v>200</v>
      </c>
      <c r="M202" s="16">
        <v>0</v>
      </c>
      <c r="N202" s="16">
        <v>0</v>
      </c>
      <c r="O202" s="16">
        <v>11</v>
      </c>
      <c r="P202" s="16">
        <v>200</v>
      </c>
      <c r="Q202" s="29">
        <v>19</v>
      </c>
      <c r="R202" s="20">
        <v>0.53579999999999994</v>
      </c>
      <c r="S202" s="32">
        <v>10.180199999999999</v>
      </c>
      <c r="T202" s="35">
        <v>0.66</v>
      </c>
      <c r="U202" s="35">
        <v>0.4</v>
      </c>
      <c r="V202" s="35">
        <v>3.4736842105263156E-2</v>
      </c>
      <c r="W202" s="9" t="s">
        <v>152</v>
      </c>
      <c r="X202" s="15">
        <v>201</v>
      </c>
      <c r="Y202" s="39">
        <v>0.48803742790879867</v>
      </c>
      <c r="Z202" s="39">
        <v>0.47850716592681536</v>
      </c>
      <c r="AA202" s="39">
        <v>0.50327655916395253</v>
      </c>
      <c r="AB202" s="39">
        <v>0.50115238655306049</v>
      </c>
      <c r="AC202" s="39">
        <v>0.48255783925498308</v>
      </c>
      <c r="AD202" s="39">
        <v>0.47266128946662317</v>
      </c>
      <c r="AE202" s="39">
        <v>0.49514647449985622</v>
      </c>
      <c r="AF202" s="40">
        <v>0.49489093725923045</v>
      </c>
    </row>
    <row r="203" spans="1:32">
      <c r="A203" s="15">
        <v>201</v>
      </c>
      <c r="B203" s="16">
        <v>0</v>
      </c>
      <c r="C203" s="20">
        <v>0.93</v>
      </c>
      <c r="D203" s="20">
        <v>0.18747949848141848</v>
      </c>
      <c r="E203" s="20">
        <v>7.0000000000000007E-2</v>
      </c>
      <c r="F203" s="8" t="s">
        <v>434</v>
      </c>
      <c r="G203" s="24">
        <v>1.2062405724676488</v>
      </c>
      <c r="H203" s="24">
        <v>1.2132243974807693</v>
      </c>
      <c r="I203" s="25">
        <v>1.2344420363366382</v>
      </c>
      <c r="L203" s="15">
        <v>201</v>
      </c>
      <c r="M203" s="16">
        <v>0</v>
      </c>
      <c r="N203" s="16">
        <v>0</v>
      </c>
      <c r="O203" s="16">
        <v>11</v>
      </c>
      <c r="P203" s="16">
        <v>201</v>
      </c>
      <c r="Q203" s="29">
        <v>11</v>
      </c>
      <c r="R203" s="20">
        <v>0.53579999999999994</v>
      </c>
      <c r="S203" s="32">
        <v>5.8937999999999997</v>
      </c>
      <c r="T203" s="35">
        <v>0.56000000000000005</v>
      </c>
      <c r="U203" s="35">
        <v>0.37</v>
      </c>
      <c r="V203" s="35">
        <v>5.0909090909090911E-2</v>
      </c>
      <c r="W203" s="9" t="s">
        <v>152</v>
      </c>
      <c r="X203" s="15">
        <v>202</v>
      </c>
      <c r="Y203" s="39">
        <v>0.47409646194866323</v>
      </c>
      <c r="Z203" s="39">
        <v>0.49371887593011254</v>
      </c>
      <c r="AA203" s="39">
        <v>0.48263313084459103</v>
      </c>
      <c r="AB203" s="39">
        <v>0.48975075877222163</v>
      </c>
      <c r="AC203" s="39">
        <v>0.46784893092449414</v>
      </c>
      <c r="AD203" s="39">
        <v>0.48801123275821134</v>
      </c>
      <c r="AE203" s="39">
        <v>0.47582812563839683</v>
      </c>
      <c r="AF203" s="40">
        <v>0.48653773307167075</v>
      </c>
    </row>
    <row r="204" spans="1:32">
      <c r="A204" s="15">
        <v>202</v>
      </c>
      <c r="B204" s="16">
        <v>0</v>
      </c>
      <c r="C204" s="20">
        <v>0.28999999999999998</v>
      </c>
      <c r="D204" s="20">
        <v>0.67583092587574256</v>
      </c>
      <c r="E204" s="20">
        <v>0.13</v>
      </c>
      <c r="F204" s="8" t="s">
        <v>436</v>
      </c>
      <c r="G204" s="24">
        <v>0.99480129996822009</v>
      </c>
      <c r="H204" s="24">
        <v>1.0005609455649438</v>
      </c>
      <c r="I204" s="25">
        <v>1.018059390898195</v>
      </c>
      <c r="L204" s="15">
        <v>202</v>
      </c>
      <c r="M204" s="16">
        <v>0</v>
      </c>
      <c r="N204" s="16">
        <v>0</v>
      </c>
      <c r="O204" s="16">
        <v>11</v>
      </c>
      <c r="P204" s="16">
        <v>202</v>
      </c>
      <c r="Q204" s="29">
        <v>18</v>
      </c>
      <c r="R204" s="20">
        <v>0.53579999999999994</v>
      </c>
      <c r="S204" s="32">
        <v>9.6443999999999992</v>
      </c>
      <c r="T204" s="35">
        <v>0.54</v>
      </c>
      <c r="U204" s="35">
        <v>0.3</v>
      </c>
      <c r="V204" s="35">
        <v>3.0000000000000002E-2</v>
      </c>
      <c r="W204" s="9" t="s">
        <v>152</v>
      </c>
      <c r="X204" s="15">
        <v>203</v>
      </c>
      <c r="Y204" s="39">
        <v>0.50015101666886419</v>
      </c>
      <c r="Z204" s="39">
        <v>0.49879492410262327</v>
      </c>
      <c r="AA204" s="39">
        <v>0.4838975249423243</v>
      </c>
      <c r="AB204" s="39">
        <v>0.48045543280976583</v>
      </c>
      <c r="AC204" s="39">
        <v>0.48949230819303552</v>
      </c>
      <c r="AD204" s="39">
        <v>0.4900125784260157</v>
      </c>
      <c r="AE204" s="39">
        <v>0.47715683847226997</v>
      </c>
      <c r="AF204" s="40">
        <v>0.4778953749246535</v>
      </c>
    </row>
    <row r="205" spans="1:32">
      <c r="A205" s="15">
        <v>203</v>
      </c>
      <c r="B205" s="16">
        <v>0</v>
      </c>
      <c r="C205" s="20">
        <v>0.56000000000000005</v>
      </c>
      <c r="D205" s="20">
        <v>0.47059900379714537</v>
      </c>
      <c r="E205" s="20">
        <v>0.12</v>
      </c>
      <c r="F205" s="8" t="s">
        <v>438</v>
      </c>
      <c r="G205" s="24">
        <v>0.88866122894524735</v>
      </c>
      <c r="H205" s="24">
        <v>0.89380635062375458</v>
      </c>
      <c r="I205" s="25">
        <v>0.90943780379432726</v>
      </c>
      <c r="L205" s="15">
        <v>203</v>
      </c>
      <c r="M205" s="16">
        <v>0</v>
      </c>
      <c r="N205" s="16">
        <v>0</v>
      </c>
      <c r="O205" s="16">
        <v>11</v>
      </c>
      <c r="P205" s="16">
        <v>203</v>
      </c>
      <c r="Q205" s="29">
        <v>22</v>
      </c>
      <c r="R205" s="20">
        <v>0.53579999999999994</v>
      </c>
      <c r="S205" s="32">
        <v>11.787599999999999</v>
      </c>
      <c r="T205" s="35">
        <v>0.43</v>
      </c>
      <c r="U205" s="35">
        <v>0.09</v>
      </c>
      <c r="V205" s="35">
        <v>1.9545454545454546E-2</v>
      </c>
      <c r="W205" s="9" t="s">
        <v>152</v>
      </c>
      <c r="X205" s="15">
        <v>204</v>
      </c>
      <c r="Y205" s="39">
        <v>0.48481064824352055</v>
      </c>
      <c r="Z205" s="39">
        <v>0.47504348313010381</v>
      </c>
      <c r="AA205" s="39">
        <v>0.50727775279331022</v>
      </c>
      <c r="AB205" s="39">
        <v>0.49596047256297648</v>
      </c>
      <c r="AC205" s="39">
        <v>0.47576903692678008</v>
      </c>
      <c r="AD205" s="39">
        <v>0.46984453556155725</v>
      </c>
      <c r="AE205" s="39">
        <v>0.49912892214955568</v>
      </c>
      <c r="AF205" s="40">
        <v>0.49096251240462913</v>
      </c>
    </row>
    <row r="206" spans="1:32">
      <c r="A206" s="15">
        <v>204</v>
      </c>
      <c r="B206" s="16">
        <v>1</v>
      </c>
      <c r="C206" s="20">
        <v>0.22</v>
      </c>
      <c r="D206" s="20">
        <v>0.78213125286325036</v>
      </c>
      <c r="E206" s="20">
        <v>0.08</v>
      </c>
      <c r="F206" s="8" t="s">
        <v>436</v>
      </c>
      <c r="G206" s="24">
        <v>1.1555711119422452</v>
      </c>
      <c r="H206" s="24">
        <v>1.1622615737126629</v>
      </c>
      <c r="I206" s="25">
        <v>1.1825879423368812</v>
      </c>
      <c r="L206" s="15">
        <v>204</v>
      </c>
      <c r="M206" s="16">
        <v>0</v>
      </c>
      <c r="N206" s="16">
        <v>0</v>
      </c>
      <c r="O206" s="16">
        <v>11</v>
      </c>
      <c r="P206" s="16">
        <v>204</v>
      </c>
      <c r="Q206" s="29">
        <v>29</v>
      </c>
      <c r="R206" s="20">
        <v>0.53579999999999994</v>
      </c>
      <c r="S206" s="32">
        <v>15.538199999999998</v>
      </c>
      <c r="T206" s="35">
        <v>0.66</v>
      </c>
      <c r="U206" s="35">
        <v>0.32</v>
      </c>
      <c r="V206" s="35">
        <v>2.2758620689655173E-2</v>
      </c>
      <c r="W206" s="9" t="s">
        <v>152</v>
      </c>
      <c r="X206" s="15">
        <v>205</v>
      </c>
      <c r="Y206" s="39">
        <v>0.50405611436306264</v>
      </c>
      <c r="Z206" s="39">
        <v>0.50069635970379611</v>
      </c>
      <c r="AA206" s="39">
        <v>0.50636529792436469</v>
      </c>
      <c r="AB206" s="39">
        <v>0.49440490399849701</v>
      </c>
      <c r="AC206" s="39">
        <v>0.49543122786496435</v>
      </c>
      <c r="AD206" s="39">
        <v>0.49091781450139754</v>
      </c>
      <c r="AE206" s="39">
        <v>0.4998005852987652</v>
      </c>
      <c r="AF206" s="40">
        <v>0.49007096055872573</v>
      </c>
    </row>
    <row r="207" spans="1:32">
      <c r="A207" s="15">
        <v>205</v>
      </c>
      <c r="B207" s="16">
        <v>1</v>
      </c>
      <c r="C207" s="20">
        <v>0.96</v>
      </c>
      <c r="D207" s="20">
        <v>0.13880369068795359</v>
      </c>
      <c r="E207" s="20">
        <v>0.04</v>
      </c>
      <c r="F207" s="8" t="s">
        <v>434</v>
      </c>
      <c r="G207" s="24">
        <v>0.5551902693085301</v>
      </c>
      <c r="H207" s="24">
        <v>0.55840467925156989</v>
      </c>
      <c r="I207" s="25">
        <v>0.56817041495915155</v>
      </c>
      <c r="L207" s="15">
        <v>205</v>
      </c>
      <c r="M207" s="16">
        <v>0</v>
      </c>
      <c r="N207" s="16">
        <v>0</v>
      </c>
      <c r="O207" s="16">
        <v>11</v>
      </c>
      <c r="P207" s="16">
        <v>205</v>
      </c>
      <c r="Q207" s="29">
        <v>14</v>
      </c>
      <c r="R207" s="20">
        <v>0.53579999999999994</v>
      </c>
      <c r="S207" s="32">
        <v>7.501199999999999</v>
      </c>
      <c r="T207" s="35">
        <v>0.19</v>
      </c>
      <c r="U207" s="35">
        <v>0.03</v>
      </c>
      <c r="V207" s="35">
        <v>1.3571428571428571E-2</v>
      </c>
      <c r="W207" s="9" t="s">
        <v>152</v>
      </c>
      <c r="X207" s="15">
        <v>206</v>
      </c>
      <c r="Y207" s="39">
        <v>0.49860934483669633</v>
      </c>
      <c r="Z207" s="39">
        <v>0.49490672361568949</v>
      </c>
      <c r="AA207" s="39">
        <v>0.48622372409184528</v>
      </c>
      <c r="AB207" s="39">
        <v>0.49080704685680643</v>
      </c>
      <c r="AC207" s="39">
        <v>0.49024980854962497</v>
      </c>
      <c r="AD207" s="39">
        <v>0.48863214200193927</v>
      </c>
      <c r="AE207" s="39">
        <v>0.47934860001557911</v>
      </c>
      <c r="AF207" s="40">
        <v>0.4872591149218955</v>
      </c>
    </row>
    <row r="208" spans="1:32">
      <c r="A208" s="15">
        <v>206</v>
      </c>
      <c r="B208" s="16">
        <v>0</v>
      </c>
      <c r="C208" s="20">
        <v>0.23</v>
      </c>
      <c r="D208" s="20">
        <v>0.75089125369827303</v>
      </c>
      <c r="E208" s="20">
        <v>7.0000000000000007E-2</v>
      </c>
      <c r="F208" s="8" t="s">
        <v>436</v>
      </c>
      <c r="G208" s="24">
        <v>0.91118934635722193</v>
      </c>
      <c r="H208" s="24">
        <v>0.91646490008508263</v>
      </c>
      <c r="I208" s="25">
        <v>0.93249262036046021</v>
      </c>
      <c r="L208" s="15">
        <v>206</v>
      </c>
      <c r="M208" s="16">
        <v>0</v>
      </c>
      <c r="N208" s="16">
        <v>0</v>
      </c>
      <c r="O208" s="16">
        <v>12</v>
      </c>
      <c r="P208" s="16">
        <v>206</v>
      </c>
      <c r="Q208" s="29">
        <v>46</v>
      </c>
      <c r="R208" s="20">
        <v>0.53579999999999994</v>
      </c>
      <c r="S208" s="32">
        <v>24.646799999999999</v>
      </c>
      <c r="T208" s="35">
        <v>1.48</v>
      </c>
      <c r="U208" s="35">
        <v>0.68</v>
      </c>
      <c r="V208" s="35">
        <v>3.2173913043478261E-2</v>
      </c>
      <c r="W208" s="9" t="s">
        <v>153</v>
      </c>
      <c r="X208" s="15">
        <v>207</v>
      </c>
      <c r="Y208" s="39">
        <v>0.47164040627913639</v>
      </c>
      <c r="Z208" s="39">
        <v>0.47396112974044641</v>
      </c>
      <c r="AA208" s="39">
        <v>0.48059996543656658</v>
      </c>
      <c r="AB208" s="39">
        <v>0.49902976611046979</v>
      </c>
      <c r="AC208" s="39">
        <v>0.46824149540224541</v>
      </c>
      <c r="AD208" s="39">
        <v>0.46937738063736678</v>
      </c>
      <c r="AE208" s="39">
        <v>0.47405616420472912</v>
      </c>
      <c r="AF208" s="40">
        <v>0.49526743501393827</v>
      </c>
    </row>
    <row r="209" spans="1:32">
      <c r="A209" s="15">
        <v>207</v>
      </c>
      <c r="B209" s="16">
        <v>1</v>
      </c>
      <c r="C209" s="20">
        <v>0.09</v>
      </c>
      <c r="D209" s="20">
        <v>0.92840480535104131</v>
      </c>
      <c r="E209" s="20">
        <v>0.08</v>
      </c>
      <c r="F209" s="8" t="s">
        <v>436</v>
      </c>
      <c r="G209" s="24">
        <v>1.135533643155183</v>
      </c>
      <c r="H209" s="24">
        <v>1.1421080930960299</v>
      </c>
      <c r="I209" s="25">
        <v>1.1620820048505212</v>
      </c>
      <c r="L209" s="15">
        <v>207</v>
      </c>
      <c r="M209" s="16">
        <v>0</v>
      </c>
      <c r="N209" s="16">
        <v>0</v>
      </c>
      <c r="O209" s="16">
        <v>12</v>
      </c>
      <c r="P209" s="16">
        <v>207</v>
      </c>
      <c r="Q209" s="29">
        <v>59</v>
      </c>
      <c r="R209" s="20">
        <v>0.53579999999999994</v>
      </c>
      <c r="S209" s="32">
        <v>31.612199999999998</v>
      </c>
      <c r="T209" s="35">
        <v>2.81</v>
      </c>
      <c r="U209" s="35">
        <v>2</v>
      </c>
      <c r="V209" s="35">
        <v>4.7627118644067795E-2</v>
      </c>
      <c r="W209" s="9" t="s">
        <v>154</v>
      </c>
      <c r="X209" s="15">
        <v>208</v>
      </c>
      <c r="Y209" s="39">
        <v>0.46597570542000433</v>
      </c>
      <c r="Z209" s="39">
        <v>0.48606465165073293</v>
      </c>
      <c r="AA209" s="39">
        <v>0.48577393985764478</v>
      </c>
      <c r="AB209" s="39">
        <v>0.48497044456516158</v>
      </c>
      <c r="AC209" s="39">
        <v>0.46135442058588549</v>
      </c>
      <c r="AD209" s="39">
        <v>0.47894929327437691</v>
      </c>
      <c r="AE209" s="39">
        <v>0.4788693318797746</v>
      </c>
      <c r="AF209" s="40">
        <v>0.48029408644674537</v>
      </c>
    </row>
    <row r="210" spans="1:32">
      <c r="A210" s="15">
        <v>208</v>
      </c>
      <c r="B210" s="16">
        <v>1</v>
      </c>
      <c r="C210" s="20">
        <v>0.9</v>
      </c>
      <c r="D210" s="20">
        <v>0.23159538658365303</v>
      </c>
      <c r="E210" s="20">
        <v>0.1</v>
      </c>
      <c r="F210" s="8" t="s">
        <v>434</v>
      </c>
      <c r="G210" s="24">
        <v>1.6923685272444811</v>
      </c>
      <c r="H210" s="24">
        <v>1.7021669090281488</v>
      </c>
      <c r="I210" s="25">
        <v>1.6578926537592125</v>
      </c>
      <c r="L210" s="15">
        <v>208</v>
      </c>
      <c r="M210" s="16">
        <v>0</v>
      </c>
      <c r="N210" s="16">
        <v>0</v>
      </c>
      <c r="O210" s="16">
        <v>12</v>
      </c>
      <c r="P210" s="16">
        <v>208</v>
      </c>
      <c r="Q210" s="29">
        <v>52</v>
      </c>
      <c r="R210" s="20">
        <v>0.53579999999999994</v>
      </c>
      <c r="S210" s="32">
        <v>27.861599999999996</v>
      </c>
      <c r="T210" s="35">
        <v>1.21</v>
      </c>
      <c r="U210" s="35">
        <v>0.38</v>
      </c>
      <c r="V210" s="35">
        <v>2.3269230769230768E-2</v>
      </c>
      <c r="W210" s="9" t="s">
        <v>153</v>
      </c>
      <c r="X210" s="15">
        <v>209</v>
      </c>
      <c r="Y210" s="39">
        <v>0.47703233004550993</v>
      </c>
      <c r="Z210" s="39">
        <v>0.4816791135782843</v>
      </c>
      <c r="AA210" s="39">
        <v>0.48727780638765367</v>
      </c>
      <c r="AB210" s="39">
        <v>0.48610680285482538</v>
      </c>
      <c r="AC210" s="39">
        <v>0.46973181379513379</v>
      </c>
      <c r="AD210" s="39">
        <v>0.47302221172529568</v>
      </c>
      <c r="AE210" s="39">
        <v>0.48137693740240262</v>
      </c>
      <c r="AF210" s="40">
        <v>0.48263401544110407</v>
      </c>
    </row>
    <row r="211" spans="1:32">
      <c r="A211" s="15">
        <v>209</v>
      </c>
      <c r="B211" s="16">
        <v>1</v>
      </c>
      <c r="C211" s="20">
        <v>0.19</v>
      </c>
      <c r="D211" s="20">
        <v>0.79439988818749496</v>
      </c>
      <c r="E211" s="20">
        <v>0.36</v>
      </c>
      <c r="F211" s="8" t="s">
        <v>436</v>
      </c>
      <c r="G211" s="24">
        <v>0.72908785879769089</v>
      </c>
      <c r="H211" s="24">
        <v>0.733309091395279</v>
      </c>
      <c r="I211" s="25">
        <v>0.74613366655487723</v>
      </c>
      <c r="L211" s="15">
        <v>209</v>
      </c>
      <c r="M211" s="16">
        <v>0</v>
      </c>
      <c r="N211" s="16">
        <v>0</v>
      </c>
      <c r="O211" s="16">
        <v>12</v>
      </c>
      <c r="P211" s="16">
        <v>209</v>
      </c>
      <c r="Q211" s="29">
        <v>40</v>
      </c>
      <c r="R211" s="20">
        <v>0.53579999999999994</v>
      </c>
      <c r="S211" s="32">
        <v>21.431999999999999</v>
      </c>
      <c r="T211" s="35">
        <v>0.99</v>
      </c>
      <c r="U211" s="35">
        <v>0.36</v>
      </c>
      <c r="V211" s="35">
        <v>2.4750000000000001E-2</v>
      </c>
      <c r="W211" s="9" t="s">
        <v>152</v>
      </c>
      <c r="X211" s="15">
        <v>210</v>
      </c>
      <c r="Y211" s="39">
        <v>0.48741402788043314</v>
      </c>
      <c r="Z211" s="39">
        <v>0.47766623636092848</v>
      </c>
      <c r="AA211" s="39">
        <v>0.47734153875616148</v>
      </c>
      <c r="AB211" s="39">
        <v>0.48416714680395195</v>
      </c>
      <c r="AC211" s="39">
        <v>0.47962665049336767</v>
      </c>
      <c r="AD211" s="39">
        <v>0.46946756749097746</v>
      </c>
      <c r="AE211" s="39">
        <v>0.47182244013747915</v>
      </c>
      <c r="AF211" s="40">
        <v>0.47801855791157183</v>
      </c>
    </row>
    <row r="212" spans="1:32">
      <c r="A212" s="15">
        <v>210</v>
      </c>
      <c r="B212" s="16">
        <v>1</v>
      </c>
      <c r="C212" s="20">
        <v>0.12</v>
      </c>
      <c r="D212" s="20">
        <v>0.86737034441779037</v>
      </c>
      <c r="E212" s="20">
        <v>0.47</v>
      </c>
      <c r="F212" s="8" t="s">
        <v>436</v>
      </c>
      <c r="G212" s="24">
        <v>1.364974724465176</v>
      </c>
      <c r="H212" s="24">
        <v>1.3728775797003434</v>
      </c>
      <c r="I212" s="25">
        <v>1.3968873348123303</v>
      </c>
      <c r="L212" s="15">
        <v>210</v>
      </c>
      <c r="M212" s="16">
        <v>0</v>
      </c>
      <c r="N212" s="16">
        <v>0</v>
      </c>
      <c r="O212" s="16">
        <v>12</v>
      </c>
      <c r="P212" s="16">
        <v>210</v>
      </c>
      <c r="Q212" s="29">
        <v>49</v>
      </c>
      <c r="R212" s="20">
        <v>0.53579999999999994</v>
      </c>
      <c r="S212" s="32">
        <v>26.254199999999997</v>
      </c>
      <c r="T212" s="35">
        <v>1.49</v>
      </c>
      <c r="U212" s="35">
        <v>0.83</v>
      </c>
      <c r="V212" s="35">
        <v>3.0408163265306123E-2</v>
      </c>
      <c r="W212" s="9" t="s">
        <v>153</v>
      </c>
      <c r="X212" s="15">
        <v>211</v>
      </c>
      <c r="Y212" s="39">
        <v>0.47600847064815843</v>
      </c>
      <c r="Z212" s="39">
        <v>0.49081806103124026</v>
      </c>
      <c r="AA212" s="39">
        <v>0.48429787877102293</v>
      </c>
      <c r="AB212" s="39">
        <v>0.48187401412256053</v>
      </c>
      <c r="AC212" s="39">
        <v>0.47075075079924511</v>
      </c>
      <c r="AD212" s="39">
        <v>0.48106944043207944</v>
      </c>
      <c r="AE212" s="39">
        <v>0.4771601728534664</v>
      </c>
      <c r="AF212" s="40">
        <v>0.47670211555724901</v>
      </c>
    </row>
    <row r="213" spans="1:32">
      <c r="A213" s="15">
        <v>211</v>
      </c>
      <c r="B213" s="16">
        <v>0</v>
      </c>
      <c r="C213" s="20">
        <v>0.31</v>
      </c>
      <c r="D213" s="20">
        <v>0.73407790513287996</v>
      </c>
      <c r="E213" s="20">
        <v>0.06</v>
      </c>
      <c r="F213" s="8" t="s">
        <v>436</v>
      </c>
      <c r="G213" s="24">
        <v>0.66705335525727616</v>
      </c>
      <c r="H213" s="24">
        <v>0.67091542391411263</v>
      </c>
      <c r="I213" s="25">
        <v>0.68264881898678087</v>
      </c>
      <c r="L213" s="15">
        <v>211</v>
      </c>
      <c r="M213" s="16">
        <v>0</v>
      </c>
      <c r="N213" s="16">
        <v>0</v>
      </c>
      <c r="O213" s="16">
        <v>12</v>
      </c>
      <c r="P213" s="16">
        <v>211</v>
      </c>
      <c r="Q213" s="29">
        <v>48</v>
      </c>
      <c r="R213" s="20">
        <v>0.53579999999999994</v>
      </c>
      <c r="S213" s="32">
        <v>25.718399999999995</v>
      </c>
      <c r="T213" s="35">
        <v>1.78</v>
      </c>
      <c r="U213" s="35">
        <v>1.05</v>
      </c>
      <c r="V213" s="35">
        <v>3.7083333333333336E-2</v>
      </c>
      <c r="W213" s="9" t="s">
        <v>153</v>
      </c>
      <c r="X213" s="15">
        <v>212</v>
      </c>
      <c r="Y213" s="39">
        <v>0.47092511664335512</v>
      </c>
      <c r="Z213" s="39">
        <v>0.50365996491103182</v>
      </c>
      <c r="AA213" s="39">
        <v>0.47409437231917551</v>
      </c>
      <c r="AB213" s="39">
        <v>0.49281223999302937</v>
      </c>
      <c r="AC213" s="39">
        <v>0.46491690721516976</v>
      </c>
      <c r="AD213" s="39">
        <v>0.49421707491783018</v>
      </c>
      <c r="AE213" s="39">
        <v>0.46691849811548758</v>
      </c>
      <c r="AF213" s="40">
        <v>0.4896295519006108</v>
      </c>
    </row>
    <row r="214" spans="1:32">
      <c r="A214" s="15">
        <v>212</v>
      </c>
      <c r="B214" s="16">
        <v>1</v>
      </c>
      <c r="C214" s="20">
        <v>0.91</v>
      </c>
      <c r="D214" s="20">
        <v>0.21727233298780477</v>
      </c>
      <c r="E214" s="20">
        <v>0.09</v>
      </c>
      <c r="F214" s="8" t="s">
        <v>434</v>
      </c>
      <c r="G214" s="24">
        <v>1.010096556383445</v>
      </c>
      <c r="H214" s="24">
        <v>1.0159447576105902</v>
      </c>
      <c r="I214" s="25">
        <v>1.0337122448200917</v>
      </c>
      <c r="L214" s="15">
        <v>212</v>
      </c>
      <c r="M214" s="16">
        <v>0</v>
      </c>
      <c r="N214" s="16">
        <v>0</v>
      </c>
      <c r="O214" s="16">
        <v>12</v>
      </c>
      <c r="P214" s="16">
        <v>212</v>
      </c>
      <c r="Q214" s="29">
        <v>27</v>
      </c>
      <c r="R214" s="20">
        <v>0.53579999999999994</v>
      </c>
      <c r="S214" s="32">
        <v>14.466599999999998</v>
      </c>
      <c r="T214" s="35">
        <v>1.32</v>
      </c>
      <c r="U214" s="35">
        <v>0.91</v>
      </c>
      <c r="V214" s="35">
        <v>4.8888888888888891E-2</v>
      </c>
      <c r="W214" s="9" t="s">
        <v>153</v>
      </c>
      <c r="X214" s="15">
        <v>213</v>
      </c>
      <c r="Y214" s="39">
        <v>0.48169296657646271</v>
      </c>
      <c r="Z214" s="39">
        <v>0.48657273017148911</v>
      </c>
      <c r="AA214" s="39">
        <v>0.47272573723158101</v>
      </c>
      <c r="AB214" s="39">
        <v>0.48734366961967346</v>
      </c>
      <c r="AC214" s="39">
        <v>0.47495233291754652</v>
      </c>
      <c r="AD214" s="39">
        <v>0.48336143859243513</v>
      </c>
      <c r="AE214" s="39">
        <v>0.46792566064281499</v>
      </c>
      <c r="AF214" s="40">
        <v>0.48691026729860015</v>
      </c>
    </row>
    <row r="215" spans="1:32">
      <c r="A215" s="15">
        <v>213</v>
      </c>
      <c r="B215" s="16">
        <v>0</v>
      </c>
      <c r="C215" s="20">
        <v>0.93</v>
      </c>
      <c r="D215" s="20">
        <v>0.18747949848141848</v>
      </c>
      <c r="E215" s="20">
        <v>7.0000000000000007E-2</v>
      </c>
      <c r="F215" s="8" t="s">
        <v>434</v>
      </c>
      <c r="G215" s="24">
        <v>0.71439973489067676</v>
      </c>
      <c r="H215" s="24">
        <v>0.71853592700009117</v>
      </c>
      <c r="I215" s="25">
        <v>0.73110213967740956</v>
      </c>
      <c r="L215" s="15">
        <v>213</v>
      </c>
      <c r="M215" s="16">
        <v>0</v>
      </c>
      <c r="N215" s="16">
        <v>0</v>
      </c>
      <c r="O215" s="16">
        <v>12</v>
      </c>
      <c r="P215" s="16">
        <v>213</v>
      </c>
      <c r="Q215" s="29">
        <v>46</v>
      </c>
      <c r="R215" s="20">
        <v>0.53579999999999994</v>
      </c>
      <c r="S215" s="32">
        <v>24.646799999999999</v>
      </c>
      <c r="T215" s="35">
        <v>1.92</v>
      </c>
      <c r="U215" s="35">
        <v>1.24</v>
      </c>
      <c r="V215" s="35">
        <v>4.1739130434782605E-2</v>
      </c>
      <c r="W215" s="9" t="s">
        <v>153</v>
      </c>
      <c r="X215" s="15">
        <v>214</v>
      </c>
      <c r="Y215" s="39">
        <v>0.48688126797560899</v>
      </c>
      <c r="Z215" s="39">
        <v>0.48438134413766387</v>
      </c>
      <c r="AA215" s="39">
        <v>0.48087855809133634</v>
      </c>
      <c r="AB215" s="39">
        <v>0.47770801891029069</v>
      </c>
      <c r="AC215" s="39">
        <v>0.48109389677387471</v>
      </c>
      <c r="AD215" s="39">
        <v>0.47899980453946933</v>
      </c>
      <c r="AE215" s="39">
        <v>0.47344229958033068</v>
      </c>
      <c r="AF215" s="40">
        <v>0.47399981813946179</v>
      </c>
    </row>
    <row r="216" spans="1:32">
      <c r="A216" s="15">
        <v>214</v>
      </c>
      <c r="B216" s="16">
        <v>0</v>
      </c>
      <c r="C216" s="20">
        <v>0.97</v>
      </c>
      <c r="D216" s="20">
        <v>0.12097036642660543</v>
      </c>
      <c r="E216" s="20">
        <v>0.03</v>
      </c>
      <c r="F216" s="8" t="s">
        <v>434</v>
      </c>
      <c r="G216" s="24">
        <v>0.42896596992600317</v>
      </c>
      <c r="H216" s="24">
        <v>0.43144957339526641</v>
      </c>
      <c r="I216" s="25">
        <v>0.43899503757471103</v>
      </c>
      <c r="L216" s="15">
        <v>214</v>
      </c>
      <c r="M216" s="16">
        <v>0</v>
      </c>
      <c r="N216" s="16">
        <v>0</v>
      </c>
      <c r="O216" s="16">
        <v>12</v>
      </c>
      <c r="P216" s="16">
        <v>214</v>
      </c>
      <c r="Q216" s="29">
        <v>47</v>
      </c>
      <c r="R216" s="20">
        <v>0.53579999999999994</v>
      </c>
      <c r="S216" s="32">
        <v>25.182599999999997</v>
      </c>
      <c r="T216" s="35">
        <v>2.65</v>
      </c>
      <c r="U216" s="35">
        <v>1.9</v>
      </c>
      <c r="V216" s="35">
        <v>5.6382978723404253E-2</v>
      </c>
      <c r="W216" s="9" t="s">
        <v>154</v>
      </c>
      <c r="X216" s="15">
        <v>215</v>
      </c>
      <c r="Y216" s="39">
        <v>0.48773991196460403</v>
      </c>
      <c r="Z216" s="39">
        <v>0.48187388420890986</v>
      </c>
      <c r="AA216" s="39">
        <v>0.46019870715653205</v>
      </c>
      <c r="AB216" s="39">
        <v>0.49253103745045518</v>
      </c>
      <c r="AC216" s="39">
        <v>0.481248515311201</v>
      </c>
      <c r="AD216" s="39">
        <v>0.4753362890189618</v>
      </c>
      <c r="AE216" s="39">
        <v>0.45127294685485086</v>
      </c>
      <c r="AF216" s="40">
        <v>0.48697285144084335</v>
      </c>
    </row>
    <row r="217" spans="1:32">
      <c r="A217" s="15">
        <v>215</v>
      </c>
      <c r="B217" s="16">
        <v>1</v>
      </c>
      <c r="C217" s="20">
        <v>0.96</v>
      </c>
      <c r="D217" s="20">
        <v>0.13880369068795359</v>
      </c>
      <c r="E217" s="20">
        <v>0.04</v>
      </c>
      <c r="F217" s="8" t="s">
        <v>434</v>
      </c>
      <c r="G217" s="24">
        <v>0.81489201706693859</v>
      </c>
      <c r="H217" s="24">
        <v>0.81961003383878528</v>
      </c>
      <c r="I217" s="25">
        <v>0.83394389469482155</v>
      </c>
      <c r="L217" s="15">
        <v>215</v>
      </c>
      <c r="M217" s="16">
        <v>0</v>
      </c>
      <c r="N217" s="16">
        <v>0</v>
      </c>
      <c r="O217" s="16">
        <v>12</v>
      </c>
      <c r="P217" s="16">
        <v>215</v>
      </c>
      <c r="Q217" s="29">
        <v>41</v>
      </c>
      <c r="R217" s="20">
        <v>0.53579999999999994</v>
      </c>
      <c r="S217" s="32">
        <v>21.967799999999997</v>
      </c>
      <c r="T217" s="35">
        <v>1.6500000000000001</v>
      </c>
      <c r="U217" s="35">
        <v>1.1000000000000001</v>
      </c>
      <c r="V217" s="35">
        <v>4.0243902439024391E-2</v>
      </c>
      <c r="W217" s="9" t="s">
        <v>153</v>
      </c>
      <c r="X217" s="15">
        <v>216</v>
      </c>
      <c r="Y217" s="39">
        <v>0.49027007348824497</v>
      </c>
      <c r="Z217" s="39">
        <v>0.48257484686682589</v>
      </c>
      <c r="AA217" s="39">
        <v>0.47276158497698439</v>
      </c>
      <c r="AB217" s="39">
        <v>0.47543382035812004</v>
      </c>
      <c r="AC217" s="39">
        <v>0.48151849238878097</v>
      </c>
      <c r="AD217" s="39">
        <v>0.47584798199965506</v>
      </c>
      <c r="AE217" s="39">
        <v>0.46448369665094397</v>
      </c>
      <c r="AF217" s="40">
        <v>0.47220592773551778</v>
      </c>
    </row>
    <row r="218" spans="1:32">
      <c r="A218" s="15">
        <v>216</v>
      </c>
      <c r="B218" s="16">
        <v>0</v>
      </c>
      <c r="C218" s="20">
        <v>0.02</v>
      </c>
      <c r="D218" s="20">
        <v>0.99756714174924133</v>
      </c>
      <c r="E218" s="20">
        <v>1</v>
      </c>
      <c r="F218" s="8" t="s">
        <v>436</v>
      </c>
      <c r="G218" s="24">
        <v>1.0193863542038051</v>
      </c>
      <c r="H218" s="24">
        <v>1.0252883409890434</v>
      </c>
      <c r="I218" s="25">
        <v>1.0432192347193463</v>
      </c>
      <c r="L218" s="15">
        <v>216</v>
      </c>
      <c r="M218" s="16">
        <v>0</v>
      </c>
      <c r="N218" s="16">
        <v>0</v>
      </c>
      <c r="O218" s="16">
        <v>12</v>
      </c>
      <c r="P218" s="16">
        <v>216</v>
      </c>
      <c r="Q218" s="29">
        <v>50</v>
      </c>
      <c r="R218" s="20">
        <v>0.53579999999999994</v>
      </c>
      <c r="S218" s="32">
        <v>26.789999999999996</v>
      </c>
      <c r="T218" s="35">
        <v>1.96</v>
      </c>
      <c r="U218" s="35">
        <v>1.31</v>
      </c>
      <c r="V218" s="35">
        <v>3.9199999999999999E-2</v>
      </c>
      <c r="W218" s="9" t="s">
        <v>153</v>
      </c>
      <c r="X218" s="15">
        <v>217</v>
      </c>
      <c r="Y218" s="39">
        <v>0.48235084072726886</v>
      </c>
      <c r="Z218" s="39">
        <v>0.49103894485747668</v>
      </c>
      <c r="AA218" s="39">
        <v>0.48285723926709373</v>
      </c>
      <c r="AB218" s="39">
        <v>0.48409132622374113</v>
      </c>
      <c r="AC218" s="39">
        <v>0.47598699534342453</v>
      </c>
      <c r="AD218" s="39">
        <v>0.48297371204358375</v>
      </c>
      <c r="AE218" s="39">
        <v>0.47716431544147864</v>
      </c>
      <c r="AF218" s="40">
        <v>0.47816585305024467</v>
      </c>
    </row>
    <row r="219" spans="1:32">
      <c r="A219" s="15">
        <v>217</v>
      </c>
      <c r="B219" s="16">
        <v>1</v>
      </c>
      <c r="C219" s="20">
        <v>0.24</v>
      </c>
      <c r="D219" s="20">
        <v>0.81040839812709353</v>
      </c>
      <c r="E219" s="20">
        <v>0.08</v>
      </c>
      <c r="F219" s="8" t="s">
        <v>436</v>
      </c>
      <c r="G219" s="24">
        <v>1.184109062464427</v>
      </c>
      <c r="H219" s="24">
        <v>1.190964751683854</v>
      </c>
      <c r="I219" s="25">
        <v>1.2117930997155693</v>
      </c>
      <c r="L219" s="15">
        <v>217</v>
      </c>
      <c r="M219" s="16">
        <v>0</v>
      </c>
      <c r="N219" s="16">
        <v>0</v>
      </c>
      <c r="O219" s="16">
        <v>12</v>
      </c>
      <c r="P219" s="16">
        <v>217</v>
      </c>
      <c r="Q219" s="29">
        <v>55</v>
      </c>
      <c r="R219" s="20">
        <v>0.53579999999999994</v>
      </c>
      <c r="S219" s="32">
        <v>29.468999999999998</v>
      </c>
      <c r="T219" s="35">
        <v>1.66</v>
      </c>
      <c r="U219" s="35">
        <v>0.96</v>
      </c>
      <c r="V219" s="35">
        <v>3.0181818181818181E-2</v>
      </c>
      <c r="W219" s="9" t="s">
        <v>153</v>
      </c>
      <c r="X219" s="15">
        <v>218</v>
      </c>
      <c r="Y219" s="39">
        <v>0.49659866359684873</v>
      </c>
      <c r="Z219" s="39">
        <v>0.48769932361105994</v>
      </c>
      <c r="AA219" s="39">
        <v>0.48815923167745534</v>
      </c>
      <c r="AB219" s="39">
        <v>0.48973904498293408</v>
      </c>
      <c r="AC219" s="39">
        <v>0.49130707386268374</v>
      </c>
      <c r="AD219" s="39">
        <v>0.47999686840710704</v>
      </c>
      <c r="AE219" s="39">
        <v>0.48138967699481916</v>
      </c>
      <c r="AF219" s="40">
        <v>0.4892566318597642</v>
      </c>
    </row>
    <row r="220" spans="1:32">
      <c r="A220" s="15">
        <v>218</v>
      </c>
      <c r="B220" s="16">
        <v>0</v>
      </c>
      <c r="C220" s="20">
        <v>0.23</v>
      </c>
      <c r="D220" s="20">
        <v>0.84033935352157307</v>
      </c>
      <c r="E220" s="20">
        <v>0.04</v>
      </c>
      <c r="F220" s="8" t="s">
        <v>436</v>
      </c>
      <c r="G220" s="24">
        <v>1.0369862498374411</v>
      </c>
      <c r="H220" s="24">
        <v>1.0429901355258999</v>
      </c>
      <c r="I220" s="25">
        <v>1.0612306094825514</v>
      </c>
      <c r="L220" s="15">
        <v>218</v>
      </c>
      <c r="M220" s="16">
        <v>0</v>
      </c>
      <c r="N220" s="16">
        <v>0</v>
      </c>
      <c r="O220" s="16">
        <v>12</v>
      </c>
      <c r="P220" s="16">
        <v>218</v>
      </c>
      <c r="Q220" s="29">
        <v>45</v>
      </c>
      <c r="R220" s="20">
        <v>0.53579999999999994</v>
      </c>
      <c r="S220" s="32">
        <v>24.110999999999997</v>
      </c>
      <c r="T220" s="35">
        <v>3.53</v>
      </c>
      <c r="U220" s="35">
        <v>2.94</v>
      </c>
      <c r="V220" s="35">
        <v>7.8444444444444442E-2</v>
      </c>
      <c r="W220" s="9" t="s">
        <v>155</v>
      </c>
      <c r="X220" s="15">
        <v>219</v>
      </c>
      <c r="Y220" s="39">
        <v>0.48702634894456276</v>
      </c>
      <c r="Z220" s="39">
        <v>0.49351171134022692</v>
      </c>
      <c r="AA220" s="39">
        <v>0.48196622021156427</v>
      </c>
      <c r="AB220" s="39">
        <v>0.49098585758066043</v>
      </c>
      <c r="AC220" s="39">
        <v>0.47989238709572496</v>
      </c>
      <c r="AD220" s="39">
        <v>0.486628167437685</v>
      </c>
      <c r="AE220" s="39">
        <v>0.47643659333780636</v>
      </c>
      <c r="AF220" s="40">
        <v>0.48711959718340464</v>
      </c>
    </row>
    <row r="221" spans="1:32">
      <c r="A221" s="15">
        <v>219</v>
      </c>
      <c r="B221" s="16">
        <v>1</v>
      </c>
      <c r="C221" s="20">
        <v>0.44</v>
      </c>
      <c r="D221" s="20">
        <v>0.48847347688658949</v>
      </c>
      <c r="E221" s="20">
        <v>0.13</v>
      </c>
      <c r="F221" s="8" t="s">
        <v>436</v>
      </c>
      <c r="G221" s="24">
        <v>1.302458596686408</v>
      </c>
      <c r="H221" s="24">
        <v>1.3099994994994215</v>
      </c>
      <c r="I221" s="25">
        <v>1.3329096028071554</v>
      </c>
      <c r="L221" s="15">
        <v>219</v>
      </c>
      <c r="M221" s="16">
        <v>0</v>
      </c>
      <c r="N221" s="16">
        <v>0</v>
      </c>
      <c r="O221" s="16">
        <v>12</v>
      </c>
      <c r="P221" s="16">
        <v>219</v>
      </c>
      <c r="Q221" s="29">
        <v>41</v>
      </c>
      <c r="R221" s="20">
        <v>0.53579999999999994</v>
      </c>
      <c r="S221" s="32">
        <v>21.967799999999997</v>
      </c>
      <c r="T221" s="35">
        <v>1.6400000000000001</v>
      </c>
      <c r="U221" s="35">
        <v>1.06</v>
      </c>
      <c r="V221" s="35">
        <v>0.04</v>
      </c>
      <c r="W221" s="9" t="s">
        <v>153</v>
      </c>
      <c r="X221" s="15">
        <v>220</v>
      </c>
      <c r="Y221" s="39">
        <v>0.48152512593312763</v>
      </c>
      <c r="Z221" s="39">
        <v>0.48952136928218604</v>
      </c>
      <c r="AA221" s="39">
        <v>0.48430304396170459</v>
      </c>
      <c r="AB221" s="39">
        <v>0.4876555175299141</v>
      </c>
      <c r="AC221" s="39">
        <v>0.47507853573173092</v>
      </c>
      <c r="AD221" s="39">
        <v>0.48260939620221149</v>
      </c>
      <c r="AE221" s="39">
        <v>0.48065918853174261</v>
      </c>
      <c r="AF221" s="40">
        <v>0.48440508561811141</v>
      </c>
    </row>
    <row r="222" spans="1:32">
      <c r="A222" s="15">
        <v>220</v>
      </c>
      <c r="B222" s="16">
        <v>1</v>
      </c>
      <c r="C222" s="20">
        <v>0.32</v>
      </c>
      <c r="D222" s="20">
        <v>0.60252696192946853</v>
      </c>
      <c r="E222" s="20">
        <v>0.09</v>
      </c>
      <c r="F222" s="8" t="s">
        <v>436</v>
      </c>
      <c r="G222" s="24">
        <v>1.0482523401594892</v>
      </c>
      <c r="H222" s="24">
        <v>1.0543214536351631</v>
      </c>
      <c r="I222" s="25">
        <v>1.0727600968801199</v>
      </c>
      <c r="L222" s="15">
        <v>220</v>
      </c>
      <c r="M222" s="16">
        <v>0</v>
      </c>
      <c r="N222" s="16">
        <v>0</v>
      </c>
      <c r="O222" s="16">
        <v>12</v>
      </c>
      <c r="P222" s="16">
        <v>220</v>
      </c>
      <c r="Q222" s="29">
        <v>57</v>
      </c>
      <c r="R222" s="20">
        <v>0.53579999999999994</v>
      </c>
      <c r="S222" s="32">
        <v>30.540599999999998</v>
      </c>
      <c r="T222" s="35">
        <v>2.4300000000000002</v>
      </c>
      <c r="U222" s="35">
        <v>1.57</v>
      </c>
      <c r="V222" s="35">
        <v>4.2631578947368423E-2</v>
      </c>
      <c r="W222" s="9" t="s">
        <v>154</v>
      </c>
      <c r="X222" s="15">
        <v>221</v>
      </c>
      <c r="Y222" s="39">
        <v>0.49438857224753802</v>
      </c>
      <c r="Z222" s="39">
        <v>0.47906402208871174</v>
      </c>
      <c r="AA222" s="39">
        <v>0.49450086432205731</v>
      </c>
      <c r="AB222" s="39">
        <v>0.4976819308210364</v>
      </c>
      <c r="AC222" s="39">
        <v>0.49025009987152096</v>
      </c>
      <c r="AD222" s="39">
        <v>0.47385583765124084</v>
      </c>
      <c r="AE222" s="39">
        <v>0.48754749260417879</v>
      </c>
      <c r="AF222" s="40">
        <v>0.49539966836382049</v>
      </c>
    </row>
    <row r="223" spans="1:32">
      <c r="A223" s="15">
        <v>221</v>
      </c>
      <c r="B223" s="16">
        <v>1</v>
      </c>
      <c r="C223" s="20">
        <v>0.14000000000000001</v>
      </c>
      <c r="D223" s="20">
        <v>0.88436773853514627</v>
      </c>
      <c r="E223" s="20">
        <v>0.47</v>
      </c>
      <c r="F223" s="8" t="s">
        <v>436</v>
      </c>
      <c r="G223" s="24">
        <v>0.85948479789583188</v>
      </c>
      <c r="H223" s="24">
        <v>0.86446099548605404</v>
      </c>
      <c r="I223" s="25">
        <v>0.87957923844695585</v>
      </c>
      <c r="L223" s="15">
        <v>221</v>
      </c>
      <c r="M223" s="16">
        <v>0</v>
      </c>
      <c r="N223" s="16">
        <v>0</v>
      </c>
      <c r="O223" s="16">
        <v>13</v>
      </c>
      <c r="P223" s="16">
        <v>221</v>
      </c>
      <c r="Q223" s="29">
        <v>29</v>
      </c>
      <c r="R223" s="20">
        <v>0.53579999999999994</v>
      </c>
      <c r="S223" s="32">
        <v>15.538199999999998</v>
      </c>
      <c r="T223" s="35">
        <v>1.34</v>
      </c>
      <c r="U223" s="35">
        <v>0.99</v>
      </c>
      <c r="V223" s="35">
        <v>4.6206896551724143E-2</v>
      </c>
      <c r="W223" s="9" t="s">
        <v>153</v>
      </c>
      <c r="X223" s="15">
        <v>222</v>
      </c>
      <c r="Y223" s="39">
        <v>0.49057812899773717</v>
      </c>
      <c r="Z223" s="39">
        <v>0.47739416462774864</v>
      </c>
      <c r="AA223" s="39">
        <v>0.46812337889356104</v>
      </c>
      <c r="AB223" s="39">
        <v>0.49137272191838671</v>
      </c>
      <c r="AC223" s="39">
        <v>0.48580184573858348</v>
      </c>
      <c r="AD223" s="39">
        <v>0.47221194641787101</v>
      </c>
      <c r="AE223" s="39">
        <v>0.46330764764463817</v>
      </c>
      <c r="AF223" s="40">
        <v>0.48690452471274337</v>
      </c>
    </row>
    <row r="224" spans="1:32">
      <c r="A224" s="15">
        <v>222</v>
      </c>
      <c r="B224" s="16">
        <v>0</v>
      </c>
      <c r="C224" s="20">
        <v>0.93</v>
      </c>
      <c r="D224" s="20">
        <v>0.18747949848141848</v>
      </c>
      <c r="E224" s="20">
        <v>7.0000000000000007E-2</v>
      </c>
      <c r="F224" s="8" t="s">
        <v>434</v>
      </c>
      <c r="G224" s="24">
        <v>0.57336625849979805</v>
      </c>
      <c r="H224" s="24">
        <v>0.57668590278070508</v>
      </c>
      <c r="I224" s="25">
        <v>0.58677135213688292</v>
      </c>
      <c r="L224" s="15">
        <v>222</v>
      </c>
      <c r="M224" s="16">
        <v>0</v>
      </c>
      <c r="N224" s="16">
        <v>0</v>
      </c>
      <c r="O224" s="16">
        <v>13</v>
      </c>
      <c r="P224" s="16">
        <v>222</v>
      </c>
      <c r="Q224" s="29">
        <v>41</v>
      </c>
      <c r="R224" s="20">
        <v>0.53579999999999994</v>
      </c>
      <c r="S224" s="32">
        <v>21.967799999999997</v>
      </c>
      <c r="T224" s="35">
        <v>2.02</v>
      </c>
      <c r="U224" s="35">
        <v>1.36</v>
      </c>
      <c r="V224" s="35">
        <v>4.9268292682926831E-2</v>
      </c>
      <c r="W224" s="9" t="s">
        <v>154</v>
      </c>
      <c r="X224" s="15">
        <v>223</v>
      </c>
      <c r="Y224" s="39">
        <v>0.49148219551722783</v>
      </c>
      <c r="Z224" s="39">
        <v>0.500048352459743</v>
      </c>
      <c r="AA224" s="39">
        <v>0.50026741283974274</v>
      </c>
      <c r="AB224" s="39">
        <v>0.4961219019063049</v>
      </c>
      <c r="AC224" s="39">
        <v>0.48680086075502726</v>
      </c>
      <c r="AD224" s="39">
        <v>0.49396075447713117</v>
      </c>
      <c r="AE224" s="39">
        <v>0.49186140070336704</v>
      </c>
      <c r="AF224" s="40">
        <v>0.48959707051179424</v>
      </c>
    </row>
    <row r="225" spans="1:32">
      <c r="A225" s="15">
        <v>223</v>
      </c>
      <c r="B225" s="16">
        <v>0</v>
      </c>
      <c r="C225" s="20">
        <v>0.47</v>
      </c>
      <c r="D225" s="20">
        <v>0.48640442137789824</v>
      </c>
      <c r="E225" s="20">
        <v>0.08</v>
      </c>
      <c r="F225" s="8" t="s">
        <v>436</v>
      </c>
      <c r="G225" s="24">
        <v>0.88590440120938785</v>
      </c>
      <c r="H225" s="24">
        <v>0.89103356155900426</v>
      </c>
      <c r="I225" s="25">
        <v>0.90661652243324542</v>
      </c>
      <c r="L225" s="15">
        <v>223</v>
      </c>
      <c r="M225" s="16">
        <v>0</v>
      </c>
      <c r="N225" s="16">
        <v>0</v>
      </c>
      <c r="O225" s="16">
        <v>13</v>
      </c>
      <c r="P225" s="16">
        <v>223</v>
      </c>
      <c r="Q225" s="29">
        <v>26</v>
      </c>
      <c r="R225" s="20">
        <v>0.53579999999999994</v>
      </c>
      <c r="S225" s="32">
        <v>13.930799999999998</v>
      </c>
      <c r="T225" s="35">
        <v>1.58</v>
      </c>
      <c r="U225" s="35">
        <v>1.21</v>
      </c>
      <c r="V225" s="35">
        <v>6.076923076923077E-2</v>
      </c>
      <c r="W225" s="9" t="s">
        <v>153</v>
      </c>
      <c r="X225" s="15">
        <v>224</v>
      </c>
      <c r="Y225" s="39">
        <v>0.49763746215915661</v>
      </c>
      <c r="Z225" s="39">
        <v>0.49109632734797565</v>
      </c>
      <c r="AA225" s="39">
        <v>0.49087929933327085</v>
      </c>
      <c r="AB225" s="39">
        <v>0.48179329759190337</v>
      </c>
      <c r="AC225" s="39">
        <v>0.49395669274366821</v>
      </c>
      <c r="AD225" s="39">
        <v>0.48473576067040963</v>
      </c>
      <c r="AE225" s="39">
        <v>0.48479890283533444</v>
      </c>
      <c r="AF225" s="40">
        <v>0.47982913768621688</v>
      </c>
    </row>
    <row r="226" spans="1:32">
      <c r="A226" s="15">
        <v>224</v>
      </c>
      <c r="B226" s="16">
        <v>1</v>
      </c>
      <c r="C226" s="20">
        <v>0.95</v>
      </c>
      <c r="D226" s="20">
        <v>0.15570568692893463</v>
      </c>
      <c r="E226" s="20">
        <v>0.05</v>
      </c>
      <c r="F226" s="8" t="s">
        <v>434</v>
      </c>
      <c r="G226" s="24">
        <v>0.79347281063857333</v>
      </c>
      <c r="H226" s="24">
        <v>0.79806681567260429</v>
      </c>
      <c r="I226" s="25">
        <v>0.81202391504594007</v>
      </c>
      <c r="L226" s="15">
        <v>224</v>
      </c>
      <c r="M226" s="16">
        <v>0</v>
      </c>
      <c r="N226" s="16">
        <v>0</v>
      </c>
      <c r="O226" s="16">
        <v>13</v>
      </c>
      <c r="P226" s="16">
        <v>224</v>
      </c>
      <c r="Q226" s="29">
        <v>33</v>
      </c>
      <c r="R226" s="20">
        <v>0.53579999999999994</v>
      </c>
      <c r="S226" s="32">
        <v>17.681399999999996</v>
      </c>
      <c r="T226" s="35">
        <v>2.4300000000000002</v>
      </c>
      <c r="U226" s="35">
        <v>2.02</v>
      </c>
      <c r="V226" s="35">
        <v>7.3636363636363639E-2</v>
      </c>
      <c r="W226" s="9" t="s">
        <v>154</v>
      </c>
      <c r="X226" s="15">
        <v>225</v>
      </c>
      <c r="Y226" s="39">
        <v>0.48234400911819986</v>
      </c>
      <c r="Z226" s="39">
        <v>0.48588833128543807</v>
      </c>
      <c r="AA226" s="39">
        <v>0.49602744121640852</v>
      </c>
      <c r="AB226" s="39">
        <v>0.4902626601793868</v>
      </c>
      <c r="AC226" s="39">
        <v>0.47583385253197574</v>
      </c>
      <c r="AD226" s="39">
        <v>0.48170459503959401</v>
      </c>
      <c r="AE226" s="39">
        <v>0.48852999008123682</v>
      </c>
      <c r="AF226" s="40">
        <v>0.48768308484197376</v>
      </c>
    </row>
    <row r="227" spans="1:32">
      <c r="A227" s="15">
        <v>225</v>
      </c>
      <c r="B227" s="16">
        <v>1</v>
      </c>
      <c r="C227" s="20">
        <v>0.91</v>
      </c>
      <c r="D227" s="20">
        <v>0.21727233298780477</v>
      </c>
      <c r="E227" s="20">
        <v>0.09</v>
      </c>
      <c r="F227" s="8" t="s">
        <v>434</v>
      </c>
      <c r="G227" s="24">
        <v>0.69254393532126057</v>
      </c>
      <c r="H227" s="24">
        <v>0.69655358793001598</v>
      </c>
      <c r="I227" s="25">
        <v>0.70873535949935429</v>
      </c>
      <c r="L227" s="15">
        <v>225</v>
      </c>
      <c r="M227" s="16">
        <v>0</v>
      </c>
      <c r="N227" s="16">
        <v>0</v>
      </c>
      <c r="O227" s="16">
        <v>13</v>
      </c>
      <c r="P227" s="16">
        <v>225</v>
      </c>
      <c r="Q227" s="29">
        <v>36</v>
      </c>
      <c r="R227" s="20">
        <v>0.53579999999999994</v>
      </c>
      <c r="S227" s="32">
        <v>19.288799999999998</v>
      </c>
      <c r="T227" s="35">
        <v>0.93</v>
      </c>
      <c r="U227" s="35">
        <v>0.41</v>
      </c>
      <c r="V227" s="35">
        <v>2.5833333333333333E-2</v>
      </c>
      <c r="W227" s="9" t="s">
        <v>152</v>
      </c>
      <c r="X227" s="15">
        <v>226</v>
      </c>
      <c r="Y227" s="39">
        <v>0.48181781701852106</v>
      </c>
      <c r="Z227" s="39">
        <v>0.47612935946805413</v>
      </c>
      <c r="AA227" s="39">
        <v>0.47597931757300693</v>
      </c>
      <c r="AB227" s="39">
        <v>0.46458395858584239</v>
      </c>
      <c r="AC227" s="39">
        <v>0.47347823028833047</v>
      </c>
      <c r="AD227" s="39">
        <v>0.47313854073087175</v>
      </c>
      <c r="AE227" s="39">
        <v>0.46955933873367628</v>
      </c>
      <c r="AF227" s="40">
        <v>0.4578562758116354</v>
      </c>
    </row>
    <row r="228" spans="1:32">
      <c r="A228" s="15">
        <v>226</v>
      </c>
      <c r="B228" s="16">
        <v>1</v>
      </c>
      <c r="C228" s="20">
        <v>0.02</v>
      </c>
      <c r="D228" s="20">
        <v>0.99756714174924133</v>
      </c>
      <c r="E228" s="20">
        <v>1</v>
      </c>
      <c r="F228" s="8" t="s">
        <v>436</v>
      </c>
      <c r="G228" s="24">
        <v>0.94195084435085952</v>
      </c>
      <c r="H228" s="24">
        <v>0.94740449930001269</v>
      </c>
      <c r="I228" s="25">
        <v>0.96397331093808525</v>
      </c>
      <c r="L228" s="15">
        <v>226</v>
      </c>
      <c r="M228" s="16">
        <v>0</v>
      </c>
      <c r="N228" s="16">
        <v>0</v>
      </c>
      <c r="O228" s="16">
        <v>13</v>
      </c>
      <c r="P228" s="16">
        <v>226</v>
      </c>
      <c r="Q228" s="29">
        <v>41</v>
      </c>
      <c r="R228" s="20">
        <v>0.53579999999999994</v>
      </c>
      <c r="S228" s="32">
        <v>21.967799999999997</v>
      </c>
      <c r="T228" s="35">
        <v>0.70000000000000007</v>
      </c>
      <c r="U228" s="35">
        <v>0.08</v>
      </c>
      <c r="V228" s="35">
        <v>1.7073170731707318E-2</v>
      </c>
      <c r="W228" s="9" t="s">
        <v>152</v>
      </c>
      <c r="X228" s="15">
        <v>227</v>
      </c>
      <c r="Y228" s="39">
        <v>0.4861182990093264</v>
      </c>
      <c r="Z228" s="39">
        <v>0.49234749223889479</v>
      </c>
      <c r="AA228" s="39">
        <v>0.4887902732397042</v>
      </c>
      <c r="AB228" s="39">
        <v>0.47891872749375958</v>
      </c>
      <c r="AC228" s="39">
        <v>0.47887160511480237</v>
      </c>
      <c r="AD228" s="39">
        <v>0.48339171720120566</v>
      </c>
      <c r="AE228" s="39">
        <v>0.48382435819005848</v>
      </c>
      <c r="AF228" s="40">
        <v>0.47386111706639616</v>
      </c>
    </row>
    <row r="229" spans="1:32">
      <c r="A229" s="15">
        <v>227</v>
      </c>
      <c r="B229" s="16">
        <v>1</v>
      </c>
      <c r="C229" s="20">
        <v>0.26</v>
      </c>
      <c r="D229" s="20">
        <v>0.74662826978076458</v>
      </c>
      <c r="E229" s="20">
        <v>0.11</v>
      </c>
      <c r="F229" s="8" t="s">
        <v>436</v>
      </c>
      <c r="G229" s="24">
        <v>0.72551643088390361</v>
      </c>
      <c r="H229" s="24">
        <v>0.72971698582550326</v>
      </c>
      <c r="I229" s="25">
        <v>0.74247873996133207</v>
      </c>
      <c r="L229" s="15">
        <v>227</v>
      </c>
      <c r="M229" s="16">
        <v>0</v>
      </c>
      <c r="N229" s="16">
        <v>0</v>
      </c>
      <c r="O229" s="16">
        <v>13</v>
      </c>
      <c r="P229" s="16">
        <v>227</v>
      </c>
      <c r="Q229" s="29">
        <v>30</v>
      </c>
      <c r="R229" s="20">
        <v>0.53579999999999994</v>
      </c>
      <c r="S229" s="32">
        <v>16.073999999999998</v>
      </c>
      <c r="T229" s="35">
        <v>1.82</v>
      </c>
      <c r="U229" s="35">
        <v>1.43</v>
      </c>
      <c r="V229" s="35">
        <v>6.0666666666666667E-2</v>
      </c>
      <c r="W229" s="9" t="s">
        <v>153</v>
      </c>
      <c r="X229" s="15">
        <v>228</v>
      </c>
      <c r="Y229" s="39">
        <v>0.48251261918246291</v>
      </c>
      <c r="Z229" s="39">
        <v>0.4941976015955809</v>
      </c>
      <c r="AA229" s="39">
        <v>0.49673043446156462</v>
      </c>
      <c r="AB229" s="39">
        <v>0.4891737099903411</v>
      </c>
      <c r="AC229" s="39">
        <v>0.47692246808261429</v>
      </c>
      <c r="AD229" s="39">
        <v>0.4897102670472398</v>
      </c>
      <c r="AE229" s="39">
        <v>0.48870029165782181</v>
      </c>
      <c r="AF229" s="40">
        <v>0.48433881975306026</v>
      </c>
    </row>
    <row r="230" spans="1:32">
      <c r="A230" s="15">
        <v>228</v>
      </c>
      <c r="B230" s="16">
        <v>0</v>
      </c>
      <c r="C230" s="20">
        <v>0.09</v>
      </c>
      <c r="D230" s="20">
        <v>0.92502469698271417</v>
      </c>
      <c r="E230" s="20">
        <v>0.09</v>
      </c>
      <c r="F230" s="8" t="s">
        <v>436</v>
      </c>
      <c r="G230" s="24">
        <v>0.94815515278666473</v>
      </c>
      <c r="H230" s="24">
        <v>0.95364472909796749</v>
      </c>
      <c r="I230" s="25">
        <v>0.97032267383829673</v>
      </c>
      <c r="L230" s="15">
        <v>228</v>
      </c>
      <c r="M230" s="16">
        <v>0</v>
      </c>
      <c r="N230" s="16">
        <v>0</v>
      </c>
      <c r="O230" s="16">
        <v>13</v>
      </c>
      <c r="P230" s="16">
        <v>228</v>
      </c>
      <c r="Q230" s="29">
        <v>31</v>
      </c>
      <c r="R230" s="20">
        <v>0.53579999999999994</v>
      </c>
      <c r="S230" s="32">
        <v>16.6098</v>
      </c>
      <c r="T230" s="35">
        <v>2.1100000000000003</v>
      </c>
      <c r="U230" s="35">
        <v>1.6</v>
      </c>
      <c r="V230" s="35">
        <v>6.8064516129032263E-2</v>
      </c>
      <c r="W230" s="9" t="s">
        <v>154</v>
      </c>
      <c r="X230" s="15">
        <v>229</v>
      </c>
      <c r="Y230" s="39">
        <v>0.48781734129164606</v>
      </c>
      <c r="Z230" s="39">
        <v>0.493124094974637</v>
      </c>
      <c r="AA230" s="39">
        <v>0.47270350314746468</v>
      </c>
      <c r="AB230" s="39">
        <v>0.49559057585023358</v>
      </c>
      <c r="AC230" s="39">
        <v>0.48243021428879418</v>
      </c>
      <c r="AD230" s="39">
        <v>0.48544353567069154</v>
      </c>
      <c r="AE230" s="39">
        <v>0.46709152501169282</v>
      </c>
      <c r="AF230" s="40">
        <v>0.49042311241215997</v>
      </c>
    </row>
    <row r="231" spans="1:32">
      <c r="A231" s="15">
        <v>229</v>
      </c>
      <c r="B231" s="16">
        <v>0</v>
      </c>
      <c r="C231" s="20">
        <v>0.02</v>
      </c>
      <c r="D231" s="20">
        <v>0.99679477127711513</v>
      </c>
      <c r="E231" s="20">
        <v>1</v>
      </c>
      <c r="F231" s="8" t="s">
        <v>436</v>
      </c>
      <c r="G231" s="24">
        <v>1.0336504118980536</v>
      </c>
      <c r="H231" s="24">
        <v>1.0396349839363397</v>
      </c>
      <c r="I231" s="25">
        <v>1.0578167808709318</v>
      </c>
      <c r="L231" s="15">
        <v>229</v>
      </c>
      <c r="M231" s="16">
        <v>0</v>
      </c>
      <c r="N231" s="16">
        <v>0</v>
      </c>
      <c r="O231" s="16">
        <v>13</v>
      </c>
      <c r="P231" s="16">
        <v>229</v>
      </c>
      <c r="Q231" s="29">
        <v>25</v>
      </c>
      <c r="R231" s="20">
        <v>0.53579999999999994</v>
      </c>
      <c r="S231" s="32">
        <v>13.394999999999998</v>
      </c>
      <c r="T231" s="35">
        <v>0.28000000000000003</v>
      </c>
      <c r="U231" s="35">
        <v>0.01</v>
      </c>
      <c r="V231" s="35">
        <v>1.1200000000000002E-2</v>
      </c>
      <c r="W231" s="9" t="s">
        <v>152</v>
      </c>
      <c r="X231" s="15">
        <v>230</v>
      </c>
      <c r="Y231" s="39">
        <v>0.46924995093635147</v>
      </c>
      <c r="Z231" s="39">
        <v>0.50321588953400898</v>
      </c>
      <c r="AA231" s="39">
        <v>0.49695478593426567</v>
      </c>
      <c r="AB231" s="39">
        <v>0.48898231210943122</v>
      </c>
      <c r="AC231" s="39">
        <v>0.46318879334555768</v>
      </c>
      <c r="AD231" s="39">
        <v>0.49454721592217948</v>
      </c>
      <c r="AE231" s="39">
        <v>0.48577287019365956</v>
      </c>
      <c r="AF231" s="40">
        <v>0.48575405196715027</v>
      </c>
    </row>
    <row r="232" spans="1:32">
      <c r="A232" s="15">
        <v>230</v>
      </c>
      <c r="B232" s="16">
        <v>0</v>
      </c>
      <c r="C232" s="20">
        <v>0.16</v>
      </c>
      <c r="D232" s="20">
        <v>0.81903618603295236</v>
      </c>
      <c r="E232" s="20">
        <v>0.42</v>
      </c>
      <c r="F232" s="8" t="s">
        <v>436</v>
      </c>
      <c r="G232" s="24">
        <v>1.192765266168283</v>
      </c>
      <c r="H232" s="24">
        <v>1.1996710725975979</v>
      </c>
      <c r="I232" s="25">
        <v>1.2206516822993674</v>
      </c>
      <c r="L232" s="15">
        <v>230</v>
      </c>
      <c r="M232" s="16">
        <v>0</v>
      </c>
      <c r="N232" s="16">
        <v>0</v>
      </c>
      <c r="O232" s="16">
        <v>13</v>
      </c>
      <c r="P232" s="16">
        <v>230</v>
      </c>
      <c r="Q232" s="29">
        <v>29</v>
      </c>
      <c r="R232" s="20">
        <v>0.53579999999999994</v>
      </c>
      <c r="S232" s="32">
        <v>15.538199999999998</v>
      </c>
      <c r="T232" s="35">
        <v>1.53</v>
      </c>
      <c r="U232" s="35">
        <v>1.1599999999999999</v>
      </c>
      <c r="V232" s="35">
        <v>5.2758620689655172E-2</v>
      </c>
      <c r="W232" s="9" t="s">
        <v>153</v>
      </c>
      <c r="X232" s="15">
        <v>231</v>
      </c>
      <c r="Y232" s="39">
        <v>0.47810874374925438</v>
      </c>
      <c r="Z232" s="39">
        <v>0.48139070000399825</v>
      </c>
      <c r="AA232" s="39">
        <v>0.4897990711297005</v>
      </c>
      <c r="AB232" s="39">
        <v>0.50783366288435283</v>
      </c>
      <c r="AC232" s="39">
        <v>0.46981462446961508</v>
      </c>
      <c r="AD232" s="39">
        <v>0.47479985933646562</v>
      </c>
      <c r="AE232" s="39">
        <v>0.48423795053423413</v>
      </c>
      <c r="AF232" s="40">
        <v>0.50248848490538789</v>
      </c>
    </row>
    <row r="233" spans="1:32">
      <c r="A233" s="15">
        <v>231</v>
      </c>
      <c r="B233" s="16">
        <v>0</v>
      </c>
      <c r="C233" s="20">
        <v>0.22</v>
      </c>
      <c r="D233" s="20">
        <v>0.8542564437057939</v>
      </c>
      <c r="E233" s="20">
        <v>0.09</v>
      </c>
      <c r="F233" s="8" t="s">
        <v>436</v>
      </c>
      <c r="G233" s="24">
        <v>1.8105982514316117</v>
      </c>
      <c r="H233" s="24">
        <v>1.8210811531393467</v>
      </c>
      <c r="I233" s="25">
        <v>1.6578926537592125</v>
      </c>
      <c r="L233" s="15">
        <v>231</v>
      </c>
      <c r="M233" s="16">
        <v>0</v>
      </c>
      <c r="N233" s="16">
        <v>0</v>
      </c>
      <c r="O233" s="16">
        <v>13</v>
      </c>
      <c r="P233" s="16">
        <v>231</v>
      </c>
      <c r="Q233" s="29">
        <v>33</v>
      </c>
      <c r="R233" s="20">
        <v>0.53579999999999994</v>
      </c>
      <c r="S233" s="32">
        <v>17.681399999999996</v>
      </c>
      <c r="T233" s="35">
        <v>0.65</v>
      </c>
      <c r="U233" s="35">
        <v>0.2</v>
      </c>
      <c r="V233" s="35">
        <v>1.9696969696969699E-2</v>
      </c>
      <c r="W233" s="9" t="s">
        <v>152</v>
      </c>
      <c r="X233" s="15">
        <v>232</v>
      </c>
      <c r="Y233" s="39">
        <v>0.47434274634433093</v>
      </c>
      <c r="Z233" s="39">
        <v>0.50495983967751967</v>
      </c>
      <c r="AA233" s="39">
        <v>0.48028021510497948</v>
      </c>
      <c r="AB233" s="39">
        <v>0.49725779013163157</v>
      </c>
      <c r="AC233" s="39">
        <v>0.46703102784626188</v>
      </c>
      <c r="AD233" s="39">
        <v>0.49601421957004083</v>
      </c>
      <c r="AE233" s="39">
        <v>0.47444833165116146</v>
      </c>
      <c r="AF233" s="40">
        <v>0.49341635752525287</v>
      </c>
    </row>
    <row r="234" spans="1:32">
      <c r="A234" s="15">
        <v>232</v>
      </c>
      <c r="B234" s="16">
        <v>0</v>
      </c>
      <c r="C234" s="20">
        <v>0.64</v>
      </c>
      <c r="D234" s="20">
        <v>0.43884056787449072</v>
      </c>
      <c r="E234" s="20">
        <v>0.08</v>
      </c>
      <c r="F234" s="8" t="s">
        <v>438</v>
      </c>
      <c r="G234" s="24">
        <v>0.7191439486555492</v>
      </c>
      <c r="H234" s="24">
        <v>0.72330760855166798</v>
      </c>
      <c r="I234" s="25">
        <v>0.73595727142674605</v>
      </c>
      <c r="L234" s="15">
        <v>232</v>
      </c>
      <c r="M234" s="16">
        <v>0</v>
      </c>
      <c r="N234" s="16">
        <v>0</v>
      </c>
      <c r="O234" s="16">
        <v>13</v>
      </c>
      <c r="P234" s="16">
        <v>232</v>
      </c>
      <c r="Q234" s="29">
        <v>21</v>
      </c>
      <c r="R234" s="20">
        <v>0.53579999999999994</v>
      </c>
      <c r="S234" s="32">
        <v>11.251799999999999</v>
      </c>
      <c r="T234" s="35">
        <v>0.35000000000000003</v>
      </c>
      <c r="U234" s="35">
        <v>0</v>
      </c>
      <c r="V234" s="35">
        <v>1.666666666666667E-2</v>
      </c>
      <c r="W234" s="9" t="s">
        <v>152</v>
      </c>
      <c r="X234" s="15">
        <v>233</v>
      </c>
      <c r="Y234" s="39">
        <v>0.48871571778667888</v>
      </c>
      <c r="Z234" s="39">
        <v>0.49752464124262574</v>
      </c>
      <c r="AA234" s="39">
        <v>0.48863946771291861</v>
      </c>
      <c r="AB234" s="39">
        <v>0.47537368411853709</v>
      </c>
      <c r="AC234" s="39">
        <v>0.4829535247415101</v>
      </c>
      <c r="AD234" s="39">
        <v>0.48823467312222635</v>
      </c>
      <c r="AE234" s="39">
        <v>0.47986136574542021</v>
      </c>
      <c r="AF234" s="40">
        <v>0.47007218501732895</v>
      </c>
    </row>
    <row r="235" spans="1:32">
      <c r="A235" s="15">
        <v>233</v>
      </c>
      <c r="B235" s="16">
        <v>0</v>
      </c>
      <c r="C235" s="20">
        <v>0.89</v>
      </c>
      <c r="D235" s="20">
        <v>0.24559627500636821</v>
      </c>
      <c r="E235" s="20">
        <v>0.11</v>
      </c>
      <c r="F235" s="8" t="s">
        <v>434</v>
      </c>
      <c r="G235" s="24">
        <v>0.76620350193874276</v>
      </c>
      <c r="H235" s="24">
        <v>0.77063962463608626</v>
      </c>
      <c r="I235" s="25">
        <v>0.78411705987189551</v>
      </c>
      <c r="L235" s="15">
        <v>233</v>
      </c>
      <c r="M235" s="16">
        <v>0</v>
      </c>
      <c r="N235" s="16">
        <v>0</v>
      </c>
      <c r="O235" s="16">
        <v>13</v>
      </c>
      <c r="P235" s="16">
        <v>233</v>
      </c>
      <c r="Q235" s="29">
        <v>33</v>
      </c>
      <c r="R235" s="20">
        <v>0.53579999999999994</v>
      </c>
      <c r="S235" s="32">
        <v>17.681399999999996</v>
      </c>
      <c r="T235" s="35">
        <v>1.34</v>
      </c>
      <c r="U235" s="35">
        <v>0.84</v>
      </c>
      <c r="V235" s="35">
        <v>4.0606060606060611E-2</v>
      </c>
      <c r="W235" s="9" t="s">
        <v>153</v>
      </c>
      <c r="X235" s="15">
        <v>234</v>
      </c>
      <c r="Y235" s="39">
        <v>0.48356786327947116</v>
      </c>
      <c r="Z235" s="39">
        <v>0.48431834972099119</v>
      </c>
      <c r="AA235" s="39">
        <v>0.49578561044754293</v>
      </c>
      <c r="AB235" s="39">
        <v>0.49322589310250464</v>
      </c>
      <c r="AC235" s="39">
        <v>0.4763197503892882</v>
      </c>
      <c r="AD235" s="39">
        <v>0.47812838857513495</v>
      </c>
      <c r="AE235" s="39">
        <v>0.4894613430136151</v>
      </c>
      <c r="AF235" s="40">
        <v>0.48803475056072393</v>
      </c>
    </row>
    <row r="236" spans="1:32">
      <c r="A236" s="15">
        <v>234</v>
      </c>
      <c r="B236" s="16">
        <v>1</v>
      </c>
      <c r="C236" s="20">
        <v>0.27</v>
      </c>
      <c r="D236" s="20">
        <v>0.76950464771636351</v>
      </c>
      <c r="E236" s="20">
        <v>0.11</v>
      </c>
      <c r="F236" s="8" t="s">
        <v>436</v>
      </c>
      <c r="G236" s="24">
        <v>0.7053161524518281</v>
      </c>
      <c r="H236" s="24">
        <v>0.7093997529375704</v>
      </c>
      <c r="I236" s="25">
        <v>0.72180618639994276</v>
      </c>
      <c r="L236" s="15">
        <v>234</v>
      </c>
      <c r="M236" s="16">
        <v>0</v>
      </c>
      <c r="N236" s="16">
        <v>0</v>
      </c>
      <c r="O236" s="16">
        <v>13</v>
      </c>
      <c r="P236" s="16">
        <v>234</v>
      </c>
      <c r="Q236" s="29">
        <v>32</v>
      </c>
      <c r="R236" s="20">
        <v>0.53579999999999994</v>
      </c>
      <c r="S236" s="32">
        <v>17.145599999999998</v>
      </c>
      <c r="T236" s="35">
        <v>1.6</v>
      </c>
      <c r="U236" s="35">
        <v>1.1299999999999999</v>
      </c>
      <c r="V236" s="35">
        <v>0.05</v>
      </c>
      <c r="W236" s="9" t="s">
        <v>153</v>
      </c>
      <c r="X236" s="15">
        <v>235</v>
      </c>
      <c r="Y236" s="39">
        <v>0.48602758579408911</v>
      </c>
      <c r="Z236" s="39">
        <v>0.48968036474429077</v>
      </c>
      <c r="AA236" s="39">
        <v>0.48674635143643163</v>
      </c>
      <c r="AB236" s="39">
        <v>0.48338991438442469</v>
      </c>
      <c r="AC236" s="39">
        <v>0.47802550581333991</v>
      </c>
      <c r="AD236" s="39">
        <v>0.48109217279361827</v>
      </c>
      <c r="AE236" s="39">
        <v>0.47911507638015566</v>
      </c>
      <c r="AF236" s="40">
        <v>0.48390292047140215</v>
      </c>
    </row>
    <row r="237" spans="1:32">
      <c r="A237" s="15">
        <v>235</v>
      </c>
      <c r="B237" s="16">
        <v>0</v>
      </c>
      <c r="C237" s="20">
        <v>0.94</v>
      </c>
      <c r="D237" s="20">
        <v>0.17188516685452584</v>
      </c>
      <c r="E237" s="20">
        <v>0.06</v>
      </c>
      <c r="F237" s="8" t="s">
        <v>434</v>
      </c>
      <c r="G237" s="24">
        <v>0.46992837962901712</v>
      </c>
      <c r="H237" s="24">
        <v>0.47264914499451505</v>
      </c>
      <c r="I237" s="25">
        <v>0.48091513345044512</v>
      </c>
      <c r="L237" s="15">
        <v>235</v>
      </c>
      <c r="M237" s="16">
        <v>0</v>
      </c>
      <c r="N237" s="16">
        <v>0</v>
      </c>
      <c r="O237" s="16">
        <v>13</v>
      </c>
      <c r="P237" s="16">
        <v>235</v>
      </c>
      <c r="Q237" s="29">
        <v>35</v>
      </c>
      <c r="R237" s="20">
        <v>0.53579999999999994</v>
      </c>
      <c r="S237" s="32">
        <v>18.752999999999997</v>
      </c>
      <c r="T237" s="35">
        <v>3.22</v>
      </c>
      <c r="U237" s="35">
        <v>2.85</v>
      </c>
      <c r="V237" s="35">
        <v>9.2000000000000012E-2</v>
      </c>
      <c r="W237" s="9" t="s">
        <v>155</v>
      </c>
      <c r="X237" s="15">
        <v>236</v>
      </c>
      <c r="Y237" s="39">
        <v>0.49142901146244528</v>
      </c>
      <c r="Z237" s="39">
        <v>0.49897695748124571</v>
      </c>
      <c r="AA237" s="39">
        <v>0.48497605867584026</v>
      </c>
      <c r="AB237" s="39">
        <v>0.49399013292070465</v>
      </c>
      <c r="AC237" s="39">
        <v>0.48488995593006357</v>
      </c>
      <c r="AD237" s="39">
        <v>0.49184690267620823</v>
      </c>
      <c r="AE237" s="39">
        <v>0.47797565376078832</v>
      </c>
      <c r="AF237" s="40">
        <v>0.48919457204070699</v>
      </c>
    </row>
    <row r="238" spans="1:32">
      <c r="A238" s="15">
        <v>236</v>
      </c>
      <c r="B238" s="16">
        <v>0</v>
      </c>
      <c r="C238" s="20">
        <v>0.13</v>
      </c>
      <c r="D238" s="20">
        <v>0.90326939945508811</v>
      </c>
      <c r="E238" s="20">
        <v>0.11</v>
      </c>
      <c r="F238" s="8" t="s">
        <v>436</v>
      </c>
      <c r="G238" s="24">
        <v>1.0027595964640246</v>
      </c>
      <c r="H238" s="24">
        <v>1.0085653185660475</v>
      </c>
      <c r="I238" s="25">
        <v>1.0262037494584066</v>
      </c>
      <c r="L238" s="15">
        <v>236</v>
      </c>
      <c r="M238" s="16">
        <v>0</v>
      </c>
      <c r="N238" s="16">
        <v>0</v>
      </c>
      <c r="O238" s="16">
        <v>13</v>
      </c>
      <c r="P238" s="16">
        <v>236</v>
      </c>
      <c r="Q238" s="29">
        <v>24</v>
      </c>
      <c r="R238" s="20">
        <v>0.53579999999999994</v>
      </c>
      <c r="S238" s="32">
        <v>12.859199999999998</v>
      </c>
      <c r="T238" s="35">
        <v>1.6600000000000001</v>
      </c>
      <c r="U238" s="35">
        <v>1.42</v>
      </c>
      <c r="V238" s="35">
        <v>6.9166666666666668E-2</v>
      </c>
      <c r="W238" s="9" t="s">
        <v>153</v>
      </c>
      <c r="X238" s="15">
        <v>237</v>
      </c>
      <c r="Y238" s="39">
        <v>0.47479078017479476</v>
      </c>
      <c r="Z238" s="39">
        <v>0.48948716507650814</v>
      </c>
      <c r="AA238" s="39">
        <v>0.50023984020542023</v>
      </c>
      <c r="AB238" s="39">
        <v>0.47756016443193722</v>
      </c>
      <c r="AC238" s="39">
        <v>0.46809023997645616</v>
      </c>
      <c r="AD238" s="39">
        <v>0.48010183014369501</v>
      </c>
      <c r="AE238" s="39">
        <v>0.49207312842272216</v>
      </c>
      <c r="AF238" s="40">
        <v>0.47238829357981998</v>
      </c>
    </row>
    <row r="239" spans="1:32">
      <c r="A239" s="15">
        <v>237</v>
      </c>
      <c r="B239" s="16">
        <v>0</v>
      </c>
      <c r="C239" s="20">
        <v>0.32</v>
      </c>
      <c r="D239" s="20">
        <v>0.78881620388471962</v>
      </c>
      <c r="E239" s="20">
        <v>0.06</v>
      </c>
      <c r="F239" s="8" t="s">
        <v>436</v>
      </c>
      <c r="G239" s="24">
        <v>1.1856588547256335</v>
      </c>
      <c r="H239" s="24">
        <v>1.1925235168466572</v>
      </c>
      <c r="I239" s="25">
        <v>1.2133791255536064</v>
      </c>
      <c r="L239" s="15">
        <v>237</v>
      </c>
      <c r="M239" s="16">
        <v>0</v>
      </c>
      <c r="N239" s="16">
        <v>0</v>
      </c>
      <c r="O239" s="16">
        <v>13</v>
      </c>
      <c r="P239" s="16">
        <v>237</v>
      </c>
      <c r="Q239" s="29">
        <v>31</v>
      </c>
      <c r="R239" s="20">
        <v>0.53579999999999994</v>
      </c>
      <c r="S239" s="32">
        <v>16.6098</v>
      </c>
      <c r="T239" s="35">
        <v>1.28</v>
      </c>
      <c r="U239" s="35">
        <v>0.93</v>
      </c>
      <c r="V239" s="35">
        <v>4.1290322580645161E-2</v>
      </c>
      <c r="W239" s="9" t="s">
        <v>153</v>
      </c>
      <c r="X239" s="15">
        <v>238</v>
      </c>
      <c r="Y239" s="39">
        <v>0.49262211562474217</v>
      </c>
      <c r="Z239" s="39">
        <v>0.47792146461648649</v>
      </c>
      <c r="AA239" s="39">
        <v>0.49487625754745773</v>
      </c>
      <c r="AB239" s="39">
        <v>0.4898071917546456</v>
      </c>
      <c r="AC239" s="39">
        <v>0.48611520671349118</v>
      </c>
      <c r="AD239" s="39">
        <v>0.47285222304006302</v>
      </c>
      <c r="AE239" s="39">
        <v>0.4882820216910852</v>
      </c>
      <c r="AF239" s="40">
        <v>0.48466903996787958</v>
      </c>
    </row>
    <row r="240" spans="1:32">
      <c r="A240" s="15">
        <v>238</v>
      </c>
      <c r="B240" s="16">
        <v>0</v>
      </c>
      <c r="C240" s="20">
        <v>0.9</v>
      </c>
      <c r="D240" s="20">
        <v>0.23516114159132792</v>
      </c>
      <c r="E240" s="20">
        <v>0.1</v>
      </c>
      <c r="F240" s="8" t="s">
        <v>434</v>
      </c>
      <c r="G240" s="24">
        <v>0.44265471727953709</v>
      </c>
      <c r="H240" s="24">
        <v>0.44521757510182736</v>
      </c>
      <c r="I240" s="25">
        <v>0.453003822840013</v>
      </c>
      <c r="L240" s="15">
        <v>238</v>
      </c>
      <c r="M240" s="16">
        <v>0</v>
      </c>
      <c r="N240" s="16">
        <v>0</v>
      </c>
      <c r="O240" s="16">
        <v>13</v>
      </c>
      <c r="P240" s="16">
        <v>238</v>
      </c>
      <c r="Q240" s="29">
        <v>28</v>
      </c>
      <c r="R240" s="20">
        <v>0.53579999999999994</v>
      </c>
      <c r="S240" s="32">
        <v>15.002399999999998</v>
      </c>
      <c r="T240" s="35">
        <v>0.63</v>
      </c>
      <c r="U240" s="35">
        <v>0.28000000000000003</v>
      </c>
      <c r="V240" s="35">
        <v>2.2499999999999999E-2</v>
      </c>
      <c r="W240" s="9" t="s">
        <v>152</v>
      </c>
      <c r="X240" s="15">
        <v>239</v>
      </c>
      <c r="Y240" s="39">
        <v>0.47777279804569189</v>
      </c>
      <c r="Z240" s="39">
        <v>0.50050852800537493</v>
      </c>
      <c r="AA240" s="39">
        <v>0.48052169047821214</v>
      </c>
      <c r="AB240" s="39">
        <v>0.47838629111149061</v>
      </c>
      <c r="AC240" s="39">
        <v>0.47108077385851466</v>
      </c>
      <c r="AD240" s="39">
        <v>0.49338442499576113</v>
      </c>
      <c r="AE240" s="39">
        <v>0.47586657813616823</v>
      </c>
      <c r="AF240" s="40">
        <v>0.47683298106446947</v>
      </c>
    </row>
    <row r="241" spans="1:32">
      <c r="A241" s="15">
        <v>239</v>
      </c>
      <c r="B241" s="16">
        <v>0</v>
      </c>
      <c r="C241" s="20">
        <v>0.02</v>
      </c>
      <c r="D241" s="20">
        <v>0.99917029198757767</v>
      </c>
      <c r="E241" s="20">
        <v>1</v>
      </c>
      <c r="F241" s="8" t="s">
        <v>436</v>
      </c>
      <c r="G241" s="24">
        <v>1.0398868801140742</v>
      </c>
      <c r="H241" s="24">
        <v>1.0459075597114282</v>
      </c>
      <c r="I241" s="25">
        <v>1.06419905543527</v>
      </c>
      <c r="L241" s="15">
        <v>239</v>
      </c>
      <c r="M241" s="16">
        <v>0</v>
      </c>
      <c r="N241" s="16">
        <v>0</v>
      </c>
      <c r="O241" s="16">
        <v>13</v>
      </c>
      <c r="P241" s="16">
        <v>239</v>
      </c>
      <c r="Q241" s="29">
        <v>22</v>
      </c>
      <c r="R241" s="20">
        <v>0.53579999999999994</v>
      </c>
      <c r="S241" s="32">
        <v>11.787599999999999</v>
      </c>
      <c r="T241" s="35">
        <v>0.56000000000000005</v>
      </c>
      <c r="U241" s="35">
        <v>0.17</v>
      </c>
      <c r="V241" s="35">
        <v>2.5454545454545455E-2</v>
      </c>
      <c r="W241" s="9" t="s">
        <v>152</v>
      </c>
      <c r="X241" s="15">
        <v>240</v>
      </c>
      <c r="Y241" s="39">
        <v>0.48577334778591424</v>
      </c>
      <c r="Z241" s="39">
        <v>0.46755910984451021</v>
      </c>
      <c r="AA241" s="39">
        <v>0.47203507822604335</v>
      </c>
      <c r="AB241" s="39">
        <v>0.50412756921706359</v>
      </c>
      <c r="AC241" s="39">
        <v>0.47628991920160718</v>
      </c>
      <c r="AD241" s="39">
        <v>0.4608351443415668</v>
      </c>
      <c r="AE241" s="39">
        <v>0.46820933862605496</v>
      </c>
      <c r="AF241" s="40">
        <v>0.49698005279426266</v>
      </c>
    </row>
    <row r="242" spans="1:32">
      <c r="A242" s="15">
        <v>240</v>
      </c>
      <c r="B242" s="16">
        <v>0</v>
      </c>
      <c r="C242" s="20">
        <v>0.91</v>
      </c>
      <c r="D242" s="20">
        <v>0.21727233298780477</v>
      </c>
      <c r="E242" s="20">
        <v>0.09</v>
      </c>
      <c r="F242" s="8" t="s">
        <v>434</v>
      </c>
      <c r="G242" s="24">
        <v>0.64487057137621639</v>
      </c>
      <c r="H242" s="24">
        <v>0.64860420737669455</v>
      </c>
      <c r="I242" s="25">
        <v>0.65994740972334365</v>
      </c>
      <c r="L242" s="15">
        <v>240</v>
      </c>
      <c r="M242" s="16">
        <v>0</v>
      </c>
      <c r="N242" s="16">
        <v>0</v>
      </c>
      <c r="O242" s="16">
        <v>13</v>
      </c>
      <c r="P242" s="16">
        <v>240</v>
      </c>
      <c r="Q242" s="29">
        <v>24</v>
      </c>
      <c r="R242" s="20">
        <v>0.53579999999999994</v>
      </c>
      <c r="S242" s="32">
        <v>12.859199999999998</v>
      </c>
      <c r="T242" s="35">
        <v>1.83</v>
      </c>
      <c r="U242" s="35">
        <v>1.46</v>
      </c>
      <c r="V242" s="35">
        <v>7.6249999999999998E-2</v>
      </c>
      <c r="W242" s="9" t="s">
        <v>153</v>
      </c>
      <c r="X242" s="15">
        <v>241</v>
      </c>
      <c r="Y242" s="39">
        <v>0.48866503276714734</v>
      </c>
      <c r="Z242" s="39">
        <v>0.48937636764469528</v>
      </c>
      <c r="AA242" s="39">
        <v>0.47261947621869227</v>
      </c>
      <c r="AB242" s="39">
        <v>0.48935644847212834</v>
      </c>
      <c r="AC242" s="39">
        <v>0.48107003911115254</v>
      </c>
      <c r="AD242" s="39">
        <v>0.48157221370814252</v>
      </c>
      <c r="AE242" s="39">
        <v>0.46644373531733485</v>
      </c>
      <c r="AF242" s="40">
        <v>0.48261557499116475</v>
      </c>
    </row>
    <row r="243" spans="1:32">
      <c r="A243" s="15">
        <v>241</v>
      </c>
      <c r="B243" s="16">
        <v>1</v>
      </c>
      <c r="C243" s="20">
        <v>0.02</v>
      </c>
      <c r="D243" s="20">
        <v>0.99835916395484214</v>
      </c>
      <c r="E243" s="20">
        <v>1</v>
      </c>
      <c r="F243" s="8" t="s">
        <v>436</v>
      </c>
      <c r="G243" s="24">
        <v>1.0042176876414846</v>
      </c>
      <c r="H243" s="24">
        <v>1.0100318517192368</v>
      </c>
      <c r="I243" s="25">
        <v>1.0276959302748636</v>
      </c>
      <c r="L243" s="15">
        <v>241</v>
      </c>
      <c r="M243" s="16">
        <v>0</v>
      </c>
      <c r="N243" s="16">
        <v>0</v>
      </c>
      <c r="O243" s="16">
        <v>13</v>
      </c>
      <c r="P243" s="16">
        <v>241</v>
      </c>
      <c r="Q243" s="29">
        <v>31</v>
      </c>
      <c r="R243" s="20">
        <v>0.53579999999999994</v>
      </c>
      <c r="S243" s="32">
        <v>16.6098</v>
      </c>
      <c r="T243" s="35">
        <v>0.9900000000000001</v>
      </c>
      <c r="U243" s="35">
        <v>0.62</v>
      </c>
      <c r="V243" s="35">
        <v>3.1935483870967743E-2</v>
      </c>
      <c r="W243" s="9" t="s">
        <v>152</v>
      </c>
      <c r="X243" s="15">
        <v>242</v>
      </c>
      <c r="Y243" s="39">
        <v>0.49109740904092669</v>
      </c>
      <c r="Z243" s="39">
        <v>0.48117586635391663</v>
      </c>
      <c r="AA243" s="39">
        <v>0.48841879448694231</v>
      </c>
      <c r="AB243" s="39">
        <v>0.49548052343434645</v>
      </c>
      <c r="AC243" s="39">
        <v>0.48347404084499407</v>
      </c>
      <c r="AD243" s="39">
        <v>0.47285272123464828</v>
      </c>
      <c r="AE243" s="39">
        <v>0.48352082007919028</v>
      </c>
      <c r="AF243" s="40">
        <v>0.49272951273861537</v>
      </c>
    </row>
    <row r="244" spans="1:32">
      <c r="A244" s="15">
        <v>242</v>
      </c>
      <c r="B244" s="16">
        <v>1</v>
      </c>
      <c r="C244" s="20">
        <v>0.92</v>
      </c>
      <c r="D244" s="20">
        <v>0.20258497911151899</v>
      </c>
      <c r="E244" s="20">
        <v>0.08</v>
      </c>
      <c r="F244" s="8" t="s">
        <v>434</v>
      </c>
      <c r="G244" s="24">
        <v>0.92621502614187656</v>
      </c>
      <c r="H244" s="24">
        <v>0.93157757472027902</v>
      </c>
      <c r="I244" s="25">
        <v>0.9478695950486572</v>
      </c>
      <c r="L244" s="15">
        <v>242</v>
      </c>
      <c r="M244" s="16">
        <v>0</v>
      </c>
      <c r="N244" s="16">
        <v>0</v>
      </c>
      <c r="O244" s="16">
        <v>13</v>
      </c>
      <c r="P244" s="16">
        <v>242</v>
      </c>
      <c r="Q244" s="29">
        <v>35</v>
      </c>
      <c r="R244" s="20">
        <v>0.53579999999999994</v>
      </c>
      <c r="S244" s="32">
        <v>18.752999999999997</v>
      </c>
      <c r="T244" s="35">
        <v>1.99</v>
      </c>
      <c r="U244" s="35">
        <v>1.46</v>
      </c>
      <c r="V244" s="35">
        <v>5.6857142857142856E-2</v>
      </c>
      <c r="W244" s="9" t="s">
        <v>153</v>
      </c>
      <c r="X244" s="15">
        <v>243</v>
      </c>
      <c r="Y244" s="39">
        <v>0.48874621744940483</v>
      </c>
      <c r="Z244" s="39">
        <v>0.48415360255252499</v>
      </c>
      <c r="AA244" s="39">
        <v>0.47818380112007836</v>
      </c>
      <c r="AB244" s="39">
        <v>0.48255798769546687</v>
      </c>
      <c r="AC244" s="39">
        <v>0.48122732396326651</v>
      </c>
      <c r="AD244" s="39">
        <v>0.47600055057513968</v>
      </c>
      <c r="AE244" s="39">
        <v>0.46990799428070745</v>
      </c>
      <c r="AF244" s="40">
        <v>0.47992260024347583</v>
      </c>
    </row>
    <row r="245" spans="1:32">
      <c r="A245" s="15">
        <v>243</v>
      </c>
      <c r="B245" s="16">
        <v>1</v>
      </c>
      <c r="C245" s="20">
        <v>0.4</v>
      </c>
      <c r="D245" s="20">
        <v>0.58493006681040982</v>
      </c>
      <c r="E245" s="20">
        <v>0.1</v>
      </c>
      <c r="F245" s="8" t="s">
        <v>436</v>
      </c>
      <c r="G245" s="24">
        <v>0.80895587683569425</v>
      </c>
      <c r="H245" s="24">
        <v>0.81363952487084401</v>
      </c>
      <c r="I245" s="25">
        <v>0.82786896967381496</v>
      </c>
      <c r="L245" s="15">
        <v>243</v>
      </c>
      <c r="M245" s="16">
        <v>0</v>
      </c>
      <c r="N245" s="16">
        <v>0</v>
      </c>
      <c r="O245" s="16">
        <v>13</v>
      </c>
      <c r="P245" s="16">
        <v>243</v>
      </c>
      <c r="Q245" s="29">
        <v>28</v>
      </c>
      <c r="R245" s="20">
        <v>0.53579999999999994</v>
      </c>
      <c r="S245" s="32">
        <v>15.002399999999998</v>
      </c>
      <c r="T245" s="35">
        <v>1.49</v>
      </c>
      <c r="U245" s="35">
        <v>1.1000000000000001</v>
      </c>
      <c r="V245" s="35">
        <v>5.3214285714285714E-2</v>
      </c>
      <c r="W245" s="9" t="s">
        <v>153</v>
      </c>
      <c r="X245" s="15">
        <v>244</v>
      </c>
      <c r="Y245" s="39">
        <v>0.49310329872550118</v>
      </c>
      <c r="Z245" s="39">
        <v>0.48057270574496191</v>
      </c>
      <c r="AA245" s="39">
        <v>0.4757225590066459</v>
      </c>
      <c r="AB245" s="39">
        <v>0.48598264789477902</v>
      </c>
      <c r="AC245" s="39">
        <v>0.48460890743583462</v>
      </c>
      <c r="AD245" s="39">
        <v>0.47385390899887314</v>
      </c>
      <c r="AE245" s="39">
        <v>0.46967551171188615</v>
      </c>
      <c r="AF245" s="40">
        <v>0.47970420391493701</v>
      </c>
    </row>
    <row r="246" spans="1:32">
      <c r="A246" s="15">
        <v>244</v>
      </c>
      <c r="B246" s="16">
        <v>1</v>
      </c>
      <c r="C246" s="20">
        <v>0.02</v>
      </c>
      <c r="D246" s="20">
        <v>0.99604261948721451</v>
      </c>
      <c r="E246" s="20">
        <v>1</v>
      </c>
      <c r="F246" s="8" t="s">
        <v>436</v>
      </c>
      <c r="G246" s="24">
        <v>1.0031523655795538</v>
      </c>
      <c r="H246" s="24">
        <v>1.0089603617144984</v>
      </c>
      <c r="I246" s="25">
        <v>1.0266057013723537</v>
      </c>
      <c r="L246" s="15">
        <v>244</v>
      </c>
      <c r="M246" s="16">
        <v>0</v>
      </c>
      <c r="N246" s="16">
        <v>0</v>
      </c>
      <c r="O246" s="16">
        <v>13</v>
      </c>
      <c r="P246" s="16">
        <v>244</v>
      </c>
      <c r="Q246" s="29">
        <v>28</v>
      </c>
      <c r="R246" s="20">
        <v>0.53579999999999994</v>
      </c>
      <c r="S246" s="32">
        <v>15.002399999999998</v>
      </c>
      <c r="T246" s="35">
        <v>1.86</v>
      </c>
      <c r="U246" s="35">
        <v>1.5</v>
      </c>
      <c r="V246" s="35">
        <v>6.6428571428571434E-2</v>
      </c>
      <c r="W246" s="9" t="s">
        <v>153</v>
      </c>
      <c r="X246" s="15">
        <v>245</v>
      </c>
      <c r="Y246" s="39">
        <v>0.47470387567534411</v>
      </c>
      <c r="Z246" s="39">
        <v>0.48755068529300444</v>
      </c>
      <c r="AA246" s="39">
        <v>0.47775368097980375</v>
      </c>
      <c r="AB246" s="39">
        <v>0.48938218251239224</v>
      </c>
      <c r="AC246" s="39">
        <v>0.46785866126347514</v>
      </c>
      <c r="AD246" s="39">
        <v>0.47869584250360381</v>
      </c>
      <c r="AE246" s="39">
        <v>0.4718919747964872</v>
      </c>
      <c r="AF246" s="40">
        <v>0.48555037326103567</v>
      </c>
    </row>
    <row r="247" spans="1:32">
      <c r="A247" s="15">
        <v>245</v>
      </c>
      <c r="B247" s="16">
        <v>1</v>
      </c>
      <c r="C247" s="20">
        <v>0.93</v>
      </c>
      <c r="D247" s="20">
        <v>0.18747949848141848</v>
      </c>
      <c r="E247" s="20">
        <v>7.0000000000000007E-2</v>
      </c>
      <c r="F247" s="8" t="s">
        <v>434</v>
      </c>
      <c r="G247" s="24">
        <v>0.8556176781965843</v>
      </c>
      <c r="H247" s="24">
        <v>0.86057148615085766</v>
      </c>
      <c r="I247" s="25">
        <v>0.87562170690204122</v>
      </c>
      <c r="L247" s="15">
        <v>245</v>
      </c>
      <c r="M247" s="16">
        <v>0</v>
      </c>
      <c r="N247" s="16">
        <v>0</v>
      </c>
      <c r="O247" s="16">
        <v>13</v>
      </c>
      <c r="P247" s="16">
        <v>245</v>
      </c>
      <c r="Q247" s="29">
        <v>34</v>
      </c>
      <c r="R247" s="20">
        <v>0.53579999999999994</v>
      </c>
      <c r="S247" s="32">
        <v>18.217199999999998</v>
      </c>
      <c r="T247" s="35">
        <v>3.04</v>
      </c>
      <c r="U247" s="35">
        <v>2.5499999999999998</v>
      </c>
      <c r="V247" s="35">
        <v>8.9411764705882357E-2</v>
      </c>
      <c r="W247" s="9" t="s">
        <v>155</v>
      </c>
      <c r="X247" s="15">
        <v>246</v>
      </c>
      <c r="Y247" s="39">
        <v>0.48176633623261689</v>
      </c>
      <c r="Z247" s="39">
        <v>0.48251457697432498</v>
      </c>
      <c r="AA247" s="39">
        <v>0.49287563674242779</v>
      </c>
      <c r="AB247" s="39">
        <v>0.49366027032266724</v>
      </c>
      <c r="AC247" s="39">
        <v>0.47354072125249741</v>
      </c>
      <c r="AD247" s="39">
        <v>0.47708449804980779</v>
      </c>
      <c r="AE247" s="39">
        <v>0.48619552050898929</v>
      </c>
      <c r="AF247" s="40">
        <v>0.48875439068191262</v>
      </c>
    </row>
    <row r="248" spans="1:32">
      <c r="A248" s="15">
        <v>246</v>
      </c>
      <c r="B248" s="16">
        <v>0</v>
      </c>
      <c r="C248" s="20">
        <v>0.42</v>
      </c>
      <c r="D248" s="20">
        <v>0.54916694984798187</v>
      </c>
      <c r="E248" s="20">
        <v>0.22</v>
      </c>
      <c r="F248" s="8" t="s">
        <v>436</v>
      </c>
      <c r="G248" s="24">
        <v>0.62299707611953681</v>
      </c>
      <c r="H248" s="24">
        <v>0.62660407016584363</v>
      </c>
      <c r="I248" s="25">
        <v>0.63756252013932202</v>
      </c>
      <c r="L248" s="15">
        <v>246</v>
      </c>
      <c r="M248" s="16">
        <v>0</v>
      </c>
      <c r="N248" s="16">
        <v>0</v>
      </c>
      <c r="O248" s="16">
        <v>13</v>
      </c>
      <c r="P248" s="16">
        <v>246</v>
      </c>
      <c r="Q248" s="29">
        <v>32</v>
      </c>
      <c r="R248" s="20">
        <v>0.53579999999999994</v>
      </c>
      <c r="S248" s="32">
        <v>17.145599999999998</v>
      </c>
      <c r="T248" s="35">
        <v>1.64</v>
      </c>
      <c r="U248" s="35">
        <v>1.19</v>
      </c>
      <c r="V248" s="35">
        <v>5.1249999999999997E-2</v>
      </c>
      <c r="W248" s="9" t="s">
        <v>153</v>
      </c>
      <c r="X248" s="15">
        <v>247</v>
      </c>
      <c r="Y248" s="39">
        <v>0.50177943589720797</v>
      </c>
      <c r="Z248" s="39">
        <v>0.49306685775579639</v>
      </c>
      <c r="AA248" s="39">
        <v>0.49238192703087313</v>
      </c>
      <c r="AB248" s="39">
        <v>0.47108242245414939</v>
      </c>
      <c r="AC248" s="39">
        <v>0.49290485948086971</v>
      </c>
      <c r="AD248" s="39">
        <v>0.48741790192774576</v>
      </c>
      <c r="AE248" s="39">
        <v>0.4829959457089737</v>
      </c>
      <c r="AF248" s="40">
        <v>0.46821337347495656</v>
      </c>
    </row>
    <row r="249" spans="1:32">
      <c r="A249" s="15">
        <v>247</v>
      </c>
      <c r="B249" s="16">
        <v>0</v>
      </c>
      <c r="C249" s="20">
        <v>0.25</v>
      </c>
      <c r="D249" s="20">
        <v>0.76300936176094314</v>
      </c>
      <c r="E249" s="20">
        <v>0.08</v>
      </c>
      <c r="F249" s="8" t="s">
        <v>436</v>
      </c>
      <c r="G249" s="24">
        <v>0.64166618009576104</v>
      </c>
      <c r="H249" s="24">
        <v>0.64538126348866898</v>
      </c>
      <c r="I249" s="25">
        <v>0.6566681009455162</v>
      </c>
      <c r="L249" s="15">
        <v>247</v>
      </c>
      <c r="M249" s="16">
        <v>0</v>
      </c>
      <c r="N249" s="16">
        <v>0</v>
      </c>
      <c r="O249" s="16">
        <v>14</v>
      </c>
      <c r="P249" s="16">
        <v>247</v>
      </c>
      <c r="Q249" s="29">
        <v>45</v>
      </c>
      <c r="R249" s="20">
        <v>0.53579999999999994</v>
      </c>
      <c r="S249" s="32">
        <v>24.110999999999997</v>
      </c>
      <c r="T249" s="35">
        <v>0.89</v>
      </c>
      <c r="U249" s="35">
        <v>0.21</v>
      </c>
      <c r="V249" s="35">
        <v>1.977777777777778E-2</v>
      </c>
      <c r="W249" s="9" t="s">
        <v>152</v>
      </c>
      <c r="X249" s="15">
        <v>248</v>
      </c>
      <c r="Y249" s="39">
        <v>0.47303731702831192</v>
      </c>
      <c r="Z249" s="39">
        <v>0.47802012047810394</v>
      </c>
      <c r="AA249" s="39">
        <v>0.48640883187795697</v>
      </c>
      <c r="AB249" s="39">
        <v>0.4896672911313586</v>
      </c>
      <c r="AC249" s="39">
        <v>0.46945112262147359</v>
      </c>
      <c r="AD249" s="39">
        <v>0.46953534725171037</v>
      </c>
      <c r="AE249" s="39">
        <v>0.47793625725792394</v>
      </c>
      <c r="AF249" s="40">
        <v>0.48670902368634061</v>
      </c>
    </row>
    <row r="250" spans="1:32">
      <c r="A250" s="15">
        <v>248</v>
      </c>
      <c r="B250" s="16">
        <v>1</v>
      </c>
      <c r="C250" s="20">
        <v>0.18</v>
      </c>
      <c r="D250" s="20">
        <v>0.73942479962889951</v>
      </c>
      <c r="E250" s="20">
        <v>0.21</v>
      </c>
      <c r="F250" s="8" t="s">
        <v>436</v>
      </c>
      <c r="G250" s="24">
        <v>0.70117789933112751</v>
      </c>
      <c r="H250" s="24">
        <v>0.70523754038761943</v>
      </c>
      <c r="I250" s="25">
        <v>0.71757118243324358</v>
      </c>
      <c r="L250" s="15">
        <v>248</v>
      </c>
      <c r="M250" s="16">
        <v>0</v>
      </c>
      <c r="N250" s="16">
        <v>0</v>
      </c>
      <c r="O250" s="16">
        <v>14</v>
      </c>
      <c r="P250" s="16">
        <v>248</v>
      </c>
      <c r="Q250" s="29">
        <v>49</v>
      </c>
      <c r="R250" s="20">
        <v>0.53579999999999994</v>
      </c>
      <c r="S250" s="32">
        <v>26.254199999999997</v>
      </c>
      <c r="T250" s="35">
        <v>1.82</v>
      </c>
      <c r="U250" s="35">
        <v>1.1599999999999999</v>
      </c>
      <c r="V250" s="35">
        <v>3.7142857142857144E-2</v>
      </c>
      <c r="W250" s="9" t="s">
        <v>153</v>
      </c>
      <c r="X250" s="15">
        <v>249</v>
      </c>
      <c r="Y250" s="39">
        <v>0.4918834649804637</v>
      </c>
      <c r="Z250" s="39">
        <v>0.47866589048931324</v>
      </c>
      <c r="AA250" s="39">
        <v>0.48633631409177497</v>
      </c>
      <c r="AB250" s="39">
        <v>0.492963065652676</v>
      </c>
      <c r="AC250" s="39">
        <v>0.48371718990539553</v>
      </c>
      <c r="AD250" s="39">
        <v>0.47101180893639122</v>
      </c>
      <c r="AE250" s="39">
        <v>0.481558799063872</v>
      </c>
      <c r="AF250" s="40">
        <v>0.48618559311345305</v>
      </c>
    </row>
    <row r="251" spans="1:32">
      <c r="A251" s="15">
        <v>249</v>
      </c>
      <c r="B251" s="16">
        <v>1</v>
      </c>
      <c r="C251" s="20">
        <v>0.02</v>
      </c>
      <c r="D251" s="20">
        <v>0.99679477127711513</v>
      </c>
      <c r="E251" s="20">
        <v>1</v>
      </c>
      <c r="F251" s="8" t="s">
        <v>436</v>
      </c>
      <c r="G251" s="24">
        <v>1.1109432636372978</v>
      </c>
      <c r="H251" s="24">
        <v>1.1173753415576051</v>
      </c>
      <c r="I251" s="25">
        <v>1.1369167112439149</v>
      </c>
      <c r="L251" s="15">
        <v>249</v>
      </c>
      <c r="M251" s="16">
        <v>0</v>
      </c>
      <c r="N251" s="16">
        <v>0</v>
      </c>
      <c r="O251" s="16">
        <v>14</v>
      </c>
      <c r="P251" s="16">
        <v>249</v>
      </c>
      <c r="Q251" s="29">
        <v>60</v>
      </c>
      <c r="R251" s="20">
        <v>0.53579999999999994</v>
      </c>
      <c r="S251" s="32">
        <v>32.147999999999996</v>
      </c>
      <c r="T251" s="35">
        <v>2.19</v>
      </c>
      <c r="U251" s="35">
        <v>1.35</v>
      </c>
      <c r="V251" s="35">
        <v>3.6499999999999998E-2</v>
      </c>
      <c r="W251" s="9" t="s">
        <v>154</v>
      </c>
      <c r="X251" s="15">
        <v>250</v>
      </c>
      <c r="Y251" s="39">
        <v>0.48088633167897332</v>
      </c>
      <c r="Z251" s="39">
        <v>0.47423502203850032</v>
      </c>
      <c r="AA251" s="39">
        <v>0.48598235076281232</v>
      </c>
      <c r="AB251" s="39">
        <v>0.48468528281329243</v>
      </c>
      <c r="AC251" s="39">
        <v>0.47377318862144746</v>
      </c>
      <c r="AD251" s="39">
        <v>0.4683379940636504</v>
      </c>
      <c r="AE251" s="39">
        <v>0.47805603415997</v>
      </c>
      <c r="AF251" s="40">
        <v>0.47939929539518428</v>
      </c>
    </row>
    <row r="252" spans="1:32">
      <c r="A252" s="15">
        <v>250</v>
      </c>
      <c r="B252" s="16">
        <v>1</v>
      </c>
      <c r="C252" s="20">
        <v>0.27</v>
      </c>
      <c r="D252" s="20">
        <v>0.68799335849287113</v>
      </c>
      <c r="E252" s="20">
        <v>0.08</v>
      </c>
      <c r="F252" s="8" t="s">
        <v>436</v>
      </c>
      <c r="G252" s="24">
        <v>0.76131426226185128</v>
      </c>
      <c r="H252" s="24">
        <v>0.76572207750947874</v>
      </c>
      <c r="I252" s="25">
        <v>0.77911351155770414</v>
      </c>
      <c r="L252" s="15">
        <v>250</v>
      </c>
      <c r="M252" s="16">
        <v>0</v>
      </c>
      <c r="N252" s="16">
        <v>0</v>
      </c>
      <c r="O252" s="16">
        <v>14</v>
      </c>
      <c r="P252" s="16">
        <v>250</v>
      </c>
      <c r="Q252" s="29">
        <v>57</v>
      </c>
      <c r="R252" s="20">
        <v>0.53579999999999994</v>
      </c>
      <c r="S252" s="32">
        <v>30.540599999999998</v>
      </c>
      <c r="T252" s="35">
        <v>2.83</v>
      </c>
      <c r="U252" s="35">
        <v>1.92</v>
      </c>
      <c r="V252" s="35">
        <v>4.9649122807017547E-2</v>
      </c>
      <c r="W252" s="9" t="s">
        <v>154</v>
      </c>
      <c r="X252" s="15">
        <v>251</v>
      </c>
      <c r="Y252" s="39">
        <v>0.48509972082170105</v>
      </c>
      <c r="Z252" s="39">
        <v>0.48652482134724578</v>
      </c>
      <c r="AA252" s="39">
        <v>0.48684054714852942</v>
      </c>
      <c r="AB252" s="39">
        <v>0.48803368158920907</v>
      </c>
      <c r="AC252" s="39">
        <v>0.47882245284103409</v>
      </c>
      <c r="AD252" s="39">
        <v>0.47621989346453769</v>
      </c>
      <c r="AE252" s="39">
        <v>0.48190476613868166</v>
      </c>
      <c r="AF252" s="40">
        <v>0.48356080104473864</v>
      </c>
    </row>
    <row r="253" spans="1:32">
      <c r="A253" s="15">
        <v>251</v>
      </c>
      <c r="B253" s="16">
        <v>1</v>
      </c>
      <c r="C253" s="20">
        <v>0.76</v>
      </c>
      <c r="D253" s="20">
        <v>0.40189004197193706</v>
      </c>
      <c r="E253" s="20">
        <v>0.11</v>
      </c>
      <c r="F253" s="8" t="s">
        <v>438</v>
      </c>
      <c r="G253" s="24">
        <v>0.8868579450794386</v>
      </c>
      <c r="H253" s="24">
        <v>0.8919926262046638</v>
      </c>
      <c r="I253" s="25">
        <v>0.90759235981058861</v>
      </c>
      <c r="L253" s="15">
        <v>251</v>
      </c>
      <c r="M253" s="16">
        <v>0</v>
      </c>
      <c r="N253" s="16">
        <v>0</v>
      </c>
      <c r="O253" s="16">
        <v>14</v>
      </c>
      <c r="P253" s="16">
        <v>251</v>
      </c>
      <c r="Q253" s="29">
        <v>78</v>
      </c>
      <c r="R253" s="20">
        <v>0.53579999999999994</v>
      </c>
      <c r="S253" s="32">
        <v>41.792399999999994</v>
      </c>
      <c r="T253" s="35">
        <v>1.68</v>
      </c>
      <c r="U253" s="35">
        <v>0.51</v>
      </c>
      <c r="V253" s="35">
        <v>2.1538461538461538E-2</v>
      </c>
      <c r="W253" s="9" t="s">
        <v>153</v>
      </c>
      <c r="X253" s="15">
        <v>252</v>
      </c>
      <c r="Y253" s="39">
        <v>0.49166349431227596</v>
      </c>
      <c r="Z253" s="39">
        <v>0.48967010772687874</v>
      </c>
      <c r="AA253" s="39">
        <v>0.48440253648965093</v>
      </c>
      <c r="AB253" s="39">
        <v>0.48222625245899309</v>
      </c>
      <c r="AC253" s="39">
        <v>0.48255792966591443</v>
      </c>
      <c r="AD253" s="39">
        <v>0.4827868314925845</v>
      </c>
      <c r="AE253" s="39">
        <v>0.4749799554950182</v>
      </c>
      <c r="AF253" s="40">
        <v>0.48005800189293113</v>
      </c>
    </row>
    <row r="254" spans="1:32">
      <c r="A254" s="15">
        <v>252</v>
      </c>
      <c r="B254" s="16">
        <v>1</v>
      </c>
      <c r="C254" s="20">
        <v>0.93</v>
      </c>
      <c r="D254" s="20">
        <v>0.18747949848141848</v>
      </c>
      <c r="E254" s="20">
        <v>7.0000000000000007E-2</v>
      </c>
      <c r="F254" s="8" t="s">
        <v>434</v>
      </c>
      <c r="G254" s="24">
        <v>1.3144360317402859</v>
      </c>
      <c r="H254" s="24">
        <v>1.322046280844936</v>
      </c>
      <c r="I254" s="25">
        <v>1.3451670659164852</v>
      </c>
      <c r="L254" s="15">
        <v>252</v>
      </c>
      <c r="M254" s="16">
        <v>0</v>
      </c>
      <c r="N254" s="16">
        <v>0</v>
      </c>
      <c r="O254" s="16">
        <v>14</v>
      </c>
      <c r="P254" s="16">
        <v>252</v>
      </c>
      <c r="Q254" s="29">
        <v>44</v>
      </c>
      <c r="R254" s="20">
        <v>0.53579999999999994</v>
      </c>
      <c r="S254" s="32">
        <v>23.575199999999999</v>
      </c>
      <c r="T254" s="35">
        <v>1.7100000000000002</v>
      </c>
      <c r="U254" s="35">
        <v>1.1499999999999999</v>
      </c>
      <c r="V254" s="35">
        <v>3.8863636363636371E-2</v>
      </c>
      <c r="W254" s="9" t="s">
        <v>153</v>
      </c>
      <c r="X254" s="15">
        <v>253</v>
      </c>
      <c r="Y254" s="39">
        <v>0.47701385721341338</v>
      </c>
      <c r="Z254" s="39">
        <v>0.4839319331636997</v>
      </c>
      <c r="AA254" s="39">
        <v>0.48894761095236156</v>
      </c>
      <c r="AB254" s="39">
        <v>0.4867392316337032</v>
      </c>
      <c r="AC254" s="39">
        <v>0.46714099174005236</v>
      </c>
      <c r="AD254" s="39">
        <v>0.47765467760617164</v>
      </c>
      <c r="AE254" s="39">
        <v>0.48299977248624182</v>
      </c>
      <c r="AF254" s="40">
        <v>0.48243540993841255</v>
      </c>
    </row>
    <row r="255" spans="1:32">
      <c r="A255" s="15">
        <v>253</v>
      </c>
      <c r="B255" s="16">
        <v>0</v>
      </c>
      <c r="C255" s="20">
        <v>0.14000000000000001</v>
      </c>
      <c r="D255" s="20">
        <v>0.88257878333772921</v>
      </c>
      <c r="E255" s="20">
        <v>0.08</v>
      </c>
      <c r="F255" s="8" t="s">
        <v>436</v>
      </c>
      <c r="G255" s="24">
        <v>0.9507433923068791</v>
      </c>
      <c r="H255" s="24">
        <v>0.95624795386433736</v>
      </c>
      <c r="I255" s="25">
        <v>0.97297142545284754</v>
      </c>
      <c r="L255" s="15">
        <v>253</v>
      </c>
      <c r="M255" s="16">
        <v>0</v>
      </c>
      <c r="N255" s="16">
        <v>0</v>
      </c>
      <c r="O255" s="16">
        <v>14</v>
      </c>
      <c r="P255" s="16">
        <v>253</v>
      </c>
      <c r="Q255" s="29">
        <v>50</v>
      </c>
      <c r="R255" s="20">
        <v>0.53579999999999994</v>
      </c>
      <c r="S255" s="32">
        <v>26.789999999999996</v>
      </c>
      <c r="T255" s="35">
        <v>1.8800000000000001</v>
      </c>
      <c r="U255" s="35">
        <v>1.1200000000000001</v>
      </c>
      <c r="V255" s="35">
        <v>3.7600000000000001E-2</v>
      </c>
      <c r="W255" s="9" t="s">
        <v>153</v>
      </c>
      <c r="X255" s="15">
        <v>254</v>
      </c>
      <c r="Y255" s="39">
        <v>0.48331313146858451</v>
      </c>
      <c r="Z255" s="39">
        <v>0.48356744095931148</v>
      </c>
      <c r="AA255" s="39">
        <v>0.49132437756404507</v>
      </c>
      <c r="AB255" s="39">
        <v>0.49779765612940374</v>
      </c>
      <c r="AC255" s="39">
        <v>0.47764526058233736</v>
      </c>
      <c r="AD255" s="39">
        <v>0.47623633349666217</v>
      </c>
      <c r="AE255" s="39">
        <v>0.48240441356720903</v>
      </c>
      <c r="AF255" s="40">
        <v>0.49213098362455088</v>
      </c>
    </row>
    <row r="256" spans="1:32">
      <c r="A256" s="15">
        <v>254</v>
      </c>
      <c r="B256" s="16">
        <v>1</v>
      </c>
      <c r="C256" s="20">
        <v>0.02</v>
      </c>
      <c r="D256" s="20">
        <v>0.99756714174924133</v>
      </c>
      <c r="E256" s="20">
        <v>1</v>
      </c>
      <c r="F256" s="8" t="s">
        <v>436</v>
      </c>
      <c r="G256" s="24">
        <v>0.89291522081468666</v>
      </c>
      <c r="H256" s="24">
        <v>0.89808497202025628</v>
      </c>
      <c r="I256" s="25">
        <v>0.91379125243942416</v>
      </c>
      <c r="L256" s="15">
        <v>254</v>
      </c>
      <c r="M256" s="16">
        <v>0</v>
      </c>
      <c r="N256" s="16">
        <v>0</v>
      </c>
      <c r="O256" s="16">
        <v>14</v>
      </c>
      <c r="P256" s="16">
        <v>254</v>
      </c>
      <c r="Q256" s="29">
        <v>57</v>
      </c>
      <c r="R256" s="20">
        <v>0.53579999999999994</v>
      </c>
      <c r="S256" s="32">
        <v>30.540599999999998</v>
      </c>
      <c r="T256" s="35">
        <v>2.41</v>
      </c>
      <c r="U256" s="35">
        <v>1.61</v>
      </c>
      <c r="V256" s="35">
        <v>4.2280701754385967E-2</v>
      </c>
      <c r="W256" s="9" t="s">
        <v>154</v>
      </c>
      <c r="X256" s="15">
        <v>255</v>
      </c>
      <c r="Y256" s="39">
        <v>0.48823004542021664</v>
      </c>
      <c r="Z256" s="39">
        <v>0.47298601754980441</v>
      </c>
      <c r="AA256" s="39">
        <v>0.47857109330643921</v>
      </c>
      <c r="AB256" s="39">
        <v>0.48398329496453246</v>
      </c>
      <c r="AC256" s="39">
        <v>0.48109346224296445</v>
      </c>
      <c r="AD256" s="39">
        <v>0.46572510270467982</v>
      </c>
      <c r="AE256" s="39">
        <v>0.47187677509363929</v>
      </c>
      <c r="AF256" s="40">
        <v>0.48106309956223431</v>
      </c>
    </row>
    <row r="257" spans="1:32">
      <c r="A257" s="15">
        <v>255</v>
      </c>
      <c r="B257" s="16">
        <v>0</v>
      </c>
      <c r="C257" s="20">
        <v>0.49</v>
      </c>
      <c r="D257" s="20">
        <v>0.60411131989900546</v>
      </c>
      <c r="E257" s="20">
        <v>0.1</v>
      </c>
      <c r="F257" s="8" t="s">
        <v>436</v>
      </c>
      <c r="G257" s="24">
        <v>0.69178703056295587</v>
      </c>
      <c r="H257" s="24">
        <v>0.69579230088636601</v>
      </c>
      <c r="I257" s="25">
        <v>0.70796075858434515</v>
      </c>
      <c r="L257" s="15">
        <v>255</v>
      </c>
      <c r="M257" s="16">
        <v>0</v>
      </c>
      <c r="N257" s="16">
        <v>0</v>
      </c>
      <c r="O257" s="16">
        <v>14</v>
      </c>
      <c r="P257" s="16">
        <v>255</v>
      </c>
      <c r="Q257" s="29">
        <v>23</v>
      </c>
      <c r="R257" s="20">
        <v>0.53579999999999994</v>
      </c>
      <c r="S257" s="32">
        <v>12.323399999999999</v>
      </c>
      <c r="T257" s="35">
        <v>1.06</v>
      </c>
      <c r="U257" s="35">
        <v>0.69</v>
      </c>
      <c r="V257" s="35">
        <v>4.6086956521739129E-2</v>
      </c>
      <c r="W257" s="9" t="s">
        <v>153</v>
      </c>
      <c r="X257" s="15">
        <v>256</v>
      </c>
      <c r="Y257" s="39">
        <v>0.47846531842743445</v>
      </c>
      <c r="Z257" s="39">
        <v>0.47857063932396976</v>
      </c>
      <c r="AA257" s="39">
        <v>0.47651547711265879</v>
      </c>
      <c r="AB257" s="39">
        <v>0.49348277863665274</v>
      </c>
      <c r="AC257" s="39">
        <v>0.4712016450521862</v>
      </c>
      <c r="AD257" s="39">
        <v>0.47257650076642999</v>
      </c>
      <c r="AE257" s="39">
        <v>0.46653987951528081</v>
      </c>
      <c r="AF257" s="40">
        <v>0.48723878675888138</v>
      </c>
    </row>
    <row r="258" spans="1:32">
      <c r="A258" s="15">
        <v>256</v>
      </c>
      <c r="B258" s="16">
        <v>0</v>
      </c>
      <c r="C258" s="20">
        <v>0.38</v>
      </c>
      <c r="D258" s="20">
        <v>0.69337729680867466</v>
      </c>
      <c r="E258" s="20">
        <v>0.05</v>
      </c>
      <c r="F258" s="8" t="s">
        <v>436</v>
      </c>
      <c r="G258" s="24">
        <v>1.0257188765430028</v>
      </c>
      <c r="H258" s="24">
        <v>1.0316575270161636</v>
      </c>
      <c r="I258" s="25">
        <v>1.049699809117167</v>
      </c>
      <c r="L258" s="15">
        <v>256</v>
      </c>
      <c r="M258" s="16">
        <v>0</v>
      </c>
      <c r="N258" s="16">
        <v>0</v>
      </c>
      <c r="O258" s="16">
        <v>16</v>
      </c>
      <c r="P258" s="16">
        <v>257</v>
      </c>
      <c r="Q258" s="29">
        <v>46</v>
      </c>
      <c r="R258" s="20">
        <v>0.53579999999999994</v>
      </c>
      <c r="S258" s="32">
        <v>24.646799999999999</v>
      </c>
      <c r="T258" s="35">
        <v>1.99</v>
      </c>
      <c r="U258" s="35">
        <v>1.23</v>
      </c>
      <c r="V258" s="35">
        <v>4.3260869565217394E-2</v>
      </c>
      <c r="W258" s="9" t="s">
        <v>153</v>
      </c>
      <c r="X258" s="15">
        <v>257</v>
      </c>
      <c r="Y258" s="39">
        <v>0.48194489490174935</v>
      </c>
      <c r="Z258" s="39">
        <v>0.48218516431075797</v>
      </c>
      <c r="AA258" s="39">
        <v>0.47268497986635355</v>
      </c>
      <c r="AB258" s="39">
        <v>0.48650555879139673</v>
      </c>
      <c r="AC258" s="39">
        <v>0.47173273441299912</v>
      </c>
      <c r="AD258" s="39">
        <v>0.47652526671445666</v>
      </c>
      <c r="AE258" s="39">
        <v>0.46749292309554846</v>
      </c>
      <c r="AF258" s="40">
        <v>0.48228614884558912</v>
      </c>
    </row>
    <row r="259" spans="1:32">
      <c r="A259" s="15">
        <v>257</v>
      </c>
      <c r="B259" s="16">
        <v>0</v>
      </c>
      <c r="C259" s="20">
        <v>0.91</v>
      </c>
      <c r="D259" s="20">
        <v>0.21727233298780477</v>
      </c>
      <c r="E259" s="20">
        <v>0.09</v>
      </c>
      <c r="F259" s="8" t="s">
        <v>434</v>
      </c>
      <c r="G259" s="24">
        <v>0.64374602453483853</v>
      </c>
      <c r="H259" s="24">
        <v>0.64747314969615366</v>
      </c>
      <c r="I259" s="25">
        <v>0.65879657138768177</v>
      </c>
      <c r="L259" s="15">
        <v>257</v>
      </c>
      <c r="M259" s="16">
        <v>0</v>
      </c>
      <c r="N259" s="16">
        <v>0</v>
      </c>
      <c r="O259" s="16">
        <v>16</v>
      </c>
      <c r="P259" s="16">
        <v>258</v>
      </c>
      <c r="Q259" s="29">
        <v>31</v>
      </c>
      <c r="R259" s="20">
        <v>0.53579999999999994</v>
      </c>
      <c r="S259" s="32">
        <v>16.6098</v>
      </c>
      <c r="T259" s="35">
        <v>0.56000000000000005</v>
      </c>
      <c r="U259" s="35">
        <v>0.1</v>
      </c>
      <c r="V259" s="35">
        <v>1.806451612903226E-2</v>
      </c>
      <c r="W259" s="9" t="s">
        <v>152</v>
      </c>
      <c r="X259" s="15">
        <v>258</v>
      </c>
      <c r="Y259" s="39">
        <v>0.49445286097370927</v>
      </c>
      <c r="Z259" s="39">
        <v>0.49294480505051086</v>
      </c>
      <c r="AA259" s="39">
        <v>0.48825853620467879</v>
      </c>
      <c r="AB259" s="39">
        <v>0.50222084493409747</v>
      </c>
      <c r="AC259" s="39">
        <v>0.48633446111467077</v>
      </c>
      <c r="AD259" s="39">
        <v>0.48490020892345675</v>
      </c>
      <c r="AE259" s="39">
        <v>0.48296510902643441</v>
      </c>
      <c r="AF259" s="40">
        <v>0.49551972306909259</v>
      </c>
    </row>
    <row r="260" spans="1:32">
      <c r="A260" s="15">
        <v>258</v>
      </c>
      <c r="B260" s="16">
        <v>0</v>
      </c>
      <c r="C260" s="20">
        <v>0.87</v>
      </c>
      <c r="D260" s="20">
        <v>0.27276032039195819</v>
      </c>
      <c r="E260" s="20">
        <v>0.13</v>
      </c>
      <c r="F260" s="8" t="s">
        <v>434</v>
      </c>
      <c r="G260" s="24">
        <v>0.51678708967095877</v>
      </c>
      <c r="H260" s="24">
        <v>0.51977915500658123</v>
      </c>
      <c r="I260" s="25">
        <v>0.52886938301274289</v>
      </c>
      <c r="L260" s="15">
        <v>258</v>
      </c>
      <c r="M260" s="16">
        <v>0</v>
      </c>
      <c r="N260" s="16">
        <v>0</v>
      </c>
      <c r="O260" s="16">
        <v>16</v>
      </c>
      <c r="P260" s="16">
        <v>259</v>
      </c>
      <c r="Q260" s="29">
        <v>16</v>
      </c>
      <c r="R260" s="20">
        <v>0.53579999999999994</v>
      </c>
      <c r="S260" s="32">
        <v>8.5727999999999991</v>
      </c>
      <c r="T260" s="35">
        <v>0.75</v>
      </c>
      <c r="U260" s="35">
        <v>0.49</v>
      </c>
      <c r="V260" s="35">
        <v>4.6875E-2</v>
      </c>
      <c r="W260" s="9" t="s">
        <v>152</v>
      </c>
      <c r="X260" s="15">
        <v>259</v>
      </c>
      <c r="Y260" s="39">
        <v>0.47302467880450866</v>
      </c>
      <c r="Z260" s="39">
        <v>0.49393092399285882</v>
      </c>
      <c r="AA260" s="39">
        <v>0.48997795095827029</v>
      </c>
      <c r="AB260" s="39">
        <v>0.47906182695433058</v>
      </c>
      <c r="AC260" s="39">
        <v>0.46476216599233605</v>
      </c>
      <c r="AD260" s="39">
        <v>0.48605975634951021</v>
      </c>
      <c r="AE260" s="39">
        <v>0.482013710577608</v>
      </c>
      <c r="AF260" s="40">
        <v>0.47720223847994098</v>
      </c>
    </row>
    <row r="261" spans="1:32">
      <c r="A261" s="15">
        <v>259</v>
      </c>
      <c r="B261" s="16">
        <v>0</v>
      </c>
      <c r="C261" s="20">
        <v>0.27</v>
      </c>
      <c r="D261" s="20">
        <v>0.77394417880284716</v>
      </c>
      <c r="E261" s="20">
        <v>0.39</v>
      </c>
      <c r="F261" s="8" t="s">
        <v>436</v>
      </c>
      <c r="G261" s="24">
        <v>1.2644037863831552</v>
      </c>
      <c r="H261" s="24">
        <v>1.2717243615582734</v>
      </c>
      <c r="I261" s="25">
        <v>1.2939650849428206</v>
      </c>
      <c r="L261" s="15">
        <v>259</v>
      </c>
      <c r="M261" s="16">
        <v>0</v>
      </c>
      <c r="N261" s="16">
        <v>1</v>
      </c>
      <c r="O261" s="16">
        <v>0</v>
      </c>
      <c r="P261" s="16">
        <v>56</v>
      </c>
      <c r="Q261" s="29">
        <v>37</v>
      </c>
      <c r="R261" s="20">
        <v>0.64780000000000004</v>
      </c>
      <c r="S261" s="32">
        <v>23.968600000000002</v>
      </c>
      <c r="T261" s="35">
        <v>2.9699999999999998</v>
      </c>
      <c r="U261" s="35">
        <v>2.41</v>
      </c>
      <c r="V261" s="35">
        <v>8.0270270270270269E-2</v>
      </c>
      <c r="W261" s="9" t="s">
        <v>154</v>
      </c>
      <c r="X261" s="15">
        <v>260</v>
      </c>
      <c r="Y261" s="39">
        <v>0.48686214417300971</v>
      </c>
      <c r="Z261" s="39">
        <v>0.46894417238181857</v>
      </c>
      <c r="AA261" s="39">
        <v>0.48266245267932439</v>
      </c>
      <c r="AB261" s="39">
        <v>0.49165096202586439</v>
      </c>
      <c r="AC261" s="39">
        <v>0.47950725024540169</v>
      </c>
      <c r="AD261" s="39">
        <v>0.46442656357225587</v>
      </c>
      <c r="AE261" s="39">
        <v>0.47367505473661781</v>
      </c>
      <c r="AF261" s="40">
        <v>0.48480976476696602</v>
      </c>
    </row>
    <row r="262" spans="1:32">
      <c r="A262" s="15">
        <v>260</v>
      </c>
      <c r="B262" s="16">
        <v>1</v>
      </c>
      <c r="C262" s="20">
        <v>0.02</v>
      </c>
      <c r="D262" s="20">
        <v>0.99604261948721451</v>
      </c>
      <c r="E262" s="20">
        <v>1</v>
      </c>
      <c r="F262" s="8" t="s">
        <v>436</v>
      </c>
      <c r="G262" s="24">
        <v>1.1329195299183281</v>
      </c>
      <c r="H262" s="24">
        <v>1.1394788448108046</v>
      </c>
      <c r="I262" s="25">
        <v>1.1594067746012879</v>
      </c>
      <c r="L262" s="15">
        <v>260</v>
      </c>
      <c r="M262" s="16">
        <v>0</v>
      </c>
      <c r="N262" s="16">
        <v>1</v>
      </c>
      <c r="O262" s="16">
        <v>0</v>
      </c>
      <c r="P262" s="16">
        <v>57</v>
      </c>
      <c r="Q262" s="29">
        <v>51</v>
      </c>
      <c r="R262" s="20">
        <v>0.64780000000000004</v>
      </c>
      <c r="S262" s="32">
        <v>33.037800000000004</v>
      </c>
      <c r="T262" s="35">
        <v>1.7200000000000002</v>
      </c>
      <c r="U262" s="35">
        <v>1.07</v>
      </c>
      <c r="V262" s="35">
        <v>3.3725490196078435E-2</v>
      </c>
      <c r="W262" s="9" t="s">
        <v>153</v>
      </c>
      <c r="X262" s="15">
        <v>261</v>
      </c>
      <c r="Y262" s="39">
        <v>0.47883260413175543</v>
      </c>
      <c r="Z262" s="39">
        <v>0.47346510031533195</v>
      </c>
      <c r="AA262" s="39">
        <v>0.48068110328982533</v>
      </c>
      <c r="AB262" s="39">
        <v>0.49059534545162314</v>
      </c>
      <c r="AC262" s="39">
        <v>0.4727225052382063</v>
      </c>
      <c r="AD262" s="39">
        <v>0.46668325012228862</v>
      </c>
      <c r="AE262" s="39">
        <v>0.47691763683072858</v>
      </c>
      <c r="AF262" s="40">
        <v>0.48681722540340355</v>
      </c>
    </row>
    <row r="263" spans="1:32">
      <c r="A263" s="15">
        <v>261</v>
      </c>
      <c r="B263" s="16">
        <v>1</v>
      </c>
      <c r="C263" s="20">
        <v>0.02</v>
      </c>
      <c r="D263" s="20">
        <v>0.99604261948721451</v>
      </c>
      <c r="E263" s="20">
        <v>1</v>
      </c>
      <c r="F263" s="8" t="s">
        <v>436</v>
      </c>
      <c r="G263" s="24">
        <v>1.0363246922721754</v>
      </c>
      <c r="H263" s="24">
        <v>1.0423247477111985</v>
      </c>
      <c r="I263" s="25">
        <v>1.0605535849431182</v>
      </c>
      <c r="L263" s="15">
        <v>261</v>
      </c>
      <c r="M263" s="16">
        <v>0</v>
      </c>
      <c r="N263" s="16">
        <v>1</v>
      </c>
      <c r="O263" s="16">
        <v>0</v>
      </c>
      <c r="P263" s="16">
        <v>58</v>
      </c>
      <c r="Q263" s="29">
        <v>48</v>
      </c>
      <c r="R263" s="20">
        <v>0.64780000000000004</v>
      </c>
      <c r="S263" s="32">
        <v>31.0944</v>
      </c>
      <c r="T263" s="35">
        <v>2.12</v>
      </c>
      <c r="U263" s="35">
        <v>1.34</v>
      </c>
      <c r="V263" s="35">
        <v>4.4166666666666667E-2</v>
      </c>
      <c r="W263" s="9" t="s">
        <v>154</v>
      </c>
      <c r="X263" s="15">
        <v>262</v>
      </c>
      <c r="Y263" s="39">
        <v>0.48509589322264624</v>
      </c>
      <c r="Z263" s="39">
        <v>0.48225148123368189</v>
      </c>
      <c r="AA263" s="39">
        <v>0.49933699754785754</v>
      </c>
      <c r="AB263" s="39">
        <v>0.49612729084601775</v>
      </c>
      <c r="AC263" s="39">
        <v>0.47697946628013216</v>
      </c>
      <c r="AD263" s="39">
        <v>0.47675153915843088</v>
      </c>
      <c r="AE263" s="39">
        <v>0.48889394767266903</v>
      </c>
      <c r="AF263" s="40">
        <v>0.49184749620693735</v>
      </c>
    </row>
    <row r="264" spans="1:32">
      <c r="A264" s="15">
        <v>262</v>
      </c>
      <c r="B264" s="16">
        <v>1</v>
      </c>
      <c r="C264" s="20">
        <v>0.05</v>
      </c>
      <c r="D264" s="20">
        <v>0.95303591992792558</v>
      </c>
      <c r="E264" s="20">
        <v>0.38</v>
      </c>
      <c r="F264" s="8" t="s">
        <v>436</v>
      </c>
      <c r="G264" s="24">
        <v>0.92895154111298528</v>
      </c>
      <c r="H264" s="24">
        <v>0.93432993341455561</v>
      </c>
      <c r="I264" s="25">
        <v>0.95067008873996994</v>
      </c>
      <c r="L264" s="15">
        <v>262</v>
      </c>
      <c r="M264" s="16">
        <v>0</v>
      </c>
      <c r="N264" s="16">
        <v>1</v>
      </c>
      <c r="O264" s="16">
        <v>0</v>
      </c>
      <c r="P264" s="16">
        <v>59</v>
      </c>
      <c r="Q264" s="29">
        <v>45</v>
      </c>
      <c r="R264" s="20">
        <v>0.64780000000000004</v>
      </c>
      <c r="S264" s="32">
        <v>29.151000000000003</v>
      </c>
      <c r="T264" s="35">
        <v>1.86</v>
      </c>
      <c r="U264" s="35">
        <v>1.25</v>
      </c>
      <c r="V264" s="35">
        <v>4.1333333333333333E-2</v>
      </c>
      <c r="W264" s="9" t="s">
        <v>153</v>
      </c>
      <c r="X264" s="15">
        <v>263</v>
      </c>
      <c r="Y264" s="39">
        <v>0.478280888952344</v>
      </c>
      <c r="Z264" s="39">
        <v>0.47817195750149616</v>
      </c>
      <c r="AA264" s="39">
        <v>0.49023538002460559</v>
      </c>
      <c r="AB264" s="39">
        <v>0.47947111870796161</v>
      </c>
      <c r="AC264" s="39">
        <v>0.47047731760499173</v>
      </c>
      <c r="AD264" s="39">
        <v>0.471404518594783</v>
      </c>
      <c r="AE264" s="39">
        <v>0.4827618453207016</v>
      </c>
      <c r="AF264" s="40">
        <v>0.47572974047045041</v>
      </c>
    </row>
    <row r="265" spans="1:32">
      <c r="A265" s="15">
        <v>263</v>
      </c>
      <c r="B265" s="16">
        <v>1</v>
      </c>
      <c r="C265" s="20">
        <v>0.6</v>
      </c>
      <c r="D265" s="20">
        <v>0.45402278361339532</v>
      </c>
      <c r="E265" s="20">
        <v>0.1</v>
      </c>
      <c r="F265" s="8" t="s">
        <v>438</v>
      </c>
      <c r="G265" s="24">
        <v>0.65399523331540743</v>
      </c>
      <c r="H265" s="24">
        <v>0.65778169877937875</v>
      </c>
      <c r="I265" s="25">
        <v>0.66928540292486183</v>
      </c>
      <c r="L265" s="15">
        <v>263</v>
      </c>
      <c r="M265" s="16">
        <v>0</v>
      </c>
      <c r="N265" s="16">
        <v>1</v>
      </c>
      <c r="O265" s="16">
        <v>0</v>
      </c>
      <c r="P265" s="16">
        <v>60</v>
      </c>
      <c r="Q265" s="29">
        <v>48</v>
      </c>
      <c r="R265" s="20">
        <v>0.64780000000000004</v>
      </c>
      <c r="S265" s="32">
        <v>31.0944</v>
      </c>
      <c r="T265" s="35">
        <v>3.84</v>
      </c>
      <c r="U265" s="35">
        <v>3.21</v>
      </c>
      <c r="V265" s="35">
        <v>0.08</v>
      </c>
      <c r="W265" s="9" t="s">
        <v>155</v>
      </c>
      <c r="X265" s="15">
        <v>264</v>
      </c>
      <c r="Y265" s="39">
        <v>0.49437966700152919</v>
      </c>
      <c r="Z265" s="39">
        <v>0.48564578010015697</v>
      </c>
      <c r="AA265" s="39">
        <v>0.49673106450653343</v>
      </c>
      <c r="AB265" s="39">
        <v>0.49753780852496637</v>
      </c>
      <c r="AC265" s="39">
        <v>0.488178773288168</v>
      </c>
      <c r="AD265" s="39">
        <v>0.48029294397159783</v>
      </c>
      <c r="AE265" s="39">
        <v>0.48678783715201646</v>
      </c>
      <c r="AF265" s="40">
        <v>0.4959919852420181</v>
      </c>
    </row>
    <row r="266" spans="1:32">
      <c r="A266" s="15">
        <v>264</v>
      </c>
      <c r="B266" s="16">
        <v>1</v>
      </c>
      <c r="C266" s="20">
        <v>0.02</v>
      </c>
      <c r="D266" s="20">
        <v>0.99679477127711513</v>
      </c>
      <c r="E266" s="20">
        <v>1</v>
      </c>
      <c r="F266" s="8" t="s">
        <v>436</v>
      </c>
      <c r="G266" s="24">
        <v>0.93177148442061486</v>
      </c>
      <c r="H266" s="24">
        <v>0.93716620347412583</v>
      </c>
      <c r="I266" s="25">
        <v>0.95355596129182985</v>
      </c>
      <c r="L266" s="15">
        <v>264</v>
      </c>
      <c r="M266" s="16">
        <v>0</v>
      </c>
      <c r="N266" s="16">
        <v>1</v>
      </c>
      <c r="O266" s="16">
        <v>0</v>
      </c>
      <c r="P266" s="16">
        <v>61</v>
      </c>
      <c r="Q266" s="29">
        <v>54</v>
      </c>
      <c r="R266" s="20">
        <v>0.64780000000000004</v>
      </c>
      <c r="S266" s="32">
        <v>34.981200000000001</v>
      </c>
      <c r="T266" s="35">
        <v>1.3800000000000001</v>
      </c>
      <c r="U266" s="35">
        <v>0.74</v>
      </c>
      <c r="V266" s="35">
        <v>2.5555555555555557E-2</v>
      </c>
      <c r="W266" s="9" t="s">
        <v>153</v>
      </c>
      <c r="X266" s="15">
        <v>265</v>
      </c>
      <c r="Y266" s="39">
        <v>0.48720082958535943</v>
      </c>
      <c r="Z266" s="39">
        <v>0.49677900148114545</v>
      </c>
      <c r="AA266" s="39">
        <v>0.48857537792551881</v>
      </c>
      <c r="AB266" s="39">
        <v>0.48640616073984944</v>
      </c>
      <c r="AC266" s="39">
        <v>0.47986654202195206</v>
      </c>
      <c r="AD266" s="39">
        <v>0.49072823407718758</v>
      </c>
      <c r="AE266" s="39">
        <v>0.4792240071194383</v>
      </c>
      <c r="AF266" s="40">
        <v>0.48258207895074062</v>
      </c>
    </row>
    <row r="267" spans="1:32">
      <c r="A267" s="15">
        <v>265</v>
      </c>
      <c r="B267" s="16">
        <v>0</v>
      </c>
      <c r="C267" s="20">
        <v>0.24</v>
      </c>
      <c r="D267" s="20">
        <v>0.74077605968346605</v>
      </c>
      <c r="E267" s="20">
        <v>0.08</v>
      </c>
      <c r="F267" s="8" t="s">
        <v>436</v>
      </c>
      <c r="G267" s="24">
        <v>0.69215685478890721</v>
      </c>
      <c r="H267" s="24">
        <v>0.69616426630018535</v>
      </c>
      <c r="I267" s="25">
        <v>0.70833922916557923</v>
      </c>
      <c r="L267" s="15">
        <v>265</v>
      </c>
      <c r="M267" s="16">
        <v>0</v>
      </c>
      <c r="N267" s="16">
        <v>1</v>
      </c>
      <c r="O267" s="16">
        <v>0</v>
      </c>
      <c r="P267" s="16">
        <v>62</v>
      </c>
      <c r="Q267" s="29">
        <v>47</v>
      </c>
      <c r="R267" s="20">
        <v>0.64780000000000004</v>
      </c>
      <c r="S267" s="32">
        <v>30.446600000000004</v>
      </c>
      <c r="T267" s="35">
        <v>2.16</v>
      </c>
      <c r="U267" s="35">
        <v>1.48</v>
      </c>
      <c r="V267" s="35">
        <v>4.5957446808510639E-2</v>
      </c>
      <c r="W267" s="9" t="s">
        <v>154</v>
      </c>
      <c r="X267" s="15">
        <v>266</v>
      </c>
      <c r="Y267" s="39">
        <v>0.48439249663946088</v>
      </c>
      <c r="Z267" s="39">
        <v>0.48053498606083739</v>
      </c>
      <c r="AA267" s="39">
        <v>0.48121616746409979</v>
      </c>
      <c r="AB267" s="39">
        <v>0.49501439920347251</v>
      </c>
      <c r="AC267" s="39">
        <v>0.47967927290613499</v>
      </c>
      <c r="AD267" s="39">
        <v>0.47303382628942164</v>
      </c>
      <c r="AE267" s="39">
        <v>0.47706474396943571</v>
      </c>
      <c r="AF267" s="40">
        <v>0.49102277108703496</v>
      </c>
    </row>
    <row r="268" spans="1:32">
      <c r="A268" s="15">
        <v>266</v>
      </c>
      <c r="B268" s="16">
        <v>1</v>
      </c>
      <c r="C268" s="20">
        <v>0.97</v>
      </c>
      <c r="D268" s="20">
        <v>0.12097036642660543</v>
      </c>
      <c r="E268" s="20">
        <v>0.03</v>
      </c>
      <c r="F268" s="8" t="s">
        <v>434</v>
      </c>
      <c r="G268" s="24">
        <v>2.3845906127003986</v>
      </c>
      <c r="H268" s="24">
        <v>2.3557193791407478</v>
      </c>
      <c r="I268" s="25">
        <v>1.6578926537592125</v>
      </c>
      <c r="L268" s="15">
        <v>266</v>
      </c>
      <c r="M268" s="16">
        <v>0</v>
      </c>
      <c r="N268" s="16">
        <v>1</v>
      </c>
      <c r="O268" s="16">
        <v>0</v>
      </c>
      <c r="P268" s="16">
        <v>63</v>
      </c>
      <c r="Q268" s="29">
        <v>33</v>
      </c>
      <c r="R268" s="20">
        <v>0.64780000000000004</v>
      </c>
      <c r="S268" s="32">
        <v>21.377400000000002</v>
      </c>
      <c r="T268" s="35">
        <v>3.07</v>
      </c>
      <c r="U268" s="35">
        <v>2.58</v>
      </c>
      <c r="V268" s="35">
        <v>9.3030303030303019E-2</v>
      </c>
      <c r="W268" s="9" t="s">
        <v>155</v>
      </c>
      <c r="X268" s="15">
        <v>267</v>
      </c>
      <c r="Y268" s="39">
        <v>0.48490604902087225</v>
      </c>
      <c r="Z268" s="39">
        <v>0.49259546681678157</v>
      </c>
      <c r="AA268" s="39">
        <v>0.49279756613620812</v>
      </c>
      <c r="AB268" s="39">
        <v>0.48726159732897234</v>
      </c>
      <c r="AC268" s="39">
        <v>0.47817890919041522</v>
      </c>
      <c r="AD268" s="39">
        <v>0.48425391337314094</v>
      </c>
      <c r="AE268" s="39">
        <v>0.48214269125156711</v>
      </c>
      <c r="AF268" s="40">
        <v>0.4807010656910512</v>
      </c>
    </row>
    <row r="269" spans="1:32">
      <c r="A269" s="15">
        <v>267</v>
      </c>
      <c r="B269" s="16">
        <v>1</v>
      </c>
      <c r="C269" s="20">
        <v>0.37</v>
      </c>
      <c r="D269" s="20">
        <v>0.71497839992474965</v>
      </c>
      <c r="E269" s="20">
        <v>0.19</v>
      </c>
      <c r="F269" s="8" t="s">
        <v>436</v>
      </c>
      <c r="G269" s="24">
        <v>1.3841279732586322</v>
      </c>
      <c r="H269" s="24">
        <v>1.3921417209153111</v>
      </c>
      <c r="I269" s="25">
        <v>1.416488379564695</v>
      </c>
      <c r="L269" s="15">
        <v>267</v>
      </c>
      <c r="M269" s="16">
        <v>0</v>
      </c>
      <c r="N269" s="16">
        <v>1</v>
      </c>
      <c r="O269" s="16">
        <v>0</v>
      </c>
      <c r="P269" s="16">
        <v>64</v>
      </c>
      <c r="Q269" s="29">
        <v>48</v>
      </c>
      <c r="R269" s="20">
        <v>0.64780000000000004</v>
      </c>
      <c r="S269" s="32">
        <v>31.0944</v>
      </c>
      <c r="T269" s="35">
        <v>1.65</v>
      </c>
      <c r="U269" s="35">
        <v>0.89</v>
      </c>
      <c r="V269" s="35">
        <v>3.4374999999999996E-2</v>
      </c>
      <c r="W269" s="9" t="s">
        <v>153</v>
      </c>
      <c r="X269" s="15">
        <v>268</v>
      </c>
      <c r="Y269" s="39">
        <v>0.48045925810493595</v>
      </c>
      <c r="Z269" s="39">
        <v>0.49084700357602185</v>
      </c>
      <c r="AA269" s="39">
        <v>0.48938703292174979</v>
      </c>
      <c r="AB269" s="39">
        <v>0.48599988258479021</v>
      </c>
      <c r="AC269" s="39">
        <v>0.47468709069819243</v>
      </c>
      <c r="AD269" s="39">
        <v>0.48528384593020829</v>
      </c>
      <c r="AE269" s="39">
        <v>0.48486791525382866</v>
      </c>
      <c r="AF269" s="40">
        <v>0.48060818776606418</v>
      </c>
    </row>
    <row r="270" spans="1:32">
      <c r="A270" s="15">
        <v>268</v>
      </c>
      <c r="B270" s="16">
        <v>0</v>
      </c>
      <c r="C270" s="20">
        <v>0.02</v>
      </c>
      <c r="D270" s="20">
        <v>0.99835916395484214</v>
      </c>
      <c r="E270" s="20">
        <v>1</v>
      </c>
      <c r="F270" s="8" t="s">
        <v>436</v>
      </c>
      <c r="G270" s="24">
        <v>1.1538951493776284</v>
      </c>
      <c r="H270" s="24">
        <v>1.1605759077525986</v>
      </c>
      <c r="I270" s="25">
        <v>1.1808727963798378</v>
      </c>
      <c r="L270" s="15">
        <v>268</v>
      </c>
      <c r="M270" s="16">
        <v>0</v>
      </c>
      <c r="N270" s="16">
        <v>1</v>
      </c>
      <c r="O270" s="16">
        <v>0</v>
      </c>
      <c r="P270" s="16">
        <v>65</v>
      </c>
      <c r="Q270" s="29">
        <v>45</v>
      </c>
      <c r="R270" s="20">
        <v>0.64780000000000004</v>
      </c>
      <c r="S270" s="32">
        <v>29.151000000000003</v>
      </c>
      <c r="T270" s="35">
        <v>1.42</v>
      </c>
      <c r="U270" s="35">
        <v>0.56000000000000005</v>
      </c>
      <c r="V270" s="35">
        <v>3.1555555555555552E-2</v>
      </c>
      <c r="W270" s="9" t="s">
        <v>153</v>
      </c>
      <c r="X270" s="15">
        <v>269</v>
      </c>
      <c r="Y270" s="39">
        <v>0.47872193773820415</v>
      </c>
      <c r="Z270" s="39">
        <v>0.4924277666905687</v>
      </c>
      <c r="AA270" s="39">
        <v>0.48610504893268303</v>
      </c>
      <c r="AB270" s="39">
        <v>0.48513079960054439</v>
      </c>
      <c r="AC270" s="39">
        <v>0.47316751835826398</v>
      </c>
      <c r="AD270" s="39">
        <v>0.48530664035004328</v>
      </c>
      <c r="AE270" s="39">
        <v>0.48049143918192005</v>
      </c>
      <c r="AF270" s="40">
        <v>0.47802455235897634</v>
      </c>
    </row>
    <row r="271" spans="1:32">
      <c r="A271" s="15">
        <v>269</v>
      </c>
      <c r="B271" s="16">
        <v>1</v>
      </c>
      <c r="C271" s="20">
        <v>0.9</v>
      </c>
      <c r="D271" s="20">
        <v>0.23159538658365303</v>
      </c>
      <c r="E271" s="20">
        <v>0.1</v>
      </c>
      <c r="F271" s="8" t="s">
        <v>434</v>
      </c>
      <c r="G271" s="24">
        <v>3.0902892619593141</v>
      </c>
      <c r="H271" s="24">
        <v>2.3557193791407478</v>
      </c>
      <c r="I271" s="25">
        <v>1.6578926537592125</v>
      </c>
      <c r="L271" s="15">
        <v>269</v>
      </c>
      <c r="M271" s="16">
        <v>0</v>
      </c>
      <c r="N271" s="16">
        <v>1</v>
      </c>
      <c r="O271" s="16">
        <v>0</v>
      </c>
      <c r="P271" s="16">
        <v>66</v>
      </c>
      <c r="Q271" s="29">
        <v>47</v>
      </c>
      <c r="R271" s="20">
        <v>0.64780000000000004</v>
      </c>
      <c r="S271" s="32">
        <v>30.446600000000004</v>
      </c>
      <c r="T271" s="35">
        <v>1.35</v>
      </c>
      <c r="U271" s="35">
        <v>0.62</v>
      </c>
      <c r="V271" s="35">
        <v>2.8723404255319152E-2</v>
      </c>
      <c r="W271" s="9" t="s">
        <v>153</v>
      </c>
      <c r="X271" s="15">
        <v>270</v>
      </c>
      <c r="Y271" s="39">
        <v>0.47075775587250096</v>
      </c>
      <c r="Z271" s="39">
        <v>0.48887072727076747</v>
      </c>
      <c r="AA271" s="39">
        <v>0.48633886565061191</v>
      </c>
      <c r="AB271" s="39">
        <v>0.4959357922269273</v>
      </c>
      <c r="AC271" s="39">
        <v>0.46466997067205867</v>
      </c>
      <c r="AD271" s="39">
        <v>0.48024653419884317</v>
      </c>
      <c r="AE271" s="39">
        <v>0.47853280488918815</v>
      </c>
      <c r="AF271" s="40">
        <v>0.49105562855406171</v>
      </c>
    </row>
    <row r="272" spans="1:32">
      <c r="A272" s="15">
        <v>270</v>
      </c>
      <c r="B272" s="16">
        <v>1</v>
      </c>
      <c r="C272" s="20">
        <v>0.02</v>
      </c>
      <c r="D272" s="20">
        <v>0.99835916395484214</v>
      </c>
      <c r="E272" s="20">
        <v>1</v>
      </c>
      <c r="F272" s="8" t="s">
        <v>436</v>
      </c>
      <c r="G272" s="24">
        <v>0.99077000180653441</v>
      </c>
      <c r="H272" s="24">
        <v>0.99650630721591948</v>
      </c>
      <c r="I272" s="25">
        <v>1.013933842458375</v>
      </c>
      <c r="L272" s="15">
        <v>270</v>
      </c>
      <c r="M272" s="16">
        <v>0</v>
      </c>
      <c r="N272" s="16">
        <v>1</v>
      </c>
      <c r="O272" s="16">
        <v>0</v>
      </c>
      <c r="P272" s="16">
        <v>67</v>
      </c>
      <c r="Q272" s="29">
        <v>39</v>
      </c>
      <c r="R272" s="20">
        <v>0.64780000000000004</v>
      </c>
      <c r="S272" s="32">
        <v>25.264200000000002</v>
      </c>
      <c r="T272" s="35">
        <v>3.06</v>
      </c>
      <c r="U272" s="35">
        <v>2.54</v>
      </c>
      <c r="V272" s="35">
        <v>7.8461538461538458E-2</v>
      </c>
      <c r="W272" s="9" t="s">
        <v>155</v>
      </c>
      <c r="X272" s="15">
        <v>271</v>
      </c>
      <c r="Y272" s="39">
        <v>0.49372358936818633</v>
      </c>
      <c r="Z272" s="39">
        <v>0.48177290580139986</v>
      </c>
      <c r="AA272" s="39">
        <v>0.47479334758674063</v>
      </c>
      <c r="AB272" s="39">
        <v>0.5050403798733234</v>
      </c>
      <c r="AC272" s="39">
        <v>0.48586567946275283</v>
      </c>
      <c r="AD272" s="39">
        <v>0.47291637074512238</v>
      </c>
      <c r="AE272" s="39">
        <v>0.46642658694052413</v>
      </c>
      <c r="AF272" s="40">
        <v>0.50206027066908676</v>
      </c>
    </row>
    <row r="273" spans="1:32">
      <c r="A273" s="15">
        <v>271</v>
      </c>
      <c r="B273" s="16">
        <v>1</v>
      </c>
      <c r="C273" s="20">
        <v>0.81</v>
      </c>
      <c r="D273" s="20">
        <v>0.34905200973212741</v>
      </c>
      <c r="E273" s="20">
        <v>0.2</v>
      </c>
      <c r="F273" s="8" t="s">
        <v>434</v>
      </c>
      <c r="G273" s="24">
        <v>1.5673272986231745</v>
      </c>
      <c r="H273" s="24">
        <v>1.5764017236107859</v>
      </c>
      <c r="I273" s="25">
        <v>1.6039708382220614</v>
      </c>
      <c r="L273" s="15">
        <v>271</v>
      </c>
      <c r="M273" s="16">
        <v>0</v>
      </c>
      <c r="N273" s="16">
        <v>1</v>
      </c>
      <c r="O273" s="16">
        <v>0</v>
      </c>
      <c r="P273" s="16">
        <v>68</v>
      </c>
      <c r="Q273" s="29">
        <v>49</v>
      </c>
      <c r="R273" s="20">
        <v>0.64780000000000004</v>
      </c>
      <c r="S273" s="32">
        <v>31.7422</v>
      </c>
      <c r="T273" s="35">
        <v>2.2600000000000002</v>
      </c>
      <c r="U273" s="35">
        <v>1.59</v>
      </c>
      <c r="V273" s="35">
        <v>4.6122448979591842E-2</v>
      </c>
      <c r="W273" s="9" t="s">
        <v>154</v>
      </c>
      <c r="X273" s="15">
        <v>272</v>
      </c>
      <c r="Y273" s="39">
        <v>0.48830224327650085</v>
      </c>
      <c r="Z273" s="39">
        <v>0.48079168708418973</v>
      </c>
      <c r="AA273" s="39">
        <v>0.4872891862912167</v>
      </c>
      <c r="AB273" s="39">
        <v>0.50757439420158212</v>
      </c>
      <c r="AC273" s="39">
        <v>0.48113090242964601</v>
      </c>
      <c r="AD273" s="39">
        <v>0.47262907780355545</v>
      </c>
      <c r="AE273" s="39">
        <v>0.48044644541749654</v>
      </c>
      <c r="AF273" s="40">
        <v>0.50464908743627468</v>
      </c>
    </row>
    <row r="274" spans="1:32">
      <c r="A274" s="15">
        <v>272</v>
      </c>
      <c r="B274" s="16">
        <v>1</v>
      </c>
      <c r="C274" s="20">
        <v>0.12</v>
      </c>
      <c r="D274" s="20">
        <v>0.88723239389435238</v>
      </c>
      <c r="E274" s="20">
        <v>0.12</v>
      </c>
      <c r="F274" s="8" t="s">
        <v>436</v>
      </c>
      <c r="G274" s="24">
        <v>0.92880070416472893</v>
      </c>
      <c r="H274" s="24">
        <v>0.934178223158871</v>
      </c>
      <c r="I274" s="25">
        <v>0.95051572527897354</v>
      </c>
      <c r="L274" s="15">
        <v>272</v>
      </c>
      <c r="M274" s="16">
        <v>0</v>
      </c>
      <c r="N274" s="16">
        <v>1</v>
      </c>
      <c r="O274" s="16">
        <v>0</v>
      </c>
      <c r="P274" s="16">
        <v>69</v>
      </c>
      <c r="Q274" s="29">
        <v>45</v>
      </c>
      <c r="R274" s="20">
        <v>0.64780000000000004</v>
      </c>
      <c r="S274" s="32">
        <v>29.151000000000003</v>
      </c>
      <c r="T274" s="35">
        <v>1.6</v>
      </c>
      <c r="U274" s="35">
        <v>1</v>
      </c>
      <c r="V274" s="35">
        <v>3.5555555555555556E-2</v>
      </c>
      <c r="W274" s="9" t="s">
        <v>153</v>
      </c>
      <c r="X274" s="15">
        <v>273</v>
      </c>
      <c r="Y274" s="39">
        <v>0.4915292202332488</v>
      </c>
      <c r="Z274" s="39">
        <v>0.48509925650411828</v>
      </c>
      <c r="AA274" s="39">
        <v>0.48848175172369851</v>
      </c>
      <c r="AB274" s="39">
        <v>0.48151596373021965</v>
      </c>
      <c r="AC274" s="39">
        <v>0.48292238776329194</v>
      </c>
      <c r="AD274" s="39">
        <v>0.47794064472160591</v>
      </c>
      <c r="AE274" s="39">
        <v>0.47987289799212868</v>
      </c>
      <c r="AF274" s="40">
        <v>0.4780544366282502</v>
      </c>
    </row>
    <row r="275" spans="1:32">
      <c r="A275" s="15">
        <v>273</v>
      </c>
      <c r="B275" s="16">
        <v>1</v>
      </c>
      <c r="C275" s="20">
        <v>0.9</v>
      </c>
      <c r="D275" s="20">
        <v>0.23159538658365303</v>
      </c>
      <c r="E275" s="20">
        <v>0.1</v>
      </c>
      <c r="F275" s="8" t="s">
        <v>434</v>
      </c>
      <c r="G275" s="24">
        <v>0.97242818139573106</v>
      </c>
      <c r="H275" s="24">
        <v>0.9780582923468174</v>
      </c>
      <c r="I275" s="25">
        <v>0.99516319698778388</v>
      </c>
      <c r="L275" s="15">
        <v>273</v>
      </c>
      <c r="M275" s="16">
        <v>0</v>
      </c>
      <c r="N275" s="16">
        <v>1</v>
      </c>
      <c r="O275" s="16">
        <v>0</v>
      </c>
      <c r="P275" s="16">
        <v>70</v>
      </c>
      <c r="Q275" s="29">
        <v>50</v>
      </c>
      <c r="R275" s="20">
        <v>0.64780000000000004</v>
      </c>
      <c r="S275" s="32">
        <v>32.39</v>
      </c>
      <c r="T275" s="35">
        <v>2</v>
      </c>
      <c r="U275" s="35">
        <v>1.21</v>
      </c>
      <c r="V275" s="35">
        <v>0.04</v>
      </c>
      <c r="W275" s="9" t="s">
        <v>154</v>
      </c>
      <c r="X275" s="15">
        <v>274</v>
      </c>
      <c r="Y275" s="39">
        <v>0.48580508925517685</v>
      </c>
      <c r="Z275" s="39">
        <v>0.47847771742380185</v>
      </c>
      <c r="AA275" s="39">
        <v>0.47797676592251587</v>
      </c>
      <c r="AB275" s="39">
        <v>0.48412343215310238</v>
      </c>
      <c r="AC275" s="39">
        <v>0.4795182923998344</v>
      </c>
      <c r="AD275" s="39">
        <v>0.47288775614193201</v>
      </c>
      <c r="AE275" s="39">
        <v>0.47065903585588265</v>
      </c>
      <c r="AF275" s="40">
        <v>0.48051639168135063</v>
      </c>
    </row>
    <row r="276" spans="1:32">
      <c r="A276" s="15">
        <v>274</v>
      </c>
      <c r="B276" s="16">
        <v>0</v>
      </c>
      <c r="C276" s="20">
        <v>0.16</v>
      </c>
      <c r="D276" s="20">
        <v>0.8781812248720906</v>
      </c>
      <c r="E276" s="20">
        <v>0.05</v>
      </c>
      <c r="F276" s="8" t="s">
        <v>436</v>
      </c>
      <c r="G276" s="24">
        <v>0.7366752969159811</v>
      </c>
      <c r="H276" s="24">
        <v>0.74094045884352666</v>
      </c>
      <c r="I276" s="25">
        <v>0.75389849620420624</v>
      </c>
      <c r="L276" s="15">
        <v>274</v>
      </c>
      <c r="M276" s="16">
        <v>0</v>
      </c>
      <c r="N276" s="16">
        <v>1</v>
      </c>
      <c r="O276" s="16">
        <v>0</v>
      </c>
      <c r="P276" s="16">
        <v>71</v>
      </c>
      <c r="Q276" s="29">
        <v>42</v>
      </c>
      <c r="R276" s="20">
        <v>0.64780000000000004</v>
      </c>
      <c r="S276" s="32">
        <v>27.207600000000003</v>
      </c>
      <c r="T276" s="35">
        <v>2.4900000000000002</v>
      </c>
      <c r="U276" s="35">
        <v>1.95</v>
      </c>
      <c r="V276" s="35">
        <v>5.9285714285714289E-2</v>
      </c>
      <c r="W276" s="9" t="s">
        <v>154</v>
      </c>
      <c r="X276" s="15">
        <v>275</v>
      </c>
      <c r="Y276" s="39">
        <v>0.48700690012512599</v>
      </c>
      <c r="Z276" s="39">
        <v>0.48670140758347386</v>
      </c>
      <c r="AA276" s="39">
        <v>0.50540262424850735</v>
      </c>
      <c r="AB276" s="39">
        <v>0.4947166288969197</v>
      </c>
      <c r="AC276" s="39">
        <v>0.47928551844095668</v>
      </c>
      <c r="AD276" s="39">
        <v>0.47833722821087987</v>
      </c>
      <c r="AE276" s="39">
        <v>0.49758085634057664</v>
      </c>
      <c r="AF276" s="40">
        <v>0.48973906258895294</v>
      </c>
    </row>
    <row r="277" spans="1:32">
      <c r="A277" s="15">
        <v>275</v>
      </c>
      <c r="B277" s="16">
        <v>1</v>
      </c>
      <c r="C277" s="20">
        <v>0.9</v>
      </c>
      <c r="D277" s="20">
        <v>0.231595386583653</v>
      </c>
      <c r="E277" s="20">
        <v>0.1</v>
      </c>
      <c r="F277" s="8" t="s">
        <v>434</v>
      </c>
      <c r="G277" s="24">
        <v>0.34923157439959901</v>
      </c>
      <c r="H277" s="24">
        <v>0.35125353607153476</v>
      </c>
      <c r="I277" s="25">
        <v>0.35739648101287308</v>
      </c>
      <c r="L277" s="15">
        <v>275</v>
      </c>
      <c r="M277" s="16">
        <v>0</v>
      </c>
      <c r="N277" s="16">
        <v>1</v>
      </c>
      <c r="O277" s="16">
        <v>0</v>
      </c>
      <c r="P277" s="16">
        <v>72</v>
      </c>
      <c r="Q277" s="29">
        <v>39</v>
      </c>
      <c r="R277" s="20">
        <v>0.64780000000000004</v>
      </c>
      <c r="S277" s="32">
        <v>25.264200000000002</v>
      </c>
      <c r="T277" s="35">
        <v>2.1</v>
      </c>
      <c r="U277" s="35">
        <v>1.53</v>
      </c>
      <c r="V277" s="35">
        <v>5.3846153846153849E-2</v>
      </c>
      <c r="W277" s="9" t="s">
        <v>154</v>
      </c>
      <c r="X277" s="15">
        <v>276</v>
      </c>
      <c r="Y277" s="39">
        <v>0.48142470784971536</v>
      </c>
      <c r="Z277" s="39">
        <v>0.4687496197426731</v>
      </c>
      <c r="AA277" s="39">
        <v>0.47263100720643442</v>
      </c>
      <c r="AB277" s="39">
        <v>0.48236384857116738</v>
      </c>
      <c r="AC277" s="39">
        <v>0.4727215504297444</v>
      </c>
      <c r="AD277" s="39">
        <v>0.46453539341381139</v>
      </c>
      <c r="AE277" s="39">
        <v>0.46557118137958414</v>
      </c>
      <c r="AF277" s="40">
        <v>0.47997943249641495</v>
      </c>
    </row>
    <row r="278" spans="1:32">
      <c r="A278" s="15">
        <v>276</v>
      </c>
      <c r="B278" s="16">
        <v>0</v>
      </c>
      <c r="C278" s="20">
        <v>0.02</v>
      </c>
      <c r="D278" s="20">
        <v>0.99835916395484214</v>
      </c>
      <c r="E278" s="20">
        <v>1</v>
      </c>
      <c r="F278" s="8" t="s">
        <v>436</v>
      </c>
      <c r="G278" s="24">
        <v>1.034378259158317</v>
      </c>
      <c r="H278" s="24">
        <v>1.0403670452464517</v>
      </c>
      <c r="I278" s="25">
        <v>1.0585616449342119</v>
      </c>
      <c r="L278" s="15">
        <v>276</v>
      </c>
      <c r="M278" s="16">
        <v>0</v>
      </c>
      <c r="N278" s="16">
        <v>1</v>
      </c>
      <c r="O278" s="16">
        <v>0</v>
      </c>
      <c r="P278" s="16">
        <v>73</v>
      </c>
      <c r="Q278" s="29">
        <v>51</v>
      </c>
      <c r="R278" s="20">
        <v>0.64780000000000004</v>
      </c>
      <c r="S278" s="32">
        <v>33.037800000000004</v>
      </c>
      <c r="T278" s="35">
        <v>2.17</v>
      </c>
      <c r="U278" s="35">
        <v>1.26</v>
      </c>
      <c r="V278" s="35">
        <v>4.2549019607843137E-2</v>
      </c>
      <c r="W278" s="9" t="s">
        <v>154</v>
      </c>
      <c r="X278" s="15">
        <v>277</v>
      </c>
      <c r="Y278" s="39">
        <v>0.47914565094594153</v>
      </c>
      <c r="Z278" s="39">
        <v>0.50143617111538408</v>
      </c>
      <c r="AA278" s="39">
        <v>0.48525092257147839</v>
      </c>
      <c r="AB278" s="39">
        <v>0.48967143438498884</v>
      </c>
      <c r="AC278" s="39">
        <v>0.47588493232002899</v>
      </c>
      <c r="AD278" s="39">
        <v>0.49559424453383283</v>
      </c>
      <c r="AE278" s="39">
        <v>0.47766155480777628</v>
      </c>
      <c r="AF278" s="40">
        <v>0.48652510195787479</v>
      </c>
    </row>
    <row r="279" spans="1:32">
      <c r="A279" s="15">
        <v>277</v>
      </c>
      <c r="B279" s="16">
        <v>1</v>
      </c>
      <c r="C279" s="20">
        <v>0.9</v>
      </c>
      <c r="D279" s="20">
        <v>0.23159538658365303</v>
      </c>
      <c r="E279" s="20">
        <v>0.1</v>
      </c>
      <c r="F279" s="8" t="s">
        <v>434</v>
      </c>
      <c r="G279" s="24">
        <v>0.70768842222401362</v>
      </c>
      <c r="H279" s="24">
        <v>0.71178575754619822</v>
      </c>
      <c r="I279" s="25">
        <v>0.7242339189726632</v>
      </c>
      <c r="L279" s="15">
        <v>277</v>
      </c>
      <c r="M279" s="16">
        <v>0</v>
      </c>
      <c r="N279" s="16">
        <v>1</v>
      </c>
      <c r="O279" s="16">
        <v>0</v>
      </c>
      <c r="P279" s="16">
        <v>74</v>
      </c>
      <c r="Q279" s="29">
        <v>38</v>
      </c>
      <c r="R279" s="20">
        <v>0.64780000000000004</v>
      </c>
      <c r="S279" s="32">
        <v>24.616400000000002</v>
      </c>
      <c r="T279" s="35">
        <v>1.42</v>
      </c>
      <c r="U279" s="35">
        <v>0.98</v>
      </c>
      <c r="V279" s="35">
        <v>3.7368421052631579E-2</v>
      </c>
      <c r="W279" s="9" t="s">
        <v>153</v>
      </c>
      <c r="X279" s="15">
        <v>278</v>
      </c>
      <c r="Y279" s="39">
        <v>0.47595899945705356</v>
      </c>
      <c r="Z279" s="39">
        <v>0.47163857998285053</v>
      </c>
      <c r="AA279" s="39">
        <v>0.49090108129884041</v>
      </c>
      <c r="AB279" s="39">
        <v>0.4809700389496262</v>
      </c>
      <c r="AC279" s="39">
        <v>0.47330339609845651</v>
      </c>
      <c r="AD279" s="39">
        <v>0.46508460794849543</v>
      </c>
      <c r="AE279" s="39">
        <v>0.48211563878057417</v>
      </c>
      <c r="AF279" s="40">
        <v>0.47632292889334216</v>
      </c>
    </row>
    <row r="280" spans="1:32">
      <c r="A280" s="15">
        <v>278</v>
      </c>
      <c r="B280" s="16">
        <v>1</v>
      </c>
      <c r="C280" s="20">
        <v>0.02</v>
      </c>
      <c r="D280" s="20">
        <v>0.99604261948721451</v>
      </c>
      <c r="E280" s="20">
        <v>1</v>
      </c>
      <c r="F280" s="8" t="s">
        <v>436</v>
      </c>
      <c r="G280" s="24">
        <v>1.0122415514558913</v>
      </c>
      <c r="H280" s="24">
        <v>1.0181021716569807</v>
      </c>
      <c r="I280" s="25">
        <v>1.0359073890936306</v>
      </c>
      <c r="L280" s="15">
        <v>278</v>
      </c>
      <c r="M280" s="16">
        <v>0</v>
      </c>
      <c r="N280" s="16">
        <v>1</v>
      </c>
      <c r="O280" s="16">
        <v>0</v>
      </c>
      <c r="P280" s="16">
        <v>75</v>
      </c>
      <c r="Q280" s="29">
        <v>44</v>
      </c>
      <c r="R280" s="20">
        <v>0.64780000000000004</v>
      </c>
      <c r="S280" s="32">
        <v>28.503200000000003</v>
      </c>
      <c r="T280" s="35">
        <v>1.1200000000000001</v>
      </c>
      <c r="U280" s="35">
        <v>0.51</v>
      </c>
      <c r="V280" s="35">
        <v>2.5454545454545455E-2</v>
      </c>
      <c r="W280" s="9" t="s">
        <v>153</v>
      </c>
      <c r="X280" s="15">
        <v>279</v>
      </c>
      <c r="Y280" s="39">
        <v>0.47090185924282818</v>
      </c>
      <c r="Z280" s="39">
        <v>0.50662484934773544</v>
      </c>
      <c r="AA280" s="39">
        <v>0.467527215422674</v>
      </c>
      <c r="AB280" s="39">
        <v>0.48323589891712121</v>
      </c>
      <c r="AC280" s="39">
        <v>0.46551874906298796</v>
      </c>
      <c r="AD280" s="39">
        <v>0.49817466897701862</v>
      </c>
      <c r="AE280" s="39">
        <v>0.46302199281674367</v>
      </c>
      <c r="AF280" s="40">
        <v>0.47772246750676245</v>
      </c>
    </row>
    <row r="281" spans="1:32">
      <c r="A281" s="15">
        <v>279</v>
      </c>
      <c r="B281" s="16">
        <v>1</v>
      </c>
      <c r="C281" s="20">
        <v>0.89</v>
      </c>
      <c r="D281" s="20">
        <v>0.24559627500636821</v>
      </c>
      <c r="E281" s="20">
        <v>0.11</v>
      </c>
      <c r="F281" s="8" t="s">
        <v>434</v>
      </c>
      <c r="G281" s="24">
        <v>0.60091344893048282</v>
      </c>
      <c r="H281" s="24">
        <v>0.60439258441236765</v>
      </c>
      <c r="I281" s="25">
        <v>0.61496258581512142</v>
      </c>
      <c r="L281" s="15">
        <v>279</v>
      </c>
      <c r="M281" s="16">
        <v>0</v>
      </c>
      <c r="N281" s="16">
        <v>1</v>
      </c>
      <c r="O281" s="16">
        <v>0</v>
      </c>
      <c r="P281" s="16">
        <v>76</v>
      </c>
      <c r="Q281" s="29">
        <v>51</v>
      </c>
      <c r="R281" s="20">
        <v>0.64780000000000004</v>
      </c>
      <c r="S281" s="32">
        <v>33.037800000000004</v>
      </c>
      <c r="T281" s="35">
        <v>2.85</v>
      </c>
      <c r="U281" s="35">
        <v>2.0499999999999998</v>
      </c>
      <c r="V281" s="35">
        <v>5.5882352941176473E-2</v>
      </c>
      <c r="W281" s="9" t="s">
        <v>154</v>
      </c>
      <c r="X281" s="15">
        <v>280</v>
      </c>
      <c r="Y281" s="39">
        <v>0.49617937223981529</v>
      </c>
      <c r="Z281" s="39">
        <v>0.48697749446989214</v>
      </c>
      <c r="AA281" s="39">
        <v>0.47368066449202956</v>
      </c>
      <c r="AB281" s="39">
        <v>0.49762879877233923</v>
      </c>
      <c r="AC281" s="39">
        <v>0.48902282358225913</v>
      </c>
      <c r="AD281" s="39">
        <v>0.47811534504200459</v>
      </c>
      <c r="AE281" s="39">
        <v>0.46681172697768919</v>
      </c>
      <c r="AF281" s="40">
        <v>0.49337857045484373</v>
      </c>
    </row>
    <row r="282" spans="1:32">
      <c r="A282" s="15">
        <v>280</v>
      </c>
      <c r="B282" s="16">
        <v>0</v>
      </c>
      <c r="C282" s="20">
        <v>0.01</v>
      </c>
      <c r="D282" s="20">
        <v>0.99999999999999978</v>
      </c>
      <c r="E282" s="20">
        <v>1</v>
      </c>
      <c r="F282" s="8" t="s">
        <v>436</v>
      </c>
      <c r="G282" s="24">
        <v>1.066006715232394</v>
      </c>
      <c r="H282" s="24">
        <v>1.0721786220078098</v>
      </c>
      <c r="I282" s="25">
        <v>1.0909295627554429</v>
      </c>
      <c r="L282" s="15">
        <v>280</v>
      </c>
      <c r="M282" s="16">
        <v>0</v>
      </c>
      <c r="N282" s="16">
        <v>1</v>
      </c>
      <c r="O282" s="16">
        <v>0</v>
      </c>
      <c r="P282" s="16">
        <v>77</v>
      </c>
      <c r="Q282" s="29">
        <v>33</v>
      </c>
      <c r="R282" s="20">
        <v>0.64780000000000004</v>
      </c>
      <c r="S282" s="32">
        <v>21.377400000000002</v>
      </c>
      <c r="T282" s="35">
        <v>3.18</v>
      </c>
      <c r="U282" s="35">
        <v>2.56</v>
      </c>
      <c r="V282" s="35">
        <v>9.6363636363636374E-2</v>
      </c>
      <c r="W282" s="9" t="s">
        <v>155</v>
      </c>
      <c r="X282" s="15">
        <v>281</v>
      </c>
      <c r="Y282" s="39">
        <v>0.48910413653529405</v>
      </c>
      <c r="Z282" s="39">
        <v>0.48910472198277166</v>
      </c>
      <c r="AA282" s="39">
        <v>0.47940557588565696</v>
      </c>
      <c r="AB282" s="39">
        <v>0.49416726735323552</v>
      </c>
      <c r="AC282" s="39">
        <v>0.48115466897652676</v>
      </c>
      <c r="AD282" s="39">
        <v>0.48056622780006253</v>
      </c>
      <c r="AE282" s="39">
        <v>0.47103361229962631</v>
      </c>
      <c r="AF282" s="40">
        <v>0.48964691838867136</v>
      </c>
    </row>
    <row r="283" spans="1:32">
      <c r="A283" s="15">
        <v>281</v>
      </c>
      <c r="B283" s="16">
        <v>0</v>
      </c>
      <c r="C283" s="20">
        <v>0.51</v>
      </c>
      <c r="D283" s="20">
        <v>0.46882684830902555</v>
      </c>
      <c r="E283" s="20">
        <v>7.0000000000000007E-2</v>
      </c>
      <c r="F283" s="8" t="s">
        <v>438</v>
      </c>
      <c r="G283" s="24">
        <v>0.63697986000044948</v>
      </c>
      <c r="H283" s="24">
        <v>0.64066781079622204</v>
      </c>
      <c r="I283" s="25">
        <v>0.65187221639858284</v>
      </c>
      <c r="L283" s="15">
        <v>281</v>
      </c>
      <c r="M283" s="16">
        <v>0</v>
      </c>
      <c r="N283" s="16">
        <v>1</v>
      </c>
      <c r="O283" s="16">
        <v>0</v>
      </c>
      <c r="P283" s="16">
        <v>78</v>
      </c>
      <c r="Q283" s="29">
        <v>53</v>
      </c>
      <c r="R283" s="20">
        <v>0.64780000000000004</v>
      </c>
      <c r="S283" s="32">
        <v>34.333400000000005</v>
      </c>
      <c r="T283" s="35">
        <v>1.6800000000000002</v>
      </c>
      <c r="U283" s="35">
        <v>0.87</v>
      </c>
      <c r="V283" s="35">
        <v>3.1698113207547174E-2</v>
      </c>
      <c r="W283" s="9" t="s">
        <v>153</v>
      </c>
      <c r="X283" s="15">
        <v>282</v>
      </c>
      <c r="Y283" s="39">
        <v>0.48499961249921897</v>
      </c>
      <c r="Z283" s="39">
        <v>0.48227312045211224</v>
      </c>
      <c r="AA283" s="39">
        <v>0.47218273708679648</v>
      </c>
      <c r="AB283" s="39">
        <v>0.49179346312734062</v>
      </c>
      <c r="AC283" s="39">
        <v>0.47780913350403093</v>
      </c>
      <c r="AD283" s="39">
        <v>0.47625753382488684</v>
      </c>
      <c r="AE283" s="39">
        <v>0.46694950170837646</v>
      </c>
      <c r="AF283" s="40">
        <v>0.48856685855633936</v>
      </c>
    </row>
    <row r="284" spans="1:32">
      <c r="A284" s="15">
        <v>282</v>
      </c>
      <c r="B284" s="16">
        <v>1</v>
      </c>
      <c r="C284" s="20">
        <v>0.1</v>
      </c>
      <c r="D284" s="20">
        <v>0.93598177131667337</v>
      </c>
      <c r="E284" s="20">
        <v>0.03</v>
      </c>
      <c r="F284" s="8" t="s">
        <v>436</v>
      </c>
      <c r="G284" s="24">
        <v>1.0153344155117865</v>
      </c>
      <c r="H284" s="24">
        <v>1.0212129426062841</v>
      </c>
      <c r="I284" s="25">
        <v>1.0390725631811355</v>
      </c>
      <c r="L284" s="15">
        <v>282</v>
      </c>
      <c r="M284" s="16">
        <v>0</v>
      </c>
      <c r="N284" s="16">
        <v>1</v>
      </c>
      <c r="O284" s="16">
        <v>0</v>
      </c>
      <c r="P284" s="16">
        <v>79</v>
      </c>
      <c r="Q284" s="29">
        <v>47</v>
      </c>
      <c r="R284" s="20">
        <v>0.64780000000000004</v>
      </c>
      <c r="S284" s="32">
        <v>30.446600000000004</v>
      </c>
      <c r="T284" s="35">
        <v>1.24</v>
      </c>
      <c r="U284" s="35">
        <v>0.62</v>
      </c>
      <c r="V284" s="35">
        <v>2.6382978723404255E-2</v>
      </c>
      <c r="W284" s="9" t="s">
        <v>153</v>
      </c>
      <c r="X284" s="15">
        <v>283</v>
      </c>
      <c r="Y284" s="39">
        <v>0.49486132346725142</v>
      </c>
      <c r="Z284" s="39">
        <v>0.48960200079361493</v>
      </c>
      <c r="AA284" s="39">
        <v>0.4780197587854203</v>
      </c>
      <c r="AB284" s="39">
        <v>0.49525001507786315</v>
      </c>
      <c r="AC284" s="39">
        <v>0.48785116543742774</v>
      </c>
      <c r="AD284" s="39">
        <v>0.48235628104451428</v>
      </c>
      <c r="AE284" s="39">
        <v>0.46905126642208256</v>
      </c>
      <c r="AF284" s="40">
        <v>0.49169192496969599</v>
      </c>
    </row>
    <row r="285" spans="1:32">
      <c r="A285" s="15">
        <v>283</v>
      </c>
      <c r="B285" s="16">
        <v>1</v>
      </c>
      <c r="C285" s="20">
        <v>0.95</v>
      </c>
      <c r="D285" s="20">
        <v>0.15570568692893463</v>
      </c>
      <c r="E285" s="20">
        <v>0.05</v>
      </c>
      <c r="F285" s="8" t="s">
        <v>434</v>
      </c>
      <c r="G285" s="24">
        <v>0.37944151758191813</v>
      </c>
      <c r="H285" s="24">
        <v>0.38163838711357706</v>
      </c>
      <c r="I285" s="25">
        <v>0.3883127216292086</v>
      </c>
      <c r="L285" s="15">
        <v>283</v>
      </c>
      <c r="M285" s="16">
        <v>0</v>
      </c>
      <c r="N285" s="16">
        <v>1</v>
      </c>
      <c r="O285" s="16">
        <v>0</v>
      </c>
      <c r="P285" s="16">
        <v>80</v>
      </c>
      <c r="Q285" s="29">
        <v>49</v>
      </c>
      <c r="R285" s="20">
        <v>0.64780000000000004</v>
      </c>
      <c r="S285" s="32">
        <v>31.7422</v>
      </c>
      <c r="T285" s="35">
        <v>3.22</v>
      </c>
      <c r="U285" s="35">
        <v>2.58</v>
      </c>
      <c r="V285" s="35">
        <v>6.5714285714285725E-2</v>
      </c>
      <c r="W285" s="9" t="s">
        <v>155</v>
      </c>
      <c r="X285" s="15">
        <v>284</v>
      </c>
      <c r="Y285" s="39">
        <v>0.48654626347683411</v>
      </c>
      <c r="Z285" s="39">
        <v>0.50055251154703206</v>
      </c>
      <c r="AA285" s="39">
        <v>0.48623563148114751</v>
      </c>
      <c r="AB285" s="39">
        <v>0.49354395483283159</v>
      </c>
      <c r="AC285" s="39">
        <v>0.47983829576951192</v>
      </c>
      <c r="AD285" s="39">
        <v>0.49339804068450144</v>
      </c>
      <c r="AE285" s="39">
        <v>0.47788921659381262</v>
      </c>
      <c r="AF285" s="40">
        <v>0.4880458459964801</v>
      </c>
    </row>
    <row r="286" spans="1:32">
      <c r="A286" s="15">
        <v>284</v>
      </c>
      <c r="B286" s="16">
        <v>0</v>
      </c>
      <c r="C286" s="20">
        <v>0.02</v>
      </c>
      <c r="D286" s="20">
        <v>0.99604261948721451</v>
      </c>
      <c r="E286" s="20">
        <v>1</v>
      </c>
      <c r="F286" s="8" t="s">
        <v>436</v>
      </c>
      <c r="G286" s="24">
        <v>1.0228545995523042</v>
      </c>
      <c r="H286" s="24">
        <v>1.028776666592816</v>
      </c>
      <c r="I286" s="25">
        <v>1.0467685663769257</v>
      </c>
      <c r="L286" s="15">
        <v>284</v>
      </c>
      <c r="M286" s="16">
        <v>0</v>
      </c>
      <c r="N286" s="16">
        <v>1</v>
      </c>
      <c r="O286" s="16">
        <v>0</v>
      </c>
      <c r="P286" s="16">
        <v>81</v>
      </c>
      <c r="Q286" s="29">
        <v>47</v>
      </c>
      <c r="R286" s="20">
        <v>0.64780000000000004</v>
      </c>
      <c r="S286" s="32">
        <v>30.446600000000004</v>
      </c>
      <c r="T286" s="35">
        <v>1.06</v>
      </c>
      <c r="U286" s="35">
        <v>0.37</v>
      </c>
      <c r="V286" s="35">
        <v>2.2553191489361704E-2</v>
      </c>
      <c r="W286" s="9" t="s">
        <v>153</v>
      </c>
      <c r="X286" s="15">
        <v>285</v>
      </c>
      <c r="Y286" s="39">
        <v>0.50009622971504186</v>
      </c>
      <c r="Z286" s="39">
        <v>0.48829467697953705</v>
      </c>
      <c r="AA286" s="39">
        <v>0.494201271753968</v>
      </c>
      <c r="AB286" s="39">
        <v>0.4943376452234291</v>
      </c>
      <c r="AC286" s="39">
        <v>0.4947829865182396</v>
      </c>
      <c r="AD286" s="39">
        <v>0.4812226664633133</v>
      </c>
      <c r="AE286" s="39">
        <v>0.48710804943168656</v>
      </c>
      <c r="AF286" s="40">
        <v>0.49367089160654881</v>
      </c>
    </row>
    <row r="287" spans="1:32">
      <c r="A287" s="15">
        <v>285</v>
      </c>
      <c r="B287" s="16">
        <v>1</v>
      </c>
      <c r="C287" s="20">
        <v>0.5</v>
      </c>
      <c r="D287" s="20">
        <v>0.49559310618383684</v>
      </c>
      <c r="E287" s="20">
        <v>0.04</v>
      </c>
      <c r="F287" s="8" t="s">
        <v>438</v>
      </c>
      <c r="G287" s="24">
        <v>0.61456180362283752</v>
      </c>
      <c r="H287" s="24">
        <v>0.61811995959455168</v>
      </c>
      <c r="I287" s="25">
        <v>0.62893003405358372</v>
      </c>
      <c r="L287" s="15">
        <v>285</v>
      </c>
      <c r="M287" s="16">
        <v>0</v>
      </c>
      <c r="N287" s="16">
        <v>1</v>
      </c>
      <c r="O287" s="16">
        <v>0</v>
      </c>
      <c r="P287" s="16">
        <v>82</v>
      </c>
      <c r="Q287" s="29">
        <v>66</v>
      </c>
      <c r="R287" s="20">
        <v>0.64780000000000004</v>
      </c>
      <c r="S287" s="32">
        <v>42.754800000000003</v>
      </c>
      <c r="T287" s="35">
        <v>1.28</v>
      </c>
      <c r="U287" s="35">
        <v>0.4</v>
      </c>
      <c r="V287" s="35">
        <v>1.9393939393939394E-2</v>
      </c>
      <c r="W287" s="9" t="s">
        <v>153</v>
      </c>
      <c r="X287" s="15">
        <v>286</v>
      </c>
      <c r="Y287" s="39">
        <v>0.48047624493294572</v>
      </c>
      <c r="Z287" s="39">
        <v>0.47687551285985752</v>
      </c>
      <c r="AA287" s="39">
        <v>0.48235104174147986</v>
      </c>
      <c r="AB287" s="39">
        <v>0.48829635252188341</v>
      </c>
      <c r="AC287" s="39">
        <v>0.47135009369384712</v>
      </c>
      <c r="AD287" s="39">
        <v>0.47064920351304407</v>
      </c>
      <c r="AE287" s="39">
        <v>0.47556512020559438</v>
      </c>
      <c r="AF287" s="40">
        <v>0.48276599207376575</v>
      </c>
    </row>
    <row r="288" spans="1:32">
      <c r="A288" s="15">
        <v>286</v>
      </c>
      <c r="B288" s="16">
        <v>1</v>
      </c>
      <c r="C288" s="20">
        <v>7.0000000000000007E-2</v>
      </c>
      <c r="D288" s="20">
        <v>0.95833218030806278</v>
      </c>
      <c r="E288" s="20">
        <v>0.47</v>
      </c>
      <c r="F288" s="8" t="s">
        <v>436</v>
      </c>
      <c r="G288" s="24">
        <v>1.0168740744635421</v>
      </c>
      <c r="H288" s="24">
        <v>1.0227615157903613</v>
      </c>
      <c r="I288" s="25">
        <v>1.0406482187966493</v>
      </c>
      <c r="L288" s="15">
        <v>286</v>
      </c>
      <c r="M288" s="16">
        <v>0</v>
      </c>
      <c r="N288" s="16">
        <v>1</v>
      </c>
      <c r="O288" s="16">
        <v>0</v>
      </c>
      <c r="P288" s="16">
        <v>83</v>
      </c>
      <c r="Q288" s="29">
        <v>42</v>
      </c>
      <c r="R288" s="20">
        <v>0.64780000000000004</v>
      </c>
      <c r="S288" s="32">
        <v>27.207600000000003</v>
      </c>
      <c r="T288" s="35">
        <v>1.32</v>
      </c>
      <c r="U288" s="35">
        <v>0.77</v>
      </c>
      <c r="V288" s="35">
        <v>3.1428571428571431E-2</v>
      </c>
      <c r="W288" s="9" t="s">
        <v>153</v>
      </c>
      <c r="X288" s="15">
        <v>287</v>
      </c>
      <c r="Y288" s="39">
        <v>0.49150552716293683</v>
      </c>
      <c r="Z288" s="39">
        <v>0.4844189034153823</v>
      </c>
      <c r="AA288" s="39">
        <v>0.49844584062681863</v>
      </c>
      <c r="AB288" s="39">
        <v>0.50574427923274101</v>
      </c>
      <c r="AC288" s="39">
        <v>0.48436503514200507</v>
      </c>
      <c r="AD288" s="39">
        <v>0.48025358317844435</v>
      </c>
      <c r="AE288" s="39">
        <v>0.49180842260337737</v>
      </c>
      <c r="AF288" s="40">
        <v>0.49980174853511855</v>
      </c>
    </row>
    <row r="289" spans="1:32">
      <c r="A289" s="15">
        <v>287</v>
      </c>
      <c r="B289" s="16">
        <v>1</v>
      </c>
      <c r="C289" s="20">
        <v>0.94</v>
      </c>
      <c r="D289" s="20">
        <v>0.17188516685452584</v>
      </c>
      <c r="E289" s="20">
        <v>0.06</v>
      </c>
      <c r="F289" s="8" t="s">
        <v>434</v>
      </c>
      <c r="G289" s="24">
        <v>1.0910738251403183</v>
      </c>
      <c r="H289" s="24">
        <v>1.0973908640835432</v>
      </c>
      <c r="I289" s="25">
        <v>1.1165827325344277</v>
      </c>
      <c r="L289" s="15">
        <v>287</v>
      </c>
      <c r="M289" s="16">
        <v>0</v>
      </c>
      <c r="N289" s="16">
        <v>1</v>
      </c>
      <c r="O289" s="16">
        <v>1</v>
      </c>
      <c r="P289" s="16">
        <v>0</v>
      </c>
      <c r="Q289" s="29">
        <v>77</v>
      </c>
      <c r="R289" s="20">
        <v>0.64780000000000004</v>
      </c>
      <c r="S289" s="32">
        <v>49.880600000000001</v>
      </c>
      <c r="T289" s="35">
        <v>6.6400000000000006</v>
      </c>
      <c r="U289" s="35">
        <v>5.42</v>
      </c>
      <c r="V289" s="35">
        <v>8.6233766233766246E-2</v>
      </c>
      <c r="W289" s="9" t="s">
        <v>156</v>
      </c>
      <c r="X289" s="15">
        <v>288</v>
      </c>
      <c r="Y289" s="39">
        <v>0.4934312185174155</v>
      </c>
      <c r="Z289" s="39">
        <v>0.48274764443517115</v>
      </c>
      <c r="AA289" s="39">
        <v>0.49352823641625382</v>
      </c>
      <c r="AB289" s="39">
        <v>0.50662570235616255</v>
      </c>
      <c r="AC289" s="39">
        <v>0.48671748311094348</v>
      </c>
      <c r="AD289" s="39">
        <v>0.47377364870133093</v>
      </c>
      <c r="AE289" s="39">
        <v>0.4849595251437554</v>
      </c>
      <c r="AF289" s="40">
        <v>0.50241394378172022</v>
      </c>
    </row>
    <row r="290" spans="1:32">
      <c r="A290" s="15">
        <v>288</v>
      </c>
      <c r="B290" s="16">
        <v>1</v>
      </c>
      <c r="C290" s="20">
        <v>0.03</v>
      </c>
      <c r="D290" s="20">
        <v>0.99415958227269285</v>
      </c>
      <c r="E290" s="20">
        <v>1</v>
      </c>
      <c r="F290" s="8" t="s">
        <v>436</v>
      </c>
      <c r="G290" s="24">
        <v>1.1217248860389633</v>
      </c>
      <c r="H290" s="24">
        <v>1.1282193868008905</v>
      </c>
      <c r="I290" s="25">
        <v>1.1479504040381288</v>
      </c>
      <c r="L290" s="15">
        <v>288</v>
      </c>
      <c r="M290" s="16">
        <v>0</v>
      </c>
      <c r="N290" s="16">
        <v>1</v>
      </c>
      <c r="O290" s="16">
        <v>1</v>
      </c>
      <c r="P290" s="16">
        <v>1</v>
      </c>
      <c r="Q290" s="29">
        <v>75</v>
      </c>
      <c r="R290" s="20">
        <v>0.64780000000000004</v>
      </c>
      <c r="S290" s="32">
        <v>48.585000000000001</v>
      </c>
      <c r="T290" s="35">
        <v>4.6900000000000004</v>
      </c>
      <c r="U290" s="35">
        <v>3.59</v>
      </c>
      <c r="V290" s="35">
        <v>6.2533333333333344E-2</v>
      </c>
      <c r="W290" s="9" t="s">
        <v>155</v>
      </c>
      <c r="X290" s="15">
        <v>289</v>
      </c>
      <c r="Y290" s="39">
        <v>0.48194476174800571</v>
      </c>
      <c r="Z290" s="39">
        <v>0.48546487866471044</v>
      </c>
      <c r="AA290" s="39">
        <v>0.48556237955980924</v>
      </c>
      <c r="AB290" s="39">
        <v>0.47659404469081451</v>
      </c>
      <c r="AC290" s="39">
        <v>0.47332642317952395</v>
      </c>
      <c r="AD290" s="39">
        <v>0.48176779040275813</v>
      </c>
      <c r="AE290" s="39">
        <v>0.47953593174265968</v>
      </c>
      <c r="AF290" s="40">
        <v>0.47346992141233268</v>
      </c>
    </row>
    <row r="291" spans="1:32">
      <c r="A291" s="15">
        <v>289</v>
      </c>
      <c r="B291" s="16">
        <v>0</v>
      </c>
      <c r="C291" s="20">
        <v>0.85</v>
      </c>
      <c r="D291" s="20">
        <v>0.29896847351441952</v>
      </c>
      <c r="E291" s="20">
        <v>0.15</v>
      </c>
      <c r="F291" s="8" t="s">
        <v>434</v>
      </c>
      <c r="G291" s="24">
        <v>0.4237013292082446</v>
      </c>
      <c r="H291" s="24">
        <v>0.42615445175158895</v>
      </c>
      <c r="I291" s="25">
        <v>0.4336073114804746</v>
      </c>
      <c r="L291" s="15">
        <v>289</v>
      </c>
      <c r="M291" s="16">
        <v>0</v>
      </c>
      <c r="N291" s="16">
        <v>1</v>
      </c>
      <c r="O291" s="16">
        <v>1</v>
      </c>
      <c r="P291" s="16">
        <v>2</v>
      </c>
      <c r="Q291" s="29">
        <v>30</v>
      </c>
      <c r="R291" s="20">
        <v>0.64780000000000004</v>
      </c>
      <c r="S291" s="32">
        <v>19.434000000000001</v>
      </c>
      <c r="T291" s="35">
        <v>0.55000000000000004</v>
      </c>
      <c r="U291" s="35">
        <v>0.22</v>
      </c>
      <c r="V291" s="35">
        <v>1.8333333333333333E-2</v>
      </c>
      <c r="W291" s="9" t="s">
        <v>152</v>
      </c>
      <c r="X291" s="15">
        <v>290</v>
      </c>
      <c r="Y291" s="39">
        <v>0.4942758334572469</v>
      </c>
      <c r="Z291" s="39">
        <v>0.49125207460786691</v>
      </c>
      <c r="AA291" s="39">
        <v>0.48062530231596656</v>
      </c>
      <c r="AB291" s="39">
        <v>0.49319798630025508</v>
      </c>
      <c r="AC291" s="39">
        <v>0.4867274416687099</v>
      </c>
      <c r="AD291" s="39">
        <v>0.48322208289287466</v>
      </c>
      <c r="AE291" s="39">
        <v>0.47657847814753335</v>
      </c>
      <c r="AF291" s="40">
        <v>0.48993919297310018</v>
      </c>
    </row>
    <row r="292" spans="1:32">
      <c r="A292" s="15">
        <v>290</v>
      </c>
      <c r="B292" s="16">
        <v>0</v>
      </c>
      <c r="C292" s="20">
        <v>0.91</v>
      </c>
      <c r="D292" s="20">
        <v>0.21727233298780477</v>
      </c>
      <c r="E292" s="20">
        <v>0.09</v>
      </c>
      <c r="F292" s="8" t="s">
        <v>434</v>
      </c>
      <c r="G292" s="24">
        <v>1.9424123175311632</v>
      </c>
      <c r="H292" s="24">
        <v>1.9536583890351387</v>
      </c>
      <c r="I292" s="25">
        <v>1.6578926537592125</v>
      </c>
      <c r="L292" s="15">
        <v>290</v>
      </c>
      <c r="M292" s="16">
        <v>0</v>
      </c>
      <c r="N292" s="16">
        <v>1</v>
      </c>
      <c r="O292" s="16">
        <v>1</v>
      </c>
      <c r="P292" s="16">
        <v>3</v>
      </c>
      <c r="Q292" s="29">
        <v>61</v>
      </c>
      <c r="R292" s="20">
        <v>0.64780000000000004</v>
      </c>
      <c r="S292" s="32">
        <v>39.515800000000006</v>
      </c>
      <c r="T292" s="35">
        <v>3.2600000000000002</v>
      </c>
      <c r="U292" s="35">
        <v>2.34</v>
      </c>
      <c r="V292" s="35">
        <v>5.3442622950819675E-2</v>
      </c>
      <c r="W292" s="9" t="s">
        <v>155</v>
      </c>
      <c r="X292" s="15">
        <v>291</v>
      </c>
      <c r="Y292" s="39">
        <v>0.48371601044593066</v>
      </c>
      <c r="Z292" s="39">
        <v>0.49896914657935693</v>
      </c>
      <c r="AA292" s="39">
        <v>0.4857636461244621</v>
      </c>
      <c r="AB292" s="39">
        <v>0.4795522019794356</v>
      </c>
      <c r="AC292" s="39">
        <v>0.47904186132750032</v>
      </c>
      <c r="AD292" s="39">
        <v>0.4912155646417965</v>
      </c>
      <c r="AE292" s="39">
        <v>0.4791914375083311</v>
      </c>
      <c r="AF292" s="40">
        <v>0.47694879423164133</v>
      </c>
    </row>
    <row r="293" spans="1:32">
      <c r="A293" s="15">
        <v>291</v>
      </c>
      <c r="B293" s="16">
        <v>1</v>
      </c>
      <c r="C293" s="20">
        <v>0.73</v>
      </c>
      <c r="D293" s="20">
        <v>0.41968307532373955</v>
      </c>
      <c r="E293" s="20">
        <v>0.04</v>
      </c>
      <c r="F293" s="8" t="s">
        <v>438</v>
      </c>
      <c r="G293" s="24">
        <v>1.5499170552362402</v>
      </c>
      <c r="H293" s="24">
        <v>1.5588906793587296</v>
      </c>
      <c r="I293" s="25">
        <v>1.5861535497057939</v>
      </c>
      <c r="L293" s="15">
        <v>291</v>
      </c>
      <c r="M293" s="16">
        <v>0</v>
      </c>
      <c r="N293" s="16">
        <v>1</v>
      </c>
      <c r="O293" s="16">
        <v>1</v>
      </c>
      <c r="P293" s="16">
        <v>4</v>
      </c>
      <c r="Q293" s="29">
        <v>70</v>
      </c>
      <c r="R293" s="20">
        <v>0.64780000000000004</v>
      </c>
      <c r="S293" s="32">
        <v>45.346000000000004</v>
      </c>
      <c r="T293" s="35">
        <v>3.08</v>
      </c>
      <c r="U293" s="35">
        <v>2.12</v>
      </c>
      <c r="V293" s="35">
        <v>4.4000000000000004E-2</v>
      </c>
      <c r="W293" s="9" t="s">
        <v>155</v>
      </c>
      <c r="X293" s="15">
        <v>292</v>
      </c>
      <c r="Y293" s="39">
        <v>0.47157312555395803</v>
      </c>
      <c r="Z293" s="39">
        <v>0.48461194042065026</v>
      </c>
      <c r="AA293" s="39">
        <v>0.48806327889134149</v>
      </c>
      <c r="AB293" s="39">
        <v>0.50487382328847041</v>
      </c>
      <c r="AC293" s="39">
        <v>0.46625249325137108</v>
      </c>
      <c r="AD293" s="39">
        <v>0.47785176672876173</v>
      </c>
      <c r="AE293" s="39">
        <v>0.4822785874410539</v>
      </c>
      <c r="AF293" s="40">
        <v>0.50289437944694038</v>
      </c>
    </row>
    <row r="294" spans="1:32">
      <c r="A294" s="15">
        <v>292</v>
      </c>
      <c r="B294" s="16">
        <v>0</v>
      </c>
      <c r="C294" s="20">
        <v>0.92</v>
      </c>
      <c r="D294" s="20">
        <v>0.20258497911151899</v>
      </c>
      <c r="E294" s="20">
        <v>0.08</v>
      </c>
      <c r="F294" s="8" t="s">
        <v>434</v>
      </c>
      <c r="G294" s="24">
        <v>0.38297329138013531</v>
      </c>
      <c r="H294" s="24">
        <v>0.38519060898057561</v>
      </c>
      <c r="I294" s="25">
        <v>0.3919270670084497</v>
      </c>
      <c r="L294" s="15">
        <v>292</v>
      </c>
      <c r="M294" s="16">
        <v>0</v>
      </c>
      <c r="N294" s="16">
        <v>1</v>
      </c>
      <c r="O294" s="16">
        <v>1</v>
      </c>
      <c r="P294" s="16">
        <v>5</v>
      </c>
      <c r="Q294" s="29">
        <v>64</v>
      </c>
      <c r="R294" s="20">
        <v>0.64780000000000004</v>
      </c>
      <c r="S294" s="32">
        <v>41.459200000000003</v>
      </c>
      <c r="T294" s="35">
        <v>2.4500000000000002</v>
      </c>
      <c r="U294" s="35">
        <v>1.5</v>
      </c>
      <c r="V294" s="35">
        <v>3.8281250000000003E-2</v>
      </c>
      <c r="W294" s="9" t="s">
        <v>154</v>
      </c>
      <c r="X294" s="15">
        <v>293</v>
      </c>
      <c r="Y294" s="39">
        <v>0.49154770456201113</v>
      </c>
      <c r="Z294" s="39">
        <v>0.4845788120852223</v>
      </c>
      <c r="AA294" s="39">
        <v>0.48223543385210021</v>
      </c>
      <c r="AB294" s="39">
        <v>0.4863857217166393</v>
      </c>
      <c r="AC294" s="39">
        <v>0.48352859975587265</v>
      </c>
      <c r="AD294" s="39">
        <v>0.47826698853922289</v>
      </c>
      <c r="AE294" s="39">
        <v>0.47557180627006773</v>
      </c>
      <c r="AF294" s="40">
        <v>0.48211000060137399</v>
      </c>
    </row>
    <row r="295" spans="1:32">
      <c r="A295" s="15">
        <v>293</v>
      </c>
      <c r="B295" s="16">
        <v>0</v>
      </c>
      <c r="C295" s="20">
        <v>0.92</v>
      </c>
      <c r="D295" s="20">
        <v>0.20258497911151899</v>
      </c>
      <c r="E295" s="20">
        <v>0.08</v>
      </c>
      <c r="F295" s="8" t="s">
        <v>434</v>
      </c>
      <c r="G295" s="24">
        <v>0.60346235078105548</v>
      </c>
      <c r="H295" s="24">
        <v>0.60695624375402979</v>
      </c>
      <c r="I295" s="25">
        <v>0.61757108005968686</v>
      </c>
      <c r="L295" s="15">
        <v>293</v>
      </c>
      <c r="M295" s="16">
        <v>0</v>
      </c>
      <c r="N295" s="16">
        <v>1</v>
      </c>
      <c r="O295" s="16">
        <v>1</v>
      </c>
      <c r="P295" s="16">
        <v>6</v>
      </c>
      <c r="Q295" s="29">
        <v>56</v>
      </c>
      <c r="R295" s="20">
        <v>0.64780000000000004</v>
      </c>
      <c r="S295" s="32">
        <v>36.276800000000001</v>
      </c>
      <c r="T295" s="35">
        <v>2.1900000000000004</v>
      </c>
      <c r="U295" s="35">
        <v>1.5</v>
      </c>
      <c r="V295" s="35">
        <v>3.9107142857142861E-2</v>
      </c>
      <c r="W295" s="9" t="s">
        <v>154</v>
      </c>
      <c r="X295" s="15">
        <v>294</v>
      </c>
      <c r="Y295" s="39">
        <v>0.47331391264158806</v>
      </c>
      <c r="Z295" s="39">
        <v>0.47371930338100215</v>
      </c>
      <c r="AA295" s="39">
        <v>0.48708700269153804</v>
      </c>
      <c r="AB295" s="39">
        <v>0.49101095456045357</v>
      </c>
      <c r="AC295" s="39">
        <v>0.46712779452362951</v>
      </c>
      <c r="AD295" s="39">
        <v>0.46840712338934165</v>
      </c>
      <c r="AE295" s="39">
        <v>0.47897986880038268</v>
      </c>
      <c r="AF295" s="40">
        <v>0.48623726385494165</v>
      </c>
    </row>
    <row r="296" spans="1:32">
      <c r="A296" s="15">
        <v>294</v>
      </c>
      <c r="B296" s="16">
        <v>1</v>
      </c>
      <c r="C296" s="20">
        <v>0.25</v>
      </c>
      <c r="D296" s="20">
        <v>0.71735646974965661</v>
      </c>
      <c r="E296" s="20">
        <v>0.09</v>
      </c>
      <c r="F296" s="8" t="s">
        <v>436</v>
      </c>
      <c r="G296" s="24">
        <v>1.1591374489629684</v>
      </c>
      <c r="H296" s="24">
        <v>1.1658485589144034</v>
      </c>
      <c r="I296" s="25">
        <v>1.1862376590141426</v>
      </c>
      <c r="L296" s="15">
        <v>294</v>
      </c>
      <c r="M296" s="16">
        <v>0</v>
      </c>
      <c r="N296" s="16">
        <v>1</v>
      </c>
      <c r="O296" s="16">
        <v>1</v>
      </c>
      <c r="P296" s="16">
        <v>7</v>
      </c>
      <c r="Q296" s="29">
        <v>67</v>
      </c>
      <c r="R296" s="20">
        <v>0.64780000000000004</v>
      </c>
      <c r="S296" s="32">
        <v>43.4026</v>
      </c>
      <c r="T296" s="35">
        <v>5.21</v>
      </c>
      <c r="U296" s="35">
        <v>4.13</v>
      </c>
      <c r="V296" s="35">
        <v>7.7761194029850753E-2</v>
      </c>
      <c r="W296" s="9" t="s">
        <v>156</v>
      </c>
      <c r="X296" s="15">
        <v>295</v>
      </c>
      <c r="Y296" s="39">
        <v>0.46908446271204729</v>
      </c>
      <c r="Z296" s="39">
        <v>0.49633396432556592</v>
      </c>
      <c r="AA296" s="39">
        <v>0.48485091615245685</v>
      </c>
      <c r="AB296" s="39">
        <v>0.49936162599651251</v>
      </c>
      <c r="AC296" s="39">
        <v>0.46481001329764732</v>
      </c>
      <c r="AD296" s="39">
        <v>0.48878887121352627</v>
      </c>
      <c r="AE296" s="39">
        <v>0.47752026324879238</v>
      </c>
      <c r="AF296" s="40">
        <v>0.49583472896613878</v>
      </c>
    </row>
    <row r="297" spans="1:32">
      <c r="A297" s="15">
        <v>295</v>
      </c>
      <c r="B297" s="16">
        <v>1</v>
      </c>
      <c r="C297" s="20">
        <v>0.92</v>
      </c>
      <c r="D297" s="20">
        <v>0.20258497911151899</v>
      </c>
      <c r="E297" s="20">
        <v>0.08</v>
      </c>
      <c r="F297" s="8" t="s">
        <v>434</v>
      </c>
      <c r="G297" s="24">
        <v>1.061624077442584</v>
      </c>
      <c r="H297" s="24">
        <v>1.0677706098638962</v>
      </c>
      <c r="I297" s="25">
        <v>1.0864444604953596</v>
      </c>
      <c r="L297" s="15">
        <v>295</v>
      </c>
      <c r="M297" s="16">
        <v>0</v>
      </c>
      <c r="N297" s="16">
        <v>1</v>
      </c>
      <c r="O297" s="16">
        <v>1</v>
      </c>
      <c r="P297" s="16">
        <v>8</v>
      </c>
      <c r="Q297" s="29">
        <v>78</v>
      </c>
      <c r="R297" s="20">
        <v>0.64780000000000004</v>
      </c>
      <c r="S297" s="32">
        <v>50.528400000000005</v>
      </c>
      <c r="T297" s="35">
        <v>3.81</v>
      </c>
      <c r="U297" s="35">
        <v>2.71</v>
      </c>
      <c r="V297" s="35">
        <v>4.8846153846153845E-2</v>
      </c>
      <c r="W297" s="9" t="s">
        <v>155</v>
      </c>
      <c r="X297" s="15">
        <v>296</v>
      </c>
      <c r="Y297" s="39">
        <v>0.47269450829916626</v>
      </c>
      <c r="Z297" s="39">
        <v>0.49085302330571423</v>
      </c>
      <c r="AA297" s="39">
        <v>0.48041206465952263</v>
      </c>
      <c r="AB297" s="39">
        <v>0.47681560452598676</v>
      </c>
      <c r="AC297" s="39">
        <v>0.46569730693092015</v>
      </c>
      <c r="AD297" s="39">
        <v>0.48342033814008201</v>
      </c>
      <c r="AE297" s="39">
        <v>0.47335115687044071</v>
      </c>
      <c r="AF297" s="40">
        <v>0.47263770707679831</v>
      </c>
    </row>
    <row r="298" spans="1:32">
      <c r="A298" s="15">
        <v>296</v>
      </c>
      <c r="B298" s="16">
        <v>1</v>
      </c>
      <c r="C298" s="20">
        <v>0.56999999999999995</v>
      </c>
      <c r="D298" s="20">
        <v>0.45943140113339631</v>
      </c>
      <c r="E298" s="20">
        <v>0.09</v>
      </c>
      <c r="F298" s="8" t="s">
        <v>438</v>
      </c>
      <c r="G298" s="24">
        <v>1.5503903314648231</v>
      </c>
      <c r="H298" s="24">
        <v>1.5593666957358687</v>
      </c>
      <c r="I298" s="25">
        <v>1.5866378909596837</v>
      </c>
      <c r="L298" s="15">
        <v>296</v>
      </c>
      <c r="M298" s="16">
        <v>0</v>
      </c>
      <c r="N298" s="16">
        <v>1</v>
      </c>
      <c r="O298" s="16">
        <v>1</v>
      </c>
      <c r="P298" s="16">
        <v>9</v>
      </c>
      <c r="Q298" s="29">
        <v>75</v>
      </c>
      <c r="R298" s="20">
        <v>0.64780000000000004</v>
      </c>
      <c r="S298" s="32">
        <v>48.585000000000001</v>
      </c>
      <c r="T298" s="35">
        <v>2.4300000000000002</v>
      </c>
      <c r="U298" s="35">
        <v>1.46</v>
      </c>
      <c r="V298" s="35">
        <v>3.2400000000000005E-2</v>
      </c>
      <c r="W298" s="9" t="s">
        <v>154</v>
      </c>
      <c r="X298" s="15">
        <v>297</v>
      </c>
      <c r="Y298" s="39">
        <v>0.48585494222048176</v>
      </c>
      <c r="Z298" s="39">
        <v>0.48402700037335855</v>
      </c>
      <c r="AA298" s="39">
        <v>0.50003702877938894</v>
      </c>
      <c r="AB298" s="39">
        <v>0.48328120039961092</v>
      </c>
      <c r="AC298" s="39">
        <v>0.477198902374596</v>
      </c>
      <c r="AD298" s="39">
        <v>0.47957315927346128</v>
      </c>
      <c r="AE298" s="39">
        <v>0.49089466605963084</v>
      </c>
      <c r="AF298" s="40">
        <v>0.47781911614829176</v>
      </c>
    </row>
    <row r="299" spans="1:32">
      <c r="A299" s="15">
        <v>297</v>
      </c>
      <c r="B299" s="16">
        <v>1</v>
      </c>
      <c r="C299" s="20">
        <v>0.37</v>
      </c>
      <c r="D299" s="20">
        <v>0.58968626884709052</v>
      </c>
      <c r="E299" s="20">
        <v>0.09</v>
      </c>
      <c r="F299" s="8" t="s">
        <v>436</v>
      </c>
      <c r="G299" s="24">
        <v>0.78311716220903005</v>
      </c>
      <c r="H299" s="24">
        <v>0.78765121068200672</v>
      </c>
      <c r="I299" s="25">
        <v>0.80142615533968165</v>
      </c>
      <c r="L299" s="15">
        <v>297</v>
      </c>
      <c r="M299" s="16">
        <v>0</v>
      </c>
      <c r="N299" s="16">
        <v>1</v>
      </c>
      <c r="O299" s="16">
        <v>1</v>
      </c>
      <c r="P299" s="16">
        <v>10</v>
      </c>
      <c r="Q299" s="29">
        <v>63</v>
      </c>
      <c r="R299" s="20">
        <v>0.64780000000000004</v>
      </c>
      <c r="S299" s="32">
        <v>40.811400000000006</v>
      </c>
      <c r="T299" s="35">
        <v>3.3</v>
      </c>
      <c r="U299" s="35">
        <v>2.3199999999999998</v>
      </c>
      <c r="V299" s="35">
        <v>5.2380952380952375E-2</v>
      </c>
      <c r="W299" s="9" t="s">
        <v>155</v>
      </c>
      <c r="X299" s="15">
        <v>298</v>
      </c>
      <c r="Y299" s="39">
        <v>0.48204221008517834</v>
      </c>
      <c r="Z299" s="39">
        <v>0.47733865001288367</v>
      </c>
      <c r="AA299" s="39">
        <v>0.49749560487748368</v>
      </c>
      <c r="AB299" s="39">
        <v>0.47161887807333269</v>
      </c>
      <c r="AC299" s="39">
        <v>0.47651257332003877</v>
      </c>
      <c r="AD299" s="39">
        <v>0.46943997772695012</v>
      </c>
      <c r="AE299" s="39">
        <v>0.49041193701379721</v>
      </c>
      <c r="AF299" s="40">
        <v>0.46875426520848573</v>
      </c>
    </row>
    <row r="300" spans="1:32">
      <c r="A300" s="15">
        <v>298</v>
      </c>
      <c r="B300" s="16">
        <v>0</v>
      </c>
      <c r="C300" s="20">
        <v>0.33</v>
      </c>
      <c r="D300" s="20">
        <v>0.60240118220147121</v>
      </c>
      <c r="E300" s="20">
        <v>0.09</v>
      </c>
      <c r="F300" s="8" t="s">
        <v>436</v>
      </c>
      <c r="G300" s="24">
        <v>0.82553192927925445</v>
      </c>
      <c r="H300" s="24">
        <v>0.83031154842689736</v>
      </c>
      <c r="I300" s="25">
        <v>0.8448325641672344</v>
      </c>
      <c r="L300" s="15">
        <v>298</v>
      </c>
      <c r="M300" s="16">
        <v>0</v>
      </c>
      <c r="N300" s="16">
        <v>1</v>
      </c>
      <c r="O300" s="16">
        <v>2</v>
      </c>
      <c r="P300" s="16">
        <v>11</v>
      </c>
      <c r="Q300" s="29">
        <v>48</v>
      </c>
      <c r="R300" s="20">
        <v>0.64780000000000004</v>
      </c>
      <c r="S300" s="32">
        <v>31.0944</v>
      </c>
      <c r="T300" s="35">
        <v>1.21</v>
      </c>
      <c r="U300" s="35">
        <v>0.57999999999999996</v>
      </c>
      <c r="V300" s="35">
        <v>2.5208333333333333E-2</v>
      </c>
      <c r="W300" s="9" t="s">
        <v>153</v>
      </c>
      <c r="X300" s="15">
        <v>299</v>
      </c>
      <c r="Y300" s="39">
        <v>0.48675083572721445</v>
      </c>
      <c r="Z300" s="39">
        <v>0.48460695331572207</v>
      </c>
      <c r="AA300" s="39">
        <v>0.48958474388541562</v>
      </c>
      <c r="AB300" s="39">
        <v>0.49927032005706784</v>
      </c>
      <c r="AC300" s="39">
        <v>0.48090370870497845</v>
      </c>
      <c r="AD300" s="39">
        <v>0.47576088456220816</v>
      </c>
      <c r="AE300" s="39">
        <v>0.48229604384912805</v>
      </c>
      <c r="AF300" s="40">
        <v>0.49328130111085844</v>
      </c>
    </row>
    <row r="301" spans="1:32">
      <c r="A301" s="15">
        <v>299</v>
      </c>
      <c r="B301" s="16">
        <v>1</v>
      </c>
      <c r="C301" s="20">
        <v>0.05</v>
      </c>
      <c r="D301" s="20">
        <v>0.96095472015482708</v>
      </c>
      <c r="E301" s="20">
        <v>0.51</v>
      </c>
      <c r="F301" s="8" t="s">
        <v>436</v>
      </c>
      <c r="G301" s="24">
        <v>1.031121114541901</v>
      </c>
      <c r="H301" s="24">
        <v>1.037091042594116</v>
      </c>
      <c r="I301" s="25">
        <v>1.0552283494667032</v>
      </c>
      <c r="L301" s="15">
        <v>299</v>
      </c>
      <c r="M301" s="16">
        <v>0</v>
      </c>
      <c r="N301" s="16">
        <v>1</v>
      </c>
      <c r="O301" s="16">
        <v>2</v>
      </c>
      <c r="P301" s="16">
        <v>12</v>
      </c>
      <c r="Q301" s="29">
        <v>40</v>
      </c>
      <c r="R301" s="20">
        <v>0.64780000000000004</v>
      </c>
      <c r="S301" s="32">
        <v>25.912000000000003</v>
      </c>
      <c r="T301" s="35">
        <v>1.75</v>
      </c>
      <c r="U301" s="35">
        <v>1.1599999999999999</v>
      </c>
      <c r="V301" s="35">
        <v>4.3749999999999997E-2</v>
      </c>
      <c r="W301" s="9" t="s">
        <v>153</v>
      </c>
      <c r="X301" s="15">
        <v>300</v>
      </c>
      <c r="Y301" s="39">
        <v>0.49364872830941708</v>
      </c>
      <c r="Z301" s="39">
        <v>0.48661767888318325</v>
      </c>
      <c r="AA301" s="39">
        <v>0.48259599490260369</v>
      </c>
      <c r="AB301" s="39">
        <v>0.48536689722035553</v>
      </c>
      <c r="AC301" s="39">
        <v>0.48756338547264727</v>
      </c>
      <c r="AD301" s="39">
        <v>0.48063345724799311</v>
      </c>
      <c r="AE301" s="39">
        <v>0.47379441755911761</v>
      </c>
      <c r="AF301" s="40">
        <v>0.48016539757626348</v>
      </c>
    </row>
    <row r="302" spans="1:32">
      <c r="A302" s="15">
        <v>300</v>
      </c>
      <c r="B302" s="16">
        <v>1</v>
      </c>
      <c r="C302" s="20">
        <v>0.03</v>
      </c>
      <c r="D302" s="20">
        <v>0.99642335770206691</v>
      </c>
      <c r="E302" s="20">
        <v>1</v>
      </c>
      <c r="F302" s="8" t="s">
        <v>436</v>
      </c>
      <c r="G302" s="24">
        <v>0.98196256545958149</v>
      </c>
      <c r="H302" s="24">
        <v>0.98764787806067833</v>
      </c>
      <c r="I302" s="25">
        <v>1.0049204914675389</v>
      </c>
      <c r="L302" s="15">
        <v>300</v>
      </c>
      <c r="M302" s="16">
        <v>0</v>
      </c>
      <c r="N302" s="16">
        <v>1</v>
      </c>
      <c r="O302" s="16">
        <v>2</v>
      </c>
      <c r="P302" s="16">
        <v>13</v>
      </c>
      <c r="Q302" s="29">
        <v>36</v>
      </c>
      <c r="R302" s="20">
        <v>0.64780000000000004</v>
      </c>
      <c r="S302" s="32">
        <v>23.320800000000002</v>
      </c>
      <c r="T302" s="35">
        <v>1.43</v>
      </c>
      <c r="U302" s="35">
        <v>0.84</v>
      </c>
      <c r="V302" s="35">
        <v>3.9722222222222221E-2</v>
      </c>
      <c r="W302" s="9" t="s">
        <v>153</v>
      </c>
      <c r="X302" s="15">
        <v>301</v>
      </c>
      <c r="Y302" s="39">
        <v>0.49026684275032728</v>
      </c>
      <c r="Z302" s="39">
        <v>0.50060318487137123</v>
      </c>
      <c r="AA302" s="39">
        <v>0.49046167673484853</v>
      </c>
      <c r="AB302" s="39">
        <v>0.48694956423825908</v>
      </c>
      <c r="AC302" s="39">
        <v>0.48042862598520347</v>
      </c>
      <c r="AD302" s="39">
        <v>0.49458053075938457</v>
      </c>
      <c r="AE302" s="39">
        <v>0.48411770643788732</v>
      </c>
      <c r="AF302" s="40">
        <v>0.48636248710750762</v>
      </c>
    </row>
    <row r="303" spans="1:32">
      <c r="A303" s="15">
        <v>301</v>
      </c>
      <c r="B303" s="16">
        <v>1</v>
      </c>
      <c r="C303" s="20">
        <v>0.02</v>
      </c>
      <c r="D303" s="20">
        <v>0.99917029198757767</v>
      </c>
      <c r="E303" s="20">
        <v>1</v>
      </c>
      <c r="F303" s="8" t="s">
        <v>436</v>
      </c>
      <c r="G303" s="24">
        <v>1.4815998520284597</v>
      </c>
      <c r="H303" s="24">
        <v>1.490177936982827</v>
      </c>
      <c r="I303" s="25">
        <v>1.5162391152475729</v>
      </c>
      <c r="L303" s="15">
        <v>301</v>
      </c>
      <c r="M303" s="16">
        <v>0</v>
      </c>
      <c r="N303" s="16">
        <v>1</v>
      </c>
      <c r="O303" s="16">
        <v>2</v>
      </c>
      <c r="P303" s="16">
        <v>14</v>
      </c>
      <c r="Q303" s="29">
        <v>48</v>
      </c>
      <c r="R303" s="20">
        <v>0.64780000000000004</v>
      </c>
      <c r="S303" s="32">
        <v>31.0944</v>
      </c>
      <c r="T303" s="35">
        <v>2.46</v>
      </c>
      <c r="U303" s="35">
        <v>1.68</v>
      </c>
      <c r="V303" s="35">
        <v>5.1249999999999997E-2</v>
      </c>
      <c r="W303" s="9" t="s">
        <v>154</v>
      </c>
      <c r="X303" s="15">
        <v>302</v>
      </c>
      <c r="Y303" s="39">
        <v>0.47643915739490728</v>
      </c>
      <c r="Z303" s="39">
        <v>0.48281373242412834</v>
      </c>
      <c r="AA303" s="39">
        <v>0.49176463109117335</v>
      </c>
      <c r="AB303" s="39">
        <v>0.48660351339942265</v>
      </c>
      <c r="AC303" s="39">
        <v>0.46619441553155494</v>
      </c>
      <c r="AD303" s="39">
        <v>0.47522212265960662</v>
      </c>
      <c r="AE303" s="39">
        <v>0.48505129565078847</v>
      </c>
      <c r="AF303" s="40">
        <v>0.48169131792453651</v>
      </c>
    </row>
    <row r="304" spans="1:32">
      <c r="A304" s="15">
        <v>302</v>
      </c>
      <c r="B304" s="16">
        <v>0</v>
      </c>
      <c r="C304" s="20">
        <v>0.02</v>
      </c>
      <c r="D304" s="20">
        <v>0.99835916395484214</v>
      </c>
      <c r="E304" s="20">
        <v>1</v>
      </c>
      <c r="F304" s="8" t="s">
        <v>436</v>
      </c>
      <c r="G304" s="24">
        <v>1.0059533063604502</v>
      </c>
      <c r="H304" s="24">
        <v>1.0117775192275562</v>
      </c>
      <c r="I304" s="25">
        <v>1.0294721271253482</v>
      </c>
      <c r="L304" s="15">
        <v>302</v>
      </c>
      <c r="M304" s="16">
        <v>0</v>
      </c>
      <c r="N304" s="16">
        <v>1</v>
      </c>
      <c r="O304" s="16">
        <v>2</v>
      </c>
      <c r="P304" s="16">
        <v>15</v>
      </c>
      <c r="Q304" s="29">
        <v>48</v>
      </c>
      <c r="R304" s="20">
        <v>0.64780000000000004</v>
      </c>
      <c r="S304" s="32">
        <v>31.0944</v>
      </c>
      <c r="T304" s="35">
        <v>1.75</v>
      </c>
      <c r="U304" s="35">
        <v>0.95</v>
      </c>
      <c r="V304" s="35">
        <v>3.6458333333333336E-2</v>
      </c>
      <c r="W304" s="9" t="s">
        <v>153</v>
      </c>
      <c r="X304" s="15">
        <v>303</v>
      </c>
      <c r="Y304" s="39">
        <v>0.49775222615319004</v>
      </c>
      <c r="Z304" s="39">
        <v>0.45940932112335675</v>
      </c>
      <c r="AA304" s="39">
        <v>0.48929710792761061</v>
      </c>
      <c r="AB304" s="39">
        <v>0.49392900709779236</v>
      </c>
      <c r="AC304" s="39">
        <v>0.491649592758026</v>
      </c>
      <c r="AD304" s="39">
        <v>0.45389664727381468</v>
      </c>
      <c r="AE304" s="39">
        <v>0.48195051009020656</v>
      </c>
      <c r="AF304" s="40">
        <v>0.48873624662571713</v>
      </c>
    </row>
    <row r="305" spans="1:32">
      <c r="A305" s="15">
        <v>303</v>
      </c>
      <c r="B305" s="16">
        <v>1</v>
      </c>
      <c r="C305" s="20">
        <v>0.11</v>
      </c>
      <c r="D305" s="20">
        <v>0.910154240107378</v>
      </c>
      <c r="E305" s="20">
        <v>0.44</v>
      </c>
      <c r="F305" s="8" t="s">
        <v>436</v>
      </c>
      <c r="G305" s="24">
        <v>1.2588760611716439</v>
      </c>
      <c r="H305" s="24">
        <v>1.2661646322287785</v>
      </c>
      <c r="I305" s="25">
        <v>1.2883081235354887</v>
      </c>
      <c r="L305" s="15">
        <v>303</v>
      </c>
      <c r="M305" s="16">
        <v>0</v>
      </c>
      <c r="N305" s="16">
        <v>1</v>
      </c>
      <c r="O305" s="16">
        <v>2</v>
      </c>
      <c r="P305" s="16">
        <v>16</v>
      </c>
      <c r="Q305" s="29">
        <v>35</v>
      </c>
      <c r="R305" s="20">
        <v>0.64780000000000004</v>
      </c>
      <c r="S305" s="32">
        <v>22.673000000000002</v>
      </c>
      <c r="T305" s="35">
        <v>1.76</v>
      </c>
      <c r="U305" s="35">
        <v>1.1499999999999999</v>
      </c>
      <c r="V305" s="35">
        <v>5.0285714285714288E-2</v>
      </c>
      <c r="W305" s="9" t="s">
        <v>153</v>
      </c>
      <c r="X305" s="15">
        <v>304</v>
      </c>
      <c r="Y305" s="39">
        <v>0.48924551394076188</v>
      </c>
      <c r="Z305" s="39">
        <v>0.48587530817610047</v>
      </c>
      <c r="AA305" s="39">
        <v>0.48693847308023935</v>
      </c>
      <c r="AB305" s="39">
        <v>0.47917898107833951</v>
      </c>
      <c r="AC305" s="39">
        <v>0.48428426543079384</v>
      </c>
      <c r="AD305" s="39">
        <v>0.47825337644645849</v>
      </c>
      <c r="AE305" s="39">
        <v>0.47900289266384771</v>
      </c>
      <c r="AF305" s="40">
        <v>0.47509020905921251</v>
      </c>
    </row>
    <row r="306" spans="1:32">
      <c r="A306" s="15">
        <v>304</v>
      </c>
      <c r="B306" s="16">
        <v>0</v>
      </c>
      <c r="C306" s="20">
        <v>0.93</v>
      </c>
      <c r="D306" s="20">
        <v>0.18747949848141848</v>
      </c>
      <c r="E306" s="20">
        <v>7.0000000000000007E-2</v>
      </c>
      <c r="F306" s="8" t="s">
        <v>434</v>
      </c>
      <c r="G306" s="24">
        <v>0.52740644752746069</v>
      </c>
      <c r="H306" s="24">
        <v>0.53045999623440576</v>
      </c>
      <c r="I306" s="25">
        <v>0.53973701757601267</v>
      </c>
      <c r="L306" s="15">
        <v>304</v>
      </c>
      <c r="M306" s="16">
        <v>0</v>
      </c>
      <c r="N306" s="16">
        <v>1</v>
      </c>
      <c r="O306" s="16">
        <v>2</v>
      </c>
      <c r="P306" s="16">
        <v>17</v>
      </c>
      <c r="Q306" s="29">
        <v>61</v>
      </c>
      <c r="R306" s="20">
        <v>0.64780000000000004</v>
      </c>
      <c r="S306" s="32">
        <v>39.515800000000006</v>
      </c>
      <c r="T306" s="35">
        <v>3.72</v>
      </c>
      <c r="U306" s="35">
        <v>2.82</v>
      </c>
      <c r="V306" s="35">
        <v>6.098360655737705E-2</v>
      </c>
      <c r="W306" s="9" t="s">
        <v>155</v>
      </c>
      <c r="X306" s="15">
        <v>305</v>
      </c>
      <c r="Y306" s="39">
        <v>0.4885199596806527</v>
      </c>
      <c r="Z306" s="39">
        <v>0.49321539417145932</v>
      </c>
      <c r="AA306" s="39">
        <v>0.48908374545587979</v>
      </c>
      <c r="AB306" s="39">
        <v>0.49113084265749007</v>
      </c>
      <c r="AC306" s="39">
        <v>0.4813184198673241</v>
      </c>
      <c r="AD306" s="39">
        <v>0.48300631490830404</v>
      </c>
      <c r="AE306" s="39">
        <v>0.47965419939794324</v>
      </c>
      <c r="AF306" s="40">
        <v>0.48529725366783816</v>
      </c>
    </row>
    <row r="307" spans="1:32">
      <c r="A307" s="15">
        <v>305</v>
      </c>
      <c r="B307" s="16">
        <v>1</v>
      </c>
      <c r="C307" s="20">
        <v>0.02</v>
      </c>
      <c r="D307" s="20">
        <v>0.99756714174924133</v>
      </c>
      <c r="E307" s="20">
        <v>1</v>
      </c>
      <c r="F307" s="8" t="s">
        <v>436</v>
      </c>
      <c r="G307" s="24">
        <v>1.076892985219456</v>
      </c>
      <c r="H307" s="24">
        <v>1.0831279207192992</v>
      </c>
      <c r="I307" s="25">
        <v>1.1020703497573654</v>
      </c>
      <c r="L307" s="15">
        <v>305</v>
      </c>
      <c r="M307" s="16">
        <v>0</v>
      </c>
      <c r="N307" s="16">
        <v>1</v>
      </c>
      <c r="O307" s="16">
        <v>2</v>
      </c>
      <c r="P307" s="16">
        <v>18</v>
      </c>
      <c r="Q307" s="29">
        <v>60</v>
      </c>
      <c r="R307" s="20">
        <v>0.64780000000000004</v>
      </c>
      <c r="S307" s="32">
        <v>38.868000000000002</v>
      </c>
      <c r="T307" s="35">
        <v>2.72</v>
      </c>
      <c r="U307" s="35">
        <v>1.95</v>
      </c>
      <c r="V307" s="35">
        <v>4.5333333333333337E-2</v>
      </c>
      <c r="W307" s="9" t="s">
        <v>154</v>
      </c>
      <c r="X307" s="15">
        <v>306</v>
      </c>
      <c r="Y307" s="39">
        <v>0.47750540933892954</v>
      </c>
      <c r="Z307" s="39">
        <v>0.48026440638213957</v>
      </c>
      <c r="AA307" s="39">
        <v>0.47665962978713394</v>
      </c>
      <c r="AB307" s="39">
        <v>0.4907258286349383</v>
      </c>
      <c r="AC307" s="39">
        <v>0.47211439838507596</v>
      </c>
      <c r="AD307" s="39">
        <v>0.47254949776230737</v>
      </c>
      <c r="AE307" s="39">
        <v>0.47075222594002425</v>
      </c>
      <c r="AF307" s="40">
        <v>0.4863907277700073</v>
      </c>
    </row>
    <row r="308" spans="1:32">
      <c r="A308" s="15">
        <v>306</v>
      </c>
      <c r="B308" s="16">
        <v>0</v>
      </c>
      <c r="C308" s="20">
        <v>0.31</v>
      </c>
      <c r="D308" s="20">
        <v>0.74836593501967119</v>
      </c>
      <c r="E308" s="20">
        <v>0.49</v>
      </c>
      <c r="F308" s="8" t="s">
        <v>436</v>
      </c>
      <c r="G308" s="24">
        <v>1.3322412486128852</v>
      </c>
      <c r="H308" s="24">
        <v>1.3399545853783197</v>
      </c>
      <c r="I308" s="25">
        <v>1.3633885622542039</v>
      </c>
      <c r="L308" s="15">
        <v>306</v>
      </c>
      <c r="M308" s="16">
        <v>0</v>
      </c>
      <c r="N308" s="16">
        <v>1</v>
      </c>
      <c r="O308" s="16">
        <v>2</v>
      </c>
      <c r="P308" s="16">
        <v>19</v>
      </c>
      <c r="Q308" s="29">
        <v>39</v>
      </c>
      <c r="R308" s="20">
        <v>0.64780000000000004</v>
      </c>
      <c r="S308" s="32">
        <v>25.264200000000002</v>
      </c>
      <c r="T308" s="35">
        <v>1.32</v>
      </c>
      <c r="U308" s="35">
        <v>0.81</v>
      </c>
      <c r="V308" s="35">
        <v>3.3846153846153845E-2</v>
      </c>
      <c r="W308" s="9" t="s">
        <v>153</v>
      </c>
      <c r="X308" s="15">
        <v>307</v>
      </c>
      <c r="Y308" s="39">
        <v>0.48339319808654668</v>
      </c>
      <c r="Z308" s="39">
        <v>0.48106144739315276</v>
      </c>
      <c r="AA308" s="39">
        <v>0.49913584170577729</v>
      </c>
      <c r="AB308" s="39">
        <v>0.4800428481967759</v>
      </c>
      <c r="AC308" s="39">
        <v>0.47748811075875452</v>
      </c>
      <c r="AD308" s="39">
        <v>0.47531726763759152</v>
      </c>
      <c r="AE308" s="39">
        <v>0.49017238330842794</v>
      </c>
      <c r="AF308" s="40">
        <v>0.4749488465726287</v>
      </c>
    </row>
    <row r="309" spans="1:32">
      <c r="A309" s="15">
        <v>307</v>
      </c>
      <c r="B309" s="16">
        <v>0</v>
      </c>
      <c r="C309" s="20">
        <v>0.27</v>
      </c>
      <c r="D309" s="20">
        <v>0.6721371774902517</v>
      </c>
      <c r="E309" s="20">
        <v>0.13</v>
      </c>
      <c r="F309" s="8" t="s">
        <v>436</v>
      </c>
      <c r="G309" s="24">
        <v>1.194228114645407</v>
      </c>
      <c r="H309" s="24">
        <v>1.201142390594002</v>
      </c>
      <c r="I309" s="25">
        <v>1.2221487316394164</v>
      </c>
      <c r="L309" s="15">
        <v>307</v>
      </c>
      <c r="M309" s="16">
        <v>0</v>
      </c>
      <c r="N309" s="16">
        <v>1</v>
      </c>
      <c r="O309" s="16">
        <v>2</v>
      </c>
      <c r="P309" s="16">
        <v>20</v>
      </c>
      <c r="Q309" s="29">
        <v>47</v>
      </c>
      <c r="R309" s="20">
        <v>0.64780000000000004</v>
      </c>
      <c r="S309" s="32">
        <v>30.446600000000004</v>
      </c>
      <c r="T309" s="35">
        <v>3.31</v>
      </c>
      <c r="U309" s="35">
        <v>2.59</v>
      </c>
      <c r="V309" s="35">
        <v>7.0425531914893619E-2</v>
      </c>
      <c r="W309" s="9" t="s">
        <v>155</v>
      </c>
      <c r="X309" s="15">
        <v>308</v>
      </c>
      <c r="Y309" s="39">
        <v>0.48393187534032628</v>
      </c>
      <c r="Z309" s="39">
        <v>0.48875693556382255</v>
      </c>
      <c r="AA309" s="39">
        <v>0.48700727226537893</v>
      </c>
      <c r="AB309" s="39">
        <v>0.48323572183378105</v>
      </c>
      <c r="AC309" s="39">
        <v>0.47830232954973695</v>
      </c>
      <c r="AD309" s="39">
        <v>0.48488217420726321</v>
      </c>
      <c r="AE309" s="39">
        <v>0.48264720182115606</v>
      </c>
      <c r="AF309" s="40">
        <v>0.47930598525641094</v>
      </c>
    </row>
    <row r="310" spans="1:32">
      <c r="A310" s="15">
        <v>308</v>
      </c>
      <c r="B310" s="16">
        <v>1</v>
      </c>
      <c r="C310" s="20">
        <v>0.02</v>
      </c>
      <c r="D310" s="20">
        <v>0.99756714174924133</v>
      </c>
      <c r="E310" s="20">
        <v>1</v>
      </c>
      <c r="F310" s="8" t="s">
        <v>436</v>
      </c>
      <c r="G310" s="24">
        <v>1.1785009735311616</v>
      </c>
      <c r="H310" s="24">
        <v>1.1853241933471694</v>
      </c>
      <c r="I310" s="25">
        <v>1.2060538957120304</v>
      </c>
      <c r="L310" s="15">
        <v>308</v>
      </c>
      <c r="M310" s="16">
        <v>0</v>
      </c>
      <c r="N310" s="16">
        <v>1</v>
      </c>
      <c r="O310" s="16">
        <v>2</v>
      </c>
      <c r="P310" s="16">
        <v>21</v>
      </c>
      <c r="Q310" s="29">
        <v>44</v>
      </c>
      <c r="R310" s="20">
        <v>0.64780000000000004</v>
      </c>
      <c r="S310" s="32">
        <v>28.503200000000003</v>
      </c>
      <c r="T310" s="35">
        <v>2.61</v>
      </c>
      <c r="U310" s="35">
        <v>1.97</v>
      </c>
      <c r="V310" s="35">
        <v>5.9318181818181819E-2</v>
      </c>
      <c r="W310" s="9" t="s">
        <v>154</v>
      </c>
      <c r="X310" s="15">
        <v>309</v>
      </c>
      <c r="Y310" s="39">
        <v>0.48565690211600648</v>
      </c>
      <c r="Z310" s="39">
        <v>0.48101206147099496</v>
      </c>
      <c r="AA310" s="39">
        <v>0.48741964345969663</v>
      </c>
      <c r="AB310" s="39">
        <v>0.4890231483723872</v>
      </c>
      <c r="AC310" s="39">
        <v>0.47839218120396337</v>
      </c>
      <c r="AD310" s="39">
        <v>0.4745397123844225</v>
      </c>
      <c r="AE310" s="39">
        <v>0.47939919413853443</v>
      </c>
      <c r="AF310" s="40">
        <v>0.48608132860061742</v>
      </c>
    </row>
    <row r="311" spans="1:32">
      <c r="A311" s="15">
        <v>309</v>
      </c>
      <c r="B311" s="16">
        <v>1</v>
      </c>
      <c r="C311" s="20">
        <v>0.18</v>
      </c>
      <c r="D311" s="20">
        <v>0.89647927913595671</v>
      </c>
      <c r="E311" s="20">
        <v>0.23</v>
      </c>
      <c r="F311" s="8" t="s">
        <v>436</v>
      </c>
      <c r="G311" s="24">
        <v>1.1227038126842463</v>
      </c>
      <c r="H311" s="24">
        <v>1.1292039811815717</v>
      </c>
      <c r="I311" s="25">
        <v>1.1489522176307154</v>
      </c>
      <c r="L311" s="15">
        <v>309</v>
      </c>
      <c r="M311" s="16">
        <v>0</v>
      </c>
      <c r="N311" s="16">
        <v>1</v>
      </c>
      <c r="O311" s="16">
        <v>2</v>
      </c>
      <c r="P311" s="16">
        <v>22</v>
      </c>
      <c r="Q311" s="29">
        <v>41</v>
      </c>
      <c r="R311" s="20">
        <v>0.64780000000000004</v>
      </c>
      <c r="S311" s="32">
        <v>26.559800000000003</v>
      </c>
      <c r="T311" s="35">
        <v>2.65</v>
      </c>
      <c r="U311" s="35">
        <v>2.06</v>
      </c>
      <c r="V311" s="35">
        <v>6.4634146341463417E-2</v>
      </c>
      <c r="W311" s="9" t="s">
        <v>154</v>
      </c>
      <c r="X311" s="15">
        <v>310</v>
      </c>
      <c r="Y311" s="39">
        <v>0.48541040940126501</v>
      </c>
      <c r="Z311" s="39">
        <v>0.48512934708409178</v>
      </c>
      <c r="AA311" s="39">
        <v>0.49322230047117421</v>
      </c>
      <c r="AB311" s="39">
        <v>0.4831076472832071</v>
      </c>
      <c r="AC311" s="39">
        <v>0.47978500594056206</v>
      </c>
      <c r="AD311" s="39">
        <v>0.47819353426676697</v>
      </c>
      <c r="AE311" s="39">
        <v>0.48763799594156593</v>
      </c>
      <c r="AF311" s="40">
        <v>0.47862883346057422</v>
      </c>
    </row>
    <row r="312" spans="1:32">
      <c r="A312" s="15">
        <v>310</v>
      </c>
      <c r="B312" s="16">
        <v>0</v>
      </c>
      <c r="C312" s="20">
        <v>0.5</v>
      </c>
      <c r="D312" s="20">
        <v>0.47578703171403902</v>
      </c>
      <c r="E312" s="20">
        <v>0.11</v>
      </c>
      <c r="F312" s="8" t="s">
        <v>438</v>
      </c>
      <c r="G312" s="24">
        <v>0.74636010959881982</v>
      </c>
      <c r="H312" s="24">
        <v>0.7506813441196819</v>
      </c>
      <c r="I312" s="25">
        <v>0.76380973626910043</v>
      </c>
      <c r="L312" s="15">
        <v>310</v>
      </c>
      <c r="M312" s="16">
        <v>0</v>
      </c>
      <c r="N312" s="16">
        <v>1</v>
      </c>
      <c r="O312" s="16">
        <v>2</v>
      </c>
      <c r="P312" s="16">
        <v>23</v>
      </c>
      <c r="Q312" s="29">
        <v>46</v>
      </c>
      <c r="R312" s="20">
        <v>0.64780000000000004</v>
      </c>
      <c r="S312" s="32">
        <v>29.798800000000004</v>
      </c>
      <c r="T312" s="35">
        <v>1.44</v>
      </c>
      <c r="U312" s="35">
        <v>0.77</v>
      </c>
      <c r="V312" s="35">
        <v>3.1304347826086952E-2</v>
      </c>
      <c r="W312" s="9" t="s">
        <v>153</v>
      </c>
      <c r="X312" s="15">
        <v>311</v>
      </c>
      <c r="Y312" s="39">
        <v>0.50131382692998239</v>
      </c>
      <c r="Z312" s="39">
        <v>0.49380102669758313</v>
      </c>
      <c r="AA312" s="39">
        <v>0.48244726501250124</v>
      </c>
      <c r="AB312" s="39">
        <v>0.48320496610862096</v>
      </c>
      <c r="AC312" s="39">
        <v>0.49587696443273732</v>
      </c>
      <c r="AD312" s="39">
        <v>0.48710498481341141</v>
      </c>
      <c r="AE312" s="39">
        <v>0.47278529769343991</v>
      </c>
      <c r="AF312" s="40">
        <v>0.47872858819440883</v>
      </c>
    </row>
    <row r="313" spans="1:32">
      <c r="A313" s="15">
        <v>311</v>
      </c>
      <c r="B313" s="16">
        <v>1</v>
      </c>
      <c r="C313" s="20">
        <v>0.92</v>
      </c>
      <c r="D313" s="20">
        <v>0.20258497911151899</v>
      </c>
      <c r="E313" s="20">
        <v>0.08</v>
      </c>
      <c r="F313" s="8" t="s">
        <v>434</v>
      </c>
      <c r="G313" s="24">
        <v>0.49116572890905424</v>
      </c>
      <c r="H313" s="24">
        <v>0.49400945310589944</v>
      </c>
      <c r="I313" s="25">
        <v>0.5026490041973144</v>
      </c>
      <c r="L313" s="15">
        <v>311</v>
      </c>
      <c r="M313" s="16">
        <v>0</v>
      </c>
      <c r="N313" s="16">
        <v>1</v>
      </c>
      <c r="O313" s="16">
        <v>2</v>
      </c>
      <c r="P313" s="16">
        <v>24</v>
      </c>
      <c r="Q313" s="29">
        <v>51</v>
      </c>
      <c r="R313" s="20">
        <v>0.64780000000000004</v>
      </c>
      <c r="S313" s="32">
        <v>33.037800000000004</v>
      </c>
      <c r="T313" s="35">
        <v>5.4</v>
      </c>
      <c r="U313" s="35">
        <v>4.62</v>
      </c>
      <c r="V313" s="35">
        <v>0.10588235294117648</v>
      </c>
      <c r="W313" s="9" t="s">
        <v>156</v>
      </c>
      <c r="X313" s="15">
        <v>312</v>
      </c>
      <c r="Y313" s="39">
        <v>0.47183970723015384</v>
      </c>
      <c r="Z313" s="39">
        <v>0.49172704346583634</v>
      </c>
      <c r="AA313" s="39">
        <v>0.48725900921162713</v>
      </c>
      <c r="AB313" s="39">
        <v>0.48054078234070646</v>
      </c>
      <c r="AC313" s="39">
        <v>0.46451847386050826</v>
      </c>
      <c r="AD313" s="39">
        <v>0.48486043298515175</v>
      </c>
      <c r="AE313" s="39">
        <v>0.4822004903544268</v>
      </c>
      <c r="AF313" s="40">
        <v>0.4761703016586562</v>
      </c>
    </row>
    <row r="314" spans="1:32">
      <c r="A314" s="15">
        <v>312</v>
      </c>
      <c r="B314" s="16">
        <v>1</v>
      </c>
      <c r="C314" s="20">
        <v>0.1</v>
      </c>
      <c r="D314" s="20">
        <v>0.91871975131154904</v>
      </c>
      <c r="E314" s="20">
        <v>0.11</v>
      </c>
      <c r="F314" s="8" t="s">
        <v>436</v>
      </c>
      <c r="G314" s="24">
        <v>0.83071201154299013</v>
      </c>
      <c r="H314" s="24">
        <v>0.83552162204468727</v>
      </c>
      <c r="I314" s="25">
        <v>0.85013375486168741</v>
      </c>
      <c r="L314" s="15">
        <v>312</v>
      </c>
      <c r="M314" s="16">
        <v>0</v>
      </c>
      <c r="N314" s="16">
        <v>1</v>
      </c>
      <c r="O314" s="16">
        <v>2</v>
      </c>
      <c r="P314" s="16">
        <v>25</v>
      </c>
      <c r="Q314" s="29">
        <v>40</v>
      </c>
      <c r="R314" s="20">
        <v>0.64780000000000004</v>
      </c>
      <c r="S314" s="32">
        <v>25.912000000000003</v>
      </c>
      <c r="T314" s="35">
        <v>3.2800000000000002</v>
      </c>
      <c r="U314" s="35">
        <v>2.77</v>
      </c>
      <c r="V314" s="35">
        <v>8.2000000000000003E-2</v>
      </c>
      <c r="W314" s="9" t="s">
        <v>155</v>
      </c>
      <c r="X314" s="15">
        <v>313</v>
      </c>
      <c r="Y314" s="39">
        <v>0.4721522906857013</v>
      </c>
      <c r="Z314" s="39">
        <v>0.4814202271122196</v>
      </c>
      <c r="AA314" s="39">
        <v>0.4936702631274858</v>
      </c>
      <c r="AB314" s="39">
        <v>0.47580631952579555</v>
      </c>
      <c r="AC314" s="39">
        <v>0.46491166969653824</v>
      </c>
      <c r="AD314" s="39">
        <v>0.47333032461422164</v>
      </c>
      <c r="AE314" s="39">
        <v>0.48813151913902936</v>
      </c>
      <c r="AF314" s="40">
        <v>0.47233266896537224</v>
      </c>
    </row>
    <row r="315" spans="1:32">
      <c r="A315" s="15">
        <v>313</v>
      </c>
      <c r="B315" s="16">
        <v>1</v>
      </c>
      <c r="C315" s="20">
        <v>0.38</v>
      </c>
      <c r="D315" s="20">
        <v>0.60167977264232197</v>
      </c>
      <c r="E315" s="20">
        <v>0.08</v>
      </c>
      <c r="F315" s="8" t="s">
        <v>436</v>
      </c>
      <c r="G315" s="24">
        <v>1.407386901137424</v>
      </c>
      <c r="H315" s="24">
        <v>1.4155353120495147</v>
      </c>
      <c r="I315" s="25">
        <v>1.4402910926793484</v>
      </c>
      <c r="L315" s="15">
        <v>313</v>
      </c>
      <c r="M315" s="16">
        <v>0</v>
      </c>
      <c r="N315" s="16">
        <v>1</v>
      </c>
      <c r="O315" s="16">
        <v>2</v>
      </c>
      <c r="P315" s="16">
        <v>26</v>
      </c>
      <c r="Q315" s="29">
        <v>47</v>
      </c>
      <c r="R315" s="20">
        <v>0.64780000000000004</v>
      </c>
      <c r="S315" s="32">
        <v>30.446600000000004</v>
      </c>
      <c r="T315" s="35">
        <v>1.26</v>
      </c>
      <c r="U315" s="35">
        <v>0.64</v>
      </c>
      <c r="V315" s="35">
        <v>2.6808510638297874E-2</v>
      </c>
      <c r="W315" s="9" t="s">
        <v>153</v>
      </c>
      <c r="X315" s="15">
        <v>314</v>
      </c>
      <c r="Y315" s="39">
        <v>0.47584673949647244</v>
      </c>
      <c r="Z315" s="39">
        <v>0.4781065050882024</v>
      </c>
      <c r="AA315" s="39">
        <v>0.4746025489217659</v>
      </c>
      <c r="AB315" s="39">
        <v>0.49654635708385098</v>
      </c>
      <c r="AC315" s="39">
        <v>0.46777178629673161</v>
      </c>
      <c r="AD315" s="39">
        <v>0.47083751328116002</v>
      </c>
      <c r="AE315" s="39">
        <v>0.46818794524663127</v>
      </c>
      <c r="AF315" s="40">
        <v>0.49183914099124526</v>
      </c>
    </row>
    <row r="316" spans="1:32">
      <c r="A316" s="15">
        <v>314</v>
      </c>
      <c r="B316" s="16">
        <v>0</v>
      </c>
      <c r="C316" s="20">
        <v>0.11</v>
      </c>
      <c r="D316" s="20">
        <v>0.87386207400356619</v>
      </c>
      <c r="E316" s="20">
        <v>0.37</v>
      </c>
      <c r="F316" s="8" t="s">
        <v>436</v>
      </c>
      <c r="G316" s="24">
        <v>1.0178003257567958</v>
      </c>
      <c r="H316" s="24">
        <v>1.023693129842171</v>
      </c>
      <c r="I316" s="25">
        <v>1.0415961255067214</v>
      </c>
      <c r="L316" s="15">
        <v>314</v>
      </c>
      <c r="M316" s="16">
        <v>0</v>
      </c>
      <c r="N316" s="16">
        <v>1</v>
      </c>
      <c r="O316" s="16">
        <v>2</v>
      </c>
      <c r="P316" s="16">
        <v>27</v>
      </c>
      <c r="Q316" s="29">
        <v>43</v>
      </c>
      <c r="R316" s="20">
        <v>0.64780000000000004</v>
      </c>
      <c r="S316" s="32">
        <v>27.855400000000003</v>
      </c>
      <c r="T316" s="35">
        <v>1.4000000000000001</v>
      </c>
      <c r="U316" s="35">
        <v>0.83</v>
      </c>
      <c r="V316" s="35">
        <v>3.2558139534883727E-2</v>
      </c>
      <c r="W316" s="9" t="s">
        <v>153</v>
      </c>
      <c r="X316" s="15">
        <v>315</v>
      </c>
      <c r="Y316" s="39">
        <v>0.48534147828414304</v>
      </c>
      <c r="Z316" s="39">
        <v>0.48925192817239316</v>
      </c>
      <c r="AA316" s="39">
        <v>0.48274471430159521</v>
      </c>
      <c r="AB316" s="39">
        <v>0.48355065500408279</v>
      </c>
      <c r="AC316" s="39">
        <v>0.47778444604424275</v>
      </c>
      <c r="AD316" s="39">
        <v>0.4802098621541252</v>
      </c>
      <c r="AE316" s="39">
        <v>0.47651791476212607</v>
      </c>
      <c r="AF316" s="40">
        <v>0.47935807207140174</v>
      </c>
    </row>
    <row r="317" spans="1:32">
      <c r="A317" s="15">
        <v>315</v>
      </c>
      <c r="B317" s="16">
        <v>1</v>
      </c>
      <c r="C317" s="20">
        <v>0.34</v>
      </c>
      <c r="D317" s="20">
        <v>0.69159682624513341</v>
      </c>
      <c r="E317" s="20">
        <v>0.1</v>
      </c>
      <c r="F317" s="8" t="s">
        <v>436</v>
      </c>
      <c r="G317" s="24">
        <v>1.1361022185210508</v>
      </c>
      <c r="H317" s="24">
        <v>1.1426799603681332</v>
      </c>
      <c r="I317" s="25">
        <v>1.1626638733007066</v>
      </c>
      <c r="L317" s="15">
        <v>315</v>
      </c>
      <c r="M317" s="16">
        <v>0</v>
      </c>
      <c r="N317" s="16">
        <v>1</v>
      </c>
      <c r="O317" s="16">
        <v>2</v>
      </c>
      <c r="P317" s="16">
        <v>28</v>
      </c>
      <c r="Q317" s="29">
        <v>57</v>
      </c>
      <c r="R317" s="20">
        <v>0.64780000000000004</v>
      </c>
      <c r="S317" s="32">
        <v>36.924600000000005</v>
      </c>
      <c r="T317" s="35">
        <v>2.72</v>
      </c>
      <c r="U317" s="35">
        <v>1.98</v>
      </c>
      <c r="V317" s="35">
        <v>4.7719298245614036E-2</v>
      </c>
      <c r="W317" s="9" t="s">
        <v>154</v>
      </c>
      <c r="X317" s="15">
        <v>316</v>
      </c>
      <c r="Y317" s="39">
        <v>0.48788501416547458</v>
      </c>
      <c r="Z317" s="39">
        <v>0.48593263256532215</v>
      </c>
      <c r="AA317" s="39">
        <v>0.49384378981466692</v>
      </c>
      <c r="AB317" s="39">
        <v>0.48537148409382463</v>
      </c>
      <c r="AC317" s="39">
        <v>0.48109453586756973</v>
      </c>
      <c r="AD317" s="39">
        <v>0.47712715010318307</v>
      </c>
      <c r="AE317" s="39">
        <v>0.48593347946026566</v>
      </c>
      <c r="AF317" s="40">
        <v>0.48128239866421979</v>
      </c>
    </row>
    <row r="318" spans="1:32">
      <c r="A318" s="15">
        <v>316</v>
      </c>
      <c r="B318" s="16">
        <v>0</v>
      </c>
      <c r="C318" s="20">
        <v>0.92</v>
      </c>
      <c r="D318" s="20">
        <v>0.20258497911151899</v>
      </c>
      <c r="E318" s="20">
        <v>0.08</v>
      </c>
      <c r="F318" s="8" t="s">
        <v>434</v>
      </c>
      <c r="G318" s="24">
        <v>0.57259811171237918</v>
      </c>
      <c r="H318" s="24">
        <v>0.57591330861946199</v>
      </c>
      <c r="I318" s="25">
        <v>0.58598524635822635</v>
      </c>
      <c r="L318" s="15">
        <v>316</v>
      </c>
      <c r="M318" s="16">
        <v>0</v>
      </c>
      <c r="N318" s="16">
        <v>1</v>
      </c>
      <c r="O318" s="16">
        <v>2</v>
      </c>
      <c r="P318" s="16">
        <v>29</v>
      </c>
      <c r="Q318" s="29">
        <v>49</v>
      </c>
      <c r="R318" s="20">
        <v>0.64780000000000004</v>
      </c>
      <c r="S318" s="32">
        <v>31.7422</v>
      </c>
      <c r="T318" s="35">
        <v>3.24</v>
      </c>
      <c r="U318" s="35">
        <v>2.72</v>
      </c>
      <c r="V318" s="35">
        <v>6.6122448979591839E-2</v>
      </c>
      <c r="W318" s="9" t="s">
        <v>155</v>
      </c>
      <c r="X318" s="15">
        <v>317</v>
      </c>
      <c r="Y318" s="39">
        <v>0.50555233352817419</v>
      </c>
      <c r="Z318" s="39">
        <v>0.48485294436486354</v>
      </c>
      <c r="AA318" s="39">
        <v>0.48951898638082775</v>
      </c>
      <c r="AB318" s="39">
        <v>0.50434024844000191</v>
      </c>
      <c r="AC318" s="39">
        <v>0.49814393034553472</v>
      </c>
      <c r="AD318" s="39">
        <v>0.47981287309332749</v>
      </c>
      <c r="AE318" s="39">
        <v>0.48256822143630063</v>
      </c>
      <c r="AF318" s="40">
        <v>0.50000423286402718</v>
      </c>
    </row>
    <row r="319" spans="1:32">
      <c r="A319" s="15">
        <v>317</v>
      </c>
      <c r="B319" s="16">
        <v>1</v>
      </c>
      <c r="C319" s="20">
        <v>0.09</v>
      </c>
      <c r="D319" s="20">
        <v>0.91660813516397044</v>
      </c>
      <c r="E319" s="20">
        <v>0.47</v>
      </c>
      <c r="F319" s="8" t="s">
        <v>436</v>
      </c>
      <c r="G319" s="24">
        <v>0.90480385843902777</v>
      </c>
      <c r="H319" s="24">
        <v>0.91004244182178329</v>
      </c>
      <c r="I319" s="25">
        <v>0.92595784206775766</v>
      </c>
      <c r="L319" s="15">
        <v>317</v>
      </c>
      <c r="M319" s="16">
        <v>0</v>
      </c>
      <c r="N319" s="16">
        <v>1</v>
      </c>
      <c r="O319" s="16">
        <v>2</v>
      </c>
      <c r="P319" s="16">
        <v>30</v>
      </c>
      <c r="Q319" s="29">
        <v>43</v>
      </c>
      <c r="R319" s="20">
        <v>0.64780000000000004</v>
      </c>
      <c r="S319" s="32">
        <v>27.855400000000003</v>
      </c>
      <c r="T319" s="35">
        <v>2.39</v>
      </c>
      <c r="U319" s="35">
        <v>1.81</v>
      </c>
      <c r="V319" s="35">
        <v>5.5581395348837215E-2</v>
      </c>
      <c r="W319" s="9" t="s">
        <v>154</v>
      </c>
      <c r="X319" s="15">
        <v>318</v>
      </c>
      <c r="Y319" s="39">
        <v>0.47618283662120059</v>
      </c>
      <c r="Z319" s="39">
        <v>0.47923873887098462</v>
      </c>
      <c r="AA319" s="39">
        <v>0.48539628132615564</v>
      </c>
      <c r="AB319" s="39">
        <v>0.48394895207623739</v>
      </c>
      <c r="AC319" s="39">
        <v>0.46818218441810028</v>
      </c>
      <c r="AD319" s="39">
        <v>0.47193781206513702</v>
      </c>
      <c r="AE319" s="39">
        <v>0.47665769606058855</v>
      </c>
      <c r="AF319" s="40">
        <v>0.48003397303768097</v>
      </c>
    </row>
    <row r="320" spans="1:32">
      <c r="A320" s="15">
        <v>318</v>
      </c>
      <c r="B320" s="16">
        <v>1</v>
      </c>
      <c r="C320" s="20">
        <v>0.47</v>
      </c>
      <c r="D320" s="20">
        <v>0.56572490264755604</v>
      </c>
      <c r="E320" s="20">
        <v>0.09</v>
      </c>
      <c r="F320" s="8" t="s">
        <v>436</v>
      </c>
      <c r="G320" s="24">
        <v>0.59100007552782341</v>
      </c>
      <c r="H320" s="24">
        <v>0.59442181510816572</v>
      </c>
      <c r="I320" s="25">
        <v>0.60481744136428461</v>
      </c>
      <c r="L320" s="15">
        <v>318</v>
      </c>
      <c r="M320" s="16">
        <v>0</v>
      </c>
      <c r="N320" s="16">
        <v>1</v>
      </c>
      <c r="O320" s="16">
        <v>2</v>
      </c>
      <c r="P320" s="16">
        <v>31</v>
      </c>
      <c r="Q320" s="29">
        <v>42</v>
      </c>
      <c r="R320" s="20">
        <v>0.64780000000000004</v>
      </c>
      <c r="S320" s="32">
        <v>27.207600000000003</v>
      </c>
      <c r="T320" s="35">
        <v>3.18</v>
      </c>
      <c r="U320" s="35">
        <v>2.63</v>
      </c>
      <c r="V320" s="35">
        <v>7.571428571428572E-2</v>
      </c>
      <c r="W320" s="9" t="s">
        <v>155</v>
      </c>
      <c r="X320" s="15">
        <v>319</v>
      </c>
      <c r="Y320" s="39">
        <v>0.48185774529793429</v>
      </c>
      <c r="Z320" s="39">
        <v>0.48025141759713641</v>
      </c>
      <c r="AA320" s="39">
        <v>0.50956263032240667</v>
      </c>
      <c r="AB320" s="39">
        <v>0.48933665354709277</v>
      </c>
      <c r="AC320" s="39">
        <v>0.47636205428972039</v>
      </c>
      <c r="AD320" s="39">
        <v>0.47406421868231424</v>
      </c>
      <c r="AE320" s="39">
        <v>0.50275526182185093</v>
      </c>
      <c r="AF320" s="40">
        <v>0.48568294180129257</v>
      </c>
    </row>
    <row r="321" spans="1:32">
      <c r="A321" s="15">
        <v>319</v>
      </c>
      <c r="B321" s="16">
        <v>0</v>
      </c>
      <c r="C321" s="20">
        <v>0.09</v>
      </c>
      <c r="D321" s="20">
        <v>0.92186995428401808</v>
      </c>
      <c r="E321" s="20">
        <v>0.1</v>
      </c>
      <c r="F321" s="8" t="s">
        <v>436</v>
      </c>
      <c r="G321" s="24">
        <v>0.93593004128298096</v>
      </c>
      <c r="H321" s="24">
        <v>0.94134883731922381</v>
      </c>
      <c r="I321" s="25">
        <v>0.95781174369425648</v>
      </c>
      <c r="L321" s="15">
        <v>319</v>
      </c>
      <c r="M321" s="16">
        <v>0</v>
      </c>
      <c r="N321" s="16">
        <v>1</v>
      </c>
      <c r="O321" s="16">
        <v>2</v>
      </c>
      <c r="P321" s="16">
        <v>32</v>
      </c>
      <c r="Q321" s="29">
        <v>47</v>
      </c>
      <c r="R321" s="20">
        <v>0.64780000000000004</v>
      </c>
      <c r="S321" s="32">
        <v>30.446600000000004</v>
      </c>
      <c r="T321" s="35">
        <v>4.82</v>
      </c>
      <c r="U321" s="35">
        <v>4.24</v>
      </c>
      <c r="V321" s="35">
        <v>0.10255319148936171</v>
      </c>
      <c r="W321" s="9" t="s">
        <v>155</v>
      </c>
      <c r="X321" s="15">
        <v>320</v>
      </c>
      <c r="Y321" s="39">
        <v>0.50316033649913328</v>
      </c>
      <c r="Z321" s="39">
        <v>0.48952619479612869</v>
      </c>
      <c r="AA321" s="39">
        <v>0.48244683604738853</v>
      </c>
      <c r="AB321" s="39">
        <v>0.50083377266585272</v>
      </c>
      <c r="AC321" s="39">
        <v>0.49317171600082371</v>
      </c>
      <c r="AD321" s="39">
        <v>0.48104992145057707</v>
      </c>
      <c r="AE321" s="39">
        <v>0.47439421999267889</v>
      </c>
      <c r="AF321" s="40">
        <v>0.49634352797700965</v>
      </c>
    </row>
    <row r="322" spans="1:32">
      <c r="A322" s="15">
        <v>320</v>
      </c>
      <c r="B322" s="16">
        <v>1</v>
      </c>
      <c r="C322" s="20">
        <v>0.06</v>
      </c>
      <c r="D322" s="20">
        <v>0.93867293264102059</v>
      </c>
      <c r="E322" s="20">
        <v>0.36</v>
      </c>
      <c r="F322" s="8" t="s">
        <v>436</v>
      </c>
      <c r="G322" s="24">
        <v>1.02262558093669</v>
      </c>
      <c r="H322" s="24">
        <v>1.0285463220178761</v>
      </c>
      <c r="I322" s="25">
        <v>1.0465341933897534</v>
      </c>
      <c r="L322" s="15">
        <v>320</v>
      </c>
      <c r="M322" s="16">
        <v>0</v>
      </c>
      <c r="N322" s="16">
        <v>1</v>
      </c>
      <c r="O322" s="16">
        <v>2</v>
      </c>
      <c r="P322" s="16">
        <v>33</v>
      </c>
      <c r="Q322" s="29">
        <v>35</v>
      </c>
      <c r="R322" s="20">
        <v>0.64780000000000004</v>
      </c>
      <c r="S322" s="32">
        <v>22.673000000000002</v>
      </c>
      <c r="T322" s="35">
        <v>1.81</v>
      </c>
      <c r="U322" s="35">
        <v>1.39</v>
      </c>
      <c r="V322" s="35">
        <v>5.1714285714285713E-2</v>
      </c>
      <c r="W322" s="9" t="s">
        <v>153</v>
      </c>
      <c r="X322" s="15">
        <v>321</v>
      </c>
      <c r="Y322" s="39">
        <v>0.48175159734907247</v>
      </c>
      <c r="Z322" s="39">
        <v>0.47244252029801298</v>
      </c>
      <c r="AA322" s="39">
        <v>0.48400385462470452</v>
      </c>
      <c r="AB322" s="39">
        <v>0.48909009205135318</v>
      </c>
      <c r="AC322" s="39">
        <v>0.47717575414865659</v>
      </c>
      <c r="AD322" s="39">
        <v>0.46652601045066866</v>
      </c>
      <c r="AE322" s="39">
        <v>0.47833383188048917</v>
      </c>
      <c r="AF322" s="40">
        <v>0.48315517957747539</v>
      </c>
    </row>
    <row r="323" spans="1:32">
      <c r="A323" s="15">
        <v>321</v>
      </c>
      <c r="B323" s="16">
        <v>0</v>
      </c>
      <c r="C323" s="20">
        <v>0.02</v>
      </c>
      <c r="D323" s="20">
        <v>0.99679477127711513</v>
      </c>
      <c r="E323" s="20">
        <v>1</v>
      </c>
      <c r="F323" s="8" t="s">
        <v>436</v>
      </c>
      <c r="G323" s="24">
        <v>1.0177892451128436</v>
      </c>
      <c r="H323" s="24">
        <v>1.0236819850441186</v>
      </c>
      <c r="I323" s="25">
        <v>1.0415847858013623</v>
      </c>
      <c r="L323" s="15">
        <v>321</v>
      </c>
      <c r="M323" s="16">
        <v>0</v>
      </c>
      <c r="N323" s="16">
        <v>1</v>
      </c>
      <c r="O323" s="16">
        <v>3</v>
      </c>
      <c r="P323" s="16">
        <v>34</v>
      </c>
      <c r="Q323" s="29">
        <v>57</v>
      </c>
      <c r="R323" s="20">
        <v>0.64780000000000004</v>
      </c>
      <c r="S323" s="32">
        <v>36.924600000000005</v>
      </c>
      <c r="T323" s="35">
        <v>2.91</v>
      </c>
      <c r="U323" s="35">
        <v>1.88</v>
      </c>
      <c r="V323" s="35">
        <v>5.105263157894737E-2</v>
      </c>
      <c r="W323" s="9" t="s">
        <v>154</v>
      </c>
      <c r="X323" s="15">
        <v>322</v>
      </c>
      <c r="Y323" s="39">
        <v>0.48611499798624597</v>
      </c>
      <c r="Z323" s="39">
        <v>0.49015134143803385</v>
      </c>
      <c r="AA323" s="39">
        <v>0.494506210210507</v>
      </c>
      <c r="AB323" s="39">
        <v>0.4937698426357246</v>
      </c>
      <c r="AC323" s="39">
        <v>0.47848312896991113</v>
      </c>
      <c r="AD323" s="39">
        <v>0.48055340071289632</v>
      </c>
      <c r="AE323" s="39">
        <v>0.48644439232237513</v>
      </c>
      <c r="AF323" s="40">
        <v>0.49007480265416392</v>
      </c>
    </row>
    <row r="324" spans="1:32">
      <c r="A324" s="15">
        <v>322</v>
      </c>
      <c r="B324" s="16">
        <v>1</v>
      </c>
      <c r="C324" s="20">
        <v>0.52</v>
      </c>
      <c r="D324" s="20">
        <v>0.46685426477871944</v>
      </c>
      <c r="E324" s="20">
        <v>0.08</v>
      </c>
      <c r="F324" s="8" t="s">
        <v>438</v>
      </c>
      <c r="G324" s="24">
        <v>0.54266778499555957</v>
      </c>
      <c r="H324" s="24">
        <v>0.54580969295088022</v>
      </c>
      <c r="I324" s="25">
        <v>0.55535515953819226</v>
      </c>
      <c r="L324" s="15">
        <v>322</v>
      </c>
      <c r="M324" s="16">
        <v>0</v>
      </c>
      <c r="N324" s="16">
        <v>1</v>
      </c>
      <c r="O324" s="16">
        <v>3</v>
      </c>
      <c r="P324" s="16">
        <v>35</v>
      </c>
      <c r="Q324" s="29">
        <v>68</v>
      </c>
      <c r="R324" s="20">
        <v>0.64780000000000004</v>
      </c>
      <c r="S324" s="32">
        <v>44.050400000000003</v>
      </c>
      <c r="T324" s="35">
        <v>2.92</v>
      </c>
      <c r="U324" s="35">
        <v>1.97</v>
      </c>
      <c r="V324" s="35">
        <v>4.2941176470588233E-2</v>
      </c>
      <c r="W324" s="9" t="s">
        <v>154</v>
      </c>
      <c r="X324" s="15">
        <v>323</v>
      </c>
      <c r="Y324" s="39">
        <v>0.49614368399085113</v>
      </c>
      <c r="Z324" s="39">
        <v>0.492989337580168</v>
      </c>
      <c r="AA324" s="39">
        <v>0.48862535637672311</v>
      </c>
      <c r="AB324" s="39">
        <v>0.4791845970084776</v>
      </c>
      <c r="AC324" s="39">
        <v>0.48872175361024806</v>
      </c>
      <c r="AD324" s="39">
        <v>0.48621492870193223</v>
      </c>
      <c r="AE324" s="39">
        <v>0.48085192739759852</v>
      </c>
      <c r="AF324" s="40">
        <v>0.47552192199493826</v>
      </c>
    </row>
    <row r="325" spans="1:32">
      <c r="A325" s="15">
        <v>323</v>
      </c>
      <c r="B325" s="16">
        <v>0</v>
      </c>
      <c r="C325" s="20">
        <v>0.31</v>
      </c>
      <c r="D325" s="20">
        <v>0.87566222308979469</v>
      </c>
      <c r="E325" s="20">
        <v>0.01</v>
      </c>
      <c r="F325" s="8" t="s">
        <v>436</v>
      </c>
      <c r="G325" s="24">
        <v>0.62169946388852682</v>
      </c>
      <c r="H325" s="24">
        <v>0.62529894509124084</v>
      </c>
      <c r="I325" s="25">
        <v>0.63623457020845009</v>
      </c>
      <c r="L325" s="15">
        <v>323</v>
      </c>
      <c r="M325" s="16">
        <v>0</v>
      </c>
      <c r="N325" s="16">
        <v>1</v>
      </c>
      <c r="O325" s="16">
        <v>3</v>
      </c>
      <c r="P325" s="16">
        <v>36</v>
      </c>
      <c r="Q325" s="29">
        <v>73</v>
      </c>
      <c r="R325" s="20">
        <v>0.64780000000000004</v>
      </c>
      <c r="S325" s="32">
        <v>47.289400000000001</v>
      </c>
      <c r="T325" s="35">
        <v>2.62</v>
      </c>
      <c r="U325" s="35">
        <v>1.41</v>
      </c>
      <c r="V325" s="35">
        <v>3.5890410958904113E-2</v>
      </c>
      <c r="W325" s="9" t="s">
        <v>154</v>
      </c>
      <c r="X325" s="15">
        <v>324</v>
      </c>
      <c r="Y325" s="39">
        <v>0.5055380931433906</v>
      </c>
      <c r="Z325" s="39">
        <v>0.48785683640284411</v>
      </c>
      <c r="AA325" s="39">
        <v>0.4881581345421655</v>
      </c>
      <c r="AB325" s="39">
        <v>0.47323778708197251</v>
      </c>
      <c r="AC325" s="39">
        <v>0.49777508535292125</v>
      </c>
      <c r="AD325" s="39">
        <v>0.47931827656506842</v>
      </c>
      <c r="AE325" s="39">
        <v>0.47772846707137789</v>
      </c>
      <c r="AF325" s="40">
        <v>0.46811008148083466</v>
      </c>
    </row>
    <row r="326" spans="1:32">
      <c r="A326" s="15">
        <v>324</v>
      </c>
      <c r="B326" s="16">
        <v>0</v>
      </c>
      <c r="C326" s="20">
        <v>0.14000000000000001</v>
      </c>
      <c r="D326" s="20">
        <v>0.89890204572522903</v>
      </c>
      <c r="E326" s="20">
        <v>0.09</v>
      </c>
      <c r="F326" s="8" t="s">
        <v>436</v>
      </c>
      <c r="G326" s="24">
        <v>0.89482290130635833</v>
      </c>
      <c r="H326" s="24">
        <v>0.90000369749502573</v>
      </c>
      <c r="I326" s="25">
        <v>0.91574353380399576</v>
      </c>
      <c r="L326" s="15">
        <v>324</v>
      </c>
      <c r="M326" s="16">
        <v>0</v>
      </c>
      <c r="N326" s="16">
        <v>1</v>
      </c>
      <c r="O326" s="16">
        <v>3</v>
      </c>
      <c r="P326" s="16">
        <v>37</v>
      </c>
      <c r="Q326" s="29">
        <v>63</v>
      </c>
      <c r="R326" s="20">
        <v>0.64780000000000004</v>
      </c>
      <c r="S326" s="32">
        <v>40.811400000000006</v>
      </c>
      <c r="T326" s="35">
        <v>1.9100000000000001</v>
      </c>
      <c r="U326" s="35">
        <v>1</v>
      </c>
      <c r="V326" s="35">
        <v>3.0317460317460319E-2</v>
      </c>
      <c r="W326" s="9" t="s">
        <v>153</v>
      </c>
      <c r="X326" s="15">
        <v>325</v>
      </c>
      <c r="Y326" s="39">
        <v>0.48505317187436775</v>
      </c>
      <c r="Z326" s="39">
        <v>0.47413508597114323</v>
      </c>
      <c r="AA326" s="39">
        <v>0.49234072295199843</v>
      </c>
      <c r="AB326" s="39">
        <v>0.48689499056734215</v>
      </c>
      <c r="AC326" s="39">
        <v>0.47836868206854438</v>
      </c>
      <c r="AD326" s="39">
        <v>0.46910519509189186</v>
      </c>
      <c r="AE326" s="39">
        <v>0.48656775499734256</v>
      </c>
      <c r="AF326" s="40">
        <v>0.48068862096651432</v>
      </c>
    </row>
    <row r="327" spans="1:32">
      <c r="A327" s="15">
        <v>325</v>
      </c>
      <c r="B327" s="16">
        <v>1</v>
      </c>
      <c r="C327" s="20">
        <v>0.02</v>
      </c>
      <c r="D327" s="20">
        <v>0.99917029198757767</v>
      </c>
      <c r="E327" s="20">
        <v>1</v>
      </c>
      <c r="F327" s="8" t="s">
        <v>436</v>
      </c>
      <c r="G327" s="24">
        <v>0.99922720766848272</v>
      </c>
      <c r="H327" s="24">
        <v>1.0050124781410468</v>
      </c>
      <c r="I327" s="25">
        <v>1.0225887747034281</v>
      </c>
      <c r="L327" s="15">
        <v>325</v>
      </c>
      <c r="M327" s="16">
        <v>0</v>
      </c>
      <c r="N327" s="16">
        <v>1</v>
      </c>
      <c r="O327" s="16">
        <v>3</v>
      </c>
      <c r="P327" s="16">
        <v>38</v>
      </c>
      <c r="Q327" s="29">
        <v>67</v>
      </c>
      <c r="R327" s="20">
        <v>0.64780000000000004</v>
      </c>
      <c r="S327" s="32">
        <v>43.4026</v>
      </c>
      <c r="T327" s="35">
        <v>4.51</v>
      </c>
      <c r="U327" s="35">
        <v>3.46</v>
      </c>
      <c r="V327" s="35">
        <v>6.7313432835820891E-2</v>
      </c>
      <c r="W327" s="9" t="s">
        <v>155</v>
      </c>
      <c r="X327" s="15">
        <v>326</v>
      </c>
      <c r="Y327" s="39">
        <v>0.47353771231684971</v>
      </c>
      <c r="Z327" s="39">
        <v>0.48960641168386487</v>
      </c>
      <c r="AA327" s="39">
        <v>0.49840319003361921</v>
      </c>
      <c r="AB327" s="39">
        <v>0.48883326463788268</v>
      </c>
      <c r="AC327" s="39">
        <v>0.46742337294716885</v>
      </c>
      <c r="AD327" s="39">
        <v>0.47975975040042934</v>
      </c>
      <c r="AE327" s="39">
        <v>0.49116607120545247</v>
      </c>
      <c r="AF327" s="40">
        <v>0.48392060171047746</v>
      </c>
    </row>
    <row r="328" spans="1:32">
      <c r="A328" s="15">
        <v>326</v>
      </c>
      <c r="B328" s="16">
        <v>1</v>
      </c>
      <c r="C328" s="20">
        <v>0.02</v>
      </c>
      <c r="D328" s="20">
        <v>0.99679477127711513</v>
      </c>
      <c r="E328" s="20">
        <v>1</v>
      </c>
      <c r="F328" s="8" t="s">
        <v>436</v>
      </c>
      <c r="G328" s="24">
        <v>1.0329371278745181</v>
      </c>
      <c r="H328" s="24">
        <v>1.0389175701803786</v>
      </c>
      <c r="I328" s="25">
        <v>1.0570868205275334</v>
      </c>
      <c r="L328" s="15">
        <v>326</v>
      </c>
      <c r="M328" s="16">
        <v>0</v>
      </c>
      <c r="N328" s="16">
        <v>1</v>
      </c>
      <c r="O328" s="16">
        <v>3</v>
      </c>
      <c r="P328" s="16">
        <v>39</v>
      </c>
      <c r="Q328" s="29">
        <v>69</v>
      </c>
      <c r="R328" s="20">
        <v>0.64780000000000004</v>
      </c>
      <c r="S328" s="32">
        <v>44.6982</v>
      </c>
      <c r="T328" s="35">
        <v>3</v>
      </c>
      <c r="U328" s="35">
        <v>2.1</v>
      </c>
      <c r="V328" s="35">
        <v>4.3478260869565216E-2</v>
      </c>
      <c r="W328" s="9" t="s">
        <v>155</v>
      </c>
      <c r="X328" s="15">
        <v>327</v>
      </c>
      <c r="Y328" s="39">
        <v>0.48916567376824227</v>
      </c>
      <c r="Z328" s="39">
        <v>0.47497380994682648</v>
      </c>
      <c r="AA328" s="39">
        <v>0.50088320892379123</v>
      </c>
      <c r="AB328" s="39">
        <v>0.49246482915042139</v>
      </c>
      <c r="AC328" s="39">
        <v>0.48075056732622079</v>
      </c>
      <c r="AD328" s="39">
        <v>0.47190525206516126</v>
      </c>
      <c r="AE328" s="39">
        <v>0.49368132407460275</v>
      </c>
      <c r="AF328" s="40">
        <v>0.48574479130112391</v>
      </c>
    </row>
    <row r="329" spans="1:32">
      <c r="A329" s="15">
        <v>327</v>
      </c>
      <c r="B329" s="16">
        <v>0</v>
      </c>
      <c r="C329" s="20">
        <v>0.35</v>
      </c>
      <c r="D329" s="20">
        <v>0.63225181370072903</v>
      </c>
      <c r="E329" s="20">
        <v>0.05</v>
      </c>
      <c r="F329" s="8" t="s">
        <v>436</v>
      </c>
      <c r="G329" s="24">
        <v>1.0964623105861344</v>
      </c>
      <c r="H329" s="24">
        <v>1.1028105474846415</v>
      </c>
      <c r="I329" s="25">
        <v>1.1220971988012154</v>
      </c>
      <c r="L329" s="15">
        <v>327</v>
      </c>
      <c r="M329" s="16">
        <v>0</v>
      </c>
      <c r="N329" s="16">
        <v>1</v>
      </c>
      <c r="O329" s="16">
        <v>3</v>
      </c>
      <c r="P329" s="16">
        <v>40</v>
      </c>
      <c r="Q329" s="29">
        <v>60</v>
      </c>
      <c r="R329" s="20">
        <v>0.64780000000000004</v>
      </c>
      <c r="S329" s="32">
        <v>38.868000000000002</v>
      </c>
      <c r="T329" s="35">
        <v>3.67</v>
      </c>
      <c r="U329" s="35">
        <v>2.77</v>
      </c>
      <c r="V329" s="35">
        <v>6.1166666666666668E-2</v>
      </c>
      <c r="W329" s="9" t="s">
        <v>155</v>
      </c>
      <c r="X329" s="15">
        <v>328</v>
      </c>
      <c r="Y329" s="39">
        <v>0.49172210584650888</v>
      </c>
      <c r="Z329" s="39">
        <v>0.49047413404882134</v>
      </c>
      <c r="AA329" s="39">
        <v>0.47378558971004592</v>
      </c>
      <c r="AB329" s="39">
        <v>0.50395158092235159</v>
      </c>
      <c r="AC329" s="39">
        <v>0.48701185047453921</v>
      </c>
      <c r="AD329" s="39">
        <v>0.4839591529414638</v>
      </c>
      <c r="AE329" s="39">
        <v>0.46465629934241071</v>
      </c>
      <c r="AF329" s="40">
        <v>0.50172448603988429</v>
      </c>
    </row>
    <row r="330" spans="1:32">
      <c r="A330" s="15">
        <v>328</v>
      </c>
      <c r="B330" s="16">
        <v>0</v>
      </c>
      <c r="C330" s="20">
        <v>0.94</v>
      </c>
      <c r="D330" s="20">
        <v>0.17188516685452584</v>
      </c>
      <c r="E330" s="20">
        <v>0.06</v>
      </c>
      <c r="F330" s="8" t="s">
        <v>434</v>
      </c>
      <c r="G330" s="24">
        <v>0.79441945419067805</v>
      </c>
      <c r="H330" s="24">
        <v>0.79901894004923824</v>
      </c>
      <c r="I330" s="25">
        <v>0.81299269077842473</v>
      </c>
      <c r="L330" s="15">
        <v>328</v>
      </c>
      <c r="M330" s="16">
        <v>0</v>
      </c>
      <c r="N330" s="16">
        <v>1</v>
      </c>
      <c r="O330" s="16">
        <v>3</v>
      </c>
      <c r="P330" s="16">
        <v>41</v>
      </c>
      <c r="Q330" s="29">
        <v>78</v>
      </c>
      <c r="R330" s="20">
        <v>0.64780000000000004</v>
      </c>
      <c r="S330" s="32">
        <v>50.528400000000005</v>
      </c>
      <c r="T330" s="35">
        <v>5.8</v>
      </c>
      <c r="U330" s="35">
        <v>4.7</v>
      </c>
      <c r="V330" s="35">
        <v>7.4358974358974358E-2</v>
      </c>
      <c r="W330" s="9" t="s">
        <v>156</v>
      </c>
      <c r="X330" s="15">
        <v>329</v>
      </c>
      <c r="Y330" s="39">
        <v>0.48323891020516985</v>
      </c>
      <c r="Z330" s="39">
        <v>0.47388383626657321</v>
      </c>
      <c r="AA330" s="39">
        <v>0.4968933757059254</v>
      </c>
      <c r="AB330" s="39">
        <v>0.49017825734702014</v>
      </c>
      <c r="AC330" s="39">
        <v>0.47708971015458423</v>
      </c>
      <c r="AD330" s="39">
        <v>0.46893038377256496</v>
      </c>
      <c r="AE330" s="39">
        <v>0.49096655384372384</v>
      </c>
      <c r="AF330" s="40">
        <v>0.4844849273718595</v>
      </c>
    </row>
    <row r="331" spans="1:32">
      <c r="A331" s="15">
        <v>329</v>
      </c>
      <c r="B331" s="16">
        <v>1</v>
      </c>
      <c r="C331" s="20">
        <v>0.12</v>
      </c>
      <c r="D331" s="20">
        <v>0.88657619881577154</v>
      </c>
      <c r="E331" s="20">
        <v>0.46</v>
      </c>
      <c r="F331" s="8" t="s">
        <v>436</v>
      </c>
      <c r="G331" s="24">
        <v>1.4013340188429204</v>
      </c>
      <c r="H331" s="24">
        <v>1.409447385111567</v>
      </c>
      <c r="I331" s="25">
        <v>1.4340966962082966</v>
      </c>
      <c r="L331" s="15">
        <v>329</v>
      </c>
      <c r="M331" s="16">
        <v>0</v>
      </c>
      <c r="N331" s="16">
        <v>1</v>
      </c>
      <c r="O331" s="16">
        <v>3</v>
      </c>
      <c r="P331" s="16">
        <v>42</v>
      </c>
      <c r="Q331" s="29">
        <v>59</v>
      </c>
      <c r="R331" s="20">
        <v>0.64780000000000004</v>
      </c>
      <c r="S331" s="32">
        <v>38.220200000000006</v>
      </c>
      <c r="T331" s="35">
        <v>3.77</v>
      </c>
      <c r="U331" s="35">
        <v>2.97</v>
      </c>
      <c r="V331" s="35">
        <v>6.3898305084745768E-2</v>
      </c>
      <c r="W331" s="9" t="s">
        <v>155</v>
      </c>
      <c r="X331" s="15">
        <v>330</v>
      </c>
      <c r="Y331" s="39">
        <v>0.47773970062735371</v>
      </c>
      <c r="Z331" s="39">
        <v>0.4783299609215263</v>
      </c>
      <c r="AA331" s="39">
        <v>0.47360315030986866</v>
      </c>
      <c r="AB331" s="39">
        <v>0.49731378871926846</v>
      </c>
      <c r="AC331" s="39">
        <v>0.47198301009169497</v>
      </c>
      <c r="AD331" s="39">
        <v>0.47143627380016057</v>
      </c>
      <c r="AE331" s="39">
        <v>0.46635308532344938</v>
      </c>
      <c r="AF331" s="40">
        <v>0.49393461639922281</v>
      </c>
    </row>
    <row r="332" spans="1:32">
      <c r="A332" s="15">
        <v>330</v>
      </c>
      <c r="B332" s="16">
        <v>1</v>
      </c>
      <c r="C332" s="20">
        <v>0.93</v>
      </c>
      <c r="D332" s="20">
        <v>0.18747949848141848</v>
      </c>
      <c r="E332" s="20">
        <v>7.0000000000000007E-2</v>
      </c>
      <c r="F332" s="8" t="s">
        <v>434</v>
      </c>
      <c r="G332" s="24">
        <v>2.4978243811755676</v>
      </c>
      <c r="H332" s="24">
        <v>2.3557193791407478</v>
      </c>
      <c r="I332" s="25">
        <v>1.6578926537592125</v>
      </c>
      <c r="L332" s="15">
        <v>330</v>
      </c>
      <c r="M332" s="16">
        <v>0</v>
      </c>
      <c r="N332" s="16">
        <v>1</v>
      </c>
      <c r="O332" s="16">
        <v>3</v>
      </c>
      <c r="P332" s="16">
        <v>43</v>
      </c>
      <c r="Q332" s="29">
        <v>65</v>
      </c>
      <c r="R332" s="20">
        <v>0.64780000000000004</v>
      </c>
      <c r="S332" s="32">
        <v>42.106999999999999</v>
      </c>
      <c r="T332" s="35">
        <v>7.28</v>
      </c>
      <c r="U332" s="35">
        <v>6.37</v>
      </c>
      <c r="V332" s="35">
        <v>0.112</v>
      </c>
      <c r="W332" s="9" t="s">
        <v>156</v>
      </c>
      <c r="X332" s="15">
        <v>331</v>
      </c>
      <c r="Y332" s="39">
        <v>0.48036312903277689</v>
      </c>
      <c r="Z332" s="39">
        <v>0.47695471537802281</v>
      </c>
      <c r="AA332" s="39">
        <v>0.47992931346185175</v>
      </c>
      <c r="AB332" s="39">
        <v>0.4835504610828143</v>
      </c>
      <c r="AC332" s="39">
        <v>0.47467418741268957</v>
      </c>
      <c r="AD332" s="39">
        <v>0.46708651523068073</v>
      </c>
      <c r="AE332" s="39">
        <v>0.47499982720158224</v>
      </c>
      <c r="AF332" s="40">
        <v>0.4793589716802566</v>
      </c>
    </row>
    <row r="333" spans="1:32">
      <c r="A333" s="15">
        <v>331</v>
      </c>
      <c r="B333" s="16">
        <v>0</v>
      </c>
      <c r="C333" s="20">
        <v>0.02</v>
      </c>
      <c r="D333" s="20">
        <v>0.99679477127711513</v>
      </c>
      <c r="E333" s="20">
        <v>1</v>
      </c>
      <c r="F333" s="8" t="s">
        <v>436</v>
      </c>
      <c r="G333" s="24">
        <v>1.0218625609556518</v>
      </c>
      <c r="H333" s="24">
        <v>1.0277788843459139</v>
      </c>
      <c r="I333" s="25">
        <v>1.0457533342803376</v>
      </c>
      <c r="L333" s="15">
        <v>331</v>
      </c>
      <c r="M333" s="16">
        <v>0</v>
      </c>
      <c r="N333" s="16">
        <v>1</v>
      </c>
      <c r="O333" s="16">
        <v>3</v>
      </c>
      <c r="P333" s="16">
        <v>44</v>
      </c>
      <c r="Q333" s="29">
        <v>70</v>
      </c>
      <c r="R333" s="20">
        <v>0.64780000000000004</v>
      </c>
      <c r="S333" s="32">
        <v>45.346000000000004</v>
      </c>
      <c r="T333" s="35">
        <v>3.2800000000000002</v>
      </c>
      <c r="U333" s="35">
        <v>2.2799999999999998</v>
      </c>
      <c r="V333" s="35">
        <v>4.6857142857142861E-2</v>
      </c>
      <c r="W333" s="9" t="s">
        <v>155</v>
      </c>
      <c r="X333" s="15">
        <v>332</v>
      </c>
      <c r="Y333" s="39">
        <v>0.4800563067625383</v>
      </c>
      <c r="Z333" s="39">
        <v>0.47277037227810764</v>
      </c>
      <c r="AA333" s="39">
        <v>0.50001615091440166</v>
      </c>
      <c r="AB333" s="39">
        <v>0.48625014867304844</v>
      </c>
      <c r="AC333" s="39">
        <v>0.47424948831976305</v>
      </c>
      <c r="AD333" s="39">
        <v>0.46934940096306405</v>
      </c>
      <c r="AE333" s="39">
        <v>0.4905615147264924</v>
      </c>
      <c r="AF333" s="40">
        <v>0.48420266420645319</v>
      </c>
    </row>
    <row r="334" spans="1:32">
      <c r="A334" s="15">
        <v>332</v>
      </c>
      <c r="B334" s="16">
        <v>1</v>
      </c>
      <c r="C334" s="20">
        <v>0.42</v>
      </c>
      <c r="D334" s="20">
        <v>0.58378495442043832</v>
      </c>
      <c r="E334" s="20">
        <v>0.08</v>
      </c>
      <c r="F334" s="8" t="s">
        <v>436</v>
      </c>
      <c r="G334" s="24">
        <v>1.725568377920027</v>
      </c>
      <c r="H334" s="24">
        <v>1.7355589783646086</v>
      </c>
      <c r="I334" s="25">
        <v>1.6578926537592125</v>
      </c>
      <c r="L334" s="15">
        <v>332</v>
      </c>
      <c r="M334" s="16">
        <v>0</v>
      </c>
      <c r="N334" s="16">
        <v>1</v>
      </c>
      <c r="O334" s="16">
        <v>3</v>
      </c>
      <c r="P334" s="16">
        <v>45</v>
      </c>
      <c r="Q334" s="29">
        <v>68</v>
      </c>
      <c r="R334" s="20">
        <v>0.64780000000000004</v>
      </c>
      <c r="S334" s="32">
        <v>44.050400000000003</v>
      </c>
      <c r="T334" s="35">
        <v>3.25</v>
      </c>
      <c r="U334" s="35">
        <v>2.25</v>
      </c>
      <c r="V334" s="35">
        <v>4.779411764705882E-2</v>
      </c>
      <c r="W334" s="9" t="s">
        <v>155</v>
      </c>
      <c r="X334" s="15">
        <v>333</v>
      </c>
      <c r="Y334" s="39">
        <v>0.48669197954667576</v>
      </c>
      <c r="Z334" s="39">
        <v>0.47049374532459109</v>
      </c>
      <c r="AA334" s="39">
        <v>0.48151365365962029</v>
      </c>
      <c r="AB334" s="39">
        <v>0.46969836194638009</v>
      </c>
      <c r="AC334" s="39">
        <v>0.47894717854209412</v>
      </c>
      <c r="AD334" s="39">
        <v>0.46408876010071792</v>
      </c>
      <c r="AE334" s="39">
        <v>0.47760642717214152</v>
      </c>
      <c r="AF334" s="40">
        <v>0.46523859348146313</v>
      </c>
    </row>
    <row r="335" spans="1:32">
      <c r="A335" s="15">
        <v>333</v>
      </c>
      <c r="B335" s="16">
        <v>1</v>
      </c>
      <c r="C335" s="20">
        <v>0.02</v>
      </c>
      <c r="D335" s="20">
        <v>0.99917029198757767</v>
      </c>
      <c r="E335" s="20">
        <v>1</v>
      </c>
      <c r="F335" s="8" t="s">
        <v>436</v>
      </c>
      <c r="G335" s="24">
        <v>1.0104564717392903</v>
      </c>
      <c r="H335" s="24">
        <v>1.016306756784475</v>
      </c>
      <c r="I335" s="25">
        <v>1.0340805748654571</v>
      </c>
      <c r="L335" s="15">
        <v>333</v>
      </c>
      <c r="M335" s="16">
        <v>0</v>
      </c>
      <c r="N335" s="16">
        <v>1</v>
      </c>
      <c r="O335" s="16">
        <v>3</v>
      </c>
      <c r="P335" s="16">
        <v>46</v>
      </c>
      <c r="Q335" s="29">
        <v>62</v>
      </c>
      <c r="R335" s="20">
        <v>0.64780000000000004</v>
      </c>
      <c r="S335" s="32">
        <v>40.163600000000002</v>
      </c>
      <c r="T335" s="35">
        <v>6.3</v>
      </c>
      <c r="U335" s="35">
        <v>5.33</v>
      </c>
      <c r="V335" s="35">
        <v>0.10161290322580645</v>
      </c>
      <c r="W335" s="9" t="s">
        <v>156</v>
      </c>
      <c r="X335" s="15">
        <v>334</v>
      </c>
      <c r="Y335" s="39">
        <v>0.48442967068442566</v>
      </c>
      <c r="Z335" s="39">
        <v>0.48568438871787339</v>
      </c>
      <c r="AA335" s="39">
        <v>0.497230617134158</v>
      </c>
      <c r="AB335" s="39">
        <v>0.49260816476820235</v>
      </c>
      <c r="AC335" s="39">
        <v>0.47821848022264318</v>
      </c>
      <c r="AD335" s="39">
        <v>0.47769781222002533</v>
      </c>
      <c r="AE335" s="39">
        <v>0.4879622276411027</v>
      </c>
      <c r="AF335" s="40">
        <v>0.48883365538942208</v>
      </c>
    </row>
    <row r="336" spans="1:32">
      <c r="A336" s="15">
        <v>334</v>
      </c>
      <c r="B336" s="16">
        <v>1</v>
      </c>
      <c r="C336" s="20">
        <v>0.02</v>
      </c>
      <c r="D336" s="20">
        <v>0.99917029198757767</v>
      </c>
      <c r="E336" s="20">
        <v>1</v>
      </c>
      <c r="F336" s="8" t="s">
        <v>436</v>
      </c>
      <c r="G336" s="24">
        <v>0.9646728337584668</v>
      </c>
      <c r="H336" s="24">
        <v>0.9702580432263409</v>
      </c>
      <c r="I336" s="25">
        <v>0.98722653215627509</v>
      </c>
      <c r="L336" s="15">
        <v>334</v>
      </c>
      <c r="M336" s="16">
        <v>0</v>
      </c>
      <c r="N336" s="16">
        <v>1</v>
      </c>
      <c r="O336" s="16">
        <v>3</v>
      </c>
      <c r="P336" s="16">
        <v>47</v>
      </c>
      <c r="Q336" s="29">
        <v>65</v>
      </c>
      <c r="R336" s="20">
        <v>0.64780000000000004</v>
      </c>
      <c r="S336" s="32">
        <v>42.106999999999999</v>
      </c>
      <c r="T336" s="35">
        <v>2.27</v>
      </c>
      <c r="U336" s="35">
        <v>1.37</v>
      </c>
      <c r="V336" s="35">
        <v>3.4923076923076925E-2</v>
      </c>
      <c r="W336" s="9" t="s">
        <v>154</v>
      </c>
      <c r="X336" s="15">
        <v>335</v>
      </c>
      <c r="Y336" s="39">
        <v>0.48938487166999561</v>
      </c>
      <c r="Z336" s="39">
        <v>0.4934590067768802</v>
      </c>
      <c r="AA336" s="39">
        <v>0.4738515397447024</v>
      </c>
      <c r="AB336" s="39">
        <v>0.47264119200961935</v>
      </c>
      <c r="AC336" s="39">
        <v>0.48472883497168662</v>
      </c>
      <c r="AD336" s="39">
        <v>0.48446717695680613</v>
      </c>
      <c r="AE336" s="39">
        <v>0.46931027571389355</v>
      </c>
      <c r="AF336" s="40">
        <v>0.46983091641409952</v>
      </c>
    </row>
    <row r="337" spans="1:32">
      <c r="A337" s="15">
        <v>335</v>
      </c>
      <c r="B337" s="16">
        <v>0</v>
      </c>
      <c r="C337" s="20">
        <v>0.2</v>
      </c>
      <c r="D337" s="20">
        <v>0.78996044745255234</v>
      </c>
      <c r="E337" s="20">
        <v>0.1</v>
      </c>
      <c r="F337" s="8" t="s">
        <v>436</v>
      </c>
      <c r="G337" s="24">
        <v>0.96561039163905782</v>
      </c>
      <c r="H337" s="24">
        <v>0.97120102932774233</v>
      </c>
      <c r="I337" s="25">
        <v>0.98818600979756566</v>
      </c>
      <c r="L337" s="15">
        <v>335</v>
      </c>
      <c r="M337" s="16">
        <v>0</v>
      </c>
      <c r="N337" s="16">
        <v>1</v>
      </c>
      <c r="O337" s="16">
        <v>3</v>
      </c>
      <c r="P337" s="16">
        <v>48</v>
      </c>
      <c r="Q337" s="29">
        <v>58</v>
      </c>
      <c r="R337" s="20">
        <v>0.64780000000000004</v>
      </c>
      <c r="S337" s="32">
        <v>37.572400000000002</v>
      </c>
      <c r="T337" s="35">
        <v>1.85</v>
      </c>
      <c r="U337" s="35">
        <v>1</v>
      </c>
      <c r="V337" s="35">
        <v>3.1896551724137932E-2</v>
      </c>
      <c r="W337" s="9" t="s">
        <v>153</v>
      </c>
      <c r="X337" s="15">
        <v>336</v>
      </c>
      <c r="Y337" s="39">
        <v>0.48056871422648495</v>
      </c>
      <c r="Z337" s="39">
        <v>0.4857536254465819</v>
      </c>
      <c r="AA337" s="39">
        <v>0.48457384162542916</v>
      </c>
      <c r="AB337" s="39">
        <v>0.48272175537206075</v>
      </c>
      <c r="AC337" s="39">
        <v>0.47391466760918738</v>
      </c>
      <c r="AD337" s="39">
        <v>0.47620873183294304</v>
      </c>
      <c r="AE337" s="39">
        <v>0.47484294411296063</v>
      </c>
      <c r="AF337" s="40">
        <v>0.47849618912881337</v>
      </c>
    </row>
    <row r="338" spans="1:32">
      <c r="A338" s="15">
        <v>336</v>
      </c>
      <c r="B338" s="16">
        <v>0</v>
      </c>
      <c r="C338" s="20">
        <v>0.09</v>
      </c>
      <c r="D338" s="20">
        <v>0.9155694708934915</v>
      </c>
      <c r="E338" s="20">
        <v>7.0000000000000007E-2</v>
      </c>
      <c r="F338" s="8" t="s">
        <v>436</v>
      </c>
      <c r="G338" s="24">
        <v>0.6418051564855306</v>
      </c>
      <c r="H338" s="24">
        <v>0.64552104451626058</v>
      </c>
      <c r="I338" s="25">
        <v>0.65681032655250182</v>
      </c>
      <c r="L338" s="15">
        <v>336</v>
      </c>
      <c r="M338" s="16">
        <v>0</v>
      </c>
      <c r="N338" s="16">
        <v>1</v>
      </c>
      <c r="O338" s="16">
        <v>3</v>
      </c>
      <c r="P338" s="16">
        <v>49</v>
      </c>
      <c r="Q338" s="29">
        <v>79</v>
      </c>
      <c r="R338" s="20">
        <v>0.64780000000000004</v>
      </c>
      <c r="S338" s="32">
        <v>51.176200000000001</v>
      </c>
      <c r="T338" s="35">
        <v>4.0600000000000005</v>
      </c>
      <c r="U338" s="35">
        <v>2.98</v>
      </c>
      <c r="V338" s="35">
        <v>5.1392405063291145E-2</v>
      </c>
      <c r="W338" s="9" t="s">
        <v>155</v>
      </c>
      <c r="X338" s="15">
        <v>337</v>
      </c>
      <c r="Y338" s="39">
        <v>0.48430789420970338</v>
      </c>
      <c r="Z338" s="39">
        <v>0.47932114295816258</v>
      </c>
      <c r="AA338" s="39">
        <v>0.49825127203401615</v>
      </c>
      <c r="AB338" s="39">
        <v>0.48179671504061833</v>
      </c>
      <c r="AC338" s="39">
        <v>0.47660479636131287</v>
      </c>
      <c r="AD338" s="39">
        <v>0.47360555924056558</v>
      </c>
      <c r="AE338" s="39">
        <v>0.49038072423496215</v>
      </c>
      <c r="AF338" s="40">
        <v>0.47551916196315391</v>
      </c>
    </row>
    <row r="339" spans="1:32">
      <c r="A339" s="15">
        <v>337</v>
      </c>
      <c r="B339" s="16">
        <v>1</v>
      </c>
      <c r="C339" s="20">
        <v>0.06</v>
      </c>
      <c r="D339" s="20">
        <v>0.9474972795100205</v>
      </c>
      <c r="E339" s="20">
        <v>0.31</v>
      </c>
      <c r="F339" s="8" t="s">
        <v>436</v>
      </c>
      <c r="G339" s="24">
        <v>0.94971222470051975</v>
      </c>
      <c r="H339" s="24">
        <v>0.95521081606074998</v>
      </c>
      <c r="I339" s="25">
        <v>0.9719161495246017</v>
      </c>
      <c r="L339" s="15">
        <v>337</v>
      </c>
      <c r="M339" s="16">
        <v>0</v>
      </c>
      <c r="N339" s="16">
        <v>1</v>
      </c>
      <c r="O339" s="16">
        <v>3</v>
      </c>
      <c r="P339" s="16">
        <v>50</v>
      </c>
      <c r="Q339" s="29">
        <v>53</v>
      </c>
      <c r="R339" s="20">
        <v>0.64780000000000004</v>
      </c>
      <c r="S339" s="32">
        <v>34.333400000000005</v>
      </c>
      <c r="T339" s="35">
        <v>2.16</v>
      </c>
      <c r="U339" s="35">
        <v>1.48</v>
      </c>
      <c r="V339" s="35">
        <v>4.0754716981132075E-2</v>
      </c>
      <c r="W339" s="9" t="s">
        <v>154</v>
      </c>
      <c r="X339" s="15">
        <v>338</v>
      </c>
      <c r="Y339" s="39">
        <v>0.48825595145078776</v>
      </c>
      <c r="Z339" s="39">
        <v>0.4793813276378639</v>
      </c>
      <c r="AA339" s="39">
        <v>0.48208430854248357</v>
      </c>
      <c r="AB339" s="39">
        <v>0.50079011671316243</v>
      </c>
      <c r="AC339" s="39">
        <v>0.48138678555504039</v>
      </c>
      <c r="AD339" s="39">
        <v>0.47261423085997123</v>
      </c>
      <c r="AE339" s="39">
        <v>0.47678820502281555</v>
      </c>
      <c r="AF339" s="40">
        <v>0.49605677714726271</v>
      </c>
    </row>
    <row r="340" spans="1:32">
      <c r="A340" s="15">
        <v>338</v>
      </c>
      <c r="B340" s="16">
        <v>0</v>
      </c>
      <c r="C340" s="20">
        <v>0.98</v>
      </c>
      <c r="D340" s="20">
        <v>0.10185764172235329</v>
      </c>
      <c r="E340" s="20">
        <v>0.02</v>
      </c>
      <c r="F340" s="8" t="s">
        <v>434</v>
      </c>
      <c r="G340" s="24">
        <v>0.45818262321467829</v>
      </c>
      <c r="H340" s="24">
        <v>0.46083538364872484</v>
      </c>
      <c r="I340" s="25">
        <v>0.46889476554260023</v>
      </c>
      <c r="L340" s="15">
        <v>338</v>
      </c>
      <c r="M340" s="16">
        <v>0</v>
      </c>
      <c r="N340" s="16">
        <v>1</v>
      </c>
      <c r="O340" s="16">
        <v>3</v>
      </c>
      <c r="P340" s="16">
        <v>51</v>
      </c>
      <c r="Q340" s="29">
        <v>67</v>
      </c>
      <c r="R340" s="20">
        <v>0.64780000000000004</v>
      </c>
      <c r="S340" s="32">
        <v>43.4026</v>
      </c>
      <c r="T340" s="35">
        <v>3.31</v>
      </c>
      <c r="U340" s="35">
        <v>2.3199999999999998</v>
      </c>
      <c r="V340" s="35">
        <v>4.9402985074626864E-2</v>
      </c>
      <c r="W340" s="9" t="s">
        <v>155</v>
      </c>
      <c r="X340" s="15">
        <v>339</v>
      </c>
      <c r="Y340" s="39">
        <v>0.49748219234633084</v>
      </c>
      <c r="Z340" s="39">
        <v>0.49493934028680919</v>
      </c>
      <c r="AA340" s="39">
        <v>0.48782795927251466</v>
      </c>
      <c r="AB340" s="39">
        <v>0.48725450774949536</v>
      </c>
      <c r="AC340" s="39">
        <v>0.48771177657465886</v>
      </c>
      <c r="AD340" s="39">
        <v>0.48626924065820426</v>
      </c>
      <c r="AE340" s="39">
        <v>0.48027405668729289</v>
      </c>
      <c r="AF340" s="40">
        <v>0.4833822751650898</v>
      </c>
    </row>
    <row r="341" spans="1:32">
      <c r="A341" s="15">
        <v>339</v>
      </c>
      <c r="B341" s="16">
        <v>0</v>
      </c>
      <c r="C341" s="20">
        <v>0.18</v>
      </c>
      <c r="D341" s="20">
        <v>0.89691789502178521</v>
      </c>
      <c r="E341" s="20">
        <v>0.08</v>
      </c>
      <c r="F341" s="8" t="s">
        <v>436</v>
      </c>
      <c r="G341" s="24">
        <v>0.91306415458206969</v>
      </c>
      <c r="H341" s="24">
        <v>0.91835056297099416</v>
      </c>
      <c r="I341" s="25">
        <v>0.93441126091661986</v>
      </c>
      <c r="L341" s="15">
        <v>339</v>
      </c>
      <c r="M341" s="16">
        <v>0</v>
      </c>
      <c r="N341" s="16">
        <v>1</v>
      </c>
      <c r="O341" s="16">
        <v>3</v>
      </c>
      <c r="P341" s="16">
        <v>52</v>
      </c>
      <c r="Q341" s="29">
        <v>72</v>
      </c>
      <c r="R341" s="20">
        <v>0.64780000000000004</v>
      </c>
      <c r="S341" s="32">
        <v>46.641600000000004</v>
      </c>
      <c r="T341" s="35">
        <v>2.89</v>
      </c>
      <c r="U341" s="35">
        <v>1.9</v>
      </c>
      <c r="V341" s="35">
        <v>4.0138888888888891E-2</v>
      </c>
      <c r="W341" s="9" t="s">
        <v>154</v>
      </c>
      <c r="X341" s="15">
        <v>340</v>
      </c>
      <c r="Y341" s="39">
        <v>0.48706319970689094</v>
      </c>
      <c r="Z341" s="39">
        <v>0.48245024181056517</v>
      </c>
      <c r="AA341" s="39">
        <v>0.48520966859004239</v>
      </c>
      <c r="AB341" s="39">
        <v>0.49139368643380654</v>
      </c>
      <c r="AC341" s="39">
        <v>0.48171495027462036</v>
      </c>
      <c r="AD341" s="39">
        <v>0.47538561797322304</v>
      </c>
      <c r="AE341" s="39">
        <v>0.47586801975668119</v>
      </c>
      <c r="AF341" s="40">
        <v>0.48546305308737364</v>
      </c>
    </row>
    <row r="342" spans="1:32">
      <c r="A342" s="15">
        <v>340</v>
      </c>
      <c r="B342" s="16">
        <v>0</v>
      </c>
      <c r="C342" s="20">
        <v>0.01</v>
      </c>
      <c r="D342" s="20">
        <v>0.99999999999999978</v>
      </c>
      <c r="E342" s="20">
        <v>1</v>
      </c>
      <c r="F342" s="8" t="s">
        <v>436</v>
      </c>
      <c r="G342" s="24">
        <v>1.1310907242673369</v>
      </c>
      <c r="H342" s="24">
        <v>1.1376394508419099</v>
      </c>
      <c r="I342" s="25">
        <v>1.1575352121423539</v>
      </c>
      <c r="L342" s="15">
        <v>340</v>
      </c>
      <c r="M342" s="16">
        <v>0</v>
      </c>
      <c r="N342" s="16">
        <v>1</v>
      </c>
      <c r="O342" s="16">
        <v>3</v>
      </c>
      <c r="P342" s="16">
        <v>53</v>
      </c>
      <c r="Q342" s="29">
        <v>74</v>
      </c>
      <c r="R342" s="20">
        <v>0.64780000000000004</v>
      </c>
      <c r="S342" s="32">
        <v>47.937200000000004</v>
      </c>
      <c r="T342" s="35">
        <v>2.93</v>
      </c>
      <c r="U342" s="35">
        <v>1.92</v>
      </c>
      <c r="V342" s="35">
        <v>3.95945945945946E-2</v>
      </c>
      <c r="W342" s="9" t="s">
        <v>154</v>
      </c>
      <c r="X342" s="15">
        <v>341</v>
      </c>
      <c r="Y342" s="39">
        <v>0.4867845255712398</v>
      </c>
      <c r="Z342" s="39">
        <v>0.492231244162741</v>
      </c>
      <c r="AA342" s="39">
        <v>0.47744405437607862</v>
      </c>
      <c r="AB342" s="39">
        <v>0.47591687077340344</v>
      </c>
      <c r="AC342" s="39">
        <v>0.47864847781547304</v>
      </c>
      <c r="AD342" s="39">
        <v>0.48668500602402109</v>
      </c>
      <c r="AE342" s="39">
        <v>0.47126733164544005</v>
      </c>
      <c r="AF342" s="40">
        <v>0.46966309544496732</v>
      </c>
    </row>
    <row r="343" spans="1:32">
      <c r="A343" s="15">
        <v>341</v>
      </c>
      <c r="B343" s="16">
        <v>0</v>
      </c>
      <c r="C343" s="20">
        <v>0.03</v>
      </c>
      <c r="D343" s="20">
        <v>0.99642335770206691</v>
      </c>
      <c r="E343" s="20">
        <v>1</v>
      </c>
      <c r="F343" s="8" t="s">
        <v>436</v>
      </c>
      <c r="G343" s="24">
        <v>1.0104434096299795</v>
      </c>
      <c r="H343" s="24">
        <v>1.0162936190488854</v>
      </c>
      <c r="I343" s="25">
        <v>1.0340672073688029</v>
      </c>
      <c r="L343" s="15">
        <v>341</v>
      </c>
      <c r="M343" s="16">
        <v>0</v>
      </c>
      <c r="N343" s="16">
        <v>1</v>
      </c>
      <c r="O343" s="16">
        <v>3</v>
      </c>
      <c r="P343" s="16">
        <v>54</v>
      </c>
      <c r="Q343" s="29">
        <v>77</v>
      </c>
      <c r="R343" s="20">
        <v>0.64780000000000004</v>
      </c>
      <c r="S343" s="32">
        <v>49.880600000000001</v>
      </c>
      <c r="T343" s="35">
        <v>2.1</v>
      </c>
      <c r="U343" s="35">
        <v>0.94</v>
      </c>
      <c r="V343" s="35">
        <v>2.7272727272727275E-2</v>
      </c>
      <c r="W343" s="9" t="s">
        <v>154</v>
      </c>
      <c r="X343" s="15">
        <v>342</v>
      </c>
      <c r="Y343" s="39">
        <v>0.47586767518239681</v>
      </c>
      <c r="Z343" s="39">
        <v>0.47454132276412953</v>
      </c>
      <c r="AA343" s="39">
        <v>0.49717970582629978</v>
      </c>
      <c r="AB343" s="39">
        <v>0.49362154168986266</v>
      </c>
      <c r="AC343" s="39">
        <v>0.46761177500383794</v>
      </c>
      <c r="AD343" s="39">
        <v>0.46804328089427538</v>
      </c>
      <c r="AE343" s="39">
        <v>0.48799086619585336</v>
      </c>
      <c r="AF343" s="40">
        <v>0.48718453844838572</v>
      </c>
    </row>
    <row r="344" spans="1:32">
      <c r="A344" s="15">
        <v>342</v>
      </c>
      <c r="B344" s="16">
        <v>0</v>
      </c>
      <c r="C344" s="20">
        <v>0.96</v>
      </c>
      <c r="D344" s="20">
        <v>0.13880369068795359</v>
      </c>
      <c r="E344" s="20">
        <v>0.04</v>
      </c>
      <c r="F344" s="8" t="s">
        <v>434</v>
      </c>
      <c r="G344" s="24">
        <v>0.43087715908111063</v>
      </c>
      <c r="H344" s="24">
        <v>0.43337182784773737</v>
      </c>
      <c r="I344" s="25">
        <v>0.4409509096339877</v>
      </c>
      <c r="L344" s="15">
        <v>342</v>
      </c>
      <c r="M344" s="16">
        <v>0</v>
      </c>
      <c r="N344" s="16">
        <v>1</v>
      </c>
      <c r="O344" s="16">
        <v>3</v>
      </c>
      <c r="P344" s="16">
        <v>55</v>
      </c>
      <c r="Q344" s="29">
        <v>57</v>
      </c>
      <c r="R344" s="20">
        <v>0.64780000000000004</v>
      </c>
      <c r="S344" s="32">
        <v>36.924600000000005</v>
      </c>
      <c r="T344" s="35">
        <v>1.26</v>
      </c>
      <c r="U344" s="35">
        <v>0.42</v>
      </c>
      <c r="V344" s="35">
        <v>2.2105263157894735E-2</v>
      </c>
      <c r="W344" s="9" t="s">
        <v>153</v>
      </c>
      <c r="X344" s="15">
        <v>343</v>
      </c>
      <c r="Y344" s="39">
        <v>0.49958280787484716</v>
      </c>
      <c r="Z344" s="39">
        <v>0.49326204536094509</v>
      </c>
      <c r="AA344" s="39">
        <v>0.4926934953081572</v>
      </c>
      <c r="AB344" s="39">
        <v>0.48185316918746324</v>
      </c>
      <c r="AC344" s="39">
        <v>0.49231225265447093</v>
      </c>
      <c r="AD344" s="39">
        <v>0.48827125143282363</v>
      </c>
      <c r="AE344" s="39">
        <v>0.48640433313118814</v>
      </c>
      <c r="AF344" s="40">
        <v>0.47997116906036896</v>
      </c>
    </row>
    <row r="345" spans="1:32">
      <c r="A345" s="15">
        <v>343</v>
      </c>
      <c r="B345" s="16">
        <v>1</v>
      </c>
      <c r="C345" s="20">
        <v>0.26</v>
      </c>
      <c r="D345" s="20">
        <v>0.68564967553333089</v>
      </c>
      <c r="E345" s="20">
        <v>0.09</v>
      </c>
      <c r="F345" s="8" t="s">
        <v>436</v>
      </c>
      <c r="G345" s="24">
        <v>1.413237650748983</v>
      </c>
      <c r="H345" s="24">
        <v>1.4214199360078792</v>
      </c>
      <c r="I345" s="25">
        <v>1.4462786306791799</v>
      </c>
      <c r="L345" s="15">
        <v>343</v>
      </c>
      <c r="M345" s="16">
        <v>0</v>
      </c>
      <c r="N345" s="16">
        <v>1</v>
      </c>
      <c r="O345" s="16">
        <v>4</v>
      </c>
      <c r="P345" s="16">
        <v>84</v>
      </c>
      <c r="Q345" s="29">
        <v>41</v>
      </c>
      <c r="R345" s="20">
        <v>0.64780000000000004</v>
      </c>
      <c r="S345" s="32">
        <v>26.559800000000003</v>
      </c>
      <c r="T345" s="35">
        <v>1.84</v>
      </c>
      <c r="U345" s="35">
        <v>1.27</v>
      </c>
      <c r="V345" s="35">
        <v>4.487804878048781E-2</v>
      </c>
      <c r="W345" s="9" t="s">
        <v>153</v>
      </c>
      <c r="X345" s="15">
        <v>344</v>
      </c>
      <c r="Y345" s="39">
        <v>0.48153036848704273</v>
      </c>
      <c r="Z345" s="39">
        <v>0.4855522192237528</v>
      </c>
      <c r="AA345" s="39">
        <v>0.47615450232777884</v>
      </c>
      <c r="AB345" s="39">
        <v>0.47333204048387406</v>
      </c>
      <c r="AC345" s="39">
        <v>0.47094094169091039</v>
      </c>
      <c r="AD345" s="39">
        <v>0.4768161220809633</v>
      </c>
      <c r="AE345" s="39">
        <v>0.46918765210564362</v>
      </c>
      <c r="AF345" s="40">
        <v>0.46858915617092295</v>
      </c>
    </row>
    <row r="346" spans="1:32">
      <c r="A346" s="15">
        <v>344</v>
      </c>
      <c r="B346" s="16">
        <v>0</v>
      </c>
      <c r="C346" s="20">
        <v>0.08</v>
      </c>
      <c r="D346" s="20">
        <v>0.92152575022772876</v>
      </c>
      <c r="E346" s="20">
        <v>0.11</v>
      </c>
      <c r="F346" s="8" t="s">
        <v>436</v>
      </c>
      <c r="G346" s="24">
        <v>0.9279848939038603</v>
      </c>
      <c r="H346" s="24">
        <v>0.93335768956483334</v>
      </c>
      <c r="I346" s="25">
        <v>0.9496808416722724</v>
      </c>
      <c r="L346" s="15">
        <v>344</v>
      </c>
      <c r="M346" s="16">
        <v>0</v>
      </c>
      <c r="N346" s="16">
        <v>1</v>
      </c>
      <c r="O346" s="16">
        <v>4</v>
      </c>
      <c r="P346" s="16">
        <v>85</v>
      </c>
      <c r="Q346" s="29">
        <v>38</v>
      </c>
      <c r="R346" s="20">
        <v>0.64780000000000004</v>
      </c>
      <c r="S346" s="32">
        <v>24.616400000000002</v>
      </c>
      <c r="T346" s="35">
        <v>1.51</v>
      </c>
      <c r="U346" s="35">
        <v>0.77</v>
      </c>
      <c r="V346" s="35">
        <v>3.9736842105263161E-2</v>
      </c>
      <c r="W346" s="9" t="s">
        <v>153</v>
      </c>
      <c r="X346" s="15">
        <v>345</v>
      </c>
      <c r="Y346" s="39">
        <v>0.47237906017879266</v>
      </c>
      <c r="Z346" s="39">
        <v>0.49655567072772933</v>
      </c>
      <c r="AA346" s="39">
        <v>0.49583442976386105</v>
      </c>
      <c r="AB346" s="39">
        <v>0.49360499168236971</v>
      </c>
      <c r="AC346" s="39">
        <v>0.46586627620363297</v>
      </c>
      <c r="AD346" s="39">
        <v>0.48833353484688996</v>
      </c>
      <c r="AE346" s="39">
        <v>0.48790551355826256</v>
      </c>
      <c r="AF346" s="40">
        <v>0.49135318531709266</v>
      </c>
    </row>
    <row r="347" spans="1:32">
      <c r="A347" s="15">
        <v>345</v>
      </c>
      <c r="B347" s="16">
        <v>0</v>
      </c>
      <c r="C347" s="20">
        <v>0.96</v>
      </c>
      <c r="D347" s="20">
        <v>0.13880369068795359</v>
      </c>
      <c r="E347" s="20">
        <v>0.04</v>
      </c>
      <c r="F347" s="8" t="s">
        <v>434</v>
      </c>
      <c r="G347" s="24">
        <v>1.6574342979998318</v>
      </c>
      <c r="H347" s="24">
        <v>1.6670304195133829</v>
      </c>
      <c r="I347" s="25">
        <v>1.6578926537592125</v>
      </c>
      <c r="L347" s="15">
        <v>345</v>
      </c>
      <c r="M347" s="16">
        <v>0</v>
      </c>
      <c r="N347" s="16">
        <v>1</v>
      </c>
      <c r="O347" s="16">
        <v>4</v>
      </c>
      <c r="P347" s="16">
        <v>86</v>
      </c>
      <c r="Q347" s="29">
        <v>38</v>
      </c>
      <c r="R347" s="20">
        <v>0.64780000000000004</v>
      </c>
      <c r="S347" s="32">
        <v>24.616400000000002</v>
      </c>
      <c r="T347" s="35">
        <v>2.02</v>
      </c>
      <c r="U347" s="35">
        <v>1.36</v>
      </c>
      <c r="V347" s="35">
        <v>5.3157894736842105E-2</v>
      </c>
      <c r="W347" s="9" t="s">
        <v>154</v>
      </c>
      <c r="X347" s="15">
        <v>346</v>
      </c>
      <c r="Y347" s="39">
        <v>0.47396905625249369</v>
      </c>
      <c r="Z347" s="39">
        <v>0.48884940941532801</v>
      </c>
      <c r="AA347" s="39">
        <v>0.5012773795993356</v>
      </c>
      <c r="AB347" s="39">
        <v>0.48872443153098349</v>
      </c>
      <c r="AC347" s="39">
        <v>0.46963418648561911</v>
      </c>
      <c r="AD347" s="39">
        <v>0.48014250049518636</v>
      </c>
      <c r="AE347" s="39">
        <v>0.49294861880969465</v>
      </c>
      <c r="AF347" s="40">
        <v>0.48963277238300229</v>
      </c>
    </row>
    <row r="348" spans="1:32">
      <c r="A348" s="15">
        <v>346</v>
      </c>
      <c r="B348" s="16">
        <v>1</v>
      </c>
      <c r="C348" s="20">
        <v>0.91</v>
      </c>
      <c r="D348" s="20">
        <v>0.2213815995251022</v>
      </c>
      <c r="E348" s="20">
        <v>0.09</v>
      </c>
      <c r="F348" s="8" t="s">
        <v>434</v>
      </c>
      <c r="G348" s="24">
        <v>1.4561988542705226</v>
      </c>
      <c r="H348" s="24">
        <v>1.4646298739316563</v>
      </c>
      <c r="I348" s="25">
        <v>1.4902442514426322</v>
      </c>
      <c r="L348" s="15">
        <v>346</v>
      </c>
      <c r="M348" s="16">
        <v>0</v>
      </c>
      <c r="N348" s="16">
        <v>1</v>
      </c>
      <c r="O348" s="16">
        <v>4</v>
      </c>
      <c r="P348" s="16">
        <v>87</v>
      </c>
      <c r="Q348" s="29">
        <v>38</v>
      </c>
      <c r="R348" s="20">
        <v>0.64780000000000004</v>
      </c>
      <c r="S348" s="32">
        <v>24.616400000000002</v>
      </c>
      <c r="T348" s="35">
        <v>1.79</v>
      </c>
      <c r="U348" s="35">
        <v>1.32</v>
      </c>
      <c r="V348" s="35">
        <v>4.710526315789474E-2</v>
      </c>
      <c r="W348" s="9" t="s">
        <v>153</v>
      </c>
      <c r="X348" s="15">
        <v>347</v>
      </c>
      <c r="Y348" s="39">
        <v>0.48286514695293437</v>
      </c>
      <c r="Z348" s="39">
        <v>0.47805534957446782</v>
      </c>
      <c r="AA348" s="39">
        <v>0.46673529451753482</v>
      </c>
      <c r="AB348" s="39">
        <v>0.49082672947378847</v>
      </c>
      <c r="AC348" s="39">
        <v>0.47504803884903418</v>
      </c>
      <c r="AD348" s="39">
        <v>0.4722151990160926</v>
      </c>
      <c r="AE348" s="39">
        <v>0.46068408506799535</v>
      </c>
      <c r="AF348" s="40">
        <v>0.48812331009277216</v>
      </c>
    </row>
    <row r="349" spans="1:32">
      <c r="A349" s="15">
        <v>347</v>
      </c>
      <c r="B349" s="16">
        <v>1</v>
      </c>
      <c r="C349" s="20">
        <v>0.02</v>
      </c>
      <c r="D349" s="20">
        <v>0.99531127541355291</v>
      </c>
      <c r="E349" s="20">
        <v>1</v>
      </c>
      <c r="F349" s="8" t="s">
        <v>436</v>
      </c>
      <c r="G349" s="24">
        <v>1.0393893823069018</v>
      </c>
      <c r="H349" s="24">
        <v>1.0454071815189421</v>
      </c>
      <c r="I349" s="25">
        <v>1.0636899263111332</v>
      </c>
      <c r="L349" s="15">
        <v>347</v>
      </c>
      <c r="M349" s="16">
        <v>0</v>
      </c>
      <c r="N349" s="16">
        <v>1</v>
      </c>
      <c r="O349" s="16">
        <v>4</v>
      </c>
      <c r="P349" s="16">
        <v>88</v>
      </c>
      <c r="Q349" s="29">
        <v>40</v>
      </c>
      <c r="R349" s="20">
        <v>0.64780000000000004</v>
      </c>
      <c r="S349" s="32">
        <v>25.912000000000003</v>
      </c>
      <c r="T349" s="35">
        <v>2.99</v>
      </c>
      <c r="U349" s="35">
        <v>2.41</v>
      </c>
      <c r="V349" s="35">
        <v>7.4750000000000011E-2</v>
      </c>
      <c r="W349" s="9" t="s">
        <v>154</v>
      </c>
      <c r="X349" s="15">
        <v>348</v>
      </c>
      <c r="Y349" s="39">
        <v>0.49350168048602633</v>
      </c>
      <c r="Z349" s="39">
        <v>0.4983926378009893</v>
      </c>
      <c r="AA349" s="39">
        <v>0.50506703666956687</v>
      </c>
      <c r="AB349" s="39">
        <v>0.48551610814771834</v>
      </c>
      <c r="AC349" s="39">
        <v>0.4848719037435168</v>
      </c>
      <c r="AD349" s="39">
        <v>0.49133579955861828</v>
      </c>
      <c r="AE349" s="39">
        <v>0.49771309235188149</v>
      </c>
      <c r="AF349" s="40">
        <v>0.47943707960967108</v>
      </c>
    </row>
    <row r="350" spans="1:32">
      <c r="A350" s="15">
        <v>348</v>
      </c>
      <c r="B350" s="16">
        <v>1</v>
      </c>
      <c r="C350" s="20">
        <v>0.92</v>
      </c>
      <c r="D350" s="20">
        <v>0.20258497911151899</v>
      </c>
      <c r="E350" s="20">
        <v>0.08</v>
      </c>
      <c r="F350" s="8" t="s">
        <v>434</v>
      </c>
      <c r="G350" s="24">
        <v>1.3802646707491428</v>
      </c>
      <c r="H350" s="24">
        <v>1.3882560508704271</v>
      </c>
      <c r="I350" s="25">
        <v>1.4125347544540403</v>
      </c>
      <c r="L350" s="15">
        <v>348</v>
      </c>
      <c r="M350" s="16">
        <v>0</v>
      </c>
      <c r="N350" s="16">
        <v>1</v>
      </c>
      <c r="O350" s="16">
        <v>4</v>
      </c>
      <c r="P350" s="16">
        <v>89</v>
      </c>
      <c r="Q350" s="29">
        <v>26</v>
      </c>
      <c r="R350" s="20">
        <v>0.64780000000000004</v>
      </c>
      <c r="S350" s="32">
        <v>16.8428</v>
      </c>
      <c r="T350" s="35">
        <v>1.59</v>
      </c>
      <c r="U350" s="35">
        <v>1.18</v>
      </c>
      <c r="V350" s="35">
        <v>6.1153846153846156E-2</v>
      </c>
      <c r="W350" s="9" t="s">
        <v>153</v>
      </c>
      <c r="X350" s="15">
        <v>349</v>
      </c>
      <c r="Y350" s="39">
        <v>0.4949986590354068</v>
      </c>
      <c r="Z350" s="39">
        <v>0.49531882066817967</v>
      </c>
      <c r="AA350" s="39">
        <v>0.47846225309353851</v>
      </c>
      <c r="AB350" s="39">
        <v>0.49298494824324263</v>
      </c>
      <c r="AC350" s="39">
        <v>0.48851908642016773</v>
      </c>
      <c r="AD350" s="39">
        <v>0.48702634964758645</v>
      </c>
      <c r="AE350" s="39">
        <v>0.472687996647222</v>
      </c>
      <c r="AF350" s="40">
        <v>0.49163529041933607</v>
      </c>
    </row>
    <row r="351" spans="1:32">
      <c r="A351" s="15">
        <v>349</v>
      </c>
      <c r="B351" s="16">
        <v>1</v>
      </c>
      <c r="C351" s="20">
        <v>0.31</v>
      </c>
      <c r="D351" s="20">
        <v>0.76721080945711595</v>
      </c>
      <c r="E351" s="20">
        <v>0.14000000000000001</v>
      </c>
      <c r="F351" s="8" t="s">
        <v>436</v>
      </c>
      <c r="G351" s="24">
        <v>1.1649038980394752</v>
      </c>
      <c r="H351" s="24">
        <v>1.1716483942591362</v>
      </c>
      <c r="I351" s="25">
        <v>1.1921389255632127</v>
      </c>
      <c r="L351" s="15">
        <v>349</v>
      </c>
      <c r="M351" s="16">
        <v>0</v>
      </c>
      <c r="N351" s="16">
        <v>1</v>
      </c>
      <c r="O351" s="16">
        <v>4</v>
      </c>
      <c r="P351" s="16">
        <v>90</v>
      </c>
      <c r="Q351" s="29">
        <v>36</v>
      </c>
      <c r="R351" s="20">
        <v>0.64780000000000004</v>
      </c>
      <c r="S351" s="32">
        <v>23.320800000000002</v>
      </c>
      <c r="T351" s="35">
        <v>1.78</v>
      </c>
      <c r="U351" s="35">
        <v>0.94</v>
      </c>
      <c r="V351" s="35">
        <v>4.9444444444444444E-2</v>
      </c>
      <c r="W351" s="9" t="s">
        <v>153</v>
      </c>
      <c r="X351" s="15">
        <v>350</v>
      </c>
      <c r="Y351" s="39">
        <v>0.48084172111655782</v>
      </c>
      <c r="Z351" s="39">
        <v>0.49420688462224843</v>
      </c>
      <c r="AA351" s="39">
        <v>0.49686718879253611</v>
      </c>
      <c r="AB351" s="39">
        <v>0.48130037754838556</v>
      </c>
      <c r="AC351" s="39">
        <v>0.47368987125570755</v>
      </c>
      <c r="AD351" s="39">
        <v>0.48767385604299535</v>
      </c>
      <c r="AE351" s="39">
        <v>0.49163452113879141</v>
      </c>
      <c r="AF351" s="40">
        <v>0.47730077512888952</v>
      </c>
    </row>
    <row r="352" spans="1:32">
      <c r="A352" s="15">
        <v>350</v>
      </c>
      <c r="B352" s="16">
        <v>1</v>
      </c>
      <c r="C352" s="20">
        <v>0.09</v>
      </c>
      <c r="D352" s="20">
        <v>0.9153301052406092</v>
      </c>
      <c r="E352" s="20">
        <v>0.39</v>
      </c>
      <c r="F352" s="8" t="s">
        <v>436</v>
      </c>
      <c r="G352" s="24">
        <v>1.1474609747057711</v>
      </c>
      <c r="H352" s="24">
        <v>1.15410448085176</v>
      </c>
      <c r="I352" s="25">
        <v>1.17428819305496</v>
      </c>
      <c r="L352" s="15">
        <v>350</v>
      </c>
      <c r="M352" s="16">
        <v>0</v>
      </c>
      <c r="N352" s="16">
        <v>1</v>
      </c>
      <c r="O352" s="16">
        <v>4</v>
      </c>
      <c r="P352" s="16">
        <v>91</v>
      </c>
      <c r="Q352" s="29">
        <v>39</v>
      </c>
      <c r="R352" s="20">
        <v>0.64780000000000004</v>
      </c>
      <c r="S352" s="32">
        <v>25.264200000000002</v>
      </c>
      <c r="T352" s="35">
        <v>3.48</v>
      </c>
      <c r="U352" s="35">
        <v>2.98</v>
      </c>
      <c r="V352" s="35">
        <v>8.9230769230769225E-2</v>
      </c>
      <c r="W352" s="9" t="s">
        <v>155</v>
      </c>
      <c r="X352" s="15">
        <v>351</v>
      </c>
      <c r="Y352" s="39">
        <v>0.48631243528657836</v>
      </c>
      <c r="Z352" s="39">
        <v>0.49990999486031579</v>
      </c>
      <c r="AA352" s="39">
        <v>0.46851959210356336</v>
      </c>
      <c r="AB352" s="39">
        <v>0.49906013456713688</v>
      </c>
      <c r="AC352" s="39">
        <v>0.47906795306134664</v>
      </c>
      <c r="AD352" s="39">
        <v>0.49152144344485288</v>
      </c>
      <c r="AE352" s="39">
        <v>0.46164333340327152</v>
      </c>
      <c r="AF352" s="40">
        <v>0.49351799471558011</v>
      </c>
    </row>
    <row r="353" spans="1:32">
      <c r="A353" s="15">
        <v>351</v>
      </c>
      <c r="B353" s="16">
        <v>0</v>
      </c>
      <c r="C353" s="20">
        <v>0.02</v>
      </c>
      <c r="D353" s="20">
        <v>0.99679477127711513</v>
      </c>
      <c r="E353" s="20">
        <v>1</v>
      </c>
      <c r="F353" s="8" t="s">
        <v>436</v>
      </c>
      <c r="G353" s="24">
        <v>1.0414588882859122</v>
      </c>
      <c r="H353" s="24">
        <v>1.0474886694093148</v>
      </c>
      <c r="I353" s="25">
        <v>1.0658078165838125</v>
      </c>
      <c r="L353" s="15">
        <v>351</v>
      </c>
      <c r="M353" s="16">
        <v>0</v>
      </c>
      <c r="N353" s="16">
        <v>1</v>
      </c>
      <c r="O353" s="16">
        <v>4</v>
      </c>
      <c r="P353" s="16">
        <v>92</v>
      </c>
      <c r="Q353" s="29">
        <v>32</v>
      </c>
      <c r="R353" s="20">
        <v>0.64780000000000004</v>
      </c>
      <c r="S353" s="32">
        <v>20.729600000000001</v>
      </c>
      <c r="T353" s="35">
        <v>0.67</v>
      </c>
      <c r="U353" s="35">
        <v>0.23</v>
      </c>
      <c r="V353" s="35">
        <v>2.0937500000000001E-2</v>
      </c>
      <c r="W353" s="9" t="s">
        <v>152</v>
      </c>
      <c r="X353" s="15">
        <v>352</v>
      </c>
      <c r="Y353" s="39">
        <v>0.48978156752504842</v>
      </c>
      <c r="Z353" s="39">
        <v>0.49275972536085083</v>
      </c>
      <c r="AA353" s="39">
        <v>0.49718135474675756</v>
      </c>
      <c r="AB353" s="39">
        <v>0.49980723108059255</v>
      </c>
      <c r="AC353" s="39">
        <v>0.48256579206951655</v>
      </c>
      <c r="AD353" s="39">
        <v>0.48499179989154562</v>
      </c>
      <c r="AE353" s="39">
        <v>0.49258211890869597</v>
      </c>
      <c r="AF353" s="40">
        <v>0.49672588909106907</v>
      </c>
    </row>
    <row r="354" spans="1:32">
      <c r="A354" s="15">
        <v>352</v>
      </c>
      <c r="B354" s="16">
        <v>0</v>
      </c>
      <c r="C354" s="20">
        <v>0.02</v>
      </c>
      <c r="D354" s="20">
        <v>0.99756714174924133</v>
      </c>
      <c r="E354" s="20">
        <v>1</v>
      </c>
      <c r="F354" s="8" t="s">
        <v>436</v>
      </c>
      <c r="G354" s="24">
        <v>1.110250992310289</v>
      </c>
      <c r="H354" s="24">
        <v>1.1166790621563201</v>
      </c>
      <c r="I354" s="25">
        <v>1.1362082548662109</v>
      </c>
      <c r="L354" s="15">
        <v>352</v>
      </c>
      <c r="M354" s="16">
        <v>0</v>
      </c>
      <c r="N354" s="16">
        <v>1</v>
      </c>
      <c r="O354" s="16">
        <v>4</v>
      </c>
      <c r="P354" s="16">
        <v>93</v>
      </c>
      <c r="Q354" s="29">
        <v>40</v>
      </c>
      <c r="R354" s="20">
        <v>0.64780000000000004</v>
      </c>
      <c r="S354" s="32">
        <v>25.912000000000003</v>
      </c>
      <c r="T354" s="35">
        <v>2.44</v>
      </c>
      <c r="U354" s="35">
        <v>1.82</v>
      </c>
      <c r="V354" s="35">
        <v>6.0999999999999999E-2</v>
      </c>
      <c r="W354" s="9" t="s">
        <v>154</v>
      </c>
      <c r="X354" s="15">
        <v>353</v>
      </c>
      <c r="Y354" s="39">
        <v>0.49948281098482794</v>
      </c>
      <c r="Z354" s="39">
        <v>0.49795046312372754</v>
      </c>
      <c r="AA354" s="39">
        <v>0.48658756421415117</v>
      </c>
      <c r="AB354" s="39">
        <v>0.48915417250428728</v>
      </c>
      <c r="AC354" s="39">
        <v>0.48995736234470177</v>
      </c>
      <c r="AD354" s="39">
        <v>0.4900580598301138</v>
      </c>
      <c r="AE354" s="39">
        <v>0.47949981134413705</v>
      </c>
      <c r="AF354" s="40">
        <v>0.48681401914495231</v>
      </c>
    </row>
    <row r="355" spans="1:32">
      <c r="A355" s="15">
        <v>353</v>
      </c>
      <c r="B355" s="16">
        <v>1</v>
      </c>
      <c r="C355" s="20">
        <v>0.91</v>
      </c>
      <c r="D355" s="20">
        <v>0.21727233298780477</v>
      </c>
      <c r="E355" s="20">
        <v>0.09</v>
      </c>
      <c r="F355" s="8" t="s">
        <v>434</v>
      </c>
      <c r="G355" s="24">
        <v>3.7554512509661531</v>
      </c>
      <c r="H355" s="24">
        <v>2.3557193791407478</v>
      </c>
      <c r="I355" s="25">
        <v>1.6578926537592125</v>
      </c>
      <c r="L355" s="15">
        <v>353</v>
      </c>
      <c r="M355" s="16">
        <v>0</v>
      </c>
      <c r="N355" s="16">
        <v>1</v>
      </c>
      <c r="O355" s="16">
        <v>4</v>
      </c>
      <c r="P355" s="16">
        <v>94</v>
      </c>
      <c r="Q355" s="29">
        <v>49</v>
      </c>
      <c r="R355" s="20">
        <v>0.64780000000000004</v>
      </c>
      <c r="S355" s="32">
        <v>31.7422</v>
      </c>
      <c r="T355" s="35">
        <v>1.95</v>
      </c>
      <c r="U355" s="35">
        <v>1.05</v>
      </c>
      <c r="V355" s="35">
        <v>3.9795918367346937E-2</v>
      </c>
      <c r="W355" s="9" t="s">
        <v>153</v>
      </c>
      <c r="X355" s="15">
        <v>354</v>
      </c>
      <c r="Y355" s="39">
        <v>0.48942722198986377</v>
      </c>
      <c r="Z355" s="39">
        <v>0.4920408987904043</v>
      </c>
      <c r="AA355" s="39">
        <v>0.47993026935676719</v>
      </c>
      <c r="AB355" s="39">
        <v>0.49366011971686297</v>
      </c>
      <c r="AC355" s="39">
        <v>0.480838127906283</v>
      </c>
      <c r="AD355" s="39">
        <v>0.48777007767258102</v>
      </c>
      <c r="AE355" s="39">
        <v>0.47376828904113488</v>
      </c>
      <c r="AF355" s="40">
        <v>0.48883780817684996</v>
      </c>
    </row>
    <row r="356" spans="1:32">
      <c r="A356" s="15">
        <v>354</v>
      </c>
      <c r="B356" s="16">
        <v>1</v>
      </c>
      <c r="C356" s="20">
        <v>0.13</v>
      </c>
      <c r="D356" s="20">
        <v>0.89682673891978804</v>
      </c>
      <c r="E356" s="20">
        <v>0.04</v>
      </c>
      <c r="F356" s="8" t="s">
        <v>436</v>
      </c>
      <c r="G356" s="24">
        <v>1.1607546747532411</v>
      </c>
      <c r="H356" s="24">
        <v>1.1674751480291934</v>
      </c>
      <c r="I356" s="25">
        <v>1.1878926949525177</v>
      </c>
      <c r="L356" s="15">
        <v>354</v>
      </c>
      <c r="M356" s="16">
        <v>0</v>
      </c>
      <c r="N356" s="16">
        <v>1</v>
      </c>
      <c r="O356" s="16">
        <v>4</v>
      </c>
      <c r="P356" s="16">
        <v>95</v>
      </c>
      <c r="Q356" s="29">
        <v>33</v>
      </c>
      <c r="R356" s="20">
        <v>0.64780000000000004</v>
      </c>
      <c r="S356" s="32">
        <v>21.377400000000002</v>
      </c>
      <c r="T356" s="35">
        <v>1.01</v>
      </c>
      <c r="U356" s="35">
        <v>0.56999999999999995</v>
      </c>
      <c r="V356" s="35">
        <v>3.0606060606060605E-2</v>
      </c>
      <c r="W356" s="9" t="s">
        <v>153</v>
      </c>
      <c r="X356" s="15">
        <v>355</v>
      </c>
      <c r="Y356" s="39">
        <v>0.48816087462782132</v>
      </c>
      <c r="Z356" s="39">
        <v>0.48950496586624093</v>
      </c>
      <c r="AA356" s="39">
        <v>0.48760175586922755</v>
      </c>
      <c r="AB356" s="39">
        <v>0.47837133662424075</v>
      </c>
      <c r="AC356" s="39">
        <v>0.48185407409570635</v>
      </c>
      <c r="AD356" s="39">
        <v>0.48117055267688996</v>
      </c>
      <c r="AE356" s="39">
        <v>0.48007273175689558</v>
      </c>
      <c r="AF356" s="40">
        <v>0.47847270682444193</v>
      </c>
    </row>
    <row r="357" spans="1:32">
      <c r="A357" s="15">
        <v>355</v>
      </c>
      <c r="B357" s="16">
        <v>1</v>
      </c>
      <c r="C357" s="20">
        <v>0.23</v>
      </c>
      <c r="D357" s="20">
        <v>0.84134872411502426</v>
      </c>
      <c r="E357" s="20">
        <v>0.08</v>
      </c>
      <c r="F357" s="8" t="s">
        <v>436</v>
      </c>
      <c r="G357" s="24">
        <v>1.2661202093665478</v>
      </c>
      <c r="H357" s="24">
        <v>1.2734507221926106</v>
      </c>
      <c r="I357" s="25">
        <v>1.2957216372684481</v>
      </c>
      <c r="L357" s="15">
        <v>355</v>
      </c>
      <c r="M357" s="16">
        <v>0</v>
      </c>
      <c r="N357" s="16">
        <v>1</v>
      </c>
      <c r="O357" s="16">
        <v>4</v>
      </c>
      <c r="P357" s="16">
        <v>96</v>
      </c>
      <c r="Q357" s="29">
        <v>39</v>
      </c>
      <c r="R357" s="20">
        <v>0.64780000000000004</v>
      </c>
      <c r="S357" s="32">
        <v>25.264200000000002</v>
      </c>
      <c r="T357" s="35">
        <v>1.32</v>
      </c>
      <c r="U357" s="35">
        <v>0.78</v>
      </c>
      <c r="V357" s="35">
        <v>3.3846153846153845E-2</v>
      </c>
      <c r="W357" s="9" t="s">
        <v>153</v>
      </c>
      <c r="X357" s="15">
        <v>356</v>
      </c>
      <c r="Y357" s="39">
        <v>0.4855998107675491</v>
      </c>
      <c r="Z357" s="39">
        <v>0.48208491627332151</v>
      </c>
      <c r="AA357" s="39">
        <v>0.48735055755190781</v>
      </c>
      <c r="AB357" s="39">
        <v>0.49829338073325535</v>
      </c>
      <c r="AC357" s="39">
        <v>0.47899073608509085</v>
      </c>
      <c r="AD357" s="39">
        <v>0.47549344479271999</v>
      </c>
      <c r="AE357" s="39">
        <v>0.47926421278742176</v>
      </c>
      <c r="AF357" s="40">
        <v>0.49336816223465962</v>
      </c>
    </row>
    <row r="358" spans="1:32">
      <c r="A358" s="15">
        <v>356</v>
      </c>
      <c r="B358" s="16">
        <v>0</v>
      </c>
      <c r="C358" s="20">
        <v>0.02</v>
      </c>
      <c r="D358" s="20">
        <v>0.99835916395484214</v>
      </c>
      <c r="E358" s="20">
        <v>1</v>
      </c>
      <c r="F358" s="8" t="s">
        <v>436</v>
      </c>
      <c r="G358" s="24">
        <v>0.96128939140179392</v>
      </c>
      <c r="H358" s="24">
        <v>0.96685501160207066</v>
      </c>
      <c r="I358" s="25">
        <v>0.98376398615348681</v>
      </c>
      <c r="L358" s="15">
        <v>356</v>
      </c>
      <c r="M358" s="16">
        <v>0</v>
      </c>
      <c r="N358" s="16">
        <v>1</v>
      </c>
      <c r="O358" s="16">
        <v>4</v>
      </c>
      <c r="P358" s="16">
        <v>97</v>
      </c>
      <c r="Q358" s="29">
        <v>31</v>
      </c>
      <c r="R358" s="20">
        <v>0.64780000000000004</v>
      </c>
      <c r="S358" s="32">
        <v>20.081800000000001</v>
      </c>
      <c r="T358" s="35">
        <v>1.1499999999999999</v>
      </c>
      <c r="U358" s="35">
        <v>0.76</v>
      </c>
      <c r="V358" s="35">
        <v>3.7096774193548385E-2</v>
      </c>
      <c r="W358" s="9" t="s">
        <v>153</v>
      </c>
      <c r="X358" s="15">
        <v>357</v>
      </c>
      <c r="Y358" s="39">
        <v>0.48252458318899327</v>
      </c>
      <c r="Z358" s="39">
        <v>0.49640457501190255</v>
      </c>
      <c r="AA358" s="39">
        <v>0.48392866533918888</v>
      </c>
      <c r="AB358" s="39">
        <v>0.49775952263335121</v>
      </c>
      <c r="AC358" s="39">
        <v>0.4775406671476855</v>
      </c>
      <c r="AD358" s="39">
        <v>0.48631053785179373</v>
      </c>
      <c r="AE358" s="39">
        <v>0.47974044181214959</v>
      </c>
      <c r="AF358" s="40">
        <v>0.49254752198609136</v>
      </c>
    </row>
    <row r="359" spans="1:32">
      <c r="A359" s="15">
        <v>357</v>
      </c>
      <c r="B359" s="16">
        <v>0</v>
      </c>
      <c r="C359" s="20">
        <v>0.41</v>
      </c>
      <c r="D359" s="20">
        <v>0.58879474186875569</v>
      </c>
      <c r="E359" s="20">
        <v>0.09</v>
      </c>
      <c r="F359" s="8" t="s">
        <v>436</v>
      </c>
      <c r="G359" s="24">
        <v>0.99458235488204827</v>
      </c>
      <c r="H359" s="24">
        <v>1.0003407328426104</v>
      </c>
      <c r="I359" s="25">
        <v>1.0178353269559028</v>
      </c>
      <c r="L359" s="15">
        <v>357</v>
      </c>
      <c r="M359" s="16">
        <v>0</v>
      </c>
      <c r="N359" s="16">
        <v>1</v>
      </c>
      <c r="O359" s="16">
        <v>5</v>
      </c>
      <c r="P359" s="16">
        <v>98</v>
      </c>
      <c r="Q359" s="29">
        <v>33</v>
      </c>
      <c r="R359" s="20">
        <v>0.64780000000000004</v>
      </c>
      <c r="S359" s="32">
        <v>21.377400000000002</v>
      </c>
      <c r="T359" s="35">
        <v>1.07</v>
      </c>
      <c r="U359" s="35">
        <v>0.56000000000000005</v>
      </c>
      <c r="V359" s="35">
        <v>3.2424242424242425E-2</v>
      </c>
      <c r="W359" s="9" t="s">
        <v>153</v>
      </c>
      <c r="X359" s="15">
        <v>358</v>
      </c>
      <c r="Y359" s="39">
        <v>0.48045982648917768</v>
      </c>
      <c r="Z359" s="39">
        <v>0.47628534622319402</v>
      </c>
      <c r="AA359" s="39">
        <v>0.49017813702571589</v>
      </c>
      <c r="AB359" s="39">
        <v>0.48954478535765478</v>
      </c>
      <c r="AC359" s="39">
        <v>0.474262588503785</v>
      </c>
      <c r="AD359" s="39">
        <v>0.46790878787387846</v>
      </c>
      <c r="AE359" s="39">
        <v>0.48357327026460589</v>
      </c>
      <c r="AF359" s="40">
        <v>0.48313151069600035</v>
      </c>
    </row>
    <row r="360" spans="1:32">
      <c r="A360" s="15">
        <v>358</v>
      </c>
      <c r="B360" s="16">
        <v>1</v>
      </c>
      <c r="C360" s="20">
        <v>0.49</v>
      </c>
      <c r="D360" s="20">
        <v>0.47019991112713599</v>
      </c>
      <c r="E360" s="20">
        <v>7.0000000000000007E-2</v>
      </c>
      <c r="F360" s="8" t="s">
        <v>436</v>
      </c>
      <c r="G360" s="24">
        <v>0.51727628230892919</v>
      </c>
      <c r="H360" s="24">
        <v>0.52027117994505556</v>
      </c>
      <c r="I360" s="25">
        <v>0.52937001279585627</v>
      </c>
      <c r="L360" s="15">
        <v>358</v>
      </c>
      <c r="M360" s="16">
        <v>0</v>
      </c>
      <c r="N360" s="16">
        <v>1</v>
      </c>
      <c r="O360" s="16">
        <v>5</v>
      </c>
      <c r="P360" s="16">
        <v>99</v>
      </c>
      <c r="Q360" s="29">
        <v>21</v>
      </c>
      <c r="R360" s="20">
        <v>0.64780000000000004</v>
      </c>
      <c r="S360" s="32">
        <v>13.603800000000001</v>
      </c>
      <c r="T360" s="35">
        <v>1.0900000000000001</v>
      </c>
      <c r="U360" s="35">
        <v>0.84</v>
      </c>
      <c r="V360" s="35">
        <v>5.1904761904761912E-2</v>
      </c>
      <c r="W360" s="9" t="s">
        <v>153</v>
      </c>
      <c r="X360" s="15">
        <v>359</v>
      </c>
      <c r="Y360" s="39">
        <v>0.47357344655916517</v>
      </c>
      <c r="Z360" s="39">
        <v>0.47767869575212779</v>
      </c>
      <c r="AA360" s="39">
        <v>0.48676970577991252</v>
      </c>
      <c r="AB360" s="39">
        <v>0.48944517649596814</v>
      </c>
      <c r="AC360" s="39">
        <v>0.46718971709909762</v>
      </c>
      <c r="AD360" s="39">
        <v>0.47251485339718446</v>
      </c>
      <c r="AE360" s="39">
        <v>0.48288961589572404</v>
      </c>
      <c r="AF360" s="40">
        <v>0.4829950952358128</v>
      </c>
    </row>
    <row r="361" spans="1:32">
      <c r="A361" s="15">
        <v>359</v>
      </c>
      <c r="B361" s="16">
        <v>0</v>
      </c>
      <c r="C361" s="20">
        <v>0.02</v>
      </c>
      <c r="D361" s="20">
        <v>0.99756714174924133</v>
      </c>
      <c r="E361" s="20">
        <v>1</v>
      </c>
      <c r="F361" s="8" t="s">
        <v>436</v>
      </c>
      <c r="G361" s="24">
        <v>1.155424198765147</v>
      </c>
      <c r="H361" s="24">
        <v>1.1621138099457702</v>
      </c>
      <c r="I361" s="25">
        <v>1.1824375943833791</v>
      </c>
      <c r="L361" s="15">
        <v>359</v>
      </c>
      <c r="M361" s="16">
        <v>0</v>
      </c>
      <c r="N361" s="16">
        <v>1</v>
      </c>
      <c r="O361" s="16">
        <v>5</v>
      </c>
      <c r="P361" s="16">
        <v>100</v>
      </c>
      <c r="Q361" s="29">
        <v>25</v>
      </c>
      <c r="R361" s="20">
        <v>0.64780000000000004</v>
      </c>
      <c r="S361" s="32">
        <v>16.195</v>
      </c>
      <c r="T361" s="35">
        <v>0.31</v>
      </c>
      <c r="U361" s="35">
        <v>0.01</v>
      </c>
      <c r="V361" s="35">
        <v>1.24E-2</v>
      </c>
      <c r="W361" s="9" t="s">
        <v>152</v>
      </c>
      <c r="X361" s="15">
        <v>360</v>
      </c>
      <c r="Y361" s="39">
        <v>0.47837759596587537</v>
      </c>
      <c r="Z361" s="39">
        <v>0.47812738013214123</v>
      </c>
      <c r="AA361" s="39">
        <v>0.49856760976029962</v>
      </c>
      <c r="AB361" s="39">
        <v>0.48604119827516051</v>
      </c>
      <c r="AC361" s="39">
        <v>0.47263579114848736</v>
      </c>
      <c r="AD361" s="39">
        <v>0.47061240133174242</v>
      </c>
      <c r="AE361" s="39">
        <v>0.49136259028201851</v>
      </c>
      <c r="AF361" s="40">
        <v>0.48411063207437616</v>
      </c>
    </row>
    <row r="362" spans="1:32">
      <c r="A362" s="15">
        <v>360</v>
      </c>
      <c r="B362" s="16">
        <v>0</v>
      </c>
      <c r="C362" s="20">
        <v>0.22</v>
      </c>
      <c r="D362" s="20">
        <v>0.77721694463431112</v>
      </c>
      <c r="E362" s="20">
        <v>0.09</v>
      </c>
      <c r="F362" s="8" t="s">
        <v>436</v>
      </c>
      <c r="G362" s="24">
        <v>0.78201186860199268</v>
      </c>
      <c r="H362" s="24">
        <v>0.78653951770711861</v>
      </c>
      <c r="I362" s="25">
        <v>0.80029502037194478</v>
      </c>
      <c r="L362" s="15">
        <v>360</v>
      </c>
      <c r="M362" s="16">
        <v>0</v>
      </c>
      <c r="N362" s="16">
        <v>1</v>
      </c>
      <c r="O362" s="16">
        <v>5</v>
      </c>
      <c r="P362" s="16">
        <v>101</v>
      </c>
      <c r="Q362" s="29">
        <v>19</v>
      </c>
      <c r="R362" s="20">
        <v>0.64780000000000004</v>
      </c>
      <c r="S362" s="32">
        <v>12.308200000000001</v>
      </c>
      <c r="T362" s="35">
        <v>2.0299999999999998</v>
      </c>
      <c r="U362" s="35">
        <v>1.85</v>
      </c>
      <c r="V362" s="35">
        <v>0.10684210526315789</v>
      </c>
      <c r="W362" s="9" t="s">
        <v>154</v>
      </c>
      <c r="X362" s="15">
        <v>361</v>
      </c>
      <c r="Y362" s="39">
        <v>0.48637943057610061</v>
      </c>
      <c r="Z362" s="39">
        <v>0.49956834007826967</v>
      </c>
      <c r="AA362" s="39">
        <v>0.48441615977046504</v>
      </c>
      <c r="AB362" s="39">
        <v>0.47411333476341727</v>
      </c>
      <c r="AC362" s="39">
        <v>0.47951544759559395</v>
      </c>
      <c r="AD362" s="39">
        <v>0.49017741787950214</v>
      </c>
      <c r="AE362" s="39">
        <v>0.47971831613772631</v>
      </c>
      <c r="AF362" s="40">
        <v>0.47278338669374087</v>
      </c>
    </row>
    <row r="363" spans="1:32">
      <c r="A363" s="15">
        <v>361</v>
      </c>
      <c r="B363" s="16">
        <v>1</v>
      </c>
      <c r="C363" s="20">
        <v>0.02</v>
      </c>
      <c r="D363" s="20">
        <v>0.99835916395484214</v>
      </c>
      <c r="E363" s="20">
        <v>1</v>
      </c>
      <c r="F363" s="8" t="s">
        <v>436</v>
      </c>
      <c r="G363" s="24">
        <v>1.0746482043581078</v>
      </c>
      <c r="H363" s="24">
        <v>1.08087014314976</v>
      </c>
      <c r="I363" s="25">
        <v>1.0997730867396383</v>
      </c>
      <c r="L363" s="15">
        <v>361</v>
      </c>
      <c r="M363" s="16">
        <v>0</v>
      </c>
      <c r="N363" s="16">
        <v>1</v>
      </c>
      <c r="O363" s="16">
        <v>5</v>
      </c>
      <c r="P363" s="16">
        <v>102</v>
      </c>
      <c r="Q363" s="29">
        <v>7</v>
      </c>
      <c r="R363" s="20">
        <v>0.64780000000000004</v>
      </c>
      <c r="S363" s="32">
        <v>4.5346000000000002</v>
      </c>
      <c r="T363" s="35">
        <v>0.17</v>
      </c>
      <c r="U363" s="35">
        <v>0</v>
      </c>
      <c r="V363" s="35">
        <v>2.4285714285714289E-2</v>
      </c>
      <c r="W363" s="9" t="s">
        <v>152</v>
      </c>
      <c r="X363" s="15">
        <v>362</v>
      </c>
      <c r="Y363" s="39">
        <v>0.49420557722884279</v>
      </c>
      <c r="Z363" s="39">
        <v>0.49968621636402477</v>
      </c>
      <c r="AA363" s="39">
        <v>0.47734394565871219</v>
      </c>
      <c r="AB363" s="39">
        <v>0.47857374585843654</v>
      </c>
      <c r="AC363" s="39">
        <v>0.48391411207077512</v>
      </c>
      <c r="AD363" s="39">
        <v>0.49296389874566959</v>
      </c>
      <c r="AE363" s="39">
        <v>0.47368471430955966</v>
      </c>
      <c r="AF363" s="40">
        <v>0.4751395441801417</v>
      </c>
    </row>
    <row r="364" spans="1:32">
      <c r="A364" s="15">
        <v>362</v>
      </c>
      <c r="B364" s="16">
        <v>1</v>
      </c>
      <c r="C364" s="20">
        <v>0.92</v>
      </c>
      <c r="D364" s="20">
        <v>0.20258497911151899</v>
      </c>
      <c r="E364" s="20">
        <v>0.08</v>
      </c>
      <c r="F364" s="8" t="s">
        <v>434</v>
      </c>
      <c r="G364" s="24">
        <v>0.73207897845070335</v>
      </c>
      <c r="H364" s="24">
        <v>0.73631752886757795</v>
      </c>
      <c r="I364" s="25">
        <v>0.74919471749253364</v>
      </c>
      <c r="L364" s="15">
        <v>362</v>
      </c>
      <c r="M364" s="16">
        <v>0</v>
      </c>
      <c r="N364" s="16">
        <v>1</v>
      </c>
      <c r="O364" s="16">
        <v>6</v>
      </c>
      <c r="P364" s="16">
        <v>103</v>
      </c>
      <c r="Q364" s="29">
        <v>72</v>
      </c>
      <c r="R364" s="20">
        <v>0.64780000000000004</v>
      </c>
      <c r="S364" s="32">
        <v>46.641600000000004</v>
      </c>
      <c r="T364" s="35">
        <v>4.66</v>
      </c>
      <c r="U364" s="35">
        <v>3.53</v>
      </c>
      <c r="V364" s="35">
        <v>6.4722222222222223E-2</v>
      </c>
      <c r="W364" s="9" t="s">
        <v>155</v>
      </c>
      <c r="X364" s="15">
        <v>363</v>
      </c>
      <c r="Y364" s="39">
        <v>0.50178914749337966</v>
      </c>
      <c r="Z364" s="39">
        <v>0.48631027876614252</v>
      </c>
      <c r="AA364" s="39">
        <v>0.48322068510498989</v>
      </c>
      <c r="AB364" s="39">
        <v>0.49282182003808911</v>
      </c>
      <c r="AC364" s="39">
        <v>0.49164039187755304</v>
      </c>
      <c r="AD364" s="39">
        <v>0.47910263157928323</v>
      </c>
      <c r="AE364" s="39">
        <v>0.47299583417825142</v>
      </c>
      <c r="AF364" s="40">
        <v>0.49040036749644167</v>
      </c>
    </row>
    <row r="365" spans="1:32">
      <c r="A365" s="15">
        <v>363</v>
      </c>
      <c r="B365" s="16">
        <v>1</v>
      </c>
      <c r="C365" s="20">
        <v>0.87</v>
      </c>
      <c r="D365" s="20">
        <v>0.27276032039195819</v>
      </c>
      <c r="E365" s="20">
        <v>0.13</v>
      </c>
      <c r="F365" s="8" t="s">
        <v>434</v>
      </c>
      <c r="G365" s="24">
        <v>0.56674883927702768</v>
      </c>
      <c r="H365" s="24">
        <v>0.5700301703897781</v>
      </c>
      <c r="I365" s="25">
        <v>0.57999922007044225</v>
      </c>
      <c r="L365" s="15">
        <v>363</v>
      </c>
      <c r="M365" s="16">
        <v>0</v>
      </c>
      <c r="N365" s="16">
        <v>1</v>
      </c>
      <c r="O365" s="16">
        <v>6</v>
      </c>
      <c r="P365" s="16">
        <v>104</v>
      </c>
      <c r="Q365" s="29">
        <v>65</v>
      </c>
      <c r="R365" s="20">
        <v>0.64780000000000004</v>
      </c>
      <c r="S365" s="32">
        <v>42.106999999999999</v>
      </c>
      <c r="T365" s="35">
        <v>2.76</v>
      </c>
      <c r="U365" s="35">
        <v>1.78</v>
      </c>
      <c r="V365" s="35">
        <v>4.246153846153846E-2</v>
      </c>
      <c r="W365" s="9" t="s">
        <v>154</v>
      </c>
      <c r="X365" s="15">
        <v>364</v>
      </c>
      <c r="Y365" s="39">
        <v>0.47388536925178232</v>
      </c>
      <c r="Z365" s="39">
        <v>0.48156444421432587</v>
      </c>
      <c r="AA365" s="39">
        <v>0.48438683833152363</v>
      </c>
      <c r="AB365" s="39">
        <v>0.49653299938048628</v>
      </c>
      <c r="AC365" s="39">
        <v>0.46615827663425874</v>
      </c>
      <c r="AD365" s="39">
        <v>0.47294948075704374</v>
      </c>
      <c r="AE365" s="39">
        <v>0.47617432687167954</v>
      </c>
      <c r="AF365" s="40">
        <v>0.49011917636494118</v>
      </c>
    </row>
    <row r="366" spans="1:32">
      <c r="A366" s="15">
        <v>364</v>
      </c>
      <c r="B366" s="16">
        <v>0</v>
      </c>
      <c r="C366" s="20">
        <v>0.08</v>
      </c>
      <c r="D366" s="20">
        <v>0.91948897586059231</v>
      </c>
      <c r="E366" s="20">
        <v>0.21</v>
      </c>
      <c r="F366" s="8" t="s">
        <v>436</v>
      </c>
      <c r="G366" s="24">
        <v>1.7202560607187753</v>
      </c>
      <c r="H366" s="24">
        <v>1.7302159042027685</v>
      </c>
      <c r="I366" s="25">
        <v>1.6578926537592125</v>
      </c>
      <c r="L366" s="15">
        <v>364</v>
      </c>
      <c r="M366" s="16">
        <v>0</v>
      </c>
      <c r="N366" s="16">
        <v>1</v>
      </c>
      <c r="O366" s="16">
        <v>6</v>
      </c>
      <c r="P366" s="16">
        <v>105</v>
      </c>
      <c r="Q366" s="29">
        <v>61</v>
      </c>
      <c r="R366" s="20">
        <v>0.64780000000000004</v>
      </c>
      <c r="S366" s="32">
        <v>39.515800000000006</v>
      </c>
      <c r="T366" s="35">
        <v>3.24</v>
      </c>
      <c r="U366" s="35">
        <v>2.0499999999999998</v>
      </c>
      <c r="V366" s="35">
        <v>5.311475409836066E-2</v>
      </c>
      <c r="W366" s="9" t="s">
        <v>155</v>
      </c>
      <c r="X366" s="15">
        <v>365</v>
      </c>
      <c r="Y366" s="39">
        <v>0.48256686086778439</v>
      </c>
      <c r="Z366" s="39">
        <v>0.49233919857945335</v>
      </c>
      <c r="AA366" s="39">
        <v>0.48750747945048478</v>
      </c>
      <c r="AB366" s="39">
        <v>0.4919324970913394</v>
      </c>
      <c r="AC366" s="39">
        <v>0.47439723113841703</v>
      </c>
      <c r="AD366" s="39">
        <v>0.4872509926959806</v>
      </c>
      <c r="AE366" s="39">
        <v>0.47958136287783687</v>
      </c>
      <c r="AF366" s="40">
        <v>0.48626592341750113</v>
      </c>
    </row>
    <row r="367" spans="1:32">
      <c r="A367" s="15">
        <v>365</v>
      </c>
      <c r="B367" s="16">
        <v>0</v>
      </c>
      <c r="C367" s="20">
        <v>0.02</v>
      </c>
      <c r="D367" s="20">
        <v>0.99835916395484214</v>
      </c>
      <c r="E367" s="20">
        <v>1</v>
      </c>
      <c r="F367" s="8" t="s">
        <v>436</v>
      </c>
      <c r="G367" s="24">
        <v>0.96693241991829759</v>
      </c>
      <c r="H367" s="24">
        <v>0.97253071181326178</v>
      </c>
      <c r="I367" s="25">
        <v>0.98953894661495434</v>
      </c>
      <c r="L367" s="15">
        <v>365</v>
      </c>
      <c r="M367" s="16">
        <v>0</v>
      </c>
      <c r="N367" s="16">
        <v>1</v>
      </c>
      <c r="O367" s="16">
        <v>6</v>
      </c>
      <c r="P367" s="16">
        <v>106</v>
      </c>
      <c r="Q367" s="29">
        <v>59</v>
      </c>
      <c r="R367" s="20">
        <v>0.64780000000000004</v>
      </c>
      <c r="S367" s="32">
        <v>38.220200000000006</v>
      </c>
      <c r="T367" s="35">
        <v>3.06</v>
      </c>
      <c r="U367" s="35">
        <v>2.2599999999999998</v>
      </c>
      <c r="V367" s="35">
        <v>5.1864406779661018E-2</v>
      </c>
      <c r="W367" s="9" t="s">
        <v>155</v>
      </c>
      <c r="X367" s="15">
        <v>366</v>
      </c>
      <c r="Y367" s="39">
        <v>0.48237693063208159</v>
      </c>
      <c r="Z367" s="39">
        <v>0.47396571662774567</v>
      </c>
      <c r="AA367" s="39">
        <v>0.48491842826057818</v>
      </c>
      <c r="AB367" s="39">
        <v>0.48533320367438287</v>
      </c>
      <c r="AC367" s="39">
        <v>0.47767618637876991</v>
      </c>
      <c r="AD367" s="39">
        <v>0.46550909256930406</v>
      </c>
      <c r="AE367" s="39">
        <v>0.47829447268370345</v>
      </c>
      <c r="AF367" s="40">
        <v>0.48199196182240878</v>
      </c>
    </row>
    <row r="368" spans="1:32">
      <c r="A368" s="15">
        <v>366</v>
      </c>
      <c r="B368" s="16">
        <v>0</v>
      </c>
      <c r="C368" s="20">
        <v>0.27</v>
      </c>
      <c r="D368" s="20">
        <v>0.73477452736911486</v>
      </c>
      <c r="E368" s="20">
        <v>0.39</v>
      </c>
      <c r="F368" s="8" t="s">
        <v>436</v>
      </c>
      <c r="G368" s="24">
        <v>0.75284345261859598</v>
      </c>
      <c r="H368" s="24">
        <v>0.75720222404062321</v>
      </c>
      <c r="I368" s="25">
        <v>0.77044465747990731</v>
      </c>
      <c r="L368" s="15">
        <v>366</v>
      </c>
      <c r="M368" s="16">
        <v>0</v>
      </c>
      <c r="N368" s="16">
        <v>1</v>
      </c>
      <c r="O368" s="16">
        <v>6</v>
      </c>
      <c r="P368" s="16">
        <v>107</v>
      </c>
      <c r="Q368" s="29">
        <v>53</v>
      </c>
      <c r="R368" s="20">
        <v>0.64780000000000004</v>
      </c>
      <c r="S368" s="32">
        <v>34.333400000000005</v>
      </c>
      <c r="T368" s="35">
        <v>3.35</v>
      </c>
      <c r="U368" s="35">
        <v>2.5499999999999998</v>
      </c>
      <c r="V368" s="35">
        <v>6.3207547169811321E-2</v>
      </c>
      <c r="W368" s="9" t="s">
        <v>155</v>
      </c>
      <c r="X368" s="15">
        <v>367</v>
      </c>
      <c r="Y368" s="39">
        <v>0.48774449172058809</v>
      </c>
      <c r="Z368" s="39">
        <v>0.47585397685952002</v>
      </c>
      <c r="AA368" s="39">
        <v>0.49018020845076804</v>
      </c>
      <c r="AB368" s="39">
        <v>0.49678209358646103</v>
      </c>
      <c r="AC368" s="39">
        <v>0.47799592355490816</v>
      </c>
      <c r="AD368" s="39">
        <v>0.47030025421748695</v>
      </c>
      <c r="AE368" s="39">
        <v>0.48217625516574503</v>
      </c>
      <c r="AF368" s="40">
        <v>0.49079338168448688</v>
      </c>
    </row>
    <row r="369" spans="1:32">
      <c r="A369" s="15">
        <v>367</v>
      </c>
      <c r="B369" s="16">
        <v>1</v>
      </c>
      <c r="C369" s="20">
        <v>0.94</v>
      </c>
      <c r="D369" s="20">
        <v>0.17188516685452584</v>
      </c>
      <c r="E369" s="20">
        <v>0.06</v>
      </c>
      <c r="F369" s="8" t="s">
        <v>434</v>
      </c>
      <c r="G369" s="24">
        <v>1.3790754185862912</v>
      </c>
      <c r="H369" s="24">
        <v>1.3870599132411177</v>
      </c>
      <c r="I369" s="25">
        <v>1.4113176980101296</v>
      </c>
      <c r="L369" s="15">
        <v>367</v>
      </c>
      <c r="M369" s="16">
        <v>0</v>
      </c>
      <c r="N369" s="16">
        <v>1</v>
      </c>
      <c r="O369" s="16">
        <v>6</v>
      </c>
      <c r="P369" s="16">
        <v>108</v>
      </c>
      <c r="Q369" s="29">
        <v>50</v>
      </c>
      <c r="R369" s="20">
        <v>0.64780000000000004</v>
      </c>
      <c r="S369" s="32">
        <v>32.39</v>
      </c>
      <c r="T369" s="35">
        <v>3.0900000000000003</v>
      </c>
      <c r="U369" s="35">
        <v>2.2999999999999998</v>
      </c>
      <c r="V369" s="35">
        <v>6.1800000000000008E-2</v>
      </c>
      <c r="W369" s="9" t="s">
        <v>155</v>
      </c>
      <c r="X369" s="15">
        <v>368</v>
      </c>
      <c r="Y369" s="39">
        <v>0.4909034327786298</v>
      </c>
      <c r="Z369" s="39">
        <v>0.49270341028854642</v>
      </c>
      <c r="AA369" s="39">
        <v>0.48717358034017627</v>
      </c>
      <c r="AB369" s="39">
        <v>0.48004755058661253</v>
      </c>
      <c r="AC369" s="39">
        <v>0.48278138806750093</v>
      </c>
      <c r="AD369" s="39">
        <v>0.48600041931694199</v>
      </c>
      <c r="AE369" s="39">
        <v>0.48064265567013881</v>
      </c>
      <c r="AF369" s="40">
        <v>0.47733769903219014</v>
      </c>
    </row>
    <row r="370" spans="1:32">
      <c r="A370" s="15">
        <v>368</v>
      </c>
      <c r="B370" s="16">
        <v>0</v>
      </c>
      <c r="C370" s="20">
        <v>0.97</v>
      </c>
      <c r="D370" s="20">
        <v>0.12097036642660543</v>
      </c>
      <c r="E370" s="20">
        <v>0.03</v>
      </c>
      <c r="F370" s="8" t="s">
        <v>434</v>
      </c>
      <c r="G370" s="24">
        <v>0.54587062063662484</v>
      </c>
      <c r="H370" s="24">
        <v>0.54903107219276082</v>
      </c>
      <c r="I370" s="25">
        <v>0.55863287630634906</v>
      </c>
      <c r="L370" s="15">
        <v>368</v>
      </c>
      <c r="M370" s="16">
        <v>0</v>
      </c>
      <c r="N370" s="16">
        <v>1</v>
      </c>
      <c r="O370" s="16">
        <v>6</v>
      </c>
      <c r="P370" s="16">
        <v>109</v>
      </c>
      <c r="Q370" s="29">
        <v>47</v>
      </c>
      <c r="R370" s="20">
        <v>0.64780000000000004</v>
      </c>
      <c r="S370" s="32">
        <v>30.446600000000004</v>
      </c>
      <c r="T370" s="35">
        <v>1.79</v>
      </c>
      <c r="U370" s="35">
        <v>0.94</v>
      </c>
      <c r="V370" s="35">
        <v>3.8085106382978726E-2</v>
      </c>
      <c r="W370" s="9" t="s">
        <v>153</v>
      </c>
      <c r="X370" s="15">
        <v>369</v>
      </c>
      <c r="Y370" s="39">
        <v>0.48357593558746265</v>
      </c>
      <c r="Z370" s="39">
        <v>0.48321770687207688</v>
      </c>
      <c r="AA370" s="39">
        <v>0.47929902684654729</v>
      </c>
      <c r="AB370" s="39">
        <v>0.48634661476922136</v>
      </c>
      <c r="AC370" s="39">
        <v>0.47792006924725433</v>
      </c>
      <c r="AD370" s="39">
        <v>0.47773113540441237</v>
      </c>
      <c r="AE370" s="39">
        <v>0.47088578202751319</v>
      </c>
      <c r="AF370" s="40">
        <v>0.48315158124250446</v>
      </c>
    </row>
    <row r="371" spans="1:32">
      <c r="A371" s="15">
        <v>369</v>
      </c>
      <c r="B371" s="16">
        <v>1</v>
      </c>
      <c r="C371" s="20">
        <v>0.03</v>
      </c>
      <c r="D371" s="20">
        <v>0.99275631294341449</v>
      </c>
      <c r="E371" s="20">
        <v>1</v>
      </c>
      <c r="F371" s="8" t="s">
        <v>436</v>
      </c>
      <c r="G371" s="24">
        <v>1.0038008667408258</v>
      </c>
      <c r="H371" s="24">
        <v>1.0096126175319597</v>
      </c>
      <c r="I371" s="25">
        <v>1.0272693642538382</v>
      </c>
      <c r="L371" s="15">
        <v>369</v>
      </c>
      <c r="M371" s="16">
        <v>0</v>
      </c>
      <c r="N371" s="16">
        <v>1</v>
      </c>
      <c r="O371" s="16">
        <v>6</v>
      </c>
      <c r="P371" s="16">
        <v>110</v>
      </c>
      <c r="Q371" s="29">
        <v>44</v>
      </c>
      <c r="R371" s="20">
        <v>0.64780000000000004</v>
      </c>
      <c r="S371" s="32">
        <v>28.503200000000003</v>
      </c>
      <c r="T371" s="35">
        <v>1.96</v>
      </c>
      <c r="U371" s="35">
        <v>1.1599999999999999</v>
      </c>
      <c r="V371" s="35">
        <v>4.4545454545454548E-2</v>
      </c>
      <c r="W371" s="9" t="s">
        <v>153</v>
      </c>
      <c r="X371" s="15">
        <v>370</v>
      </c>
      <c r="Y371" s="39">
        <v>0.47889074548064081</v>
      </c>
      <c r="Z371" s="39">
        <v>0.48325873885323478</v>
      </c>
      <c r="AA371" s="39">
        <v>0.47743722458796184</v>
      </c>
      <c r="AB371" s="39">
        <v>0.48606069715229078</v>
      </c>
      <c r="AC371" s="39">
        <v>0.47293955963898232</v>
      </c>
      <c r="AD371" s="39">
        <v>0.47597717823705377</v>
      </c>
      <c r="AE371" s="39">
        <v>0.46876369647509536</v>
      </c>
      <c r="AF371" s="40">
        <v>0.48273283016872376</v>
      </c>
    </row>
    <row r="372" spans="1:32">
      <c r="A372" s="15">
        <v>370</v>
      </c>
      <c r="B372" s="16">
        <v>0</v>
      </c>
      <c r="C372" s="20">
        <v>0.3</v>
      </c>
      <c r="D372" s="20">
        <v>0.73833207548829238</v>
      </c>
      <c r="E372" s="20">
        <v>0.04</v>
      </c>
      <c r="F372" s="8" t="s">
        <v>436</v>
      </c>
      <c r="G372" s="24">
        <v>0.70640975994221045</v>
      </c>
      <c r="H372" s="24">
        <v>0.71049969213617103</v>
      </c>
      <c r="I372" s="25">
        <v>0.72292536203388691</v>
      </c>
      <c r="L372" s="15">
        <v>370</v>
      </c>
      <c r="M372" s="16">
        <v>0</v>
      </c>
      <c r="N372" s="16">
        <v>1</v>
      </c>
      <c r="O372" s="16">
        <v>6</v>
      </c>
      <c r="P372" s="16">
        <v>111</v>
      </c>
      <c r="Q372" s="29">
        <v>61</v>
      </c>
      <c r="R372" s="20">
        <v>0.64780000000000004</v>
      </c>
      <c r="S372" s="32">
        <v>39.515800000000006</v>
      </c>
      <c r="T372" s="35">
        <v>4.7300000000000004</v>
      </c>
      <c r="U372" s="35">
        <v>3.94</v>
      </c>
      <c r="V372" s="35">
        <v>7.7540983606557382E-2</v>
      </c>
      <c r="W372" s="9" t="s">
        <v>155</v>
      </c>
      <c r="X372" s="15">
        <v>371</v>
      </c>
      <c r="Y372" s="39">
        <v>0.49887464668885639</v>
      </c>
      <c r="Z372" s="39">
        <v>0.49626346969205137</v>
      </c>
      <c r="AA372" s="39">
        <v>0.48669691206815147</v>
      </c>
      <c r="AB372" s="39">
        <v>0.47700500568375537</v>
      </c>
      <c r="AC372" s="39">
        <v>0.49245695638910397</v>
      </c>
      <c r="AD372" s="39">
        <v>0.48631554673961785</v>
      </c>
      <c r="AE372" s="39">
        <v>0.47601839646425498</v>
      </c>
      <c r="AF372" s="40">
        <v>0.47473854772238977</v>
      </c>
    </row>
    <row r="373" spans="1:32">
      <c r="A373" s="15">
        <v>371</v>
      </c>
      <c r="B373" s="16">
        <v>0</v>
      </c>
      <c r="C373" s="20">
        <v>0.02</v>
      </c>
      <c r="D373" s="20">
        <v>0.99756714174924133</v>
      </c>
      <c r="E373" s="20">
        <v>1</v>
      </c>
      <c r="F373" s="8" t="s">
        <v>436</v>
      </c>
      <c r="G373" s="24">
        <v>1.0677831886969127</v>
      </c>
      <c r="H373" s="24">
        <v>1.0739653808002305</v>
      </c>
      <c r="I373" s="25">
        <v>1.0927475695205049</v>
      </c>
      <c r="L373" s="15">
        <v>371</v>
      </c>
      <c r="M373" s="16">
        <v>0</v>
      </c>
      <c r="N373" s="16">
        <v>1</v>
      </c>
      <c r="O373" s="16">
        <v>6</v>
      </c>
      <c r="P373" s="16">
        <v>112</v>
      </c>
      <c r="Q373" s="29">
        <v>65</v>
      </c>
      <c r="R373" s="20">
        <v>0.64780000000000004</v>
      </c>
      <c r="S373" s="32">
        <v>42.106999999999999</v>
      </c>
      <c r="T373" s="35">
        <v>5.28</v>
      </c>
      <c r="U373" s="35">
        <v>4.29</v>
      </c>
      <c r="V373" s="35">
        <v>8.1230769230769231E-2</v>
      </c>
      <c r="W373" s="9" t="s">
        <v>156</v>
      </c>
      <c r="X373" s="15">
        <v>372</v>
      </c>
      <c r="Y373" s="39">
        <v>0.50068576690509181</v>
      </c>
      <c r="Z373" s="39">
        <v>0.475463106548415</v>
      </c>
      <c r="AA373" s="39">
        <v>0.49184901958328736</v>
      </c>
      <c r="AB373" s="39">
        <v>0.49173310908855472</v>
      </c>
      <c r="AC373" s="39">
        <v>0.49468570861287281</v>
      </c>
      <c r="AD373" s="39">
        <v>0.46589023374972333</v>
      </c>
      <c r="AE373" s="39">
        <v>0.48230920603120336</v>
      </c>
      <c r="AF373" s="40">
        <v>0.48691148005458473</v>
      </c>
    </row>
    <row r="374" spans="1:32">
      <c r="A374" s="15">
        <v>372</v>
      </c>
      <c r="B374" s="16">
        <v>0</v>
      </c>
      <c r="C374" s="20">
        <v>0.08</v>
      </c>
      <c r="D374" s="20">
        <v>0.93036607548052097</v>
      </c>
      <c r="E374" s="20">
        <v>0.12</v>
      </c>
      <c r="F374" s="8" t="s">
        <v>436</v>
      </c>
      <c r="G374" s="24">
        <v>1.0415276734895744</v>
      </c>
      <c r="H374" s="24">
        <v>1.0475578528617484</v>
      </c>
      <c r="I374" s="25">
        <v>1.0658782099604047</v>
      </c>
      <c r="L374" s="15">
        <v>372</v>
      </c>
      <c r="M374" s="16">
        <v>0</v>
      </c>
      <c r="N374" s="16">
        <v>1</v>
      </c>
      <c r="O374" s="16">
        <v>6</v>
      </c>
      <c r="P374" s="16">
        <v>113</v>
      </c>
      <c r="Q374" s="29">
        <v>48</v>
      </c>
      <c r="R374" s="20">
        <v>0.64780000000000004</v>
      </c>
      <c r="S374" s="32">
        <v>31.0944</v>
      </c>
      <c r="T374" s="35">
        <v>1.77</v>
      </c>
      <c r="U374" s="35">
        <v>1.1200000000000001</v>
      </c>
      <c r="V374" s="35">
        <v>3.6874999999999998E-2</v>
      </c>
      <c r="W374" s="9" t="s">
        <v>153</v>
      </c>
      <c r="X374" s="15">
        <v>373</v>
      </c>
      <c r="Y374" s="39">
        <v>0.49180975100284147</v>
      </c>
      <c r="Z374" s="39">
        <v>0.48364453952335545</v>
      </c>
      <c r="AA374" s="39">
        <v>0.48195696183083198</v>
      </c>
      <c r="AB374" s="39">
        <v>0.48399811722756741</v>
      </c>
      <c r="AC374" s="39">
        <v>0.48513138872710132</v>
      </c>
      <c r="AD374" s="39">
        <v>0.47647670092986916</v>
      </c>
      <c r="AE374" s="39">
        <v>0.47619810687511965</v>
      </c>
      <c r="AF374" s="40">
        <v>0.48024100719992335</v>
      </c>
    </row>
    <row r="375" spans="1:32">
      <c r="A375" s="15">
        <v>373</v>
      </c>
      <c r="B375" s="16">
        <v>1</v>
      </c>
      <c r="C375" s="20">
        <v>0.02</v>
      </c>
      <c r="D375" s="20">
        <v>0.99917029198757767</v>
      </c>
      <c r="E375" s="20">
        <v>1</v>
      </c>
      <c r="F375" s="8" t="s">
        <v>436</v>
      </c>
      <c r="G375" s="24">
        <v>1.0743668818685308</v>
      </c>
      <c r="H375" s="24">
        <v>1.0805871918747778</v>
      </c>
      <c r="I375" s="25">
        <v>1.0994851870330395</v>
      </c>
      <c r="L375" s="15">
        <v>373</v>
      </c>
      <c r="M375" s="16">
        <v>0</v>
      </c>
      <c r="N375" s="16">
        <v>1</v>
      </c>
      <c r="O375" s="16">
        <v>6</v>
      </c>
      <c r="P375" s="16">
        <v>114</v>
      </c>
      <c r="Q375" s="29">
        <v>49</v>
      </c>
      <c r="R375" s="20">
        <v>0.64780000000000004</v>
      </c>
      <c r="S375" s="32">
        <v>31.7422</v>
      </c>
      <c r="T375" s="35">
        <v>3.64</v>
      </c>
      <c r="U375" s="35">
        <v>2.86</v>
      </c>
      <c r="V375" s="35">
        <v>7.4285714285714288E-2</v>
      </c>
      <c r="W375" s="9" t="s">
        <v>155</v>
      </c>
      <c r="X375" s="15">
        <v>374</v>
      </c>
      <c r="Y375" s="39">
        <v>0.4934292298363937</v>
      </c>
      <c r="Z375" s="39">
        <v>0.49427934648164429</v>
      </c>
      <c r="AA375" s="39">
        <v>0.49190466127793081</v>
      </c>
      <c r="AB375" s="39">
        <v>0.47908405638141771</v>
      </c>
      <c r="AC375" s="39">
        <v>0.48590624950784078</v>
      </c>
      <c r="AD375" s="39">
        <v>0.48750051893975904</v>
      </c>
      <c r="AE375" s="39">
        <v>0.48553994899502678</v>
      </c>
      <c r="AF375" s="40">
        <v>0.47635487059480569</v>
      </c>
    </row>
    <row r="376" spans="1:32">
      <c r="A376" s="15">
        <v>374</v>
      </c>
      <c r="B376" s="16">
        <v>0</v>
      </c>
      <c r="C376" s="20">
        <v>0.02</v>
      </c>
      <c r="D376" s="20">
        <v>0.99917029198757767</v>
      </c>
      <c r="E376" s="20">
        <v>1</v>
      </c>
      <c r="F376" s="8" t="s">
        <v>436</v>
      </c>
      <c r="G376" s="24">
        <v>1.0397999058417962</v>
      </c>
      <c r="H376" s="24">
        <v>1.0458200818803145</v>
      </c>
      <c r="I376" s="25">
        <v>1.0641100477362833</v>
      </c>
      <c r="L376" s="15">
        <v>374</v>
      </c>
      <c r="M376" s="16">
        <v>0</v>
      </c>
      <c r="N376" s="16">
        <v>1</v>
      </c>
      <c r="O376" s="16">
        <v>6</v>
      </c>
      <c r="P376" s="16">
        <v>115</v>
      </c>
      <c r="Q376" s="29">
        <v>50</v>
      </c>
      <c r="R376" s="20">
        <v>0.64780000000000004</v>
      </c>
      <c r="S376" s="32">
        <v>32.39</v>
      </c>
      <c r="T376" s="35">
        <v>1.05</v>
      </c>
      <c r="U376" s="35">
        <v>0.38</v>
      </c>
      <c r="V376" s="35">
        <v>2.1000000000000001E-2</v>
      </c>
      <c r="W376" s="9" t="s">
        <v>153</v>
      </c>
      <c r="X376" s="15">
        <v>375</v>
      </c>
      <c r="Y376" s="39">
        <v>0.48997691150071054</v>
      </c>
      <c r="Z376" s="39">
        <v>0.4858439098907012</v>
      </c>
      <c r="AA376" s="39">
        <v>0.47516507738092117</v>
      </c>
      <c r="AB376" s="39">
        <v>0.47375705965331077</v>
      </c>
      <c r="AC376" s="39">
        <v>0.48295323064358187</v>
      </c>
      <c r="AD376" s="39">
        <v>0.4799790524024643</v>
      </c>
      <c r="AE376" s="39">
        <v>0.4677306905056367</v>
      </c>
      <c r="AF376" s="40">
        <v>0.46581660298017641</v>
      </c>
    </row>
    <row r="377" spans="1:32">
      <c r="A377" s="15">
        <v>375</v>
      </c>
      <c r="B377" s="16">
        <v>1</v>
      </c>
      <c r="C377" s="20">
        <v>0.93</v>
      </c>
      <c r="D377" s="20">
        <v>0.18747949848141848</v>
      </c>
      <c r="E377" s="20">
        <v>7.0000000000000007E-2</v>
      </c>
      <c r="F377" s="8" t="s">
        <v>434</v>
      </c>
      <c r="G377" s="24">
        <v>0.70561616762705437</v>
      </c>
      <c r="H377" s="24">
        <v>0.70970150512408026</v>
      </c>
      <c r="I377" s="25">
        <v>0.72211321582035148</v>
      </c>
      <c r="L377" s="15">
        <v>375</v>
      </c>
      <c r="M377" s="16">
        <v>0</v>
      </c>
      <c r="N377" s="16">
        <v>1</v>
      </c>
      <c r="O377" s="16">
        <v>6</v>
      </c>
      <c r="P377" s="16">
        <v>116</v>
      </c>
      <c r="Q377" s="29">
        <v>47</v>
      </c>
      <c r="R377" s="20">
        <v>0.64780000000000004</v>
      </c>
      <c r="S377" s="32">
        <v>30.446600000000004</v>
      </c>
      <c r="T377" s="35">
        <v>3.8</v>
      </c>
      <c r="U377" s="35">
        <v>3.2</v>
      </c>
      <c r="V377" s="35">
        <v>8.0851063829787226E-2</v>
      </c>
      <c r="W377" s="9" t="s">
        <v>155</v>
      </c>
      <c r="X377" s="15">
        <v>376</v>
      </c>
      <c r="Y377" s="39">
        <v>0.48643893796487447</v>
      </c>
      <c r="Z377" s="39">
        <v>0.47706325788667725</v>
      </c>
      <c r="AA377" s="39">
        <v>0.48018351386221581</v>
      </c>
      <c r="AB377" s="39">
        <v>0.49510683166199393</v>
      </c>
      <c r="AC377" s="39">
        <v>0.47938709824376241</v>
      </c>
      <c r="AD377" s="39">
        <v>0.47116084931464564</v>
      </c>
      <c r="AE377" s="39">
        <v>0.47327233800454405</v>
      </c>
      <c r="AF377" s="40">
        <v>0.49135015203615767</v>
      </c>
    </row>
    <row r="378" spans="1:32">
      <c r="A378" s="15">
        <v>376</v>
      </c>
      <c r="B378" s="16">
        <v>0</v>
      </c>
      <c r="C378" s="20">
        <v>0.93</v>
      </c>
      <c r="D378" s="20">
        <v>0.18747949848141848</v>
      </c>
      <c r="E378" s="20">
        <v>7.0000000000000007E-2</v>
      </c>
      <c r="F378" s="8" t="s">
        <v>434</v>
      </c>
      <c r="G378" s="24">
        <v>0.84836410427505626</v>
      </c>
      <c r="H378" s="24">
        <v>0.85327591588785012</v>
      </c>
      <c r="I378" s="25">
        <v>0.86819854707241306</v>
      </c>
      <c r="L378" s="15">
        <v>376</v>
      </c>
      <c r="M378" s="16">
        <v>0</v>
      </c>
      <c r="N378" s="16">
        <v>1</v>
      </c>
      <c r="O378" s="16">
        <v>6</v>
      </c>
      <c r="P378" s="16">
        <v>117</v>
      </c>
      <c r="Q378" s="29">
        <v>55</v>
      </c>
      <c r="R378" s="20">
        <v>0.64780000000000004</v>
      </c>
      <c r="S378" s="32">
        <v>35.629000000000005</v>
      </c>
      <c r="T378" s="35">
        <v>3.02</v>
      </c>
      <c r="U378" s="35">
        <v>2.04</v>
      </c>
      <c r="V378" s="35">
        <v>5.4909090909090907E-2</v>
      </c>
      <c r="W378" s="9" t="s">
        <v>155</v>
      </c>
      <c r="X378" s="15">
        <v>377</v>
      </c>
      <c r="Y378" s="39">
        <v>0.49488148111100411</v>
      </c>
      <c r="Z378" s="39">
        <v>0.48416443424444161</v>
      </c>
      <c r="AA378" s="39">
        <v>0.48294252997462389</v>
      </c>
      <c r="AB378" s="39">
        <v>0.49738875514054259</v>
      </c>
      <c r="AC378" s="39">
        <v>0.48709370509279204</v>
      </c>
      <c r="AD378" s="39">
        <v>0.47852507265964317</v>
      </c>
      <c r="AE378" s="39">
        <v>0.47591687917901515</v>
      </c>
      <c r="AF378" s="40">
        <v>0.49640930059653177</v>
      </c>
    </row>
    <row r="379" spans="1:32">
      <c r="A379" s="15">
        <v>377</v>
      </c>
      <c r="B379" s="16">
        <v>0</v>
      </c>
      <c r="C379" s="20">
        <v>0.35</v>
      </c>
      <c r="D379" s="20">
        <v>0.59684139625808219</v>
      </c>
      <c r="E379" s="20">
        <v>0.11</v>
      </c>
      <c r="F379" s="8" t="s">
        <v>436</v>
      </c>
      <c r="G379" s="24">
        <v>1.8676775971841277</v>
      </c>
      <c r="H379" s="24">
        <v>1.8784909737338618</v>
      </c>
      <c r="I379" s="25">
        <v>1.6578926537592125</v>
      </c>
      <c r="L379" s="15">
        <v>377</v>
      </c>
      <c r="M379" s="16">
        <v>0</v>
      </c>
      <c r="N379" s="16">
        <v>1</v>
      </c>
      <c r="O379" s="16">
        <v>6</v>
      </c>
      <c r="P379" s="16">
        <v>118</v>
      </c>
      <c r="Q379" s="29">
        <v>58</v>
      </c>
      <c r="R379" s="20">
        <v>0.64780000000000004</v>
      </c>
      <c r="S379" s="32">
        <v>37.572400000000002</v>
      </c>
      <c r="T379" s="35">
        <v>2.4</v>
      </c>
      <c r="U379" s="35">
        <v>1.52</v>
      </c>
      <c r="V379" s="35">
        <v>4.1379310344827586E-2</v>
      </c>
      <c r="W379" s="9" t="s">
        <v>154</v>
      </c>
      <c r="X379" s="15">
        <v>378</v>
      </c>
      <c r="Y379" s="39">
        <v>0.4948558773765257</v>
      </c>
      <c r="Z379" s="39">
        <v>0.47249866322103545</v>
      </c>
      <c r="AA379" s="39">
        <v>0.49294400662636562</v>
      </c>
      <c r="AB379" s="39">
        <v>0.49112555810553299</v>
      </c>
      <c r="AC379" s="39">
        <v>0.48644592213831372</v>
      </c>
      <c r="AD379" s="39">
        <v>0.46773234359121379</v>
      </c>
      <c r="AE379" s="39">
        <v>0.48495093789344756</v>
      </c>
      <c r="AF379" s="40">
        <v>0.48771917524187763</v>
      </c>
    </row>
    <row r="380" spans="1:32">
      <c r="A380" s="15">
        <v>378</v>
      </c>
      <c r="B380" s="16">
        <v>1</v>
      </c>
      <c r="C380" s="20">
        <v>0.03</v>
      </c>
      <c r="D380" s="20">
        <v>0.9948936026028764</v>
      </c>
      <c r="E380" s="20">
        <v>1</v>
      </c>
      <c r="F380" s="8" t="s">
        <v>436</v>
      </c>
      <c r="G380" s="24">
        <v>1.1572753470966315</v>
      </c>
      <c r="H380" s="24">
        <v>1.1639756759535751</v>
      </c>
      <c r="I380" s="25">
        <v>1.1843320218865132</v>
      </c>
      <c r="L380" s="15">
        <v>378</v>
      </c>
      <c r="M380" s="16">
        <v>0</v>
      </c>
      <c r="N380" s="16">
        <v>1</v>
      </c>
      <c r="O380" s="16">
        <v>6</v>
      </c>
      <c r="P380" s="16">
        <v>119</v>
      </c>
      <c r="Q380" s="29">
        <v>53</v>
      </c>
      <c r="R380" s="20">
        <v>0.64780000000000004</v>
      </c>
      <c r="S380" s="32">
        <v>34.333400000000005</v>
      </c>
      <c r="T380" s="35">
        <v>2.62</v>
      </c>
      <c r="U380" s="35">
        <v>1.89</v>
      </c>
      <c r="V380" s="35">
        <v>4.9433962264150942E-2</v>
      </c>
      <c r="W380" s="9" t="s">
        <v>154</v>
      </c>
      <c r="X380" s="15">
        <v>379</v>
      </c>
      <c r="Y380" s="39">
        <v>0.49780635716559246</v>
      </c>
      <c r="Z380" s="39">
        <v>0.49331651884540523</v>
      </c>
      <c r="AA380" s="39">
        <v>0.46771942063259075</v>
      </c>
      <c r="AB380" s="39">
        <v>0.48518618949836773</v>
      </c>
      <c r="AC380" s="39">
        <v>0.48898633901375588</v>
      </c>
      <c r="AD380" s="39">
        <v>0.4856339211513736</v>
      </c>
      <c r="AE380" s="39">
        <v>0.46252014268892905</v>
      </c>
      <c r="AF380" s="40">
        <v>0.48207263489085123</v>
      </c>
    </row>
    <row r="381" spans="1:32">
      <c r="A381" s="15">
        <v>379</v>
      </c>
      <c r="B381" s="16">
        <v>1</v>
      </c>
      <c r="C381" s="20">
        <v>0.18</v>
      </c>
      <c r="D381" s="20">
        <v>0.88190225316219939</v>
      </c>
      <c r="E381" s="20">
        <v>0.08</v>
      </c>
      <c r="F381" s="8" t="s">
        <v>436</v>
      </c>
      <c r="G381" s="24">
        <v>0.89911513756009132</v>
      </c>
      <c r="H381" s="24">
        <v>0.90432078470104416</v>
      </c>
      <c r="I381" s="25">
        <v>0.92013612097311803</v>
      </c>
      <c r="L381" s="15">
        <v>379</v>
      </c>
      <c r="M381" s="16">
        <v>0</v>
      </c>
      <c r="N381" s="16">
        <v>1</v>
      </c>
      <c r="O381" s="16">
        <v>6</v>
      </c>
      <c r="P381" s="16">
        <v>120</v>
      </c>
      <c r="Q381" s="29">
        <v>57</v>
      </c>
      <c r="R381" s="20">
        <v>0.64780000000000004</v>
      </c>
      <c r="S381" s="32">
        <v>36.924600000000005</v>
      </c>
      <c r="T381" s="35">
        <v>1.27</v>
      </c>
      <c r="U381" s="35">
        <v>0.38</v>
      </c>
      <c r="V381" s="35">
        <v>2.2280701754385967E-2</v>
      </c>
      <c r="W381" s="9" t="s">
        <v>153</v>
      </c>
      <c r="X381" s="15">
        <v>380</v>
      </c>
      <c r="Y381" s="39">
        <v>0.48108629925003121</v>
      </c>
      <c r="Z381" s="39">
        <v>0.48368417896282201</v>
      </c>
      <c r="AA381" s="39">
        <v>0.48337508647387878</v>
      </c>
      <c r="AB381" s="39">
        <v>0.47736159462470451</v>
      </c>
      <c r="AC381" s="39">
        <v>0.47391475412181738</v>
      </c>
      <c r="AD381" s="39">
        <v>0.4766932644611423</v>
      </c>
      <c r="AE381" s="39">
        <v>0.47533974218331193</v>
      </c>
      <c r="AF381" s="40">
        <v>0.47406164812424084</v>
      </c>
    </row>
    <row r="382" spans="1:32">
      <c r="A382" s="15">
        <v>380</v>
      </c>
      <c r="B382" s="16">
        <v>1</v>
      </c>
      <c r="C382" s="20">
        <v>0.56000000000000005</v>
      </c>
      <c r="D382" s="20">
        <v>0.466724904493722</v>
      </c>
      <c r="E382" s="20">
        <v>0.11</v>
      </c>
      <c r="F382" s="8" t="s">
        <v>438</v>
      </c>
      <c r="G382" s="24">
        <v>1.1382737885082412</v>
      </c>
      <c r="H382" s="24">
        <v>1.1448641031912408</v>
      </c>
      <c r="I382" s="25">
        <v>1.1648862138007869</v>
      </c>
      <c r="L382" s="15">
        <v>380</v>
      </c>
      <c r="M382" s="16">
        <v>0</v>
      </c>
      <c r="N382" s="16">
        <v>1</v>
      </c>
      <c r="O382" s="16">
        <v>6</v>
      </c>
      <c r="P382" s="16">
        <v>121</v>
      </c>
      <c r="Q382" s="29">
        <v>54</v>
      </c>
      <c r="R382" s="20">
        <v>0.64780000000000004</v>
      </c>
      <c r="S382" s="32">
        <v>34.981200000000001</v>
      </c>
      <c r="T382" s="35">
        <v>1.01</v>
      </c>
      <c r="U382" s="35">
        <v>0.26</v>
      </c>
      <c r="V382" s="35">
        <v>1.8703703703703705E-2</v>
      </c>
      <c r="W382" s="9" t="s">
        <v>153</v>
      </c>
      <c r="X382" s="15">
        <v>381</v>
      </c>
      <c r="Y382" s="39">
        <v>0.47579668556801175</v>
      </c>
      <c r="Z382" s="39">
        <v>0.49841978269104337</v>
      </c>
      <c r="AA382" s="39">
        <v>0.48183511294645592</v>
      </c>
      <c r="AB382" s="39">
        <v>0.49542306835637473</v>
      </c>
      <c r="AC382" s="39">
        <v>0.46842292082498432</v>
      </c>
      <c r="AD382" s="39">
        <v>0.48986585760042545</v>
      </c>
      <c r="AE382" s="39">
        <v>0.47370441115558948</v>
      </c>
      <c r="AF382" s="40">
        <v>0.4913927577614462</v>
      </c>
    </row>
    <row r="383" spans="1:32">
      <c r="A383" s="15">
        <v>381</v>
      </c>
      <c r="B383" s="16">
        <v>1</v>
      </c>
      <c r="C383" s="20">
        <v>7.0000000000000007E-2</v>
      </c>
      <c r="D383" s="20">
        <v>0.95017490673329763</v>
      </c>
      <c r="E383" s="20">
        <v>0.44</v>
      </c>
      <c r="F383" s="8" t="s">
        <v>436</v>
      </c>
      <c r="G383" s="24">
        <v>5.2170957771362927</v>
      </c>
      <c r="H383" s="24">
        <v>2.3557193791407478</v>
      </c>
      <c r="I383" s="25">
        <v>1.6578926537592125</v>
      </c>
      <c r="L383" s="15">
        <v>381</v>
      </c>
      <c r="M383" s="16">
        <v>0</v>
      </c>
      <c r="N383" s="16">
        <v>1</v>
      </c>
      <c r="O383" s="16">
        <v>6</v>
      </c>
      <c r="P383" s="16">
        <v>122</v>
      </c>
      <c r="Q383" s="29">
        <v>62</v>
      </c>
      <c r="R383" s="20">
        <v>0.64780000000000004</v>
      </c>
      <c r="S383" s="32">
        <v>40.163600000000002</v>
      </c>
      <c r="T383" s="35">
        <v>2.69</v>
      </c>
      <c r="U383" s="35">
        <v>1.83</v>
      </c>
      <c r="V383" s="35">
        <v>4.338709677419355E-2</v>
      </c>
      <c r="W383" s="9" t="s">
        <v>154</v>
      </c>
      <c r="X383" s="15">
        <v>382</v>
      </c>
      <c r="Y383" s="39">
        <v>0.48806999268669449</v>
      </c>
      <c r="Z383" s="39">
        <v>0.48882813408969061</v>
      </c>
      <c r="AA383" s="39">
        <v>0.48936404001514505</v>
      </c>
      <c r="AB383" s="39">
        <v>0.49002760143827284</v>
      </c>
      <c r="AC383" s="39">
        <v>0.48335072591593625</v>
      </c>
      <c r="AD383" s="39">
        <v>0.47836111942331144</v>
      </c>
      <c r="AE383" s="39">
        <v>0.48243792710094313</v>
      </c>
      <c r="AF383" s="40">
        <v>0.48374884363909343</v>
      </c>
    </row>
    <row r="384" spans="1:32">
      <c r="A384" s="15">
        <v>382</v>
      </c>
      <c r="B384" s="16">
        <v>1</v>
      </c>
      <c r="C384" s="20">
        <v>0.17</v>
      </c>
      <c r="D384" s="20">
        <v>0.84498241192173729</v>
      </c>
      <c r="E384" s="20">
        <v>0.08</v>
      </c>
      <c r="F384" s="8" t="s">
        <v>436</v>
      </c>
      <c r="G384" s="24">
        <v>1.0382117256353056</v>
      </c>
      <c r="H384" s="24">
        <v>1.0442227065158225</v>
      </c>
      <c r="I384" s="25">
        <v>1.0624847364568268</v>
      </c>
      <c r="L384" s="15">
        <v>382</v>
      </c>
      <c r="M384" s="16">
        <v>0</v>
      </c>
      <c r="N384" s="16">
        <v>1</v>
      </c>
      <c r="O384" s="16">
        <v>6</v>
      </c>
      <c r="P384" s="16">
        <v>123</v>
      </c>
      <c r="Q384" s="29">
        <v>50</v>
      </c>
      <c r="R384" s="20">
        <v>0.64780000000000004</v>
      </c>
      <c r="S384" s="32">
        <v>32.39</v>
      </c>
      <c r="T384" s="35">
        <v>1.58</v>
      </c>
      <c r="U384" s="35">
        <v>0.86</v>
      </c>
      <c r="V384" s="35">
        <v>3.1600000000000003E-2</v>
      </c>
      <c r="W384" s="9" t="s">
        <v>153</v>
      </c>
      <c r="X384" s="15">
        <v>383</v>
      </c>
      <c r="Y384" s="39">
        <v>0.48069904732710272</v>
      </c>
      <c r="Z384" s="39">
        <v>0.48378620800497285</v>
      </c>
      <c r="AA384" s="39">
        <v>0.47856413902441436</v>
      </c>
      <c r="AB384" s="39">
        <v>0.50168270167707374</v>
      </c>
      <c r="AC384" s="39">
        <v>0.47312391827462208</v>
      </c>
      <c r="AD384" s="39">
        <v>0.47834553655656192</v>
      </c>
      <c r="AE384" s="39">
        <v>0.4731562817046252</v>
      </c>
      <c r="AF384" s="40">
        <v>0.49946997387493502</v>
      </c>
    </row>
    <row r="385" spans="1:32">
      <c r="A385" s="15">
        <v>383</v>
      </c>
      <c r="B385" s="16">
        <v>0</v>
      </c>
      <c r="C385" s="20">
        <v>0.03</v>
      </c>
      <c r="D385" s="20">
        <v>0.99642335770206691</v>
      </c>
      <c r="E385" s="20">
        <v>1</v>
      </c>
      <c r="F385" s="8" t="s">
        <v>436</v>
      </c>
      <c r="G385" s="24">
        <v>1.0149762753278044</v>
      </c>
      <c r="H385" s="24">
        <v>1.0208527288820546</v>
      </c>
      <c r="I385" s="25">
        <v>1.038706049810503</v>
      </c>
      <c r="L385" s="15">
        <v>383</v>
      </c>
      <c r="M385" s="16">
        <v>0</v>
      </c>
      <c r="N385" s="16">
        <v>1</v>
      </c>
      <c r="O385" s="16">
        <v>6</v>
      </c>
      <c r="P385" s="16">
        <v>124</v>
      </c>
      <c r="Q385" s="29">
        <v>45</v>
      </c>
      <c r="R385" s="20">
        <v>0.64780000000000004</v>
      </c>
      <c r="S385" s="32">
        <v>29.151000000000003</v>
      </c>
      <c r="T385" s="35">
        <v>2.95</v>
      </c>
      <c r="U385" s="35">
        <v>2.2400000000000002</v>
      </c>
      <c r="V385" s="35">
        <v>6.5555555555555561E-2</v>
      </c>
      <c r="W385" s="9" t="s">
        <v>154</v>
      </c>
      <c r="X385" s="15">
        <v>384</v>
      </c>
      <c r="Y385" s="39">
        <v>0.49203715944932686</v>
      </c>
      <c r="Z385" s="39">
        <v>0.49509859192661676</v>
      </c>
      <c r="AA385" s="39">
        <v>0.49051176232070021</v>
      </c>
      <c r="AB385" s="39">
        <v>0.48249360617470188</v>
      </c>
      <c r="AC385" s="39">
        <v>0.48625775563397056</v>
      </c>
      <c r="AD385" s="39">
        <v>0.49065650602228084</v>
      </c>
      <c r="AE385" s="39">
        <v>0.48168915742981194</v>
      </c>
      <c r="AF385" s="40">
        <v>0.47868366338680679</v>
      </c>
    </row>
    <row r="386" spans="1:32">
      <c r="A386" s="15">
        <v>384</v>
      </c>
      <c r="B386" s="16">
        <v>0</v>
      </c>
      <c r="C386" s="20">
        <v>0.03</v>
      </c>
      <c r="D386" s="20">
        <v>0.99415958227269285</v>
      </c>
      <c r="E386" s="20">
        <v>1</v>
      </c>
      <c r="F386" s="8" t="s">
        <v>436</v>
      </c>
      <c r="G386" s="24">
        <v>1.0401329912391697</v>
      </c>
      <c r="H386" s="24">
        <v>1.0461550957571164</v>
      </c>
      <c r="I386" s="25">
        <v>1.0644509205485504</v>
      </c>
      <c r="L386" s="15">
        <v>384</v>
      </c>
      <c r="M386" s="16">
        <v>0</v>
      </c>
      <c r="N386" s="16">
        <v>1</v>
      </c>
      <c r="O386" s="16">
        <v>6</v>
      </c>
      <c r="P386" s="16">
        <v>125</v>
      </c>
      <c r="Q386" s="29">
        <v>53</v>
      </c>
      <c r="R386" s="20">
        <v>0.64780000000000004</v>
      </c>
      <c r="S386" s="32">
        <v>34.333400000000005</v>
      </c>
      <c r="T386" s="35">
        <v>1.31</v>
      </c>
      <c r="U386" s="35">
        <v>0.56999999999999995</v>
      </c>
      <c r="V386" s="35">
        <v>2.4716981132075471E-2</v>
      </c>
      <c r="W386" s="9" t="s">
        <v>153</v>
      </c>
      <c r="X386" s="15">
        <v>385</v>
      </c>
      <c r="Y386" s="39">
        <v>0.49071213890296561</v>
      </c>
      <c r="Z386" s="39">
        <v>0.48130662449305633</v>
      </c>
      <c r="AA386" s="39">
        <v>0.49623969626995046</v>
      </c>
      <c r="AB386" s="39">
        <v>0.4940836904201561</v>
      </c>
      <c r="AC386" s="39">
        <v>0.48585902979045403</v>
      </c>
      <c r="AD386" s="39">
        <v>0.47440842436947483</v>
      </c>
      <c r="AE386" s="39">
        <v>0.48907253912488236</v>
      </c>
      <c r="AF386" s="40">
        <v>0.49146443835272408</v>
      </c>
    </row>
    <row r="387" spans="1:32">
      <c r="A387" s="15">
        <v>385</v>
      </c>
      <c r="B387" s="16">
        <v>1</v>
      </c>
      <c r="C387" s="20">
        <v>7.0000000000000007E-2</v>
      </c>
      <c r="D387" s="20">
        <v>0.96028946627978407</v>
      </c>
      <c r="E387" s="20">
        <v>0.48</v>
      </c>
      <c r="F387" s="8" t="s">
        <v>436</v>
      </c>
      <c r="G387" s="24">
        <v>1.1748127103171484</v>
      </c>
      <c r="H387" s="24">
        <v>1.1816145760306025</v>
      </c>
      <c r="I387" s="25">
        <v>1.2022794022516274</v>
      </c>
      <c r="L387" s="15">
        <v>385</v>
      </c>
      <c r="M387" s="16">
        <v>0</v>
      </c>
      <c r="N387" s="16">
        <v>1</v>
      </c>
      <c r="O387" s="16">
        <v>6</v>
      </c>
      <c r="P387" s="16">
        <v>126</v>
      </c>
      <c r="Q387" s="29">
        <v>48</v>
      </c>
      <c r="R387" s="20">
        <v>0.64780000000000004</v>
      </c>
      <c r="S387" s="32">
        <v>31.0944</v>
      </c>
      <c r="T387" s="35">
        <v>2.4500000000000002</v>
      </c>
      <c r="U387" s="35">
        <v>1.77</v>
      </c>
      <c r="V387" s="35">
        <v>5.1041666666666673E-2</v>
      </c>
      <c r="W387" s="9" t="s">
        <v>154</v>
      </c>
      <c r="X387" s="15">
        <v>386</v>
      </c>
      <c r="Y387" s="39">
        <v>0.49602399772105171</v>
      </c>
      <c r="Z387" s="39">
        <v>0.48275362219874951</v>
      </c>
      <c r="AA387" s="39">
        <v>0.47137695560830195</v>
      </c>
      <c r="AB387" s="39">
        <v>0.49641052881535147</v>
      </c>
      <c r="AC387" s="39">
        <v>0.48927084535940712</v>
      </c>
      <c r="AD387" s="39">
        <v>0.47818648269526276</v>
      </c>
      <c r="AE387" s="39">
        <v>0.4653031957404804</v>
      </c>
      <c r="AF387" s="40">
        <v>0.4897459014126444</v>
      </c>
    </row>
    <row r="388" spans="1:32">
      <c r="A388" s="15">
        <v>386</v>
      </c>
      <c r="B388" s="16">
        <v>1</v>
      </c>
      <c r="C388" s="20">
        <v>0.31</v>
      </c>
      <c r="D388" s="20">
        <v>0.60186730116605103</v>
      </c>
      <c r="E388" s="20">
        <v>0.1</v>
      </c>
      <c r="F388" s="8" t="s">
        <v>436</v>
      </c>
      <c r="G388" s="24">
        <v>0.62916193238112328</v>
      </c>
      <c r="H388" s="24">
        <v>0.63280461937156141</v>
      </c>
      <c r="I388" s="25">
        <v>0.64387150848789587</v>
      </c>
      <c r="L388" s="15">
        <v>386</v>
      </c>
      <c r="M388" s="16">
        <v>0</v>
      </c>
      <c r="N388" s="16">
        <v>1</v>
      </c>
      <c r="O388" s="16">
        <v>6</v>
      </c>
      <c r="P388" s="16">
        <v>127</v>
      </c>
      <c r="Q388" s="29">
        <v>57</v>
      </c>
      <c r="R388" s="20">
        <v>0.64780000000000004</v>
      </c>
      <c r="S388" s="32">
        <v>36.924600000000005</v>
      </c>
      <c r="T388" s="35">
        <v>3.18</v>
      </c>
      <c r="U388" s="35">
        <v>2.31</v>
      </c>
      <c r="V388" s="35">
        <v>5.5789473684210528E-2</v>
      </c>
      <c r="W388" s="9" t="s">
        <v>155</v>
      </c>
      <c r="X388" s="15">
        <v>387</v>
      </c>
      <c r="Y388" s="39">
        <v>0.49088799491582913</v>
      </c>
      <c r="Z388" s="39">
        <v>0.48433816414126452</v>
      </c>
      <c r="AA388" s="39">
        <v>0.49396591457095163</v>
      </c>
      <c r="AB388" s="39">
        <v>0.49638216248811162</v>
      </c>
      <c r="AC388" s="39">
        <v>0.4832344801477147</v>
      </c>
      <c r="AD388" s="39">
        <v>0.47866494483820649</v>
      </c>
      <c r="AE388" s="39">
        <v>0.48556443075503392</v>
      </c>
      <c r="AF388" s="40">
        <v>0.49272611374548642</v>
      </c>
    </row>
    <row r="389" spans="1:32">
      <c r="A389" s="15">
        <v>387</v>
      </c>
      <c r="B389" s="16">
        <v>0</v>
      </c>
      <c r="C389" s="20">
        <v>0.75</v>
      </c>
      <c r="D389" s="20">
        <v>0.38837864811617756</v>
      </c>
      <c r="E389" s="20">
        <v>0.06</v>
      </c>
      <c r="F389" s="8" t="s">
        <v>438</v>
      </c>
      <c r="G389" s="24">
        <v>0.90735075573091661</v>
      </c>
      <c r="H389" s="24">
        <v>0.91260408499887846</v>
      </c>
      <c r="I389" s="25">
        <v>0.92856428488778964</v>
      </c>
      <c r="L389" s="15">
        <v>387</v>
      </c>
      <c r="M389" s="16">
        <v>0</v>
      </c>
      <c r="N389" s="16">
        <v>1</v>
      </c>
      <c r="O389" s="16">
        <v>6</v>
      </c>
      <c r="P389" s="16">
        <v>128</v>
      </c>
      <c r="Q389" s="29">
        <v>60</v>
      </c>
      <c r="R389" s="20">
        <v>0.64780000000000004</v>
      </c>
      <c r="S389" s="32">
        <v>38.868000000000002</v>
      </c>
      <c r="T389" s="35">
        <v>3.27</v>
      </c>
      <c r="U389" s="35">
        <v>2.58</v>
      </c>
      <c r="V389" s="35">
        <v>5.45E-2</v>
      </c>
      <c r="W389" s="9" t="s">
        <v>155</v>
      </c>
      <c r="X389" s="15">
        <v>388</v>
      </c>
      <c r="Y389" s="39">
        <v>0.47206144800272215</v>
      </c>
      <c r="Z389" s="39">
        <v>0.48730313932328762</v>
      </c>
      <c r="AA389" s="39">
        <v>0.48306699342195103</v>
      </c>
      <c r="AB389" s="39">
        <v>0.47877066500607429</v>
      </c>
      <c r="AC389" s="39">
        <v>0.4656293532899356</v>
      </c>
      <c r="AD389" s="39">
        <v>0.47905444693628219</v>
      </c>
      <c r="AE389" s="39">
        <v>0.47559539793108119</v>
      </c>
      <c r="AF389" s="40">
        <v>0.47246265434348184</v>
      </c>
    </row>
    <row r="390" spans="1:32">
      <c r="A390" s="15">
        <v>388</v>
      </c>
      <c r="B390" s="16">
        <v>0</v>
      </c>
      <c r="C390" s="20">
        <v>0.9</v>
      </c>
      <c r="D390" s="20">
        <v>0.231595386583653</v>
      </c>
      <c r="E390" s="20">
        <v>0.1</v>
      </c>
      <c r="F390" s="8" t="s">
        <v>434</v>
      </c>
      <c r="G390" s="24">
        <v>0.45403541872254716</v>
      </c>
      <c r="H390" s="24">
        <v>0.45666416790118763</v>
      </c>
      <c r="I390" s="25">
        <v>0.46465060092467692</v>
      </c>
      <c r="L390" s="15">
        <v>388</v>
      </c>
      <c r="M390" s="16">
        <v>0</v>
      </c>
      <c r="N390" s="16">
        <v>1</v>
      </c>
      <c r="O390" s="16">
        <v>6</v>
      </c>
      <c r="P390" s="16">
        <v>129</v>
      </c>
      <c r="Q390" s="29">
        <v>71</v>
      </c>
      <c r="R390" s="20">
        <v>0.64780000000000004</v>
      </c>
      <c r="S390" s="32">
        <v>45.9938</v>
      </c>
      <c r="T390" s="35">
        <v>3.73</v>
      </c>
      <c r="U390" s="35">
        <v>2.78</v>
      </c>
      <c r="V390" s="35">
        <v>5.253521126760563E-2</v>
      </c>
      <c r="W390" s="9" t="s">
        <v>155</v>
      </c>
      <c r="X390" s="15">
        <v>389</v>
      </c>
      <c r="Y390" s="39">
        <v>0.48798334459546361</v>
      </c>
      <c r="Z390" s="39">
        <v>0.47856491537757989</v>
      </c>
      <c r="AA390" s="39">
        <v>0.47455840701240409</v>
      </c>
      <c r="AB390" s="39">
        <v>0.48841951619669638</v>
      </c>
      <c r="AC390" s="39">
        <v>0.48126170727564455</v>
      </c>
      <c r="AD390" s="39">
        <v>0.47372078349077162</v>
      </c>
      <c r="AE390" s="39">
        <v>0.46783946332764137</v>
      </c>
      <c r="AF390" s="40">
        <v>0.48352834761112806</v>
      </c>
    </row>
    <row r="391" spans="1:32">
      <c r="A391" s="15">
        <v>389</v>
      </c>
      <c r="B391" s="16">
        <v>1</v>
      </c>
      <c r="C391" s="20">
        <v>0.95</v>
      </c>
      <c r="D391" s="20">
        <v>0.15570568692893463</v>
      </c>
      <c r="E391" s="20">
        <v>0.05</v>
      </c>
      <c r="F391" s="8" t="s">
        <v>434</v>
      </c>
      <c r="G391" s="24">
        <v>1.2367225530506067</v>
      </c>
      <c r="H391" s="24">
        <v>1.2438828609505608</v>
      </c>
      <c r="I391" s="25">
        <v>1.2656366744886471</v>
      </c>
      <c r="L391" s="15">
        <v>389</v>
      </c>
      <c r="M391" s="16">
        <v>0</v>
      </c>
      <c r="N391" s="16">
        <v>1</v>
      </c>
      <c r="O391" s="16">
        <v>6</v>
      </c>
      <c r="P391" s="16">
        <v>130</v>
      </c>
      <c r="Q391" s="29">
        <v>53</v>
      </c>
      <c r="R391" s="20">
        <v>0.64780000000000004</v>
      </c>
      <c r="S391" s="32">
        <v>34.333400000000005</v>
      </c>
      <c r="T391" s="35">
        <v>1.3</v>
      </c>
      <c r="U391" s="35">
        <v>0.62</v>
      </c>
      <c r="V391" s="35">
        <v>2.4528301886792454E-2</v>
      </c>
      <c r="W391" s="9" t="s">
        <v>153</v>
      </c>
      <c r="X391" s="15">
        <v>390</v>
      </c>
      <c r="Y391" s="39">
        <v>0.4952671667771974</v>
      </c>
      <c r="Z391" s="39">
        <v>0.48656471967313175</v>
      </c>
      <c r="AA391" s="39">
        <v>0.46998685326774126</v>
      </c>
      <c r="AB391" s="39">
        <v>0.49912184926720266</v>
      </c>
      <c r="AC391" s="39">
        <v>0.48884300614567966</v>
      </c>
      <c r="AD391" s="39">
        <v>0.48155698968943284</v>
      </c>
      <c r="AE391" s="39">
        <v>0.46352939110486463</v>
      </c>
      <c r="AF391" s="40">
        <v>0.49395543314323043</v>
      </c>
    </row>
    <row r="392" spans="1:32">
      <c r="A392" s="15">
        <v>390</v>
      </c>
      <c r="B392" s="16">
        <v>0</v>
      </c>
      <c r="C392" s="20">
        <v>0.02</v>
      </c>
      <c r="D392" s="20">
        <v>0.99679477127711513</v>
      </c>
      <c r="E392" s="20">
        <v>1</v>
      </c>
      <c r="F392" s="8" t="s">
        <v>436</v>
      </c>
      <c r="G392" s="24">
        <v>1.0626638558183594</v>
      </c>
      <c r="H392" s="24">
        <v>1.0688164082910565</v>
      </c>
      <c r="I392" s="25">
        <v>1.0875085485096643</v>
      </c>
      <c r="L392" s="15">
        <v>390</v>
      </c>
      <c r="M392" s="16">
        <v>0</v>
      </c>
      <c r="N392" s="16">
        <v>1</v>
      </c>
      <c r="O392" s="16">
        <v>6</v>
      </c>
      <c r="P392" s="16">
        <v>131</v>
      </c>
      <c r="Q392" s="29">
        <v>57</v>
      </c>
      <c r="R392" s="20">
        <v>0.64780000000000004</v>
      </c>
      <c r="S392" s="32">
        <v>36.924600000000005</v>
      </c>
      <c r="T392" s="35">
        <v>4.13</v>
      </c>
      <c r="U392" s="35">
        <v>3.35</v>
      </c>
      <c r="V392" s="35">
        <v>7.2456140350877191E-2</v>
      </c>
      <c r="W392" s="9" t="s">
        <v>155</v>
      </c>
      <c r="X392" s="15">
        <v>391</v>
      </c>
      <c r="Y392" s="39">
        <v>0.47704938896217797</v>
      </c>
      <c r="Z392" s="39">
        <v>0.49221732181398958</v>
      </c>
      <c r="AA392" s="39">
        <v>0.48082930934200485</v>
      </c>
      <c r="AB392" s="39">
        <v>0.48646152501062445</v>
      </c>
      <c r="AC392" s="39">
        <v>0.46856694278015837</v>
      </c>
      <c r="AD392" s="39">
        <v>0.48357870745322878</v>
      </c>
      <c r="AE392" s="39">
        <v>0.47504270617742694</v>
      </c>
      <c r="AF392" s="40">
        <v>0.48280528783529975</v>
      </c>
    </row>
    <row r="393" spans="1:32">
      <c r="A393" s="15">
        <v>391</v>
      </c>
      <c r="B393" s="16">
        <v>0</v>
      </c>
      <c r="C393" s="20">
        <v>0.36</v>
      </c>
      <c r="D393" s="20">
        <v>0.61974861597764508</v>
      </c>
      <c r="E393" s="20">
        <v>0.06</v>
      </c>
      <c r="F393" s="8" t="s">
        <v>436</v>
      </c>
      <c r="G393" s="24">
        <v>1.2239490894179879</v>
      </c>
      <c r="H393" s="24">
        <v>1.2310354422240262</v>
      </c>
      <c r="I393" s="25">
        <v>1.2525645719432448</v>
      </c>
      <c r="L393" s="15">
        <v>391</v>
      </c>
      <c r="M393" s="16">
        <v>0</v>
      </c>
      <c r="N393" s="16">
        <v>1</v>
      </c>
      <c r="O393" s="16">
        <v>6</v>
      </c>
      <c r="P393" s="16">
        <v>132</v>
      </c>
      <c r="Q393" s="29">
        <v>49</v>
      </c>
      <c r="R393" s="20">
        <v>0.64780000000000004</v>
      </c>
      <c r="S393" s="32">
        <v>31.7422</v>
      </c>
      <c r="T393" s="35">
        <v>2.57</v>
      </c>
      <c r="U393" s="35">
        <v>1.91</v>
      </c>
      <c r="V393" s="35">
        <v>5.2448979591836732E-2</v>
      </c>
      <c r="W393" s="9" t="s">
        <v>154</v>
      </c>
      <c r="X393" s="15">
        <v>392</v>
      </c>
      <c r="Y393" s="39">
        <v>0.48772942673033859</v>
      </c>
      <c r="Z393" s="39">
        <v>0.48251752893292832</v>
      </c>
      <c r="AA393" s="39">
        <v>0.48918367682104669</v>
      </c>
      <c r="AB393" s="39">
        <v>0.47982741491551761</v>
      </c>
      <c r="AC393" s="39">
        <v>0.480829488647805</v>
      </c>
      <c r="AD393" s="39">
        <v>0.47537649114780395</v>
      </c>
      <c r="AE393" s="39">
        <v>0.48215770877019937</v>
      </c>
      <c r="AF393" s="40">
        <v>0.47825024954981388</v>
      </c>
    </row>
    <row r="394" spans="1:32">
      <c r="A394" s="15">
        <v>392</v>
      </c>
      <c r="B394" s="16">
        <v>1</v>
      </c>
      <c r="C394" s="20">
        <v>0.6</v>
      </c>
      <c r="D394" s="20">
        <v>0.45271474005484919</v>
      </c>
      <c r="E394" s="20">
        <v>7.0000000000000007E-2</v>
      </c>
      <c r="F394" s="8" t="s">
        <v>438</v>
      </c>
      <c r="G394" s="24">
        <v>1.2469571410384379</v>
      </c>
      <c r="H394" s="24">
        <v>1.2541767045903902</v>
      </c>
      <c r="I394" s="25">
        <v>1.2761105434042972</v>
      </c>
      <c r="L394" s="15">
        <v>392</v>
      </c>
      <c r="M394" s="16">
        <v>0</v>
      </c>
      <c r="N394" s="16">
        <v>1</v>
      </c>
      <c r="O394" s="16">
        <v>6</v>
      </c>
      <c r="P394" s="16">
        <v>133</v>
      </c>
      <c r="Q394" s="29">
        <v>53</v>
      </c>
      <c r="R394" s="20">
        <v>0.64780000000000004</v>
      </c>
      <c r="S394" s="32">
        <v>34.333400000000005</v>
      </c>
      <c r="T394" s="35">
        <v>1.27</v>
      </c>
      <c r="U394" s="35">
        <v>0.41</v>
      </c>
      <c r="V394" s="35">
        <v>2.3962264150943397E-2</v>
      </c>
      <c r="W394" s="9" t="s">
        <v>153</v>
      </c>
      <c r="X394" s="15">
        <v>393</v>
      </c>
      <c r="Y394" s="39">
        <v>0.49263906356567649</v>
      </c>
      <c r="Z394" s="39">
        <v>0.48609795628395519</v>
      </c>
      <c r="AA394" s="39">
        <v>0.48811363382086292</v>
      </c>
      <c r="AB394" s="39">
        <v>0.48524248097438205</v>
      </c>
      <c r="AC394" s="39">
        <v>0.48279535429933057</v>
      </c>
      <c r="AD394" s="39">
        <v>0.4792684871661731</v>
      </c>
      <c r="AE394" s="39">
        <v>0.48077705851649705</v>
      </c>
      <c r="AF394" s="40">
        <v>0.48121225227692033</v>
      </c>
    </row>
    <row r="395" spans="1:32">
      <c r="A395" s="15">
        <v>393</v>
      </c>
      <c r="B395" s="16">
        <v>1</v>
      </c>
      <c r="C395" s="20">
        <v>0.47</v>
      </c>
      <c r="D395" s="20">
        <v>0.47078745680764889</v>
      </c>
      <c r="E395" s="20">
        <v>7.0000000000000007E-2</v>
      </c>
      <c r="F395" s="8" t="s">
        <v>436</v>
      </c>
      <c r="G395" s="24">
        <v>3.302604690607021</v>
      </c>
      <c r="H395" s="24">
        <v>2.3557193791407478</v>
      </c>
      <c r="I395" s="25">
        <v>1.6578926537592125</v>
      </c>
      <c r="L395" s="15">
        <v>393</v>
      </c>
      <c r="M395" s="16">
        <v>0</v>
      </c>
      <c r="N395" s="16">
        <v>1</v>
      </c>
      <c r="O395" s="16">
        <v>6</v>
      </c>
      <c r="P395" s="16">
        <v>134</v>
      </c>
      <c r="Q395" s="29">
        <v>53</v>
      </c>
      <c r="R395" s="20">
        <v>0.64780000000000004</v>
      </c>
      <c r="S395" s="32">
        <v>34.333400000000005</v>
      </c>
      <c r="T395" s="35">
        <v>4.72</v>
      </c>
      <c r="U395" s="35">
        <v>3.91</v>
      </c>
      <c r="V395" s="35">
        <v>8.9056603773584903E-2</v>
      </c>
      <c r="W395" s="9" t="s">
        <v>155</v>
      </c>
      <c r="X395" s="15">
        <v>394</v>
      </c>
      <c r="Y395" s="39">
        <v>0.48391048871394804</v>
      </c>
      <c r="Z395" s="39">
        <v>0.48302261654983414</v>
      </c>
      <c r="AA395" s="39">
        <v>0.4951404425225171</v>
      </c>
      <c r="AB395" s="39">
        <v>0.50307968329434249</v>
      </c>
      <c r="AC395" s="39">
        <v>0.47886266236656844</v>
      </c>
      <c r="AD395" s="39">
        <v>0.47643273874529612</v>
      </c>
      <c r="AE395" s="39">
        <v>0.48678848534234798</v>
      </c>
      <c r="AF395" s="40">
        <v>0.49983371460108961</v>
      </c>
    </row>
    <row r="396" spans="1:32">
      <c r="A396" s="15">
        <v>394</v>
      </c>
      <c r="B396" s="16">
        <v>1</v>
      </c>
      <c r="C396" s="20">
        <v>0.02</v>
      </c>
      <c r="D396" s="20">
        <v>0.99531127541355291</v>
      </c>
      <c r="E396" s="20">
        <v>1</v>
      </c>
      <c r="F396" s="8" t="s">
        <v>436</v>
      </c>
      <c r="G396" s="24">
        <v>1.1474425294142794</v>
      </c>
      <c r="H396" s="24">
        <v>1.1540859287667387</v>
      </c>
      <c r="I396" s="25">
        <v>1.1742693165192923</v>
      </c>
      <c r="L396" s="15">
        <v>394</v>
      </c>
      <c r="M396" s="16">
        <v>0</v>
      </c>
      <c r="N396" s="16">
        <v>1</v>
      </c>
      <c r="O396" s="16">
        <v>6</v>
      </c>
      <c r="P396" s="16">
        <v>135</v>
      </c>
      <c r="Q396" s="29">
        <v>69</v>
      </c>
      <c r="R396" s="20">
        <v>0.64780000000000004</v>
      </c>
      <c r="S396" s="32">
        <v>44.6982</v>
      </c>
      <c r="T396" s="35">
        <v>4.59</v>
      </c>
      <c r="U396" s="35">
        <v>3.74</v>
      </c>
      <c r="V396" s="35">
        <v>6.6521739130434784E-2</v>
      </c>
      <c r="W396" s="9" t="s">
        <v>155</v>
      </c>
      <c r="X396" s="15">
        <v>395</v>
      </c>
      <c r="Y396" s="39">
        <v>0.47976757013148452</v>
      </c>
      <c r="Z396" s="39">
        <v>0.49681685732538539</v>
      </c>
      <c r="AA396" s="39">
        <v>0.48798628613889544</v>
      </c>
      <c r="AB396" s="39">
        <v>0.49503793225427928</v>
      </c>
      <c r="AC396" s="39">
        <v>0.47403147188726308</v>
      </c>
      <c r="AD396" s="39">
        <v>0.4919533437325736</v>
      </c>
      <c r="AE396" s="39">
        <v>0.4806932082681904</v>
      </c>
      <c r="AF396" s="40">
        <v>0.49002148228543385</v>
      </c>
    </row>
    <row r="397" spans="1:32">
      <c r="A397" s="15">
        <v>395</v>
      </c>
      <c r="B397" s="16">
        <v>1</v>
      </c>
      <c r="C397" s="20">
        <v>0.11</v>
      </c>
      <c r="D397" s="20">
        <v>0.92722856362631312</v>
      </c>
      <c r="E397" s="20">
        <v>0.04</v>
      </c>
      <c r="F397" s="8" t="s">
        <v>436</v>
      </c>
      <c r="G397" s="24">
        <v>1.1666500492552174</v>
      </c>
      <c r="H397" s="24">
        <v>1.1734046552446999</v>
      </c>
      <c r="I397" s="25">
        <v>1.1939259011564003</v>
      </c>
      <c r="L397" s="15">
        <v>395</v>
      </c>
      <c r="M397" s="16">
        <v>0</v>
      </c>
      <c r="N397" s="16">
        <v>1</v>
      </c>
      <c r="O397" s="16">
        <v>6</v>
      </c>
      <c r="P397" s="16">
        <v>136</v>
      </c>
      <c r="Q397" s="29">
        <v>46</v>
      </c>
      <c r="R397" s="20">
        <v>0.64780000000000004</v>
      </c>
      <c r="S397" s="32">
        <v>29.798800000000004</v>
      </c>
      <c r="T397" s="35">
        <v>4.3099999999999996</v>
      </c>
      <c r="U397" s="35">
        <v>3.62</v>
      </c>
      <c r="V397" s="35">
        <v>9.3695652173913041E-2</v>
      </c>
      <c r="W397" s="9" t="s">
        <v>155</v>
      </c>
      <c r="X397" s="15">
        <v>396</v>
      </c>
      <c r="Y397" s="39">
        <v>0.47570706584381633</v>
      </c>
      <c r="Z397" s="39">
        <v>0.48717131444131573</v>
      </c>
      <c r="AA397" s="39">
        <v>0.48264868932571642</v>
      </c>
      <c r="AB397" s="39">
        <v>0.48793828344260803</v>
      </c>
      <c r="AC397" s="39">
        <v>0.46903971562121632</v>
      </c>
      <c r="AD397" s="39">
        <v>0.48003045494333235</v>
      </c>
      <c r="AE397" s="39">
        <v>0.47672799632081908</v>
      </c>
      <c r="AF397" s="40">
        <v>0.48264475680556368</v>
      </c>
    </row>
    <row r="398" spans="1:32">
      <c r="A398" s="15">
        <v>396</v>
      </c>
      <c r="B398" s="16">
        <v>1</v>
      </c>
      <c r="C398" s="20">
        <v>0.26</v>
      </c>
      <c r="D398" s="20">
        <v>0.85743214879880592</v>
      </c>
      <c r="E398" s="20">
        <v>0.12</v>
      </c>
      <c r="F398" s="8" t="s">
        <v>436</v>
      </c>
      <c r="G398" s="24">
        <v>1.197846876758127</v>
      </c>
      <c r="H398" s="24">
        <v>1.2047821044156397</v>
      </c>
      <c r="I398" s="25">
        <v>1.2258520990881709</v>
      </c>
      <c r="L398" s="15">
        <v>396</v>
      </c>
      <c r="M398" s="16">
        <v>0</v>
      </c>
      <c r="N398" s="16">
        <v>1</v>
      </c>
      <c r="O398" s="16">
        <v>6</v>
      </c>
      <c r="P398" s="16">
        <v>137</v>
      </c>
      <c r="Q398" s="29">
        <v>51</v>
      </c>
      <c r="R398" s="20">
        <v>0.64780000000000004</v>
      </c>
      <c r="S398" s="32">
        <v>33.037800000000004</v>
      </c>
      <c r="T398" s="35">
        <v>2.5100000000000002</v>
      </c>
      <c r="U398" s="35">
        <v>1.73</v>
      </c>
      <c r="V398" s="35">
        <v>4.9215686274509805E-2</v>
      </c>
      <c r="W398" s="9" t="s">
        <v>154</v>
      </c>
      <c r="X398" s="15">
        <v>397</v>
      </c>
      <c r="Y398" s="39">
        <v>0.47491403324766185</v>
      </c>
      <c r="Z398" s="39">
        <v>0.4939877116284469</v>
      </c>
      <c r="AA398" s="39">
        <v>0.47875439579346424</v>
      </c>
      <c r="AB398" s="39">
        <v>0.4787040450210942</v>
      </c>
      <c r="AC398" s="39">
        <v>0.46645470419233809</v>
      </c>
      <c r="AD398" s="39">
        <v>0.48880775328324011</v>
      </c>
      <c r="AE398" s="39">
        <v>0.47312689144651499</v>
      </c>
      <c r="AF398" s="40">
        <v>0.47769261302580385</v>
      </c>
    </row>
    <row r="399" spans="1:32">
      <c r="A399" s="15">
        <v>397</v>
      </c>
      <c r="B399" s="16">
        <v>0</v>
      </c>
      <c r="C399" s="20">
        <v>0.95</v>
      </c>
      <c r="D399" s="20">
        <v>0.15570568692893463</v>
      </c>
      <c r="E399" s="20">
        <v>0.05</v>
      </c>
      <c r="F399" s="8" t="s">
        <v>434</v>
      </c>
      <c r="G399" s="24">
        <v>0.47064216758573185</v>
      </c>
      <c r="H399" s="24">
        <v>0.47336706560129971</v>
      </c>
      <c r="I399" s="25">
        <v>0.48164560950879637</v>
      </c>
      <c r="L399" s="15">
        <v>397</v>
      </c>
      <c r="M399" s="16">
        <v>0</v>
      </c>
      <c r="N399" s="16">
        <v>1</v>
      </c>
      <c r="O399" s="16">
        <v>6</v>
      </c>
      <c r="P399" s="16">
        <v>138</v>
      </c>
      <c r="Q399" s="29">
        <v>49</v>
      </c>
      <c r="R399" s="20">
        <v>0.64780000000000004</v>
      </c>
      <c r="S399" s="32">
        <v>31.7422</v>
      </c>
      <c r="T399" s="35">
        <v>1.4100000000000001</v>
      </c>
      <c r="U399" s="35">
        <v>0.71</v>
      </c>
      <c r="V399" s="35">
        <v>2.8775510204081634E-2</v>
      </c>
      <c r="W399" s="9" t="s">
        <v>153</v>
      </c>
      <c r="X399" s="15">
        <v>398</v>
      </c>
      <c r="Y399" s="39">
        <v>0.49994200486562201</v>
      </c>
      <c r="Z399" s="39">
        <v>0.47960157015189481</v>
      </c>
      <c r="AA399" s="39">
        <v>0.49463174184698377</v>
      </c>
      <c r="AB399" s="39">
        <v>0.48905829875209245</v>
      </c>
      <c r="AC399" s="39">
        <v>0.49298549831036281</v>
      </c>
      <c r="AD399" s="39">
        <v>0.47407774547810538</v>
      </c>
      <c r="AE399" s="39">
        <v>0.4866701597989061</v>
      </c>
      <c r="AF399" s="40">
        <v>0.48440528095465518</v>
      </c>
    </row>
    <row r="400" spans="1:32">
      <c r="A400" s="15">
        <v>398</v>
      </c>
      <c r="B400" s="16">
        <v>0</v>
      </c>
      <c r="C400" s="20">
        <v>0.02</v>
      </c>
      <c r="D400" s="20">
        <v>0.99679477127711513</v>
      </c>
      <c r="E400" s="20">
        <v>1</v>
      </c>
      <c r="F400" s="8" t="s">
        <v>436</v>
      </c>
      <c r="G400" s="24">
        <v>1.1596609444585138</v>
      </c>
      <c r="H400" s="24">
        <v>1.1663750853152421</v>
      </c>
      <c r="I400" s="25">
        <v>1.186773393643108</v>
      </c>
      <c r="L400" s="15">
        <v>398</v>
      </c>
      <c r="M400" s="16">
        <v>0</v>
      </c>
      <c r="N400" s="16">
        <v>1</v>
      </c>
      <c r="O400" s="16">
        <v>6</v>
      </c>
      <c r="P400" s="16">
        <v>139</v>
      </c>
      <c r="Q400" s="29">
        <v>52</v>
      </c>
      <c r="R400" s="20">
        <v>0.64780000000000004</v>
      </c>
      <c r="S400" s="32">
        <v>33.685600000000001</v>
      </c>
      <c r="T400" s="35">
        <v>3.55</v>
      </c>
      <c r="U400" s="35">
        <v>2.91</v>
      </c>
      <c r="V400" s="35">
        <v>6.8269230769230763E-2</v>
      </c>
      <c r="W400" s="9" t="s">
        <v>155</v>
      </c>
      <c r="X400" s="15">
        <v>399</v>
      </c>
      <c r="Y400" s="39">
        <v>0.49084397534125102</v>
      </c>
      <c r="Z400" s="39">
        <v>0.47520553671150628</v>
      </c>
      <c r="AA400" s="39">
        <v>0.49879541659023413</v>
      </c>
      <c r="AB400" s="39">
        <v>0.4959126020143681</v>
      </c>
      <c r="AC400" s="39">
        <v>0.48461515235194275</v>
      </c>
      <c r="AD400" s="39">
        <v>0.46830690724028828</v>
      </c>
      <c r="AE400" s="39">
        <v>0.49216484804472777</v>
      </c>
      <c r="AF400" s="40">
        <v>0.49104826569975907</v>
      </c>
    </row>
    <row r="401" spans="1:32">
      <c r="A401" s="15">
        <v>399</v>
      </c>
      <c r="B401" s="16">
        <v>1</v>
      </c>
      <c r="C401" s="20">
        <v>0.88</v>
      </c>
      <c r="D401" s="20">
        <v>0.25930874124763043</v>
      </c>
      <c r="E401" s="20">
        <v>0.12</v>
      </c>
      <c r="F401" s="8" t="s">
        <v>434</v>
      </c>
      <c r="G401" s="24">
        <v>2.7503671340072673</v>
      </c>
      <c r="H401" s="24">
        <v>2.3557193791407478</v>
      </c>
      <c r="I401" s="25">
        <v>1.6578926537592125</v>
      </c>
      <c r="L401" s="15">
        <v>399</v>
      </c>
      <c r="M401" s="16">
        <v>0</v>
      </c>
      <c r="N401" s="16">
        <v>1</v>
      </c>
      <c r="O401" s="16">
        <v>6</v>
      </c>
      <c r="P401" s="16">
        <v>140</v>
      </c>
      <c r="Q401" s="29">
        <v>45</v>
      </c>
      <c r="R401" s="20">
        <v>0.64780000000000004</v>
      </c>
      <c r="S401" s="32">
        <v>29.151000000000003</v>
      </c>
      <c r="T401" s="35">
        <v>2.06</v>
      </c>
      <c r="U401" s="35">
        <v>1.42</v>
      </c>
      <c r="V401" s="35">
        <v>4.5777777777777778E-2</v>
      </c>
      <c r="W401" s="9" t="s">
        <v>154</v>
      </c>
      <c r="X401" s="15">
        <v>400</v>
      </c>
      <c r="Y401" s="39">
        <v>0.50462451188465796</v>
      </c>
      <c r="Z401" s="39">
        <v>0.48899371261555308</v>
      </c>
      <c r="AA401" s="39">
        <v>0.49530872283874799</v>
      </c>
      <c r="AB401" s="39">
        <v>0.49377351202539377</v>
      </c>
      <c r="AC401" s="39">
        <v>0.49479800163397292</v>
      </c>
      <c r="AD401" s="39">
        <v>0.48159312718654357</v>
      </c>
      <c r="AE401" s="39">
        <v>0.49009180361474958</v>
      </c>
      <c r="AF401" s="40">
        <v>0.48924669432131918</v>
      </c>
    </row>
    <row r="402" spans="1:32">
      <c r="A402" s="15">
        <v>400</v>
      </c>
      <c r="B402" s="16">
        <v>1</v>
      </c>
      <c r="C402" s="20">
        <v>0.49</v>
      </c>
      <c r="D402" s="20">
        <v>0.47377149093663967</v>
      </c>
      <c r="E402" s="20">
        <v>0.06</v>
      </c>
      <c r="F402" s="8" t="s">
        <v>436</v>
      </c>
      <c r="G402" s="24">
        <v>0.65038493315602952</v>
      </c>
      <c r="H402" s="24">
        <v>0.65415049590363283</v>
      </c>
      <c r="I402" s="25">
        <v>0.66559069526682668</v>
      </c>
      <c r="L402" s="15">
        <v>400</v>
      </c>
      <c r="M402" s="16">
        <v>0</v>
      </c>
      <c r="N402" s="16">
        <v>1</v>
      </c>
      <c r="O402" s="16">
        <v>6</v>
      </c>
      <c r="P402" s="16">
        <v>141</v>
      </c>
      <c r="Q402" s="29">
        <v>60</v>
      </c>
      <c r="R402" s="20">
        <v>0.64780000000000004</v>
      </c>
      <c r="S402" s="32">
        <v>38.868000000000002</v>
      </c>
      <c r="T402" s="35">
        <v>3.85</v>
      </c>
      <c r="U402" s="35">
        <v>2.99</v>
      </c>
      <c r="V402" s="35">
        <v>6.4166666666666664E-2</v>
      </c>
      <c r="W402" s="9" t="s">
        <v>155</v>
      </c>
      <c r="X402" s="15">
        <v>401</v>
      </c>
      <c r="Y402" s="39">
        <v>0.49202275752954916</v>
      </c>
      <c r="Z402" s="39">
        <v>0.48820372651241906</v>
      </c>
      <c r="AA402" s="39">
        <v>0.48279376194340934</v>
      </c>
      <c r="AB402" s="39">
        <v>0.49592538024328314</v>
      </c>
      <c r="AC402" s="39">
        <v>0.48652832042760896</v>
      </c>
      <c r="AD402" s="39">
        <v>0.48015970804353031</v>
      </c>
      <c r="AE402" s="39">
        <v>0.47699853532960018</v>
      </c>
      <c r="AF402" s="40">
        <v>0.49219063803686475</v>
      </c>
    </row>
    <row r="403" spans="1:32">
      <c r="A403" s="15">
        <v>401</v>
      </c>
      <c r="B403" s="16">
        <v>1</v>
      </c>
      <c r="C403" s="20">
        <v>0.95</v>
      </c>
      <c r="D403" s="20">
        <v>0.15570568692893463</v>
      </c>
      <c r="E403" s="20">
        <v>0.05</v>
      </c>
      <c r="F403" s="8" t="s">
        <v>434</v>
      </c>
      <c r="G403" s="24">
        <v>0.64978739554640286</v>
      </c>
      <c r="H403" s="24">
        <v>0.6535494987037721</v>
      </c>
      <c r="I403" s="25">
        <v>0.66497918744620488</v>
      </c>
      <c r="L403" s="15">
        <v>401</v>
      </c>
      <c r="M403" s="16">
        <v>0</v>
      </c>
      <c r="N403" s="16">
        <v>1</v>
      </c>
      <c r="O403" s="16">
        <v>6</v>
      </c>
      <c r="P403" s="16">
        <v>142</v>
      </c>
      <c r="Q403" s="29">
        <v>54</v>
      </c>
      <c r="R403" s="20">
        <v>0.64780000000000004</v>
      </c>
      <c r="S403" s="32">
        <v>34.981200000000001</v>
      </c>
      <c r="T403" s="35">
        <v>3.46</v>
      </c>
      <c r="U403" s="35">
        <v>2.57</v>
      </c>
      <c r="V403" s="35">
        <v>6.4074074074074075E-2</v>
      </c>
      <c r="W403" s="9" t="s">
        <v>155</v>
      </c>
      <c r="X403" s="15">
        <v>402</v>
      </c>
      <c r="Y403" s="39">
        <v>0.48637196477126626</v>
      </c>
      <c r="Z403" s="39">
        <v>0.48552808548610915</v>
      </c>
      <c r="AA403" s="39">
        <v>0.48489632944760114</v>
      </c>
      <c r="AB403" s="39">
        <v>0.49328588179698152</v>
      </c>
      <c r="AC403" s="39">
        <v>0.4782933904225794</v>
      </c>
      <c r="AD403" s="39">
        <v>0.47709065026969055</v>
      </c>
      <c r="AE403" s="39">
        <v>0.47884460957716896</v>
      </c>
      <c r="AF403" s="40">
        <v>0.485327446799872</v>
      </c>
    </row>
    <row r="404" spans="1:32">
      <c r="A404" s="15">
        <v>402</v>
      </c>
      <c r="B404" s="16">
        <v>0</v>
      </c>
      <c r="C404" s="20">
        <v>0.92</v>
      </c>
      <c r="D404" s="20">
        <v>0.20258497911151899</v>
      </c>
      <c r="E404" s="20">
        <v>0.08</v>
      </c>
      <c r="F404" s="8" t="s">
        <v>434</v>
      </c>
      <c r="G404" s="24">
        <v>0.57231261175010806</v>
      </c>
      <c r="H404" s="24">
        <v>0.57562615568528519</v>
      </c>
      <c r="I404" s="25">
        <v>0.58569307151114836</v>
      </c>
      <c r="L404" s="15">
        <v>402</v>
      </c>
      <c r="M404" s="16">
        <v>0</v>
      </c>
      <c r="N404" s="16">
        <v>1</v>
      </c>
      <c r="O404" s="16">
        <v>7</v>
      </c>
      <c r="P404" s="16">
        <v>188</v>
      </c>
      <c r="Q404" s="29">
        <v>34</v>
      </c>
      <c r="R404" s="20">
        <v>0.64780000000000004</v>
      </c>
      <c r="S404" s="32">
        <v>22.025200000000002</v>
      </c>
      <c r="T404" s="35">
        <v>3.71</v>
      </c>
      <c r="U404" s="35">
        <v>3.21</v>
      </c>
      <c r="V404" s="35">
        <v>0.10911764705882353</v>
      </c>
      <c r="W404" s="9" t="s">
        <v>155</v>
      </c>
      <c r="X404" s="15">
        <v>403</v>
      </c>
      <c r="Y404" s="39">
        <v>0.47795639148213698</v>
      </c>
      <c r="Z404" s="39">
        <v>0.47174657447388463</v>
      </c>
      <c r="AA404" s="39">
        <v>0.48369092306212713</v>
      </c>
      <c r="AB404" s="39">
        <v>0.48244240682325246</v>
      </c>
      <c r="AC404" s="39">
        <v>0.47086158243713516</v>
      </c>
      <c r="AD404" s="39">
        <v>0.46487339140928319</v>
      </c>
      <c r="AE404" s="39">
        <v>0.47731282113688644</v>
      </c>
      <c r="AF404" s="40">
        <v>0.47892995614947687</v>
      </c>
    </row>
    <row r="405" spans="1:32">
      <c r="A405" s="15">
        <v>403</v>
      </c>
      <c r="B405" s="16">
        <v>1</v>
      </c>
      <c r="C405" s="20">
        <v>0.93</v>
      </c>
      <c r="D405" s="20">
        <v>0.18747949848141848</v>
      </c>
      <c r="E405" s="20">
        <v>7.0000000000000007E-2</v>
      </c>
      <c r="F405" s="8" t="s">
        <v>434</v>
      </c>
      <c r="G405" s="24">
        <v>0.4985945993872426</v>
      </c>
      <c r="H405" s="24">
        <v>0.5014813348478846</v>
      </c>
      <c r="I405" s="25">
        <v>0.51025155895305063</v>
      </c>
      <c r="L405" s="15">
        <v>403</v>
      </c>
      <c r="M405" s="16">
        <v>0</v>
      </c>
      <c r="N405" s="16">
        <v>1</v>
      </c>
      <c r="O405" s="16">
        <v>7</v>
      </c>
      <c r="P405" s="16">
        <v>189</v>
      </c>
      <c r="Q405" s="29">
        <v>34</v>
      </c>
      <c r="R405" s="20">
        <v>0.64780000000000004</v>
      </c>
      <c r="S405" s="32">
        <v>22.025200000000002</v>
      </c>
      <c r="T405" s="35">
        <v>1.59</v>
      </c>
      <c r="U405" s="35">
        <v>1.01</v>
      </c>
      <c r="V405" s="35">
        <v>4.6764705882352944E-2</v>
      </c>
      <c r="W405" s="9" t="s">
        <v>153</v>
      </c>
      <c r="X405" s="15">
        <v>404</v>
      </c>
      <c r="Y405" s="39">
        <v>0.47951685637707869</v>
      </c>
      <c r="Z405" s="39">
        <v>0.48282325690410638</v>
      </c>
      <c r="AA405" s="39">
        <v>0.47993409087418343</v>
      </c>
      <c r="AB405" s="39">
        <v>0.47454132537502891</v>
      </c>
      <c r="AC405" s="39">
        <v>0.47316112120186804</v>
      </c>
      <c r="AD405" s="39">
        <v>0.47688749238430506</v>
      </c>
      <c r="AE405" s="39">
        <v>0.47543403090833275</v>
      </c>
      <c r="AF405" s="40">
        <v>0.47115554341299087</v>
      </c>
    </row>
    <row r="406" spans="1:32">
      <c r="A406" s="15">
        <v>404</v>
      </c>
      <c r="B406" s="16">
        <v>0</v>
      </c>
      <c r="C406" s="20">
        <v>0.93</v>
      </c>
      <c r="D406" s="20">
        <v>0.18747949848141848</v>
      </c>
      <c r="E406" s="20">
        <v>7.0000000000000007E-2</v>
      </c>
      <c r="F406" s="8" t="s">
        <v>434</v>
      </c>
      <c r="G406" s="24">
        <v>0.90506445614487063</v>
      </c>
      <c r="H406" s="24">
        <v>0.9103045483218235</v>
      </c>
      <c r="I406" s="25">
        <v>0.92622453245275049</v>
      </c>
      <c r="L406" s="15">
        <v>404</v>
      </c>
      <c r="M406" s="16">
        <v>0</v>
      </c>
      <c r="N406" s="16">
        <v>1</v>
      </c>
      <c r="O406" s="16">
        <v>7</v>
      </c>
      <c r="P406" s="16">
        <v>190</v>
      </c>
      <c r="Q406" s="29">
        <v>32</v>
      </c>
      <c r="R406" s="20">
        <v>0.64780000000000004</v>
      </c>
      <c r="S406" s="32">
        <v>20.729600000000001</v>
      </c>
      <c r="T406" s="35">
        <v>0.78</v>
      </c>
      <c r="U406" s="35">
        <v>0.31</v>
      </c>
      <c r="V406" s="35">
        <v>2.4375000000000001E-2</v>
      </c>
      <c r="W406" s="9" t="s">
        <v>152</v>
      </c>
      <c r="X406" s="15">
        <v>405</v>
      </c>
      <c r="Y406" s="39">
        <v>0.47470684160614612</v>
      </c>
      <c r="Z406" s="39">
        <v>0.49769503217314004</v>
      </c>
      <c r="AA406" s="39">
        <v>0.47820837048944015</v>
      </c>
      <c r="AB406" s="39">
        <v>0.49533754050688955</v>
      </c>
      <c r="AC406" s="39">
        <v>0.46881161295012758</v>
      </c>
      <c r="AD406" s="39">
        <v>0.48807229124564966</v>
      </c>
      <c r="AE406" s="39">
        <v>0.47254087445018333</v>
      </c>
      <c r="AF406" s="40">
        <v>0.48911236665192015</v>
      </c>
    </row>
    <row r="407" spans="1:32">
      <c r="A407" s="15">
        <v>405</v>
      </c>
      <c r="B407" s="16">
        <v>0</v>
      </c>
      <c r="C407" s="20">
        <v>0.91</v>
      </c>
      <c r="D407" s="20">
        <v>0.21727233298780477</v>
      </c>
      <c r="E407" s="20">
        <v>0.09</v>
      </c>
      <c r="F407" s="8" t="s">
        <v>434</v>
      </c>
      <c r="G407" s="24">
        <v>0.49829894630739169</v>
      </c>
      <c r="H407" s="24">
        <v>0.50118397001216886</v>
      </c>
      <c r="I407" s="25">
        <v>0.50994899361221346</v>
      </c>
      <c r="L407" s="15">
        <v>405</v>
      </c>
      <c r="M407" s="16">
        <v>0</v>
      </c>
      <c r="N407" s="16">
        <v>1</v>
      </c>
      <c r="O407" s="16">
        <v>7</v>
      </c>
      <c r="P407" s="16">
        <v>191</v>
      </c>
      <c r="Q407" s="29">
        <v>30</v>
      </c>
      <c r="R407" s="20">
        <v>0.64780000000000004</v>
      </c>
      <c r="S407" s="32">
        <v>19.434000000000001</v>
      </c>
      <c r="T407" s="35">
        <v>0.85</v>
      </c>
      <c r="U407" s="35">
        <v>0.44</v>
      </c>
      <c r="V407" s="35">
        <v>2.8333333333333332E-2</v>
      </c>
      <c r="W407" s="9" t="s">
        <v>152</v>
      </c>
      <c r="X407" s="15">
        <v>406</v>
      </c>
      <c r="Y407" s="39">
        <v>0.485361925644894</v>
      </c>
      <c r="Z407" s="39">
        <v>0.47710272435463968</v>
      </c>
      <c r="AA407" s="39">
        <v>0.48809369926078738</v>
      </c>
      <c r="AB407" s="39">
        <v>0.47262790410417965</v>
      </c>
      <c r="AC407" s="39">
        <v>0.4790453001048362</v>
      </c>
      <c r="AD407" s="39">
        <v>0.47075985176435525</v>
      </c>
      <c r="AE407" s="39">
        <v>0.48050020330978654</v>
      </c>
      <c r="AF407" s="40">
        <v>0.46902124442039322</v>
      </c>
    </row>
    <row r="408" spans="1:32">
      <c r="A408" s="15">
        <v>406</v>
      </c>
      <c r="B408" s="16">
        <v>0</v>
      </c>
      <c r="C408" s="20">
        <v>0.02</v>
      </c>
      <c r="D408" s="20">
        <v>0.99604261948721451</v>
      </c>
      <c r="E408" s="20">
        <v>1</v>
      </c>
      <c r="F408" s="8" t="s">
        <v>436</v>
      </c>
      <c r="G408" s="24">
        <v>0.98583167335307087</v>
      </c>
      <c r="H408" s="24">
        <v>0.99153938710125378</v>
      </c>
      <c r="I408" s="25">
        <v>1.0088800576899504</v>
      </c>
      <c r="L408" s="15">
        <v>406</v>
      </c>
      <c r="M408" s="16">
        <v>0</v>
      </c>
      <c r="N408" s="16">
        <v>1</v>
      </c>
      <c r="O408" s="16">
        <v>7</v>
      </c>
      <c r="P408" s="16">
        <v>192</v>
      </c>
      <c r="Q408" s="29">
        <v>26</v>
      </c>
      <c r="R408" s="20">
        <v>0.64780000000000004</v>
      </c>
      <c r="S408" s="32">
        <v>16.8428</v>
      </c>
      <c r="T408" s="35">
        <v>0.77</v>
      </c>
      <c r="U408" s="35">
        <v>0.51</v>
      </c>
      <c r="V408" s="35">
        <v>2.9615384615384616E-2</v>
      </c>
      <c r="W408" s="9" t="s">
        <v>152</v>
      </c>
      <c r="X408" s="15">
        <v>407</v>
      </c>
      <c r="Y408" s="39">
        <v>0.49498477331267576</v>
      </c>
      <c r="Z408" s="39">
        <v>0.49217811316699239</v>
      </c>
      <c r="AA408" s="39">
        <v>0.48752895478279135</v>
      </c>
      <c r="AB408" s="39">
        <v>0.51065997988175438</v>
      </c>
      <c r="AC408" s="39">
        <v>0.4871930197981848</v>
      </c>
      <c r="AD408" s="39">
        <v>0.48328751490478877</v>
      </c>
      <c r="AE408" s="39">
        <v>0.48144110968852011</v>
      </c>
      <c r="AF408" s="40">
        <v>0.50646044045614014</v>
      </c>
    </row>
    <row r="409" spans="1:32">
      <c r="A409" s="15">
        <v>407</v>
      </c>
      <c r="B409" s="16">
        <v>1</v>
      </c>
      <c r="C409" s="20">
        <v>0.3</v>
      </c>
      <c r="D409" s="20">
        <v>0.74355534000100265</v>
      </c>
      <c r="E409" s="20">
        <v>0.4</v>
      </c>
      <c r="F409" s="8" t="s">
        <v>436</v>
      </c>
      <c r="G409" s="24">
        <v>1.0964861768058691</v>
      </c>
      <c r="H409" s="24">
        <v>1.1028345518836964</v>
      </c>
      <c r="I409" s="25">
        <v>1.1221216230044477</v>
      </c>
      <c r="L409" s="15">
        <v>407</v>
      </c>
      <c r="M409" s="16">
        <v>0</v>
      </c>
      <c r="N409" s="16">
        <v>1</v>
      </c>
      <c r="O409" s="16">
        <v>7</v>
      </c>
      <c r="P409" s="16">
        <v>193</v>
      </c>
      <c r="Q409" s="29">
        <v>31</v>
      </c>
      <c r="R409" s="20">
        <v>0.64780000000000004</v>
      </c>
      <c r="S409" s="32">
        <v>20.081800000000001</v>
      </c>
      <c r="T409" s="35">
        <v>1.06</v>
      </c>
      <c r="U409" s="35">
        <v>0.6</v>
      </c>
      <c r="V409" s="35">
        <v>3.4193548387096775E-2</v>
      </c>
      <c r="W409" s="9" t="s">
        <v>153</v>
      </c>
      <c r="X409" s="15">
        <v>408</v>
      </c>
      <c r="Y409" s="39">
        <v>0.48014848853097358</v>
      </c>
      <c r="Z409" s="39">
        <v>0.49658533075774453</v>
      </c>
      <c r="AA409" s="39">
        <v>0.49229020063316364</v>
      </c>
      <c r="AB409" s="39">
        <v>0.4855645280737223</v>
      </c>
      <c r="AC409" s="39">
        <v>0.47330926278386254</v>
      </c>
      <c r="AD409" s="39">
        <v>0.49174110125726128</v>
      </c>
      <c r="AE409" s="39">
        <v>0.48491074155174274</v>
      </c>
      <c r="AF409" s="40">
        <v>0.48209635752337665</v>
      </c>
    </row>
    <row r="410" spans="1:32">
      <c r="A410" s="15">
        <v>408</v>
      </c>
      <c r="B410" s="16">
        <v>1</v>
      </c>
      <c r="C410" s="20">
        <v>0.97</v>
      </c>
      <c r="D410" s="20">
        <v>0.12097036642660543</v>
      </c>
      <c r="E410" s="20">
        <v>0.03</v>
      </c>
      <c r="F410" s="8" t="s">
        <v>434</v>
      </c>
      <c r="G410" s="24">
        <v>1.1365343475766407</v>
      </c>
      <c r="H410" s="24">
        <v>1.1431145913406511</v>
      </c>
      <c r="I410" s="25">
        <v>1.1631061053757323</v>
      </c>
      <c r="L410" s="15">
        <v>408</v>
      </c>
      <c r="M410" s="16">
        <v>0</v>
      </c>
      <c r="N410" s="16">
        <v>1</v>
      </c>
      <c r="O410" s="16">
        <v>7</v>
      </c>
      <c r="P410" s="16">
        <v>194</v>
      </c>
      <c r="Q410" s="29">
        <v>32</v>
      </c>
      <c r="R410" s="20">
        <v>0.64780000000000004</v>
      </c>
      <c r="S410" s="32">
        <v>20.729600000000001</v>
      </c>
      <c r="T410" s="35">
        <v>1.4800000000000002</v>
      </c>
      <c r="U410" s="35">
        <v>1.02</v>
      </c>
      <c r="V410" s="35">
        <v>4.6250000000000006E-2</v>
      </c>
      <c r="W410" s="9" t="s">
        <v>153</v>
      </c>
      <c r="X410" s="15">
        <v>409</v>
      </c>
      <c r="Y410" s="39">
        <v>0.48484062653985499</v>
      </c>
      <c r="Z410" s="39">
        <v>0.47416963506670967</v>
      </c>
      <c r="AA410" s="39">
        <v>0.47874952603117576</v>
      </c>
      <c r="AB410" s="39">
        <v>0.48414113731372238</v>
      </c>
      <c r="AC410" s="39">
        <v>0.479723535118598</v>
      </c>
      <c r="AD410" s="39">
        <v>0.46776637697122986</v>
      </c>
      <c r="AE410" s="39">
        <v>0.47246435451933255</v>
      </c>
      <c r="AF410" s="40">
        <v>0.48129893462604384</v>
      </c>
    </row>
    <row r="411" spans="1:32">
      <c r="A411" s="15">
        <v>409</v>
      </c>
      <c r="B411" s="16">
        <v>0</v>
      </c>
      <c r="C411" s="20">
        <v>0.11</v>
      </c>
      <c r="D411" s="20">
        <v>0.91939613398057562</v>
      </c>
      <c r="E411" s="20">
        <v>0.42</v>
      </c>
      <c r="F411" s="8" t="s">
        <v>436</v>
      </c>
      <c r="G411" s="24">
        <v>0.92973869000500664</v>
      </c>
      <c r="H411" s="24">
        <v>0.93512163969773643</v>
      </c>
      <c r="I411" s="25">
        <v>0.95147564088549197</v>
      </c>
      <c r="L411" s="15">
        <v>409</v>
      </c>
      <c r="M411" s="16">
        <v>0</v>
      </c>
      <c r="N411" s="16">
        <v>1</v>
      </c>
      <c r="O411" s="16">
        <v>7</v>
      </c>
      <c r="P411" s="16">
        <v>195</v>
      </c>
      <c r="Q411" s="29">
        <v>38</v>
      </c>
      <c r="R411" s="20">
        <v>0.64780000000000004</v>
      </c>
      <c r="S411" s="32">
        <v>24.616400000000002</v>
      </c>
      <c r="T411" s="35">
        <v>2.35</v>
      </c>
      <c r="U411" s="35">
        <v>1.88</v>
      </c>
      <c r="V411" s="35">
        <v>6.18421052631579E-2</v>
      </c>
      <c r="W411" s="9" t="s">
        <v>154</v>
      </c>
      <c r="X411" s="15">
        <v>410</v>
      </c>
      <c r="Y411" s="39">
        <v>0.47870687954977165</v>
      </c>
      <c r="Z411" s="39">
        <v>0.48395740885555882</v>
      </c>
      <c r="AA411" s="39">
        <v>0.48845428773115501</v>
      </c>
      <c r="AB411" s="39">
        <v>0.49629402572594011</v>
      </c>
      <c r="AC411" s="39">
        <v>0.47145131357420672</v>
      </c>
      <c r="AD411" s="39">
        <v>0.47772317257400709</v>
      </c>
      <c r="AE411" s="39">
        <v>0.48060258653911725</v>
      </c>
      <c r="AF411" s="40">
        <v>0.49124316560420189</v>
      </c>
    </row>
    <row r="412" spans="1:32">
      <c r="A412" s="15">
        <v>410</v>
      </c>
      <c r="B412" s="16">
        <v>1</v>
      </c>
      <c r="C412" s="20">
        <v>0.02</v>
      </c>
      <c r="D412" s="20">
        <v>0.99756714174924133</v>
      </c>
      <c r="E412" s="20">
        <v>1</v>
      </c>
      <c r="F412" s="8" t="s">
        <v>436</v>
      </c>
      <c r="G412" s="24">
        <v>0.96826502803482595</v>
      </c>
      <c r="H412" s="24">
        <v>0.97387103539062714</v>
      </c>
      <c r="I412" s="25">
        <v>0.99090271062236179</v>
      </c>
      <c r="L412" s="15">
        <v>410</v>
      </c>
      <c r="M412" s="16">
        <v>0</v>
      </c>
      <c r="N412" s="16">
        <v>1</v>
      </c>
      <c r="O412" s="16">
        <v>8</v>
      </c>
      <c r="P412" s="16">
        <v>143</v>
      </c>
      <c r="Q412" s="29">
        <v>48</v>
      </c>
      <c r="R412" s="20">
        <v>0.64780000000000004</v>
      </c>
      <c r="S412" s="32">
        <v>31.0944</v>
      </c>
      <c r="T412" s="35">
        <v>2.98</v>
      </c>
      <c r="U412" s="35">
        <v>2.2799999999999998</v>
      </c>
      <c r="V412" s="35">
        <v>6.2083333333333331E-2</v>
      </c>
      <c r="W412" s="9" t="s">
        <v>154</v>
      </c>
      <c r="X412" s="15">
        <v>411</v>
      </c>
      <c r="Y412" s="39">
        <v>0.48293125675336229</v>
      </c>
      <c r="Z412" s="39">
        <v>0.47362762809777803</v>
      </c>
      <c r="AA412" s="39">
        <v>0.48863898579539827</v>
      </c>
      <c r="AB412" s="39">
        <v>0.49155762187926544</v>
      </c>
      <c r="AC412" s="39">
        <v>0.47449271051316744</v>
      </c>
      <c r="AD412" s="39">
        <v>0.46779444062366293</v>
      </c>
      <c r="AE412" s="39">
        <v>0.48186269228271567</v>
      </c>
      <c r="AF412" s="40">
        <v>0.48999573119727652</v>
      </c>
    </row>
    <row r="413" spans="1:32">
      <c r="A413" s="15">
        <v>411</v>
      </c>
      <c r="B413" s="16">
        <v>1</v>
      </c>
      <c r="C413" s="20">
        <v>0.97</v>
      </c>
      <c r="D413" s="20">
        <v>0.12097036642660543</v>
      </c>
      <c r="E413" s="20">
        <v>0.03</v>
      </c>
      <c r="F413" s="8" t="s">
        <v>434</v>
      </c>
      <c r="G413" s="24">
        <v>0.46616614924743655</v>
      </c>
      <c r="H413" s="24">
        <v>0.46886513225936111</v>
      </c>
      <c r="I413" s="25">
        <v>0.47706494349712181</v>
      </c>
      <c r="L413" s="15">
        <v>411</v>
      </c>
      <c r="M413" s="16">
        <v>0</v>
      </c>
      <c r="N413" s="16">
        <v>1</v>
      </c>
      <c r="O413" s="16">
        <v>8</v>
      </c>
      <c r="P413" s="16">
        <v>144</v>
      </c>
      <c r="Q413" s="29">
        <v>39</v>
      </c>
      <c r="R413" s="20">
        <v>0.64780000000000004</v>
      </c>
      <c r="S413" s="32">
        <v>25.264200000000002</v>
      </c>
      <c r="T413" s="35">
        <v>2.21</v>
      </c>
      <c r="U413" s="35">
        <v>1.64</v>
      </c>
      <c r="V413" s="35">
        <v>5.6666666666666664E-2</v>
      </c>
      <c r="W413" s="9" t="s">
        <v>154</v>
      </c>
      <c r="X413" s="15">
        <v>412</v>
      </c>
      <c r="Y413" s="39">
        <v>0.48589603504547974</v>
      </c>
      <c r="Z413" s="39">
        <v>0.49386467586141763</v>
      </c>
      <c r="AA413" s="39">
        <v>0.48347009179284983</v>
      </c>
      <c r="AB413" s="39">
        <v>0.49297023432583098</v>
      </c>
      <c r="AC413" s="39">
        <v>0.47747851529071617</v>
      </c>
      <c r="AD413" s="39">
        <v>0.48466187612401157</v>
      </c>
      <c r="AE413" s="39">
        <v>0.47537938989367279</v>
      </c>
      <c r="AF413" s="40">
        <v>0.48762445887118921</v>
      </c>
    </row>
    <row r="414" spans="1:32">
      <c r="A414" s="15">
        <v>412</v>
      </c>
      <c r="B414" s="16">
        <v>0</v>
      </c>
      <c r="C414" s="20">
        <v>0.16</v>
      </c>
      <c r="D414" s="20">
        <v>0.8477644180687568</v>
      </c>
      <c r="E414" s="20">
        <v>0.09</v>
      </c>
      <c r="F414" s="8" t="s">
        <v>436</v>
      </c>
      <c r="G414" s="24">
        <v>0.97546717719198406</v>
      </c>
      <c r="H414" s="24">
        <v>0.98111488315300555</v>
      </c>
      <c r="I414" s="25">
        <v>0.99827324339541768</v>
      </c>
      <c r="L414" s="15">
        <v>412</v>
      </c>
      <c r="M414" s="16">
        <v>0</v>
      </c>
      <c r="N414" s="16">
        <v>1</v>
      </c>
      <c r="O414" s="16">
        <v>8</v>
      </c>
      <c r="P414" s="16">
        <v>145</v>
      </c>
      <c r="Q414" s="29">
        <v>51</v>
      </c>
      <c r="R414" s="20">
        <v>0.64780000000000004</v>
      </c>
      <c r="S414" s="32">
        <v>33.037800000000004</v>
      </c>
      <c r="T414" s="35">
        <v>3.58</v>
      </c>
      <c r="U414" s="35">
        <v>2.82</v>
      </c>
      <c r="V414" s="35">
        <v>7.0196078431372544E-2</v>
      </c>
      <c r="W414" s="9" t="s">
        <v>155</v>
      </c>
      <c r="X414" s="15">
        <v>413</v>
      </c>
      <c r="Y414" s="39">
        <v>0.4754130334657134</v>
      </c>
      <c r="Z414" s="39">
        <v>0.47276877131244982</v>
      </c>
      <c r="AA414" s="39">
        <v>0.49348460769760466</v>
      </c>
      <c r="AB414" s="39">
        <v>0.47887784275353062</v>
      </c>
      <c r="AC414" s="39">
        <v>0.47188079207321432</v>
      </c>
      <c r="AD414" s="39">
        <v>0.46584451319150494</v>
      </c>
      <c r="AE414" s="39">
        <v>0.48599800261622372</v>
      </c>
      <c r="AF414" s="40">
        <v>0.47348647203001043</v>
      </c>
    </row>
    <row r="415" spans="1:32">
      <c r="A415" s="15">
        <v>413</v>
      </c>
      <c r="B415" s="16">
        <v>0</v>
      </c>
      <c r="C415" s="20">
        <v>0.02</v>
      </c>
      <c r="D415" s="20">
        <v>0.99604261948721451</v>
      </c>
      <c r="E415" s="20">
        <v>1</v>
      </c>
      <c r="F415" s="8" t="s">
        <v>436</v>
      </c>
      <c r="G415" s="24">
        <v>1.0236311786874794</v>
      </c>
      <c r="H415" s="24">
        <v>1.0295577419229567</v>
      </c>
      <c r="I415" s="25">
        <v>1.0475633016485484</v>
      </c>
      <c r="L415" s="15">
        <v>413</v>
      </c>
      <c r="M415" s="16">
        <v>0</v>
      </c>
      <c r="N415" s="16">
        <v>1</v>
      </c>
      <c r="O415" s="16">
        <v>8</v>
      </c>
      <c r="P415" s="16">
        <v>146</v>
      </c>
      <c r="Q415" s="29">
        <v>42</v>
      </c>
      <c r="R415" s="20">
        <v>0.64780000000000004</v>
      </c>
      <c r="S415" s="32">
        <v>27.207600000000003</v>
      </c>
      <c r="T415" s="35">
        <v>2.52</v>
      </c>
      <c r="U415" s="35">
        <v>1.87</v>
      </c>
      <c r="V415" s="35">
        <v>0.06</v>
      </c>
      <c r="W415" s="9" t="s">
        <v>154</v>
      </c>
      <c r="X415" s="15">
        <v>414</v>
      </c>
      <c r="Y415" s="39">
        <v>0.49197212954274583</v>
      </c>
      <c r="Z415" s="39">
        <v>0.48118313339259405</v>
      </c>
      <c r="AA415" s="39">
        <v>0.47227719534274926</v>
      </c>
      <c r="AB415" s="39">
        <v>0.48366986541061691</v>
      </c>
      <c r="AC415" s="39">
        <v>0.48536384377348957</v>
      </c>
      <c r="AD415" s="39">
        <v>0.4747515006715986</v>
      </c>
      <c r="AE415" s="39">
        <v>0.46746371262546277</v>
      </c>
      <c r="AF415" s="40">
        <v>0.47957536991540878</v>
      </c>
    </row>
    <row r="416" spans="1:32">
      <c r="A416" s="15">
        <v>414</v>
      </c>
      <c r="B416" s="16">
        <v>1</v>
      </c>
      <c r="C416" s="20">
        <v>0.26</v>
      </c>
      <c r="D416" s="20">
        <v>0.68564967553333089</v>
      </c>
      <c r="E416" s="20">
        <v>0.09</v>
      </c>
      <c r="F416" s="8" t="s">
        <v>436</v>
      </c>
      <c r="G416" s="24">
        <v>1.3175003906869069</v>
      </c>
      <c r="H416" s="24">
        <v>1.3251283816476587</v>
      </c>
      <c r="I416" s="25">
        <v>1.3483030684556758</v>
      </c>
      <c r="L416" s="15">
        <v>414</v>
      </c>
      <c r="M416" s="16">
        <v>0</v>
      </c>
      <c r="N416" s="16">
        <v>1</v>
      </c>
      <c r="O416" s="16">
        <v>8</v>
      </c>
      <c r="P416" s="16">
        <v>147</v>
      </c>
      <c r="Q416" s="29">
        <v>57</v>
      </c>
      <c r="R416" s="20">
        <v>0.64780000000000004</v>
      </c>
      <c r="S416" s="32">
        <v>36.924600000000005</v>
      </c>
      <c r="T416" s="35">
        <v>1.54</v>
      </c>
      <c r="U416" s="35">
        <v>0.64</v>
      </c>
      <c r="V416" s="35">
        <v>2.7017543859649124E-2</v>
      </c>
      <c r="W416" s="9" t="s">
        <v>153</v>
      </c>
      <c r="X416" s="15">
        <v>415</v>
      </c>
      <c r="Y416" s="39">
        <v>0.47718905505045128</v>
      </c>
      <c r="Z416" s="39">
        <v>0.4835776203750683</v>
      </c>
      <c r="AA416" s="39">
        <v>0.48616999926870436</v>
      </c>
      <c r="AB416" s="39">
        <v>0.49078546408994894</v>
      </c>
      <c r="AC416" s="39">
        <v>0.4713630378089278</v>
      </c>
      <c r="AD416" s="39">
        <v>0.47799984460882877</v>
      </c>
      <c r="AE416" s="39">
        <v>0.47961597275631984</v>
      </c>
      <c r="AF416" s="40">
        <v>0.48528579513838388</v>
      </c>
    </row>
    <row r="417" spans="1:32">
      <c r="A417" s="15">
        <v>415</v>
      </c>
      <c r="B417" s="16">
        <v>0</v>
      </c>
      <c r="C417" s="20">
        <v>0.93</v>
      </c>
      <c r="D417" s="20">
        <v>0.18747949848141848</v>
      </c>
      <c r="E417" s="20">
        <v>7.0000000000000007E-2</v>
      </c>
      <c r="F417" s="8" t="s">
        <v>434</v>
      </c>
      <c r="G417" s="24">
        <v>0.49437642821199573</v>
      </c>
      <c r="H417" s="24">
        <v>0.49723874153825115</v>
      </c>
      <c r="I417" s="25">
        <v>0.5059347684768889</v>
      </c>
      <c r="L417" s="15">
        <v>415</v>
      </c>
      <c r="M417" s="16">
        <v>0</v>
      </c>
      <c r="N417" s="16">
        <v>1</v>
      </c>
      <c r="O417" s="16">
        <v>8</v>
      </c>
      <c r="P417" s="16">
        <v>148</v>
      </c>
      <c r="Q417" s="29">
        <v>58</v>
      </c>
      <c r="R417" s="20">
        <v>0.64780000000000004</v>
      </c>
      <c r="S417" s="32">
        <v>37.572400000000002</v>
      </c>
      <c r="T417" s="35">
        <v>6.57</v>
      </c>
      <c r="U417" s="35">
        <v>5.8</v>
      </c>
      <c r="V417" s="35">
        <v>0.11327586206896552</v>
      </c>
      <c r="W417" s="9" t="s">
        <v>156</v>
      </c>
      <c r="X417" s="15">
        <v>416</v>
      </c>
      <c r="Y417" s="39">
        <v>0.48571750856564239</v>
      </c>
      <c r="Z417" s="39">
        <v>0.48089460236601062</v>
      </c>
      <c r="AA417" s="39">
        <v>0.4842152807680114</v>
      </c>
      <c r="AB417" s="39">
        <v>0.48324719162754459</v>
      </c>
      <c r="AC417" s="39">
        <v>0.47936552534343502</v>
      </c>
      <c r="AD417" s="39">
        <v>0.47424784877454168</v>
      </c>
      <c r="AE417" s="39">
        <v>0.47594265613220321</v>
      </c>
      <c r="AF417" s="40">
        <v>0.47926361204769347</v>
      </c>
    </row>
    <row r="418" spans="1:32">
      <c r="A418" s="15">
        <v>416</v>
      </c>
      <c r="B418" s="16">
        <v>1</v>
      </c>
      <c r="C418" s="20">
        <v>0.2</v>
      </c>
      <c r="D418" s="20">
        <v>0.86640262236318322</v>
      </c>
      <c r="E418" s="20">
        <v>0.06</v>
      </c>
      <c r="F418" s="8" t="s">
        <v>436</v>
      </c>
      <c r="G418" s="24">
        <v>0.97042506031569165</v>
      </c>
      <c r="H418" s="24">
        <v>0.97604357370703543</v>
      </c>
      <c r="I418" s="25">
        <v>0.99311324366875886</v>
      </c>
      <c r="L418" s="15">
        <v>416</v>
      </c>
      <c r="M418" s="16">
        <v>0</v>
      </c>
      <c r="N418" s="16">
        <v>1</v>
      </c>
      <c r="O418" s="16">
        <v>8</v>
      </c>
      <c r="P418" s="16">
        <v>149</v>
      </c>
      <c r="Q418" s="29">
        <v>41</v>
      </c>
      <c r="R418" s="20">
        <v>0.64780000000000004</v>
      </c>
      <c r="S418" s="32">
        <v>26.559800000000003</v>
      </c>
      <c r="T418" s="35">
        <v>2.6</v>
      </c>
      <c r="U418" s="35">
        <v>1.9</v>
      </c>
      <c r="V418" s="35">
        <v>6.3414634146341464E-2</v>
      </c>
      <c r="W418" s="9" t="s">
        <v>154</v>
      </c>
      <c r="X418" s="15">
        <v>417</v>
      </c>
      <c r="Y418" s="39">
        <v>0.47939445019755667</v>
      </c>
      <c r="Z418" s="39">
        <v>0.48625329127273414</v>
      </c>
      <c r="AA418" s="39">
        <v>0.48417902956226161</v>
      </c>
      <c r="AB418" s="39">
        <v>0.49719807008820938</v>
      </c>
      <c r="AC418" s="39">
        <v>0.47575653487780944</v>
      </c>
      <c r="AD418" s="39">
        <v>0.47993574163205172</v>
      </c>
      <c r="AE418" s="39">
        <v>0.47513368530212496</v>
      </c>
      <c r="AF418" s="40">
        <v>0.49415558624503364</v>
      </c>
    </row>
    <row r="419" spans="1:32">
      <c r="A419" s="15">
        <v>417</v>
      </c>
      <c r="B419" s="16">
        <v>1</v>
      </c>
      <c r="C419" s="20">
        <v>0.89</v>
      </c>
      <c r="D419" s="20">
        <v>0.24559627500636821</v>
      </c>
      <c r="E419" s="20">
        <v>0.11</v>
      </c>
      <c r="F419" s="8" t="s">
        <v>434</v>
      </c>
      <c r="G419" s="24">
        <v>0.40341375055519418</v>
      </c>
      <c r="H419" s="24">
        <v>0.40574941319668578</v>
      </c>
      <c r="I419" s="25">
        <v>0.41284541665084024</v>
      </c>
      <c r="L419" s="15">
        <v>417</v>
      </c>
      <c r="M419" s="16">
        <v>0</v>
      </c>
      <c r="N419" s="16">
        <v>1</v>
      </c>
      <c r="O419" s="16">
        <v>8</v>
      </c>
      <c r="P419" s="16">
        <v>150</v>
      </c>
      <c r="Q419" s="29">
        <v>45</v>
      </c>
      <c r="R419" s="20">
        <v>0.64780000000000004</v>
      </c>
      <c r="S419" s="32">
        <v>29.151000000000003</v>
      </c>
      <c r="T419" s="35">
        <v>1.61</v>
      </c>
      <c r="U419" s="35">
        <v>0.92</v>
      </c>
      <c r="V419" s="35">
        <v>3.5777777777777783E-2</v>
      </c>
      <c r="W419" s="9" t="s">
        <v>153</v>
      </c>
      <c r="X419" s="15">
        <v>418</v>
      </c>
      <c r="Y419" s="39">
        <v>0.47915026068400524</v>
      </c>
      <c r="Z419" s="39">
        <v>0.48201134111840221</v>
      </c>
      <c r="AA419" s="39">
        <v>0.49942601642451961</v>
      </c>
      <c r="AB419" s="39">
        <v>0.49939284533465861</v>
      </c>
      <c r="AC419" s="39">
        <v>0.47299064210423308</v>
      </c>
      <c r="AD419" s="39">
        <v>0.47407575386818079</v>
      </c>
      <c r="AE419" s="39">
        <v>0.49119535522850838</v>
      </c>
      <c r="AF419" s="40">
        <v>0.4976785457849367</v>
      </c>
    </row>
    <row r="420" spans="1:32">
      <c r="A420" s="15">
        <v>418</v>
      </c>
      <c r="B420" s="16">
        <v>0</v>
      </c>
      <c r="C420" s="20">
        <v>0.64</v>
      </c>
      <c r="D420" s="20">
        <v>0.43938910542459131</v>
      </c>
      <c r="E420" s="20">
        <v>0.09</v>
      </c>
      <c r="F420" s="8" t="s">
        <v>438</v>
      </c>
      <c r="G420" s="24">
        <v>0.89905104279838166</v>
      </c>
      <c r="H420" s="24">
        <v>0.90425631884702484</v>
      </c>
      <c r="I420" s="25">
        <v>0.92007052769929754</v>
      </c>
      <c r="L420" s="15">
        <v>418</v>
      </c>
      <c r="M420" s="16">
        <v>0</v>
      </c>
      <c r="N420" s="16">
        <v>1</v>
      </c>
      <c r="O420" s="16">
        <v>8</v>
      </c>
      <c r="P420" s="16">
        <v>151</v>
      </c>
      <c r="Q420" s="29">
        <v>48</v>
      </c>
      <c r="R420" s="20">
        <v>0.64780000000000004</v>
      </c>
      <c r="S420" s="32">
        <v>31.0944</v>
      </c>
      <c r="T420" s="35">
        <v>2.42</v>
      </c>
      <c r="U420" s="35">
        <v>1.74</v>
      </c>
      <c r="V420" s="35">
        <v>5.0416666666666665E-2</v>
      </c>
      <c r="W420" s="9" t="s">
        <v>154</v>
      </c>
      <c r="X420" s="15">
        <v>419</v>
      </c>
      <c r="Y420" s="39">
        <v>0.48207627449960333</v>
      </c>
      <c r="Z420" s="39">
        <v>0.46555042371943961</v>
      </c>
      <c r="AA420" s="39">
        <v>0.47859187273014669</v>
      </c>
      <c r="AB420" s="39">
        <v>0.49304570049253332</v>
      </c>
      <c r="AC420" s="39">
        <v>0.47449094643696399</v>
      </c>
      <c r="AD420" s="39">
        <v>0.45803472468708689</v>
      </c>
      <c r="AE420" s="39">
        <v>0.47266070155095247</v>
      </c>
      <c r="AF420" s="40">
        <v>0.48821158370605688</v>
      </c>
    </row>
    <row r="421" spans="1:32">
      <c r="A421" s="15">
        <v>419</v>
      </c>
      <c r="B421" s="16">
        <v>1</v>
      </c>
      <c r="C421" s="20">
        <v>0.02</v>
      </c>
      <c r="D421" s="20">
        <v>0.99917029198757767</v>
      </c>
      <c r="E421" s="20">
        <v>1</v>
      </c>
      <c r="F421" s="8" t="s">
        <v>436</v>
      </c>
      <c r="G421" s="24">
        <v>1.0629274804532192</v>
      </c>
      <c r="H421" s="24">
        <v>1.06908155924526</v>
      </c>
      <c r="I421" s="25">
        <v>1.0877783365921685</v>
      </c>
      <c r="L421" s="15">
        <v>419</v>
      </c>
      <c r="M421" s="16">
        <v>0</v>
      </c>
      <c r="N421" s="16">
        <v>1</v>
      </c>
      <c r="O421" s="16">
        <v>8</v>
      </c>
      <c r="P421" s="16">
        <v>152</v>
      </c>
      <c r="Q421" s="29">
        <v>53</v>
      </c>
      <c r="R421" s="20">
        <v>0.64780000000000004</v>
      </c>
      <c r="S421" s="32">
        <v>34.333400000000005</v>
      </c>
      <c r="T421" s="35">
        <v>1.95</v>
      </c>
      <c r="U421" s="35">
        <v>1.07</v>
      </c>
      <c r="V421" s="35">
        <v>3.6792452830188678E-2</v>
      </c>
      <c r="W421" s="9" t="s">
        <v>153</v>
      </c>
      <c r="X421" s="15">
        <v>420</v>
      </c>
      <c r="Y421" s="39">
        <v>0.49448633392989516</v>
      </c>
      <c r="Z421" s="39">
        <v>0.47673336993243892</v>
      </c>
      <c r="AA421" s="39">
        <v>0.48092684255349172</v>
      </c>
      <c r="AB421" s="39">
        <v>0.48462932229109618</v>
      </c>
      <c r="AC421" s="39">
        <v>0.488344306239055</v>
      </c>
      <c r="AD421" s="39">
        <v>0.47114127256857746</v>
      </c>
      <c r="AE421" s="39">
        <v>0.47231860305000711</v>
      </c>
      <c r="AF421" s="40">
        <v>0.47913310696312633</v>
      </c>
    </row>
    <row r="422" spans="1:32">
      <c r="A422" s="15">
        <v>420</v>
      </c>
      <c r="B422" s="16">
        <v>0</v>
      </c>
      <c r="C422" s="20">
        <v>0.39</v>
      </c>
      <c r="D422" s="20">
        <v>0.68365642272088356</v>
      </c>
      <c r="E422" s="20">
        <v>0.06</v>
      </c>
      <c r="F422" s="8" t="s">
        <v>436</v>
      </c>
      <c r="G422" s="24">
        <v>1.2801359753255797</v>
      </c>
      <c r="H422" s="24">
        <v>1.2875476358589215</v>
      </c>
      <c r="I422" s="25">
        <v>1.3100650867147641</v>
      </c>
      <c r="L422" s="15">
        <v>420</v>
      </c>
      <c r="M422" s="16">
        <v>0</v>
      </c>
      <c r="N422" s="16">
        <v>1</v>
      </c>
      <c r="O422" s="16">
        <v>9</v>
      </c>
      <c r="P422" s="16">
        <v>153</v>
      </c>
      <c r="Q422" s="29">
        <v>60</v>
      </c>
      <c r="R422" s="20">
        <v>0.64780000000000004</v>
      </c>
      <c r="S422" s="32">
        <v>38.868000000000002</v>
      </c>
      <c r="T422" s="35">
        <v>2.54</v>
      </c>
      <c r="U422" s="35">
        <v>1.85</v>
      </c>
      <c r="V422" s="35">
        <v>4.2333333333333334E-2</v>
      </c>
      <c r="W422" s="9" t="s">
        <v>154</v>
      </c>
      <c r="X422" s="15">
        <v>421</v>
      </c>
      <c r="Y422" s="39">
        <v>0.48614825356424091</v>
      </c>
      <c r="Z422" s="39">
        <v>0.48898405873083012</v>
      </c>
      <c r="AA422" s="39">
        <v>0.46649350180420501</v>
      </c>
      <c r="AB422" s="39">
        <v>0.47383841306431079</v>
      </c>
      <c r="AC422" s="39">
        <v>0.4797231425733946</v>
      </c>
      <c r="AD422" s="39">
        <v>0.48095383425867833</v>
      </c>
      <c r="AE422" s="39">
        <v>0.45972164521131548</v>
      </c>
      <c r="AF422" s="40">
        <v>0.46899424187588801</v>
      </c>
    </row>
    <row r="423" spans="1:32">
      <c r="A423" s="15">
        <v>421</v>
      </c>
      <c r="B423" s="16">
        <v>0</v>
      </c>
      <c r="C423" s="20">
        <v>0.96</v>
      </c>
      <c r="D423" s="20">
        <v>0.13880369068795359</v>
      </c>
      <c r="E423" s="20">
        <v>0.04</v>
      </c>
      <c r="F423" s="8" t="s">
        <v>434</v>
      </c>
      <c r="G423" s="24">
        <v>0.61074355774499023</v>
      </c>
      <c r="H423" s="24">
        <v>0.61427960704770601</v>
      </c>
      <c r="I423" s="25">
        <v>0.62502251898215699</v>
      </c>
      <c r="L423" s="15">
        <v>421</v>
      </c>
      <c r="M423" s="16">
        <v>0</v>
      </c>
      <c r="N423" s="16">
        <v>1</v>
      </c>
      <c r="O423" s="16">
        <v>9</v>
      </c>
      <c r="P423" s="16">
        <v>154</v>
      </c>
      <c r="Q423" s="29">
        <v>67</v>
      </c>
      <c r="R423" s="20">
        <v>0.64780000000000004</v>
      </c>
      <c r="S423" s="32">
        <v>43.4026</v>
      </c>
      <c r="T423" s="35">
        <v>1.77</v>
      </c>
      <c r="U423" s="35">
        <v>0.99</v>
      </c>
      <c r="V423" s="35">
        <v>2.6417910447761195E-2</v>
      </c>
      <c r="W423" s="9" t="s">
        <v>153</v>
      </c>
      <c r="X423" s="15">
        <v>422</v>
      </c>
      <c r="Y423" s="39">
        <v>0.49397261928411634</v>
      </c>
      <c r="Z423" s="39">
        <v>0.48696663275009261</v>
      </c>
      <c r="AA423" s="39">
        <v>0.47517290041002619</v>
      </c>
      <c r="AB423" s="39">
        <v>0.4725297887854652</v>
      </c>
      <c r="AC423" s="39">
        <v>0.48593376373903924</v>
      </c>
      <c r="AD423" s="39">
        <v>0.48074354841246791</v>
      </c>
      <c r="AE423" s="39">
        <v>0.46883451751199623</v>
      </c>
      <c r="AF423" s="40">
        <v>0.47071480439863306</v>
      </c>
    </row>
    <row r="424" spans="1:32">
      <c r="A424" s="15">
        <v>422</v>
      </c>
      <c r="B424" s="16">
        <v>0</v>
      </c>
      <c r="C424" s="20">
        <v>0.92</v>
      </c>
      <c r="D424" s="20">
        <v>0.20258497911151899</v>
      </c>
      <c r="E424" s="20">
        <v>0.08</v>
      </c>
      <c r="F424" s="8" t="s">
        <v>434</v>
      </c>
      <c r="G424" s="24">
        <v>0.81335630230232581</v>
      </c>
      <c r="H424" s="24">
        <v>0.81806542767768753</v>
      </c>
      <c r="I424" s="25">
        <v>0.83237227548010506</v>
      </c>
      <c r="L424" s="15">
        <v>422</v>
      </c>
      <c r="M424" s="16">
        <v>0</v>
      </c>
      <c r="N424" s="16">
        <v>1</v>
      </c>
      <c r="O424" s="16">
        <v>9</v>
      </c>
      <c r="P424" s="16">
        <v>155</v>
      </c>
      <c r="Q424" s="29">
        <v>52</v>
      </c>
      <c r="R424" s="20">
        <v>0.64780000000000004</v>
      </c>
      <c r="S424" s="32">
        <v>33.685600000000001</v>
      </c>
      <c r="T424" s="35">
        <v>3.49</v>
      </c>
      <c r="U424" s="35">
        <v>2.61</v>
      </c>
      <c r="V424" s="35">
        <v>6.7115384615384618E-2</v>
      </c>
      <c r="W424" s="9" t="s">
        <v>155</v>
      </c>
      <c r="X424" s="15">
        <v>423</v>
      </c>
      <c r="Y424" s="39">
        <v>0.48005211105504952</v>
      </c>
      <c r="Z424" s="39">
        <v>0.49023688422964373</v>
      </c>
      <c r="AA424" s="39">
        <v>0.49728079425402555</v>
      </c>
      <c r="AB424" s="39">
        <v>0.49271570228270994</v>
      </c>
      <c r="AC424" s="39">
        <v>0.47293964071427275</v>
      </c>
      <c r="AD424" s="39">
        <v>0.48409462095814287</v>
      </c>
      <c r="AE424" s="39">
        <v>0.48935426948748983</v>
      </c>
      <c r="AF424" s="40">
        <v>0.49111209140047879</v>
      </c>
    </row>
    <row r="425" spans="1:32">
      <c r="A425" s="15">
        <v>423</v>
      </c>
      <c r="B425" s="16">
        <v>1</v>
      </c>
      <c r="C425" s="20">
        <v>0.08</v>
      </c>
      <c r="D425" s="20">
        <v>0.94460494880845913</v>
      </c>
      <c r="E425" s="20">
        <v>0.45</v>
      </c>
      <c r="F425" s="8" t="s">
        <v>436</v>
      </c>
      <c r="G425" s="24">
        <v>1.1592422881197526</v>
      </c>
      <c r="H425" s="24">
        <v>1.1659540050631445</v>
      </c>
      <c r="I425" s="25">
        <v>1.1863449492721079</v>
      </c>
      <c r="L425" s="15">
        <v>423</v>
      </c>
      <c r="M425" s="16">
        <v>0</v>
      </c>
      <c r="N425" s="16">
        <v>1</v>
      </c>
      <c r="O425" s="16">
        <v>9</v>
      </c>
      <c r="P425" s="16">
        <v>156</v>
      </c>
      <c r="Q425" s="29">
        <v>68</v>
      </c>
      <c r="R425" s="20">
        <v>0.64780000000000004</v>
      </c>
      <c r="S425" s="32">
        <v>44.050400000000003</v>
      </c>
      <c r="T425" s="35">
        <v>5.04</v>
      </c>
      <c r="U425" s="35">
        <v>3.94</v>
      </c>
      <c r="V425" s="35">
        <v>7.4117647058823524E-2</v>
      </c>
      <c r="W425" s="9" t="s">
        <v>156</v>
      </c>
      <c r="X425" s="15">
        <v>424</v>
      </c>
      <c r="Y425" s="39">
        <v>0.48956876796187587</v>
      </c>
      <c r="Z425" s="39">
        <v>0.49705352527388591</v>
      </c>
      <c r="AA425" s="39">
        <v>0.49609834929204083</v>
      </c>
      <c r="AB425" s="39">
        <v>0.49051624769953189</v>
      </c>
      <c r="AC425" s="39">
        <v>0.48355828314316696</v>
      </c>
      <c r="AD425" s="39">
        <v>0.489450589036804</v>
      </c>
      <c r="AE425" s="39">
        <v>0.48887169683539733</v>
      </c>
      <c r="AF425" s="40">
        <v>0.48529652386567307</v>
      </c>
    </row>
    <row r="426" spans="1:32">
      <c r="A426" s="15">
        <v>424</v>
      </c>
      <c r="B426" s="16">
        <v>1</v>
      </c>
      <c r="C426" s="20">
        <v>0.02</v>
      </c>
      <c r="D426" s="20">
        <v>0.99835916395484214</v>
      </c>
      <c r="E426" s="20">
        <v>1</v>
      </c>
      <c r="F426" s="8" t="s">
        <v>436</v>
      </c>
      <c r="G426" s="24">
        <v>1.0669277276222884</v>
      </c>
      <c r="H426" s="24">
        <v>1.0731049668243466</v>
      </c>
      <c r="I426" s="25">
        <v>1.0918721080785094</v>
      </c>
      <c r="L426" s="15">
        <v>424</v>
      </c>
      <c r="M426" s="16">
        <v>0</v>
      </c>
      <c r="N426" s="16">
        <v>1</v>
      </c>
      <c r="O426" s="16">
        <v>9</v>
      </c>
      <c r="P426" s="16">
        <v>157</v>
      </c>
      <c r="Q426" s="29">
        <v>62</v>
      </c>
      <c r="R426" s="20">
        <v>0.64780000000000004</v>
      </c>
      <c r="S426" s="32">
        <v>40.163600000000002</v>
      </c>
      <c r="T426" s="35">
        <v>3.35</v>
      </c>
      <c r="U426" s="35">
        <v>2.5299999999999998</v>
      </c>
      <c r="V426" s="35">
        <v>5.4032258064516128E-2</v>
      </c>
      <c r="W426" s="9" t="s">
        <v>155</v>
      </c>
      <c r="X426" s="15">
        <v>425</v>
      </c>
      <c r="Y426" s="39">
        <v>0.4939932472197382</v>
      </c>
      <c r="Z426" s="39">
        <v>0.47766074581611268</v>
      </c>
      <c r="AA426" s="39">
        <v>0.47404034187336808</v>
      </c>
      <c r="AB426" s="39">
        <v>0.48793397567171737</v>
      </c>
      <c r="AC426" s="39">
        <v>0.48477638163586317</v>
      </c>
      <c r="AD426" s="39">
        <v>0.47097559923850424</v>
      </c>
      <c r="AE426" s="39">
        <v>0.46647389295199232</v>
      </c>
      <c r="AF426" s="40">
        <v>0.48506370101739804</v>
      </c>
    </row>
    <row r="427" spans="1:32">
      <c r="A427" s="15">
        <v>425</v>
      </c>
      <c r="B427" s="16">
        <v>0</v>
      </c>
      <c r="C427" s="20">
        <v>0.14000000000000001</v>
      </c>
      <c r="D427" s="20">
        <v>0.90247245401741616</v>
      </c>
      <c r="E427" s="20">
        <v>0.08</v>
      </c>
      <c r="F427" s="8" t="s">
        <v>436</v>
      </c>
      <c r="G427" s="24">
        <v>1.0823517056494352</v>
      </c>
      <c r="H427" s="24">
        <v>1.0886182457471907</v>
      </c>
      <c r="I427" s="25">
        <v>1.1076566930765848</v>
      </c>
      <c r="L427" s="15">
        <v>425</v>
      </c>
      <c r="M427" s="16">
        <v>0</v>
      </c>
      <c r="N427" s="16">
        <v>1</v>
      </c>
      <c r="O427" s="16">
        <v>9</v>
      </c>
      <c r="P427" s="16">
        <v>158</v>
      </c>
      <c r="Q427" s="29">
        <v>70</v>
      </c>
      <c r="R427" s="20">
        <v>0.64780000000000004</v>
      </c>
      <c r="S427" s="32">
        <v>45.346000000000004</v>
      </c>
      <c r="T427" s="35">
        <v>3.63</v>
      </c>
      <c r="U427" s="35">
        <v>2.5299999999999998</v>
      </c>
      <c r="V427" s="35">
        <v>5.1857142857142859E-2</v>
      </c>
      <c r="W427" s="9" t="s">
        <v>155</v>
      </c>
      <c r="X427" s="15">
        <v>426</v>
      </c>
      <c r="Y427" s="39">
        <v>0.47301762250126689</v>
      </c>
      <c r="Z427" s="39">
        <v>0.48460564553162155</v>
      </c>
      <c r="AA427" s="39">
        <v>0.48411180879141102</v>
      </c>
      <c r="AB427" s="39">
        <v>0.4832439688913836</v>
      </c>
      <c r="AC427" s="39">
        <v>0.46585941433768108</v>
      </c>
      <c r="AD427" s="39">
        <v>0.48034401791724529</v>
      </c>
      <c r="AE427" s="39">
        <v>0.47781789293953758</v>
      </c>
      <c r="AF427" s="40">
        <v>0.478385540643536</v>
      </c>
    </row>
    <row r="428" spans="1:32">
      <c r="A428" s="15">
        <v>426</v>
      </c>
      <c r="B428" s="16">
        <v>1</v>
      </c>
      <c r="C428" s="20">
        <v>0.92</v>
      </c>
      <c r="D428" s="20">
        <v>0.20258497911151899</v>
      </c>
      <c r="E428" s="20">
        <v>0.08</v>
      </c>
      <c r="F428" s="8" t="s">
        <v>434</v>
      </c>
      <c r="G428" s="24">
        <v>1.2395497037844889</v>
      </c>
      <c r="H428" s="24">
        <v>1.2467263801655417</v>
      </c>
      <c r="I428" s="25">
        <v>1.2685299229737521</v>
      </c>
      <c r="L428" s="15">
        <v>426</v>
      </c>
      <c r="M428" s="16">
        <v>0</v>
      </c>
      <c r="N428" s="16">
        <v>1</v>
      </c>
      <c r="O428" s="16">
        <v>9</v>
      </c>
      <c r="P428" s="16">
        <v>159</v>
      </c>
      <c r="Q428" s="29">
        <v>64</v>
      </c>
      <c r="R428" s="20">
        <v>0.64780000000000004</v>
      </c>
      <c r="S428" s="32">
        <v>41.459200000000003</v>
      </c>
      <c r="T428" s="35">
        <v>2.99</v>
      </c>
      <c r="U428" s="35">
        <v>2.06</v>
      </c>
      <c r="V428" s="35">
        <v>4.6718750000000003E-2</v>
      </c>
      <c r="W428" s="9" t="s">
        <v>154</v>
      </c>
      <c r="X428" s="15">
        <v>427</v>
      </c>
      <c r="Y428" s="39">
        <v>0.47906991558505924</v>
      </c>
      <c r="Z428" s="39">
        <v>0.47036543758346688</v>
      </c>
      <c r="AA428" s="39">
        <v>0.49201160331699256</v>
      </c>
      <c r="AB428" s="39">
        <v>0.47800485899894291</v>
      </c>
      <c r="AC428" s="39">
        <v>0.47427414626409037</v>
      </c>
      <c r="AD428" s="39">
        <v>0.46217317498419191</v>
      </c>
      <c r="AE428" s="39">
        <v>0.48252981492211389</v>
      </c>
      <c r="AF428" s="40">
        <v>0.47425933573313567</v>
      </c>
    </row>
    <row r="429" spans="1:32">
      <c r="A429" s="15">
        <v>427</v>
      </c>
      <c r="B429" s="16">
        <v>1</v>
      </c>
      <c r="C429" s="20">
        <v>0.17</v>
      </c>
      <c r="D429" s="20">
        <v>0.79718982225000623</v>
      </c>
      <c r="E429" s="20">
        <v>0.12</v>
      </c>
      <c r="F429" s="8" t="s">
        <v>436</v>
      </c>
      <c r="G429" s="24">
        <v>0.75439316986247551</v>
      </c>
      <c r="H429" s="24">
        <v>0.75876091375176846</v>
      </c>
      <c r="I429" s="25">
        <v>0.77203060654673994</v>
      </c>
      <c r="L429" s="15">
        <v>427</v>
      </c>
      <c r="M429" s="16">
        <v>0</v>
      </c>
      <c r="N429" s="16">
        <v>1</v>
      </c>
      <c r="O429" s="16">
        <v>9</v>
      </c>
      <c r="P429" s="16">
        <v>160</v>
      </c>
      <c r="Q429" s="29">
        <v>65</v>
      </c>
      <c r="R429" s="20">
        <v>0.64780000000000004</v>
      </c>
      <c r="S429" s="32">
        <v>42.106999999999999</v>
      </c>
      <c r="T429" s="35">
        <v>3.2800000000000002</v>
      </c>
      <c r="U429" s="35">
        <v>2.2599999999999998</v>
      </c>
      <c r="V429" s="35">
        <v>5.0461538461538467E-2</v>
      </c>
      <c r="W429" s="9" t="s">
        <v>155</v>
      </c>
      <c r="X429" s="15">
        <v>428</v>
      </c>
      <c r="Y429" s="39">
        <v>0.49437063254187641</v>
      </c>
      <c r="Z429" s="39">
        <v>0.47923179859188381</v>
      </c>
      <c r="AA429" s="39">
        <v>0.4829947600770817</v>
      </c>
      <c r="AB429" s="39">
        <v>0.49731062212784188</v>
      </c>
      <c r="AC429" s="39">
        <v>0.48698468145527168</v>
      </c>
      <c r="AD429" s="39">
        <v>0.47353926145840375</v>
      </c>
      <c r="AE429" s="39">
        <v>0.47849100109444376</v>
      </c>
      <c r="AF429" s="40">
        <v>0.49224206412361571</v>
      </c>
    </row>
    <row r="430" spans="1:32">
      <c r="A430" s="15">
        <v>428</v>
      </c>
      <c r="B430" s="16">
        <v>0</v>
      </c>
      <c r="C430" s="20">
        <v>0.02</v>
      </c>
      <c r="D430" s="20">
        <v>0.99756714174924133</v>
      </c>
      <c r="E430" s="20">
        <v>1</v>
      </c>
      <c r="F430" s="8" t="s">
        <v>436</v>
      </c>
      <c r="G430" s="24">
        <v>1.0100432485258917</v>
      </c>
      <c r="H430" s="24">
        <v>1.0158911411141489</v>
      </c>
      <c r="I430" s="25">
        <v>1.0336576906443056</v>
      </c>
      <c r="L430" s="15">
        <v>428</v>
      </c>
      <c r="M430" s="16">
        <v>0</v>
      </c>
      <c r="N430" s="16">
        <v>1</v>
      </c>
      <c r="O430" s="16">
        <v>9</v>
      </c>
      <c r="P430" s="16">
        <v>161</v>
      </c>
      <c r="Q430" s="29">
        <v>55</v>
      </c>
      <c r="R430" s="20">
        <v>0.64780000000000004</v>
      </c>
      <c r="S430" s="32">
        <v>35.629000000000005</v>
      </c>
      <c r="T430" s="35">
        <v>2.08</v>
      </c>
      <c r="U430" s="35">
        <v>1.31</v>
      </c>
      <c r="V430" s="35">
        <v>3.781818181818182E-2</v>
      </c>
      <c r="W430" s="9" t="s">
        <v>154</v>
      </c>
      <c r="X430" s="15">
        <v>429</v>
      </c>
      <c r="Y430" s="39">
        <v>0.49522604181990026</v>
      </c>
      <c r="Z430" s="39">
        <v>0.48353763563642999</v>
      </c>
      <c r="AA430" s="39">
        <v>0.48451620917659699</v>
      </c>
      <c r="AB430" s="39">
        <v>0.48062644784986752</v>
      </c>
      <c r="AC430" s="39">
        <v>0.49037818289264923</v>
      </c>
      <c r="AD430" s="39">
        <v>0.4789781081267166</v>
      </c>
      <c r="AE430" s="39">
        <v>0.47779666962606876</v>
      </c>
      <c r="AF430" s="40">
        <v>0.47095754806545465</v>
      </c>
    </row>
    <row r="431" spans="1:32">
      <c r="A431" s="15">
        <v>429</v>
      </c>
      <c r="B431" s="16">
        <v>1</v>
      </c>
      <c r="C431" s="20">
        <v>0.91</v>
      </c>
      <c r="D431" s="20">
        <v>0.2213815995251022</v>
      </c>
      <c r="E431" s="20">
        <v>0.09</v>
      </c>
      <c r="F431" s="8" t="s">
        <v>434</v>
      </c>
      <c r="G431" s="24">
        <v>0.33780027991724548</v>
      </c>
      <c r="H431" s="24">
        <v>0.33975605731204744</v>
      </c>
      <c r="I431" s="25">
        <v>0.34569792704209062</v>
      </c>
      <c r="L431" s="15">
        <v>429</v>
      </c>
      <c r="M431" s="16">
        <v>0</v>
      </c>
      <c r="N431" s="16">
        <v>1</v>
      </c>
      <c r="O431" s="16">
        <v>9</v>
      </c>
      <c r="P431" s="16">
        <v>162</v>
      </c>
      <c r="Q431" s="29">
        <v>61</v>
      </c>
      <c r="R431" s="20">
        <v>0.64780000000000004</v>
      </c>
      <c r="S431" s="32">
        <v>39.515800000000006</v>
      </c>
      <c r="T431" s="35">
        <v>1.93</v>
      </c>
      <c r="U431" s="35">
        <v>1.07</v>
      </c>
      <c r="V431" s="35">
        <v>3.1639344262295081E-2</v>
      </c>
      <c r="W431" s="9" t="s">
        <v>153</v>
      </c>
      <c r="X431" s="15">
        <v>430</v>
      </c>
      <c r="Y431" s="39">
        <v>0.4749258251241969</v>
      </c>
      <c r="Z431" s="39">
        <v>0.46528738887922205</v>
      </c>
      <c r="AA431" s="39">
        <v>0.494184295654164</v>
      </c>
      <c r="AB431" s="39">
        <v>0.48381509921665877</v>
      </c>
      <c r="AC431" s="39">
        <v>0.46973874873317534</v>
      </c>
      <c r="AD431" s="39">
        <v>0.45912227442114623</v>
      </c>
      <c r="AE431" s="39">
        <v>0.48754237830580549</v>
      </c>
      <c r="AF431" s="40">
        <v>0.47840785973539657</v>
      </c>
    </row>
    <row r="432" spans="1:32">
      <c r="A432" s="15">
        <v>430</v>
      </c>
      <c r="B432" s="16">
        <v>0</v>
      </c>
      <c r="C432" s="20">
        <v>0.94</v>
      </c>
      <c r="D432" s="20">
        <v>0.17188516685452584</v>
      </c>
      <c r="E432" s="20">
        <v>0.06</v>
      </c>
      <c r="F432" s="8" t="s">
        <v>434</v>
      </c>
      <c r="G432" s="24">
        <v>1.1019321896290659</v>
      </c>
      <c r="H432" s="24">
        <v>1.1083120957310062</v>
      </c>
      <c r="I432" s="25">
        <v>1.127694961617681</v>
      </c>
      <c r="L432" s="15">
        <v>430</v>
      </c>
      <c r="M432" s="16">
        <v>0</v>
      </c>
      <c r="N432" s="16">
        <v>1</v>
      </c>
      <c r="O432" s="16">
        <v>9</v>
      </c>
      <c r="P432" s="16">
        <v>163</v>
      </c>
      <c r="Q432" s="29">
        <v>61</v>
      </c>
      <c r="R432" s="20">
        <v>0.64780000000000004</v>
      </c>
      <c r="S432" s="32">
        <v>39.515800000000006</v>
      </c>
      <c r="T432" s="35">
        <v>1.32</v>
      </c>
      <c r="U432" s="35">
        <v>0.56000000000000005</v>
      </c>
      <c r="V432" s="35">
        <v>2.1639344262295083E-2</v>
      </c>
      <c r="W432" s="9" t="s">
        <v>153</v>
      </c>
      <c r="X432" s="15">
        <v>431</v>
      </c>
      <c r="Y432" s="39">
        <v>0.48799760402624515</v>
      </c>
      <c r="Z432" s="39">
        <v>0.46789176359542611</v>
      </c>
      <c r="AA432" s="39">
        <v>0.49060703605474032</v>
      </c>
      <c r="AB432" s="39">
        <v>0.4875655056351329</v>
      </c>
      <c r="AC432" s="39">
        <v>0.48261848243005306</v>
      </c>
      <c r="AD432" s="39">
        <v>0.46393234362354124</v>
      </c>
      <c r="AE432" s="39">
        <v>0.48591757189771723</v>
      </c>
      <c r="AF432" s="40">
        <v>0.48194327253798858</v>
      </c>
    </row>
    <row r="433" spans="1:32">
      <c r="A433" s="15">
        <v>431</v>
      </c>
      <c r="B433" s="16">
        <v>0</v>
      </c>
      <c r="C433" s="20">
        <v>0.92</v>
      </c>
      <c r="D433" s="20">
        <v>0.20258497911151899</v>
      </c>
      <c r="E433" s="20">
        <v>0.08</v>
      </c>
      <c r="F433" s="8" t="s">
        <v>434</v>
      </c>
      <c r="G433" s="24">
        <v>0.94423229978416934</v>
      </c>
      <c r="H433" s="24">
        <v>0.94969916377792363</v>
      </c>
      <c r="I433" s="25">
        <v>0.96630810596586714</v>
      </c>
      <c r="L433" s="15">
        <v>431</v>
      </c>
      <c r="M433" s="16">
        <v>0</v>
      </c>
      <c r="N433" s="16">
        <v>1</v>
      </c>
      <c r="O433" s="16">
        <v>9</v>
      </c>
      <c r="P433" s="16">
        <v>164</v>
      </c>
      <c r="Q433" s="29">
        <v>69</v>
      </c>
      <c r="R433" s="20">
        <v>0.64780000000000004</v>
      </c>
      <c r="S433" s="32">
        <v>44.6982</v>
      </c>
      <c r="T433" s="35">
        <v>2.81</v>
      </c>
      <c r="U433" s="35">
        <v>1.68</v>
      </c>
      <c r="V433" s="35">
        <v>4.0724637681159422E-2</v>
      </c>
      <c r="W433" s="9" t="s">
        <v>154</v>
      </c>
      <c r="X433" s="15">
        <v>432</v>
      </c>
      <c r="Y433" s="39">
        <v>0.48923600648881937</v>
      </c>
      <c r="Z433" s="39">
        <v>0.49206460494231252</v>
      </c>
      <c r="AA433" s="39">
        <v>0.47628097357210231</v>
      </c>
      <c r="AB433" s="39">
        <v>0.48054464097145422</v>
      </c>
      <c r="AC433" s="39">
        <v>0.48519510285958883</v>
      </c>
      <c r="AD433" s="39">
        <v>0.48544366225585511</v>
      </c>
      <c r="AE433" s="39">
        <v>0.46922918064840036</v>
      </c>
      <c r="AF433" s="40">
        <v>0.47638480731758748</v>
      </c>
    </row>
    <row r="434" spans="1:32">
      <c r="A434" s="15">
        <v>432</v>
      </c>
      <c r="B434" s="16">
        <v>1</v>
      </c>
      <c r="C434" s="20">
        <v>0.49</v>
      </c>
      <c r="D434" s="20">
        <v>0.47056141818823649</v>
      </c>
      <c r="E434" s="20">
        <v>0.09</v>
      </c>
      <c r="F434" s="8" t="s">
        <v>436</v>
      </c>
      <c r="G434" s="24">
        <v>0.66695498965213373</v>
      </c>
      <c r="H434" s="24">
        <v>0.67081648879722489</v>
      </c>
      <c r="I434" s="25">
        <v>0.68254815362972932</v>
      </c>
      <c r="L434" s="15">
        <v>432</v>
      </c>
      <c r="M434" s="16">
        <v>0</v>
      </c>
      <c r="N434" s="16">
        <v>1</v>
      </c>
      <c r="O434" s="16">
        <v>9</v>
      </c>
      <c r="P434" s="16">
        <v>165</v>
      </c>
      <c r="Q434" s="29">
        <v>46</v>
      </c>
      <c r="R434" s="20">
        <v>0.64780000000000004</v>
      </c>
      <c r="S434" s="32">
        <v>29.798800000000004</v>
      </c>
      <c r="T434" s="35">
        <v>1.07</v>
      </c>
      <c r="U434" s="35">
        <v>0.56000000000000005</v>
      </c>
      <c r="V434" s="35">
        <v>2.3260869565217394E-2</v>
      </c>
      <c r="W434" s="9" t="s">
        <v>153</v>
      </c>
      <c r="X434" s="15">
        <v>433</v>
      </c>
      <c r="Y434" s="39">
        <v>0.48117858259956375</v>
      </c>
      <c r="Z434" s="39">
        <v>0.47701356767443531</v>
      </c>
      <c r="AA434" s="39">
        <v>0.492531029495825</v>
      </c>
      <c r="AB434" s="39">
        <v>0.49069925917151203</v>
      </c>
      <c r="AC434" s="39">
        <v>0.47563278196410258</v>
      </c>
      <c r="AD434" s="39">
        <v>0.47060627160346774</v>
      </c>
      <c r="AE434" s="39">
        <v>0.48229619823044412</v>
      </c>
      <c r="AF434" s="40">
        <v>0.48488720855838535</v>
      </c>
    </row>
    <row r="435" spans="1:32">
      <c r="A435" s="15">
        <v>433</v>
      </c>
      <c r="B435" s="16">
        <v>1</v>
      </c>
      <c r="C435" s="20">
        <v>0.47</v>
      </c>
      <c r="D435" s="20">
        <v>0.55832753918118927</v>
      </c>
      <c r="E435" s="20">
        <v>0.24</v>
      </c>
      <c r="F435" s="8" t="s">
        <v>436</v>
      </c>
      <c r="G435" s="24">
        <v>1.1753426977939148</v>
      </c>
      <c r="H435" s="24">
        <v>1.1821476319995763</v>
      </c>
      <c r="I435" s="25">
        <v>1.202821780641963</v>
      </c>
      <c r="L435" s="15">
        <v>433</v>
      </c>
      <c r="M435" s="16">
        <v>0</v>
      </c>
      <c r="N435" s="16">
        <v>1</v>
      </c>
      <c r="O435" s="16">
        <v>9</v>
      </c>
      <c r="P435" s="16">
        <v>166</v>
      </c>
      <c r="Q435" s="29">
        <v>68</v>
      </c>
      <c r="R435" s="20">
        <v>0.64780000000000004</v>
      </c>
      <c r="S435" s="32">
        <v>44.050400000000003</v>
      </c>
      <c r="T435" s="35">
        <v>3.2800000000000002</v>
      </c>
      <c r="U435" s="35">
        <v>2.4500000000000002</v>
      </c>
      <c r="V435" s="35">
        <v>4.8235294117647064E-2</v>
      </c>
      <c r="W435" s="9" t="s">
        <v>155</v>
      </c>
      <c r="X435" s="15">
        <v>434</v>
      </c>
      <c r="Y435" s="39">
        <v>0.49954227097433723</v>
      </c>
      <c r="Z435" s="39">
        <v>0.49601176734019131</v>
      </c>
      <c r="AA435" s="39">
        <v>0.48199465860641727</v>
      </c>
      <c r="AB435" s="39">
        <v>0.48013252300041831</v>
      </c>
      <c r="AC435" s="39">
        <v>0.49235982020151114</v>
      </c>
      <c r="AD435" s="39">
        <v>0.48964267380039755</v>
      </c>
      <c r="AE435" s="39">
        <v>0.47469315251299266</v>
      </c>
      <c r="AF435" s="40">
        <v>0.47559276231647951</v>
      </c>
    </row>
    <row r="436" spans="1:32">
      <c r="A436" s="15">
        <v>434</v>
      </c>
      <c r="B436" s="16">
        <v>0</v>
      </c>
      <c r="C436" s="20">
        <v>0.56999999999999995</v>
      </c>
      <c r="D436" s="20">
        <v>0.45943140113339631</v>
      </c>
      <c r="E436" s="20">
        <v>0.1</v>
      </c>
      <c r="F436" s="8" t="s">
        <v>438</v>
      </c>
      <c r="G436" s="24">
        <v>0.88397342204654539</v>
      </c>
      <c r="H436" s="24">
        <v>0.88909140251970509</v>
      </c>
      <c r="I436" s="25">
        <v>0.90464039768308335</v>
      </c>
      <c r="L436" s="15">
        <v>434</v>
      </c>
      <c r="M436" s="16">
        <v>0</v>
      </c>
      <c r="N436" s="16">
        <v>1</v>
      </c>
      <c r="O436" s="16">
        <v>9</v>
      </c>
      <c r="P436" s="16">
        <v>167</v>
      </c>
      <c r="Q436" s="29">
        <v>71</v>
      </c>
      <c r="R436" s="20">
        <v>0.64780000000000004</v>
      </c>
      <c r="S436" s="32">
        <v>45.9938</v>
      </c>
      <c r="T436" s="35">
        <v>3.15</v>
      </c>
      <c r="U436" s="35">
        <v>2.09</v>
      </c>
      <c r="V436" s="35">
        <v>4.4366197183098588E-2</v>
      </c>
      <c r="W436" s="9" t="s">
        <v>155</v>
      </c>
      <c r="X436" s="15">
        <v>435</v>
      </c>
      <c r="Y436" s="39">
        <v>0.48166364557588509</v>
      </c>
      <c r="Z436" s="39">
        <v>0.47568166486168834</v>
      </c>
      <c r="AA436" s="39">
        <v>0.48218691974060696</v>
      </c>
      <c r="AB436" s="39">
        <v>0.49441077891999652</v>
      </c>
      <c r="AC436" s="39">
        <v>0.47520112741364812</v>
      </c>
      <c r="AD436" s="39">
        <v>0.47142975844365609</v>
      </c>
      <c r="AE436" s="39">
        <v>0.47833193989594397</v>
      </c>
      <c r="AF436" s="40">
        <v>0.49127887721246338</v>
      </c>
    </row>
    <row r="437" spans="1:32">
      <c r="A437" s="15">
        <v>435</v>
      </c>
      <c r="B437" s="16">
        <v>0</v>
      </c>
      <c r="C437" s="20">
        <v>0.24</v>
      </c>
      <c r="D437" s="20">
        <v>0.83903882105054517</v>
      </c>
      <c r="E437" s="20">
        <v>0.1</v>
      </c>
      <c r="F437" s="8" t="s">
        <v>436</v>
      </c>
      <c r="G437" s="24">
        <v>0.94173577763040239</v>
      </c>
      <c r="H437" s="24">
        <v>0.94718818739814148</v>
      </c>
      <c r="I437" s="25">
        <v>0.96375321603628117</v>
      </c>
      <c r="L437" s="15">
        <v>435</v>
      </c>
      <c r="M437" s="16">
        <v>0</v>
      </c>
      <c r="N437" s="16">
        <v>1</v>
      </c>
      <c r="O437" s="16">
        <v>9</v>
      </c>
      <c r="P437" s="16">
        <v>168</v>
      </c>
      <c r="Q437" s="29">
        <v>59</v>
      </c>
      <c r="R437" s="20">
        <v>0.64780000000000004</v>
      </c>
      <c r="S437" s="32">
        <v>38.220200000000006</v>
      </c>
      <c r="T437" s="35">
        <v>1.34</v>
      </c>
      <c r="U437" s="35">
        <v>0.49</v>
      </c>
      <c r="V437" s="35">
        <v>2.2711864406779664E-2</v>
      </c>
      <c r="W437" s="9" t="s">
        <v>153</v>
      </c>
      <c r="X437" s="15">
        <v>436</v>
      </c>
      <c r="Y437" s="39">
        <v>0.49217230251094118</v>
      </c>
      <c r="Z437" s="39">
        <v>0.48273398469487128</v>
      </c>
      <c r="AA437" s="39">
        <v>0.49217740502337542</v>
      </c>
      <c r="AB437" s="39">
        <v>0.49331930735679352</v>
      </c>
      <c r="AC437" s="39">
        <v>0.48708016151594524</v>
      </c>
      <c r="AD437" s="39">
        <v>0.47996089188287105</v>
      </c>
      <c r="AE437" s="39">
        <v>0.48251748789578958</v>
      </c>
      <c r="AF437" s="40">
        <v>0.49029603842537334</v>
      </c>
    </row>
    <row r="438" spans="1:32">
      <c r="A438" s="15">
        <v>436</v>
      </c>
      <c r="B438" s="16">
        <v>1</v>
      </c>
      <c r="C438" s="20">
        <v>0.02</v>
      </c>
      <c r="D438" s="20">
        <v>0.99835916395484214</v>
      </c>
      <c r="E438" s="20">
        <v>1</v>
      </c>
      <c r="F438" s="8" t="s">
        <v>436</v>
      </c>
      <c r="G438" s="24">
        <v>1.0441762757980126</v>
      </c>
      <c r="H438" s="24">
        <v>1.0502217899014779</v>
      </c>
      <c r="I438" s="25">
        <v>1.0685887356231139</v>
      </c>
      <c r="L438" s="15">
        <v>436</v>
      </c>
      <c r="M438" s="16">
        <v>0</v>
      </c>
      <c r="N438" s="16">
        <v>1</v>
      </c>
      <c r="O438" s="16">
        <v>9</v>
      </c>
      <c r="P438" s="16">
        <v>169</v>
      </c>
      <c r="Q438" s="29">
        <v>59</v>
      </c>
      <c r="R438" s="20">
        <v>0.64780000000000004</v>
      </c>
      <c r="S438" s="32">
        <v>38.220200000000006</v>
      </c>
      <c r="T438" s="35">
        <v>2.69</v>
      </c>
      <c r="U438" s="35">
        <v>2</v>
      </c>
      <c r="V438" s="35">
        <v>4.5593220338983047E-2</v>
      </c>
      <c r="W438" s="9" t="s">
        <v>154</v>
      </c>
      <c r="X438" s="15">
        <v>437</v>
      </c>
      <c r="Y438" s="39">
        <v>0.48233506983925034</v>
      </c>
      <c r="Z438" s="39">
        <v>0.48256128813286553</v>
      </c>
      <c r="AA438" s="39">
        <v>0.49463732178018821</v>
      </c>
      <c r="AB438" s="39">
        <v>0.49466536729042349</v>
      </c>
      <c r="AC438" s="39">
        <v>0.47459856703838327</v>
      </c>
      <c r="AD438" s="39">
        <v>0.4742875350868791</v>
      </c>
      <c r="AE438" s="39">
        <v>0.49111633196103527</v>
      </c>
      <c r="AF438" s="40">
        <v>0.48876097183940714</v>
      </c>
    </row>
    <row r="439" spans="1:32">
      <c r="A439" s="15">
        <v>437</v>
      </c>
      <c r="B439" s="16">
        <v>0</v>
      </c>
      <c r="C439" s="20">
        <v>0.16</v>
      </c>
      <c r="D439" s="20">
        <v>0.90675480207329451</v>
      </c>
      <c r="E439" s="20">
        <v>0.09</v>
      </c>
      <c r="F439" s="8" t="s">
        <v>436</v>
      </c>
      <c r="G439" s="24">
        <v>0.88885230542908444</v>
      </c>
      <c r="H439" s="24">
        <v>0.89399853339165947</v>
      </c>
      <c r="I439" s="25">
        <v>0.90963334757654424</v>
      </c>
      <c r="L439" s="15">
        <v>437</v>
      </c>
      <c r="M439" s="16">
        <v>0</v>
      </c>
      <c r="N439" s="16">
        <v>1</v>
      </c>
      <c r="O439" s="16">
        <v>9</v>
      </c>
      <c r="P439" s="16">
        <v>170</v>
      </c>
      <c r="Q439" s="29">
        <v>62</v>
      </c>
      <c r="R439" s="20">
        <v>0.64780000000000004</v>
      </c>
      <c r="S439" s="32">
        <v>40.163600000000002</v>
      </c>
      <c r="T439" s="35">
        <v>6.3500000000000005</v>
      </c>
      <c r="U439" s="35">
        <v>5.48</v>
      </c>
      <c r="V439" s="35">
        <v>0.10241935483870969</v>
      </c>
      <c r="W439" s="9" t="s">
        <v>156</v>
      </c>
      <c r="X439" s="15">
        <v>438</v>
      </c>
      <c r="Y439" s="39">
        <v>0.46277458821812417</v>
      </c>
      <c r="Z439" s="39">
        <v>0.48730500581214908</v>
      </c>
      <c r="AA439" s="39">
        <v>0.48669701607725235</v>
      </c>
      <c r="AB439" s="39">
        <v>0.4943996410432771</v>
      </c>
      <c r="AC439" s="39">
        <v>0.45689431927592644</v>
      </c>
      <c r="AD439" s="39">
        <v>0.47894493279137601</v>
      </c>
      <c r="AE439" s="39">
        <v>0.48037032326934959</v>
      </c>
      <c r="AF439" s="40">
        <v>0.49017387013188507</v>
      </c>
    </row>
    <row r="440" spans="1:32">
      <c r="A440" s="15">
        <v>438</v>
      </c>
      <c r="B440" s="16">
        <v>0</v>
      </c>
      <c r="C440" s="20">
        <v>0.96</v>
      </c>
      <c r="D440" s="20">
        <v>0.13880369068795359</v>
      </c>
      <c r="E440" s="20">
        <v>0.04</v>
      </c>
      <c r="F440" s="8" t="s">
        <v>434</v>
      </c>
      <c r="G440" s="24">
        <v>1.0381463636758177</v>
      </c>
      <c r="H440" s="24">
        <v>1.0441569661272734</v>
      </c>
      <c r="I440" s="25">
        <v>1.0624178463586069</v>
      </c>
      <c r="L440" s="15">
        <v>438</v>
      </c>
      <c r="M440" s="16">
        <v>0</v>
      </c>
      <c r="N440" s="16">
        <v>1</v>
      </c>
      <c r="O440" s="16">
        <v>9</v>
      </c>
      <c r="P440" s="16">
        <v>171</v>
      </c>
      <c r="Q440" s="29">
        <v>51</v>
      </c>
      <c r="R440" s="20">
        <v>0.64780000000000004</v>
      </c>
      <c r="S440" s="32">
        <v>33.037800000000004</v>
      </c>
      <c r="T440" s="35">
        <v>2.86</v>
      </c>
      <c r="U440" s="35">
        <v>2.06</v>
      </c>
      <c r="V440" s="35">
        <v>5.6078431372549017E-2</v>
      </c>
      <c r="W440" s="9" t="s">
        <v>154</v>
      </c>
      <c r="X440" s="15">
        <v>439</v>
      </c>
      <c r="Y440" s="39">
        <v>0.4901048965848071</v>
      </c>
      <c r="Z440" s="39">
        <v>0.49589624341087718</v>
      </c>
      <c r="AA440" s="39">
        <v>0.48616194467224572</v>
      </c>
      <c r="AB440" s="39">
        <v>0.47329673272541695</v>
      </c>
      <c r="AC440" s="39">
        <v>0.48539582988613472</v>
      </c>
      <c r="AD440" s="39">
        <v>0.48679675836879671</v>
      </c>
      <c r="AE440" s="39">
        <v>0.47774419962845799</v>
      </c>
      <c r="AF440" s="40">
        <v>0.46824375020326087</v>
      </c>
    </row>
    <row r="441" spans="1:32">
      <c r="A441" s="15">
        <v>439</v>
      </c>
      <c r="B441" s="16">
        <v>0</v>
      </c>
      <c r="C441" s="20">
        <v>0.9</v>
      </c>
      <c r="D441" s="20">
        <v>0.231595386583653</v>
      </c>
      <c r="E441" s="20">
        <v>0.1</v>
      </c>
      <c r="F441" s="8" t="s">
        <v>434</v>
      </c>
      <c r="G441" s="24">
        <v>0.45659886308009168</v>
      </c>
      <c r="H441" s="24">
        <v>0.45924245394722502</v>
      </c>
      <c r="I441" s="25">
        <v>0.4672739776747139</v>
      </c>
      <c r="L441" s="15">
        <v>439</v>
      </c>
      <c r="M441" s="16">
        <v>0</v>
      </c>
      <c r="N441" s="16">
        <v>1</v>
      </c>
      <c r="O441" s="16">
        <v>9</v>
      </c>
      <c r="P441" s="16">
        <v>172</v>
      </c>
      <c r="Q441" s="29">
        <v>63</v>
      </c>
      <c r="R441" s="20">
        <v>0.64780000000000004</v>
      </c>
      <c r="S441" s="32">
        <v>40.811400000000006</v>
      </c>
      <c r="T441" s="35">
        <v>2.2399999999999998</v>
      </c>
      <c r="U441" s="35">
        <v>1.26</v>
      </c>
      <c r="V441" s="35">
        <v>3.5555555555555549E-2</v>
      </c>
      <c r="W441" s="9" t="s">
        <v>154</v>
      </c>
      <c r="X441" s="15">
        <v>440</v>
      </c>
      <c r="Y441" s="39">
        <v>0.48082348925375434</v>
      </c>
      <c r="Z441" s="39">
        <v>0.50121772236872064</v>
      </c>
      <c r="AA441" s="39">
        <v>0.48935025209171312</v>
      </c>
      <c r="AB441" s="39">
        <v>0.4870507496626782</v>
      </c>
      <c r="AC441" s="39">
        <v>0.47343940000667062</v>
      </c>
      <c r="AD441" s="39">
        <v>0.4931461146758363</v>
      </c>
      <c r="AE441" s="39">
        <v>0.47992122963832068</v>
      </c>
      <c r="AF441" s="40">
        <v>0.48091268774421098</v>
      </c>
    </row>
    <row r="442" spans="1:32">
      <c r="A442" s="15">
        <v>440</v>
      </c>
      <c r="B442" s="16">
        <v>1</v>
      </c>
      <c r="C442" s="20">
        <v>0.11</v>
      </c>
      <c r="D442" s="20">
        <v>0.92281452366587791</v>
      </c>
      <c r="E442" s="20">
        <v>0.09</v>
      </c>
      <c r="F442" s="8" t="s">
        <v>436</v>
      </c>
      <c r="G442" s="24">
        <v>1.4027711729912622</v>
      </c>
      <c r="H442" s="24">
        <v>1.4108928600155839</v>
      </c>
      <c r="I442" s="25">
        <v>1.4355674504955442</v>
      </c>
      <c r="L442" s="15">
        <v>440</v>
      </c>
      <c r="M442" s="16">
        <v>0</v>
      </c>
      <c r="N442" s="16">
        <v>1</v>
      </c>
      <c r="O442" s="16">
        <v>9</v>
      </c>
      <c r="P442" s="16">
        <v>173</v>
      </c>
      <c r="Q442" s="29">
        <v>64</v>
      </c>
      <c r="R442" s="20">
        <v>0.64780000000000004</v>
      </c>
      <c r="S442" s="32">
        <v>41.459200000000003</v>
      </c>
      <c r="T442" s="35">
        <v>2.9699999999999998</v>
      </c>
      <c r="U442" s="35">
        <v>2.15</v>
      </c>
      <c r="V442" s="35">
        <v>4.6406249999999996E-2</v>
      </c>
      <c r="W442" s="9" t="s">
        <v>154</v>
      </c>
      <c r="X442" s="15">
        <v>441</v>
      </c>
      <c r="Y442" s="39">
        <v>0.48514163673917143</v>
      </c>
      <c r="Z442" s="39">
        <v>0.47300630640565772</v>
      </c>
      <c r="AA442" s="39">
        <v>0.48144218676318801</v>
      </c>
      <c r="AB442" s="39">
        <v>0.49047562908657105</v>
      </c>
      <c r="AC442" s="39">
        <v>0.47823148135145171</v>
      </c>
      <c r="AD442" s="39">
        <v>0.46896344001415935</v>
      </c>
      <c r="AE442" s="39">
        <v>0.47429030184363224</v>
      </c>
      <c r="AF442" s="40">
        <v>0.48538831617436012</v>
      </c>
    </row>
    <row r="443" spans="1:32">
      <c r="A443" s="15">
        <v>441</v>
      </c>
      <c r="B443" s="16">
        <v>0</v>
      </c>
      <c r="C443" s="20">
        <v>0.02</v>
      </c>
      <c r="D443" s="20">
        <v>0.99756714174924133</v>
      </c>
      <c r="E443" s="20">
        <v>1</v>
      </c>
      <c r="F443" s="8" t="s">
        <v>436</v>
      </c>
      <c r="G443" s="24">
        <v>1.0709976717752474</v>
      </c>
      <c r="H443" s="24">
        <v>1.0771984749150691</v>
      </c>
      <c r="I443" s="25">
        <v>1.0960372060387589</v>
      </c>
      <c r="L443" s="15">
        <v>441</v>
      </c>
      <c r="M443" s="16">
        <v>0</v>
      </c>
      <c r="N443" s="16">
        <v>1</v>
      </c>
      <c r="O443" s="16">
        <v>9</v>
      </c>
      <c r="P443" s="16">
        <v>174</v>
      </c>
      <c r="Q443" s="29">
        <v>67</v>
      </c>
      <c r="R443" s="20">
        <v>0.64780000000000004</v>
      </c>
      <c r="S443" s="32">
        <v>43.4026</v>
      </c>
      <c r="T443" s="35">
        <v>3.94</v>
      </c>
      <c r="U443" s="35">
        <v>2.9</v>
      </c>
      <c r="V443" s="35">
        <v>5.8805970149253733E-2</v>
      </c>
      <c r="W443" s="9" t="s">
        <v>155</v>
      </c>
      <c r="X443" s="15">
        <v>442</v>
      </c>
      <c r="Y443" s="39">
        <v>0.49546078615327149</v>
      </c>
      <c r="Z443" s="39">
        <v>0.47847515413940161</v>
      </c>
      <c r="AA443" s="39">
        <v>0.48730605723750486</v>
      </c>
      <c r="AB443" s="39">
        <v>0.48281404189658106</v>
      </c>
      <c r="AC443" s="39">
        <v>0.48715057226680336</v>
      </c>
      <c r="AD443" s="39">
        <v>0.4731288610695058</v>
      </c>
      <c r="AE443" s="39">
        <v>0.47919877249471082</v>
      </c>
      <c r="AF443" s="40">
        <v>0.4814467751014056</v>
      </c>
    </row>
    <row r="444" spans="1:32">
      <c r="A444" s="15">
        <v>442</v>
      </c>
      <c r="B444" s="16">
        <v>1</v>
      </c>
      <c r="C444" s="20">
        <v>0.74</v>
      </c>
      <c r="D444" s="20">
        <v>0.47897318461186417</v>
      </c>
      <c r="E444" s="20">
        <v>0.03</v>
      </c>
      <c r="F444" s="8" t="s">
        <v>438</v>
      </c>
      <c r="G444" s="24">
        <v>0.65128955078685036</v>
      </c>
      <c r="H444" s="24">
        <v>0.65506035103962601</v>
      </c>
      <c r="I444" s="25">
        <v>0.66651646252734253</v>
      </c>
      <c r="L444" s="15">
        <v>442</v>
      </c>
      <c r="M444" s="16">
        <v>0</v>
      </c>
      <c r="N444" s="16">
        <v>1</v>
      </c>
      <c r="O444" s="16">
        <v>9</v>
      </c>
      <c r="P444" s="16">
        <v>175</v>
      </c>
      <c r="Q444" s="29">
        <v>65</v>
      </c>
      <c r="R444" s="20">
        <v>0.64780000000000004</v>
      </c>
      <c r="S444" s="32">
        <v>42.106999999999999</v>
      </c>
      <c r="T444" s="35">
        <v>4.6500000000000004</v>
      </c>
      <c r="U444" s="35">
        <v>3.86</v>
      </c>
      <c r="V444" s="35">
        <v>7.1538461538461551E-2</v>
      </c>
      <c r="W444" s="9" t="s">
        <v>155</v>
      </c>
      <c r="X444" s="15">
        <v>443</v>
      </c>
      <c r="Y444" s="39">
        <v>0.4804330603891378</v>
      </c>
      <c r="Z444" s="39">
        <v>0.50162388623905085</v>
      </c>
      <c r="AA444" s="39">
        <v>0.48725546508431083</v>
      </c>
      <c r="AB444" s="39">
        <v>0.49664626748221274</v>
      </c>
      <c r="AC444" s="39">
        <v>0.47503444361228192</v>
      </c>
      <c r="AD444" s="39">
        <v>0.49379629020366622</v>
      </c>
      <c r="AE444" s="39">
        <v>0.48281307642375787</v>
      </c>
      <c r="AF444" s="40">
        <v>0.48886693248551827</v>
      </c>
    </row>
    <row r="445" spans="1:32">
      <c r="A445" s="15">
        <v>443</v>
      </c>
      <c r="B445" s="16">
        <v>0</v>
      </c>
      <c r="C445" s="20">
        <v>0.9</v>
      </c>
      <c r="D445" s="20">
        <v>0.23159538658365303</v>
      </c>
      <c r="E445" s="20">
        <v>0.1</v>
      </c>
      <c r="F445" s="8" t="s">
        <v>434</v>
      </c>
      <c r="G445" s="24">
        <v>0.58139785037242198</v>
      </c>
      <c r="H445" s="24">
        <v>0.58476399552015068</v>
      </c>
      <c r="I445" s="25">
        <v>0.59499071969304473</v>
      </c>
      <c r="L445" s="15">
        <v>443</v>
      </c>
      <c r="M445" s="16">
        <v>0</v>
      </c>
      <c r="N445" s="16">
        <v>1</v>
      </c>
      <c r="O445" s="16">
        <v>9</v>
      </c>
      <c r="P445" s="16">
        <v>176</v>
      </c>
      <c r="Q445" s="29">
        <v>66</v>
      </c>
      <c r="R445" s="20">
        <v>0.64780000000000004</v>
      </c>
      <c r="S445" s="32">
        <v>42.754800000000003</v>
      </c>
      <c r="T445" s="35">
        <v>2.1999999999999997</v>
      </c>
      <c r="U445" s="35">
        <v>1.35</v>
      </c>
      <c r="V445" s="35">
        <v>3.3333333333333326E-2</v>
      </c>
      <c r="W445" s="9" t="s">
        <v>154</v>
      </c>
      <c r="X445" s="15">
        <v>444</v>
      </c>
      <c r="Y445" s="39">
        <v>0.48107358425410351</v>
      </c>
      <c r="Z445" s="39">
        <v>0.48162266212089022</v>
      </c>
      <c r="AA445" s="39">
        <v>0.48819021922809941</v>
      </c>
      <c r="AB445" s="39">
        <v>0.49129704096119486</v>
      </c>
      <c r="AC445" s="39">
        <v>0.47202075750223421</v>
      </c>
      <c r="AD445" s="39">
        <v>0.4733556318201726</v>
      </c>
      <c r="AE445" s="39">
        <v>0.47978816029340732</v>
      </c>
      <c r="AF445" s="40">
        <v>0.48534705914311133</v>
      </c>
    </row>
    <row r="446" spans="1:32">
      <c r="A446" s="15">
        <v>444</v>
      </c>
      <c r="B446" s="16">
        <v>0</v>
      </c>
      <c r="C446" s="20">
        <v>0.97</v>
      </c>
      <c r="D446" s="20">
        <v>0.12097036642660543</v>
      </c>
      <c r="E446" s="20">
        <v>0.03</v>
      </c>
      <c r="F446" s="8" t="s">
        <v>434</v>
      </c>
      <c r="G446" s="24">
        <v>0.53981344784726726</v>
      </c>
      <c r="H446" s="24">
        <v>0.54293882991908915</v>
      </c>
      <c r="I446" s="25">
        <v>0.55243408903024127</v>
      </c>
      <c r="L446" s="15">
        <v>444</v>
      </c>
      <c r="M446" s="16">
        <v>0</v>
      </c>
      <c r="N446" s="16">
        <v>1</v>
      </c>
      <c r="O446" s="16">
        <v>9</v>
      </c>
      <c r="P446" s="16">
        <v>177</v>
      </c>
      <c r="Q446" s="29">
        <v>69</v>
      </c>
      <c r="R446" s="20">
        <v>0.64780000000000004</v>
      </c>
      <c r="S446" s="32">
        <v>44.6982</v>
      </c>
      <c r="T446" s="35">
        <v>2.5099999999999998</v>
      </c>
      <c r="U446" s="35">
        <v>1.59</v>
      </c>
      <c r="V446" s="35">
        <v>3.6376811594202897E-2</v>
      </c>
      <c r="W446" s="9" t="s">
        <v>154</v>
      </c>
      <c r="X446" s="15">
        <v>445</v>
      </c>
      <c r="Y446" s="39">
        <v>0.48605209757650641</v>
      </c>
      <c r="Z446" s="39">
        <v>0.48085021820860591</v>
      </c>
      <c r="AA446" s="39">
        <v>0.49042822329431757</v>
      </c>
      <c r="AB446" s="39">
        <v>0.4829007846924307</v>
      </c>
      <c r="AC446" s="39">
        <v>0.47775730872724037</v>
      </c>
      <c r="AD446" s="39">
        <v>0.4765458322912105</v>
      </c>
      <c r="AE446" s="39">
        <v>0.48463545760523408</v>
      </c>
      <c r="AF446" s="40">
        <v>0.48030902935244835</v>
      </c>
    </row>
    <row r="447" spans="1:32">
      <c r="A447" s="15">
        <v>445</v>
      </c>
      <c r="B447" s="16">
        <v>1</v>
      </c>
      <c r="C447" s="20">
        <v>0.32</v>
      </c>
      <c r="D447" s="20">
        <v>0.67807538357266517</v>
      </c>
      <c r="E447" s="20">
        <v>7.0000000000000007E-2</v>
      </c>
      <c r="F447" s="8" t="s">
        <v>436</v>
      </c>
      <c r="G447" s="24">
        <v>0.6751360369833217</v>
      </c>
      <c r="H447" s="24">
        <v>0.67904490230419001</v>
      </c>
      <c r="I447" s="25">
        <v>0.69092047085847097</v>
      </c>
      <c r="L447" s="15">
        <v>445</v>
      </c>
      <c r="M447" s="16">
        <v>0</v>
      </c>
      <c r="N447" s="16">
        <v>1</v>
      </c>
      <c r="O447" s="16">
        <v>10</v>
      </c>
      <c r="P447" s="16">
        <v>178</v>
      </c>
      <c r="Q447" s="29">
        <v>46</v>
      </c>
      <c r="R447" s="20">
        <v>0.64780000000000004</v>
      </c>
      <c r="S447" s="32">
        <v>29.798800000000004</v>
      </c>
      <c r="T447" s="35">
        <v>1.57</v>
      </c>
      <c r="U447" s="35">
        <v>0.94</v>
      </c>
      <c r="V447" s="35">
        <v>3.4130434782608694E-2</v>
      </c>
      <c r="W447" s="9" t="s">
        <v>153</v>
      </c>
      <c r="X447" s="15">
        <v>446</v>
      </c>
      <c r="Y447" s="39">
        <v>0.48696586080224619</v>
      </c>
      <c r="Z447" s="39">
        <v>0.49380537720232476</v>
      </c>
      <c r="AA447" s="39">
        <v>0.49660456977672457</v>
      </c>
      <c r="AB447" s="39">
        <v>0.49735179384208417</v>
      </c>
      <c r="AC447" s="39">
        <v>0.48097094436077265</v>
      </c>
      <c r="AD447" s="39">
        <v>0.48810132643853599</v>
      </c>
      <c r="AE447" s="39">
        <v>0.48632365230562691</v>
      </c>
      <c r="AF447" s="40">
        <v>0.49117733512415312</v>
      </c>
    </row>
    <row r="448" spans="1:32">
      <c r="A448" s="15">
        <v>446</v>
      </c>
      <c r="B448" s="16">
        <v>1</v>
      </c>
      <c r="C448" s="20">
        <v>0.02</v>
      </c>
      <c r="D448" s="20">
        <v>0.99756714174924133</v>
      </c>
      <c r="E448" s="20">
        <v>1</v>
      </c>
      <c r="F448" s="8" t="s">
        <v>436</v>
      </c>
      <c r="G448" s="24">
        <v>1.0157916770457986</v>
      </c>
      <c r="H448" s="24">
        <v>1.0216728515678588</v>
      </c>
      <c r="I448" s="25">
        <v>1.0395405153227466</v>
      </c>
      <c r="L448" s="15">
        <v>446</v>
      </c>
      <c r="M448" s="16">
        <v>0</v>
      </c>
      <c r="N448" s="16">
        <v>1</v>
      </c>
      <c r="O448" s="16">
        <v>10</v>
      </c>
      <c r="P448" s="16">
        <v>179</v>
      </c>
      <c r="Q448" s="29">
        <v>34</v>
      </c>
      <c r="R448" s="20">
        <v>0.64780000000000004</v>
      </c>
      <c r="S448" s="32">
        <v>22.025200000000002</v>
      </c>
      <c r="T448" s="35">
        <v>0.86</v>
      </c>
      <c r="U448" s="35">
        <v>0.32</v>
      </c>
      <c r="V448" s="35">
        <v>2.5294117647058825E-2</v>
      </c>
      <c r="W448" s="9" t="s">
        <v>152</v>
      </c>
      <c r="X448" s="15">
        <v>447</v>
      </c>
      <c r="Y448" s="39">
        <v>0.48087592348347113</v>
      </c>
      <c r="Z448" s="39">
        <v>0.47209202159530206</v>
      </c>
      <c r="AA448" s="39">
        <v>0.47695399507086095</v>
      </c>
      <c r="AB448" s="39">
        <v>0.4833027708057071</v>
      </c>
      <c r="AC448" s="39">
        <v>0.47428606120425182</v>
      </c>
      <c r="AD448" s="39">
        <v>0.46282185157645772</v>
      </c>
      <c r="AE448" s="39">
        <v>0.46923685443860474</v>
      </c>
      <c r="AF448" s="40">
        <v>0.47668604135182618</v>
      </c>
    </row>
    <row r="449" spans="1:32">
      <c r="A449" s="15">
        <v>447</v>
      </c>
      <c r="B449" s="16">
        <v>0</v>
      </c>
      <c r="C449" s="20">
        <v>0.02</v>
      </c>
      <c r="D449" s="20">
        <v>0.99531127541355291</v>
      </c>
      <c r="E449" s="20">
        <v>1</v>
      </c>
      <c r="F449" s="8" t="s">
        <v>436</v>
      </c>
      <c r="G449" s="24">
        <v>1.038887114195626</v>
      </c>
      <c r="H449" s="24">
        <v>1.0449020054035094</v>
      </c>
      <c r="I449" s="25">
        <v>1.0631759153549256</v>
      </c>
      <c r="L449" s="15">
        <v>447</v>
      </c>
      <c r="M449" s="16">
        <v>0</v>
      </c>
      <c r="N449" s="16">
        <v>1</v>
      </c>
      <c r="O449" s="16">
        <v>10</v>
      </c>
      <c r="P449" s="16">
        <v>180</v>
      </c>
      <c r="Q449" s="29">
        <v>63</v>
      </c>
      <c r="R449" s="20">
        <v>0.64780000000000004</v>
      </c>
      <c r="S449" s="32">
        <v>40.811400000000006</v>
      </c>
      <c r="T449" s="35">
        <v>2.2600000000000002</v>
      </c>
      <c r="U449" s="35">
        <v>1.22</v>
      </c>
      <c r="V449" s="35">
        <v>3.5873015873015876E-2</v>
      </c>
      <c r="W449" s="9" t="s">
        <v>154</v>
      </c>
      <c r="X449" s="15">
        <v>448</v>
      </c>
      <c r="Y449" s="39">
        <v>0.48175784438648794</v>
      </c>
      <c r="Z449" s="39">
        <v>0.48442934824404882</v>
      </c>
      <c r="AA449" s="39">
        <v>0.48152528174504533</v>
      </c>
      <c r="AB449" s="39">
        <v>0.50493446866718961</v>
      </c>
      <c r="AC449" s="39">
        <v>0.47394312635070401</v>
      </c>
      <c r="AD449" s="39">
        <v>0.47890814480880467</v>
      </c>
      <c r="AE449" s="39">
        <v>0.47575068831719136</v>
      </c>
      <c r="AF449" s="40">
        <v>0.49929668706211749</v>
      </c>
    </row>
    <row r="450" spans="1:32">
      <c r="A450" s="15">
        <v>448</v>
      </c>
      <c r="B450" s="16">
        <v>0</v>
      </c>
      <c r="C450" s="20">
        <v>0.16</v>
      </c>
      <c r="D450" s="20">
        <v>0.79076781201930302</v>
      </c>
      <c r="E450" s="20">
        <v>0.22</v>
      </c>
      <c r="F450" s="8" t="s">
        <v>436</v>
      </c>
      <c r="G450" s="24">
        <v>0.8361964467405808</v>
      </c>
      <c r="H450" s="24">
        <v>0.84103781072213102</v>
      </c>
      <c r="I450" s="25">
        <v>0.85574641415038977</v>
      </c>
      <c r="L450" s="15">
        <v>448</v>
      </c>
      <c r="M450" s="16">
        <v>0</v>
      </c>
      <c r="N450" s="16">
        <v>1</v>
      </c>
      <c r="O450" s="16">
        <v>10</v>
      </c>
      <c r="P450" s="16">
        <v>181</v>
      </c>
      <c r="Q450" s="29">
        <v>55</v>
      </c>
      <c r="R450" s="20">
        <v>0.64780000000000004</v>
      </c>
      <c r="S450" s="32">
        <v>35.629000000000005</v>
      </c>
      <c r="T450" s="35">
        <v>1.5</v>
      </c>
      <c r="U450" s="35">
        <v>0.82</v>
      </c>
      <c r="V450" s="35">
        <v>2.7272727272727271E-2</v>
      </c>
      <c r="W450" s="9" t="s">
        <v>153</v>
      </c>
      <c r="X450" s="15">
        <v>449</v>
      </c>
      <c r="Y450" s="39">
        <v>0.48782477914113526</v>
      </c>
      <c r="Z450" s="39">
        <v>0.49555014795622326</v>
      </c>
      <c r="AA450" s="39">
        <v>0.48866328285893412</v>
      </c>
      <c r="AB450" s="39">
        <v>0.49057948607369767</v>
      </c>
      <c r="AC450" s="39">
        <v>0.48142996935753513</v>
      </c>
      <c r="AD450" s="39">
        <v>0.49000682813104568</v>
      </c>
      <c r="AE450" s="39">
        <v>0.48137501412024775</v>
      </c>
      <c r="AF450" s="40">
        <v>0.48520918626107917</v>
      </c>
    </row>
    <row r="451" spans="1:32">
      <c r="A451" s="15">
        <v>449</v>
      </c>
      <c r="B451" s="16">
        <v>0</v>
      </c>
      <c r="C451" s="20">
        <v>0.38</v>
      </c>
      <c r="D451" s="20">
        <v>0.61492077371110576</v>
      </c>
      <c r="E451" s="20">
        <v>0.06</v>
      </c>
      <c r="F451" s="8" t="s">
        <v>436</v>
      </c>
      <c r="G451" s="24">
        <v>0.83306683214123767</v>
      </c>
      <c r="H451" s="24">
        <v>0.83789007645311397</v>
      </c>
      <c r="I451" s="25">
        <v>0.85254363030515834</v>
      </c>
      <c r="L451" s="15">
        <v>449</v>
      </c>
      <c r="M451" s="16">
        <v>0</v>
      </c>
      <c r="N451" s="16">
        <v>1</v>
      </c>
      <c r="O451" s="16">
        <v>10</v>
      </c>
      <c r="P451" s="16">
        <v>182</v>
      </c>
      <c r="Q451" s="29">
        <v>63</v>
      </c>
      <c r="R451" s="20">
        <v>0.64780000000000004</v>
      </c>
      <c r="S451" s="32">
        <v>40.811400000000006</v>
      </c>
      <c r="T451" s="35">
        <v>1.96</v>
      </c>
      <c r="U451" s="35">
        <v>1.02</v>
      </c>
      <c r="V451" s="35">
        <v>3.111111111111111E-2</v>
      </c>
      <c r="W451" s="9" t="s">
        <v>153</v>
      </c>
      <c r="X451" s="15">
        <v>450</v>
      </c>
      <c r="Y451" s="39">
        <v>0.48656900825005522</v>
      </c>
      <c r="Z451" s="39">
        <v>0.47692213931307625</v>
      </c>
      <c r="AA451" s="39">
        <v>0.48770555901954854</v>
      </c>
      <c r="AB451" s="39">
        <v>0.48532239037688402</v>
      </c>
      <c r="AC451" s="39">
        <v>0.48115120012271845</v>
      </c>
      <c r="AD451" s="39">
        <v>0.47242983020316159</v>
      </c>
      <c r="AE451" s="39">
        <v>0.48124308723645653</v>
      </c>
      <c r="AF451" s="40">
        <v>0.48077370744770453</v>
      </c>
    </row>
    <row r="452" spans="1:32">
      <c r="A452" s="15">
        <v>450</v>
      </c>
      <c r="B452" s="16">
        <v>0</v>
      </c>
      <c r="C452" s="20">
        <v>0.95</v>
      </c>
      <c r="D452" s="20">
        <v>0.15570568692893463</v>
      </c>
      <c r="E452" s="20">
        <v>0.05</v>
      </c>
      <c r="F452" s="8" t="s">
        <v>434</v>
      </c>
      <c r="G452" s="24">
        <v>0.33648255523395137</v>
      </c>
      <c r="H452" s="24">
        <v>0.33843070333919562</v>
      </c>
      <c r="I452" s="25">
        <v>0.34434939443714857</v>
      </c>
      <c r="L452" s="15">
        <v>450</v>
      </c>
      <c r="M452" s="16">
        <v>0</v>
      </c>
      <c r="N452" s="16">
        <v>1</v>
      </c>
      <c r="O452" s="16">
        <v>10</v>
      </c>
      <c r="P452" s="16">
        <v>183</v>
      </c>
      <c r="Q452" s="29">
        <v>60</v>
      </c>
      <c r="R452" s="20">
        <v>0.64780000000000004</v>
      </c>
      <c r="S452" s="32">
        <v>38.868000000000002</v>
      </c>
      <c r="T452" s="35">
        <v>1.69</v>
      </c>
      <c r="U452" s="35">
        <v>0.86</v>
      </c>
      <c r="V452" s="35">
        <v>2.8166666666666666E-2</v>
      </c>
      <c r="W452" s="9" t="s">
        <v>153</v>
      </c>
      <c r="X452" s="15">
        <v>451</v>
      </c>
      <c r="Y452" s="39">
        <v>0.47533083865467879</v>
      </c>
      <c r="Z452" s="39">
        <v>0.49302762017207769</v>
      </c>
      <c r="AA452" s="39">
        <v>0.49717250916763833</v>
      </c>
      <c r="AB452" s="39">
        <v>0.49127750249004953</v>
      </c>
      <c r="AC452" s="39">
        <v>0.46795230984149971</v>
      </c>
      <c r="AD452" s="39">
        <v>0.4862865229653181</v>
      </c>
      <c r="AE452" s="39">
        <v>0.48863291613461163</v>
      </c>
      <c r="AF452" s="40">
        <v>0.48682132341565754</v>
      </c>
    </row>
    <row r="453" spans="1:32">
      <c r="A453" s="15">
        <v>451</v>
      </c>
      <c r="B453" s="16">
        <v>0</v>
      </c>
      <c r="C453" s="20">
        <v>0.28999999999999998</v>
      </c>
      <c r="D453" s="20">
        <v>0.74372969537696876</v>
      </c>
      <c r="E453" s="20">
        <v>0.04</v>
      </c>
      <c r="F453" s="8" t="s">
        <v>436</v>
      </c>
      <c r="G453" s="24">
        <v>1.0826088189609036</v>
      </c>
      <c r="H453" s="24">
        <v>1.0888768476791026</v>
      </c>
      <c r="I453" s="25">
        <v>1.1079198176033356</v>
      </c>
      <c r="L453" s="15">
        <v>451</v>
      </c>
      <c r="M453" s="16">
        <v>0</v>
      </c>
      <c r="N453" s="16">
        <v>1</v>
      </c>
      <c r="O453" s="16">
        <v>10</v>
      </c>
      <c r="P453" s="16">
        <v>184</v>
      </c>
      <c r="Q453" s="29">
        <v>63</v>
      </c>
      <c r="R453" s="20">
        <v>0.64780000000000004</v>
      </c>
      <c r="S453" s="32">
        <v>40.811400000000006</v>
      </c>
      <c r="T453" s="35">
        <v>3.63</v>
      </c>
      <c r="U453" s="35">
        <v>2.7</v>
      </c>
      <c r="V453" s="35">
        <v>5.7619047619047618E-2</v>
      </c>
      <c r="W453" s="9" t="s">
        <v>155</v>
      </c>
      <c r="X453" s="15">
        <v>452</v>
      </c>
      <c r="Y453" s="39">
        <v>0.48604000823631166</v>
      </c>
      <c r="Z453" s="39">
        <v>0.48702164993344621</v>
      </c>
      <c r="AA453" s="39">
        <v>0.47316662576270896</v>
      </c>
      <c r="AB453" s="39">
        <v>0.48403771097966408</v>
      </c>
      <c r="AC453" s="39">
        <v>0.47749678422816627</v>
      </c>
      <c r="AD453" s="39">
        <v>0.47985433031867564</v>
      </c>
      <c r="AE453" s="39">
        <v>0.46712894348939277</v>
      </c>
      <c r="AF453" s="40">
        <v>0.48079540096447854</v>
      </c>
    </row>
    <row r="454" spans="1:32">
      <c r="A454" s="15">
        <v>452</v>
      </c>
      <c r="B454" s="16">
        <v>0</v>
      </c>
      <c r="C454" s="20">
        <v>0.02</v>
      </c>
      <c r="D454" s="20">
        <v>0.99756714174924133</v>
      </c>
      <c r="E454" s="20">
        <v>1</v>
      </c>
      <c r="F454" s="8" t="s">
        <v>436</v>
      </c>
      <c r="G454" s="24">
        <v>1.0546633294031831</v>
      </c>
      <c r="H454" s="24">
        <v>1.0607695608701275</v>
      </c>
      <c r="I454" s="25">
        <v>1.0793209727099951</v>
      </c>
      <c r="L454" s="15">
        <v>452</v>
      </c>
      <c r="M454" s="16">
        <v>0</v>
      </c>
      <c r="N454" s="16">
        <v>1</v>
      </c>
      <c r="O454" s="16">
        <v>10</v>
      </c>
      <c r="P454" s="16">
        <v>185</v>
      </c>
      <c r="Q454" s="29">
        <v>70</v>
      </c>
      <c r="R454" s="20">
        <v>0.64780000000000004</v>
      </c>
      <c r="S454" s="32">
        <v>45.346000000000004</v>
      </c>
      <c r="T454" s="35">
        <v>2.52</v>
      </c>
      <c r="U454" s="35">
        <v>1.46</v>
      </c>
      <c r="V454" s="35">
        <v>3.5999999999999997E-2</v>
      </c>
      <c r="W454" s="9" t="s">
        <v>154</v>
      </c>
      <c r="X454" s="15">
        <v>453</v>
      </c>
      <c r="Y454" s="39">
        <v>0.47003192433645113</v>
      </c>
      <c r="Z454" s="39">
        <v>0.49268413127839389</v>
      </c>
      <c r="AA454" s="39">
        <v>0.49600602953167083</v>
      </c>
      <c r="AB454" s="39">
        <v>0.49886719104723165</v>
      </c>
      <c r="AC454" s="39">
        <v>0.46282993187031651</v>
      </c>
      <c r="AD454" s="39">
        <v>0.4842122604371043</v>
      </c>
      <c r="AE454" s="39">
        <v>0.48976620856541175</v>
      </c>
      <c r="AF454" s="40">
        <v>0.49519594035593884</v>
      </c>
    </row>
    <row r="455" spans="1:32">
      <c r="A455" s="15">
        <v>453</v>
      </c>
      <c r="B455" s="16">
        <v>0</v>
      </c>
      <c r="C455" s="20">
        <v>0.28999999999999998</v>
      </c>
      <c r="D455" s="20">
        <v>0.73716539789942415</v>
      </c>
      <c r="E455" s="20">
        <v>0.47</v>
      </c>
      <c r="F455" s="8" t="s">
        <v>436</v>
      </c>
      <c r="G455" s="24">
        <v>0.97216874828291511</v>
      </c>
      <c r="H455" s="24">
        <v>0.97779735718250038</v>
      </c>
      <c r="I455" s="25">
        <v>0.99489769842357756</v>
      </c>
      <c r="L455" s="15">
        <v>453</v>
      </c>
      <c r="M455" s="16">
        <v>0</v>
      </c>
      <c r="N455" s="16">
        <v>1</v>
      </c>
      <c r="O455" s="16">
        <v>10</v>
      </c>
      <c r="P455" s="16">
        <v>186</v>
      </c>
      <c r="Q455" s="29">
        <v>50</v>
      </c>
      <c r="R455" s="20">
        <v>0.64780000000000004</v>
      </c>
      <c r="S455" s="32">
        <v>32.39</v>
      </c>
      <c r="T455" s="35">
        <v>2.09</v>
      </c>
      <c r="U455" s="35">
        <v>1.32</v>
      </c>
      <c r="V455" s="35">
        <v>4.1799999999999997E-2</v>
      </c>
      <c r="W455" s="9" t="s">
        <v>154</v>
      </c>
      <c r="X455" s="15">
        <v>454</v>
      </c>
      <c r="Y455" s="39">
        <v>0.48684164344275732</v>
      </c>
      <c r="Z455" s="39">
        <v>0.4854016384539514</v>
      </c>
      <c r="AA455" s="39">
        <v>0.50340088167872932</v>
      </c>
      <c r="AB455" s="39">
        <v>0.49717708355792956</v>
      </c>
      <c r="AC455" s="39">
        <v>0.48051604261518815</v>
      </c>
      <c r="AD455" s="39">
        <v>0.47586707398586681</v>
      </c>
      <c r="AE455" s="39">
        <v>0.49676234833389593</v>
      </c>
      <c r="AF455" s="40">
        <v>0.49496793869169886</v>
      </c>
    </row>
    <row r="456" spans="1:32">
      <c r="A456" s="15">
        <v>454</v>
      </c>
      <c r="B456" s="16">
        <v>0</v>
      </c>
      <c r="C456" s="20">
        <v>0.95</v>
      </c>
      <c r="D456" s="20">
        <v>0.15570568692893463</v>
      </c>
      <c r="E456" s="20">
        <v>0.05</v>
      </c>
      <c r="F456" s="8" t="s">
        <v>434</v>
      </c>
      <c r="G456" s="24">
        <v>0.538095548925689</v>
      </c>
      <c r="H456" s="24">
        <v>0.54121098480126084</v>
      </c>
      <c r="I456" s="25">
        <v>0.5506760262595326</v>
      </c>
      <c r="L456" s="15">
        <v>454</v>
      </c>
      <c r="M456" s="16">
        <v>0</v>
      </c>
      <c r="N456" s="16">
        <v>1</v>
      </c>
      <c r="O456" s="16">
        <v>10</v>
      </c>
      <c r="P456" s="16">
        <v>187</v>
      </c>
      <c r="Q456" s="29">
        <v>60</v>
      </c>
      <c r="R456" s="20">
        <v>0.64780000000000004</v>
      </c>
      <c r="S456" s="32">
        <v>38.868000000000002</v>
      </c>
      <c r="T456" s="35">
        <v>1.55</v>
      </c>
      <c r="U456" s="35">
        <v>0.71</v>
      </c>
      <c r="V456" s="35">
        <v>2.5833333333333333E-2</v>
      </c>
      <c r="W456" s="9" t="s">
        <v>153</v>
      </c>
      <c r="X456" s="15">
        <v>455</v>
      </c>
      <c r="Y456" s="39">
        <v>0.48236517022922637</v>
      </c>
      <c r="Z456" s="39">
        <v>0.48569625207503186</v>
      </c>
      <c r="AA456" s="39">
        <v>0.50176686028018269</v>
      </c>
      <c r="AB456" s="39">
        <v>0.48682814050699225</v>
      </c>
      <c r="AC456" s="39">
        <v>0.4738081564222516</v>
      </c>
      <c r="AD456" s="39">
        <v>0.48004911235446723</v>
      </c>
      <c r="AE456" s="39">
        <v>0.49384504562743808</v>
      </c>
      <c r="AF456" s="40">
        <v>0.4821466037755317</v>
      </c>
    </row>
    <row r="457" spans="1:32">
      <c r="A457" s="15">
        <v>455</v>
      </c>
      <c r="B457" s="16">
        <v>0</v>
      </c>
      <c r="C457" s="20">
        <v>0.96</v>
      </c>
      <c r="D457" s="20">
        <v>0.13880369068795359</v>
      </c>
      <c r="E457" s="20">
        <v>0.04</v>
      </c>
      <c r="F457" s="8" t="s">
        <v>434</v>
      </c>
      <c r="G457" s="24">
        <v>0.36666856686721538</v>
      </c>
      <c r="H457" s="24">
        <v>0.36879148427462249</v>
      </c>
      <c r="I457" s="25">
        <v>0.37524114399355579</v>
      </c>
      <c r="L457" s="15">
        <v>455</v>
      </c>
      <c r="M457" s="16">
        <v>0</v>
      </c>
      <c r="N457" s="16">
        <v>1</v>
      </c>
      <c r="O457" s="16">
        <v>11</v>
      </c>
      <c r="P457" s="16">
        <v>196</v>
      </c>
      <c r="Q457" s="29">
        <v>24</v>
      </c>
      <c r="R457" s="20">
        <v>0.64780000000000004</v>
      </c>
      <c r="S457" s="32">
        <v>15.5472</v>
      </c>
      <c r="T457" s="35">
        <v>1.42</v>
      </c>
      <c r="U457" s="35">
        <v>0.96</v>
      </c>
      <c r="V457" s="35">
        <v>5.9166666666666666E-2</v>
      </c>
      <c r="W457" s="9" t="s">
        <v>153</v>
      </c>
      <c r="X457" s="15">
        <v>456</v>
      </c>
      <c r="Y457" s="39">
        <v>0.47793148980754252</v>
      </c>
      <c r="Z457" s="39">
        <v>0.48285216636418243</v>
      </c>
      <c r="AA457" s="39">
        <v>0.49721270530155476</v>
      </c>
      <c r="AB457" s="39">
        <v>0.48081008321367963</v>
      </c>
      <c r="AC457" s="39">
        <v>0.47284010927113584</v>
      </c>
      <c r="AD457" s="39">
        <v>0.47720832373522931</v>
      </c>
      <c r="AE457" s="39">
        <v>0.49177195510365052</v>
      </c>
      <c r="AF457" s="40">
        <v>0.47664400931285866</v>
      </c>
    </row>
    <row r="458" spans="1:32">
      <c r="A458" s="15">
        <v>456</v>
      </c>
      <c r="B458" s="16">
        <v>1</v>
      </c>
      <c r="C458" s="20">
        <v>0.05</v>
      </c>
      <c r="D458" s="20">
        <v>0.95532981531643535</v>
      </c>
      <c r="E458" s="20">
        <v>0.42</v>
      </c>
      <c r="F458" s="8" t="s">
        <v>436</v>
      </c>
      <c r="G458" s="24">
        <v>0.90989094467874165</v>
      </c>
      <c r="H458" s="24">
        <v>0.91515898099231019</v>
      </c>
      <c r="I458" s="25">
        <v>0.93116386252512451</v>
      </c>
      <c r="L458" s="15">
        <v>456</v>
      </c>
      <c r="M458" s="16">
        <v>0</v>
      </c>
      <c r="N458" s="16">
        <v>1</v>
      </c>
      <c r="O458" s="16">
        <v>11</v>
      </c>
      <c r="P458" s="16">
        <v>197</v>
      </c>
      <c r="Q458" s="29">
        <v>5</v>
      </c>
      <c r="R458" s="20">
        <v>0.64780000000000004</v>
      </c>
      <c r="S458" s="32">
        <v>3.2390000000000003</v>
      </c>
      <c r="T458" s="35">
        <v>0.05</v>
      </c>
      <c r="U458" s="35">
        <v>0.02</v>
      </c>
      <c r="V458" s="35">
        <v>0.01</v>
      </c>
      <c r="W458" s="9" t="s">
        <v>152</v>
      </c>
      <c r="X458" s="15">
        <v>457</v>
      </c>
      <c r="Y458" s="39">
        <v>0.49540514183859019</v>
      </c>
      <c r="Z458" s="39">
        <v>0.49041770255622524</v>
      </c>
      <c r="AA458" s="39">
        <v>0.49084803121416082</v>
      </c>
      <c r="AB458" s="39">
        <v>0.49809991008967258</v>
      </c>
      <c r="AC458" s="39">
        <v>0.48806686026476126</v>
      </c>
      <c r="AD458" s="39">
        <v>0.48519969097368104</v>
      </c>
      <c r="AE458" s="39">
        <v>0.48606462816552537</v>
      </c>
      <c r="AF458" s="40">
        <v>0.49276572470380625</v>
      </c>
    </row>
    <row r="459" spans="1:32">
      <c r="A459" s="15">
        <v>457</v>
      </c>
      <c r="B459" s="16">
        <v>0</v>
      </c>
      <c r="C459" s="20">
        <v>0.17</v>
      </c>
      <c r="D459" s="20">
        <v>0.86329077436177615</v>
      </c>
      <c r="E459" s="20">
        <v>0.08</v>
      </c>
      <c r="F459" s="8" t="s">
        <v>436</v>
      </c>
      <c r="G459" s="24">
        <v>1.2397390478514287</v>
      </c>
      <c r="H459" s="24">
        <v>1.2469168204862977</v>
      </c>
      <c r="I459" s="25">
        <v>1.2687236938357978</v>
      </c>
      <c r="L459" s="15">
        <v>457</v>
      </c>
      <c r="M459" s="16">
        <v>0</v>
      </c>
      <c r="N459" s="16">
        <v>1</v>
      </c>
      <c r="O459" s="16">
        <v>11</v>
      </c>
      <c r="P459" s="16">
        <v>198</v>
      </c>
      <c r="Q459" s="29">
        <v>20</v>
      </c>
      <c r="R459" s="20">
        <v>0.64780000000000004</v>
      </c>
      <c r="S459" s="32">
        <v>12.956000000000001</v>
      </c>
      <c r="T459" s="35">
        <v>0.26</v>
      </c>
      <c r="U459" s="35">
        <v>0.03</v>
      </c>
      <c r="V459" s="35">
        <v>1.3000000000000001E-2</v>
      </c>
      <c r="W459" s="9" t="s">
        <v>152</v>
      </c>
      <c r="X459" s="15">
        <v>458</v>
      </c>
      <c r="Y459" s="39">
        <v>0.48182371389555695</v>
      </c>
      <c r="Z459" s="39">
        <v>0.47342324104466132</v>
      </c>
      <c r="AA459" s="39">
        <v>0.48374046201629439</v>
      </c>
      <c r="AB459" s="39">
        <v>0.50077747232080894</v>
      </c>
      <c r="AC459" s="39">
        <v>0.47482125749055087</v>
      </c>
      <c r="AD459" s="39">
        <v>0.46782495295149379</v>
      </c>
      <c r="AE459" s="39">
        <v>0.47545833443647445</v>
      </c>
      <c r="AF459" s="40">
        <v>0.49835027742140992</v>
      </c>
    </row>
    <row r="460" spans="1:32">
      <c r="A460" s="15">
        <v>458</v>
      </c>
      <c r="B460" s="16">
        <v>1</v>
      </c>
      <c r="C460" s="20">
        <v>0.12</v>
      </c>
      <c r="D460" s="20">
        <v>0.86647154071883103</v>
      </c>
      <c r="E460" s="20">
        <v>0.45</v>
      </c>
      <c r="F460" s="8" t="s">
        <v>436</v>
      </c>
      <c r="G460" s="24">
        <v>0.8744487024086165</v>
      </c>
      <c r="H460" s="24">
        <v>0.87951153718632491</v>
      </c>
      <c r="I460" s="25">
        <v>0.89489299357999696</v>
      </c>
      <c r="L460" s="15">
        <v>458</v>
      </c>
      <c r="M460" s="16">
        <v>0</v>
      </c>
      <c r="N460" s="16">
        <v>1</v>
      </c>
      <c r="O460" s="16">
        <v>11</v>
      </c>
      <c r="P460" s="16">
        <v>199</v>
      </c>
      <c r="Q460" s="29">
        <v>16</v>
      </c>
      <c r="R460" s="20">
        <v>0.64780000000000004</v>
      </c>
      <c r="S460" s="32">
        <v>10.364800000000001</v>
      </c>
      <c r="T460" s="35">
        <v>0.95000000000000007</v>
      </c>
      <c r="U460" s="35">
        <v>0.71</v>
      </c>
      <c r="V460" s="35">
        <v>5.9375000000000004E-2</v>
      </c>
      <c r="W460" s="9" t="s">
        <v>152</v>
      </c>
      <c r="X460" s="15">
        <v>459</v>
      </c>
      <c r="Y460" s="39">
        <v>0.47450579981394153</v>
      </c>
      <c r="Z460" s="39">
        <v>0.48101249933264667</v>
      </c>
      <c r="AA460" s="39">
        <v>0.48003802392240991</v>
      </c>
      <c r="AB460" s="39">
        <v>0.49563160424887981</v>
      </c>
      <c r="AC460" s="39">
        <v>0.46970607982013773</v>
      </c>
      <c r="AD460" s="39">
        <v>0.47464840739407838</v>
      </c>
      <c r="AE460" s="39">
        <v>0.47327997923419618</v>
      </c>
      <c r="AF460" s="40">
        <v>0.49295061704974874</v>
      </c>
    </row>
    <row r="461" spans="1:32">
      <c r="A461" s="15">
        <v>459</v>
      </c>
      <c r="B461" s="16">
        <v>1</v>
      </c>
      <c r="C461" s="20">
        <v>0.03</v>
      </c>
      <c r="D461" s="20">
        <v>0.99642335770206691</v>
      </c>
      <c r="E461" s="20">
        <v>1</v>
      </c>
      <c r="F461" s="8" t="s">
        <v>436</v>
      </c>
      <c r="G461" s="24">
        <v>0.99257298825561213</v>
      </c>
      <c r="H461" s="24">
        <v>0.99831973249631234</v>
      </c>
      <c r="I461" s="25">
        <v>1.0157789820718881</v>
      </c>
      <c r="L461" s="15">
        <v>459</v>
      </c>
      <c r="M461" s="16">
        <v>0</v>
      </c>
      <c r="N461" s="16">
        <v>1</v>
      </c>
      <c r="O461" s="16">
        <v>11</v>
      </c>
      <c r="P461" s="16">
        <v>200</v>
      </c>
      <c r="Q461" s="29">
        <v>25</v>
      </c>
      <c r="R461" s="20">
        <v>0.64780000000000004</v>
      </c>
      <c r="S461" s="32">
        <v>16.195</v>
      </c>
      <c r="T461" s="35">
        <v>1.36</v>
      </c>
      <c r="U461" s="35">
        <v>0.93</v>
      </c>
      <c r="V461" s="35">
        <v>5.4400000000000004E-2</v>
      </c>
      <c r="W461" s="9" t="s">
        <v>153</v>
      </c>
      <c r="X461" s="15">
        <v>460</v>
      </c>
      <c r="Y461" s="39">
        <v>0.49074565992257185</v>
      </c>
      <c r="Z461" s="39">
        <v>0.47384054304842754</v>
      </c>
      <c r="AA461" s="39">
        <v>0.49979436199650445</v>
      </c>
      <c r="AB461" s="39">
        <v>0.47901724479696922</v>
      </c>
      <c r="AC461" s="39">
        <v>0.48067923515882566</v>
      </c>
      <c r="AD461" s="39">
        <v>0.46722298423557035</v>
      </c>
      <c r="AE461" s="39">
        <v>0.49384325923109179</v>
      </c>
      <c r="AF461" s="40">
        <v>0.47813300473296122</v>
      </c>
    </row>
    <row r="462" spans="1:32">
      <c r="A462" s="15">
        <v>460</v>
      </c>
      <c r="B462" s="16">
        <v>0</v>
      </c>
      <c r="C462" s="20">
        <v>0.92</v>
      </c>
      <c r="D462" s="20">
        <v>0.20258497911151899</v>
      </c>
      <c r="E462" s="20">
        <v>0.08</v>
      </c>
      <c r="F462" s="8" t="s">
        <v>434</v>
      </c>
      <c r="G462" s="24">
        <v>0.44589558086582309</v>
      </c>
      <c r="H462" s="24">
        <v>0.44847720246102457</v>
      </c>
      <c r="I462" s="25">
        <v>0.4563204566328557</v>
      </c>
      <c r="L462" s="15">
        <v>460</v>
      </c>
      <c r="M462" s="16">
        <v>0</v>
      </c>
      <c r="N462" s="16">
        <v>1</v>
      </c>
      <c r="O462" s="16">
        <v>11</v>
      </c>
      <c r="P462" s="16">
        <v>201</v>
      </c>
      <c r="Q462" s="29">
        <v>23</v>
      </c>
      <c r="R462" s="20">
        <v>0.64780000000000004</v>
      </c>
      <c r="S462" s="32">
        <v>14.899400000000002</v>
      </c>
      <c r="T462" s="35">
        <v>0.64</v>
      </c>
      <c r="U462" s="35">
        <v>0.36</v>
      </c>
      <c r="V462" s="35">
        <v>2.782608695652174E-2</v>
      </c>
      <c r="W462" s="9" t="s">
        <v>152</v>
      </c>
      <c r="X462" s="15">
        <v>461</v>
      </c>
      <c r="Y462" s="39">
        <v>0.4933898144288254</v>
      </c>
      <c r="Z462" s="39">
        <v>0.48217439378507593</v>
      </c>
      <c r="AA462" s="39">
        <v>0.47495596714751931</v>
      </c>
      <c r="AB462" s="39">
        <v>0.48741746750575743</v>
      </c>
      <c r="AC462" s="39">
        <v>0.48511022950706506</v>
      </c>
      <c r="AD462" s="39">
        <v>0.47380874925012112</v>
      </c>
      <c r="AE462" s="39">
        <v>0.4686070548289511</v>
      </c>
      <c r="AF462" s="40">
        <v>0.48132017573153502</v>
      </c>
    </row>
    <row r="463" spans="1:32">
      <c r="A463" s="15">
        <v>461</v>
      </c>
      <c r="B463" s="16">
        <v>1</v>
      </c>
      <c r="C463" s="20">
        <v>0.97</v>
      </c>
      <c r="D463" s="20">
        <v>0.12097036642660543</v>
      </c>
      <c r="E463" s="20">
        <v>0.03</v>
      </c>
      <c r="F463" s="8" t="s">
        <v>434</v>
      </c>
      <c r="G463" s="24">
        <v>0.67596088782867791</v>
      </c>
      <c r="H463" s="24">
        <v>0.6798745288253919</v>
      </c>
      <c r="I463" s="25">
        <v>0.69176460641522186</v>
      </c>
      <c r="L463" s="15">
        <v>461</v>
      </c>
      <c r="M463" s="16">
        <v>0</v>
      </c>
      <c r="N463" s="16">
        <v>1</v>
      </c>
      <c r="O463" s="16">
        <v>11</v>
      </c>
      <c r="P463" s="16">
        <v>202</v>
      </c>
      <c r="Q463" s="29">
        <v>20</v>
      </c>
      <c r="R463" s="20">
        <v>0.64780000000000004</v>
      </c>
      <c r="S463" s="32">
        <v>12.956000000000001</v>
      </c>
      <c r="T463" s="35">
        <v>0.5</v>
      </c>
      <c r="U463" s="35">
        <v>0.25</v>
      </c>
      <c r="V463" s="35">
        <v>2.5000000000000001E-2</v>
      </c>
      <c r="W463" s="9" t="s">
        <v>152</v>
      </c>
      <c r="X463" s="15">
        <v>462</v>
      </c>
      <c r="Y463" s="39">
        <v>0.49027736082926016</v>
      </c>
      <c r="Z463" s="39">
        <v>0.46441241202924471</v>
      </c>
      <c r="AA463" s="39">
        <v>0.49758780720952694</v>
      </c>
      <c r="AB463" s="39">
        <v>0.48872304296495339</v>
      </c>
      <c r="AC463" s="39">
        <v>0.48452650200630554</v>
      </c>
      <c r="AD463" s="39">
        <v>0.46034723953060097</v>
      </c>
      <c r="AE463" s="39">
        <v>0.49098204108803373</v>
      </c>
      <c r="AF463" s="40">
        <v>0.48417735455144562</v>
      </c>
    </row>
    <row r="464" spans="1:32">
      <c r="A464" s="15">
        <v>462</v>
      </c>
      <c r="B464" s="16">
        <v>0</v>
      </c>
      <c r="C464" s="20">
        <v>0.16</v>
      </c>
      <c r="D464" s="20">
        <v>0.86710722187857525</v>
      </c>
      <c r="E464" s="20">
        <v>0.09</v>
      </c>
      <c r="F464" s="8" t="s">
        <v>436</v>
      </c>
      <c r="G464" s="24">
        <v>1.2216802551829449</v>
      </c>
      <c r="H464" s="24">
        <v>1.2287534720178983</v>
      </c>
      <c r="I464" s="25">
        <v>1.2502426931927337</v>
      </c>
      <c r="L464" s="15">
        <v>462</v>
      </c>
      <c r="M464" s="16">
        <v>0</v>
      </c>
      <c r="N464" s="16">
        <v>1</v>
      </c>
      <c r="O464" s="16">
        <v>11</v>
      </c>
      <c r="P464" s="16">
        <v>203</v>
      </c>
      <c r="Q464" s="29">
        <v>19</v>
      </c>
      <c r="R464" s="20">
        <v>0.64780000000000004</v>
      </c>
      <c r="S464" s="32">
        <v>12.308200000000001</v>
      </c>
      <c r="T464" s="35">
        <v>3.17</v>
      </c>
      <c r="U464" s="35">
        <v>2.92</v>
      </c>
      <c r="V464" s="35">
        <v>0.1668421052631579</v>
      </c>
      <c r="W464" s="9" t="s">
        <v>155</v>
      </c>
      <c r="X464" s="15">
        <v>463</v>
      </c>
      <c r="Y464" s="39">
        <v>0.49241350118047172</v>
      </c>
      <c r="Z464" s="39">
        <v>0.48356917668897775</v>
      </c>
      <c r="AA464" s="39">
        <v>0.491587614423389</v>
      </c>
      <c r="AB464" s="39">
        <v>0.49712239404277447</v>
      </c>
      <c r="AC464" s="39">
        <v>0.4854175355634156</v>
      </c>
      <c r="AD464" s="39">
        <v>0.47602274317981252</v>
      </c>
      <c r="AE464" s="39">
        <v>0.48603417658254494</v>
      </c>
      <c r="AF464" s="40">
        <v>0.49123174706917899</v>
      </c>
    </row>
    <row r="465" spans="1:32">
      <c r="A465" s="15">
        <v>463</v>
      </c>
      <c r="B465" s="16">
        <v>1</v>
      </c>
      <c r="C465" s="20">
        <v>0.01</v>
      </c>
      <c r="D465" s="20">
        <v>0.99999999999999978</v>
      </c>
      <c r="E465" s="20">
        <v>1</v>
      </c>
      <c r="F465" s="8" t="s">
        <v>436</v>
      </c>
      <c r="G465" s="24">
        <v>1.13665897886099</v>
      </c>
      <c r="H465" s="24">
        <v>1.1432399442083236</v>
      </c>
      <c r="I465" s="25">
        <v>1.1632336504939742</v>
      </c>
      <c r="L465" s="15">
        <v>463</v>
      </c>
      <c r="M465" s="16">
        <v>0</v>
      </c>
      <c r="N465" s="16">
        <v>1</v>
      </c>
      <c r="O465" s="16">
        <v>11</v>
      </c>
      <c r="P465" s="16">
        <v>204</v>
      </c>
      <c r="Q465" s="29">
        <v>23</v>
      </c>
      <c r="R465" s="20">
        <v>0.64780000000000004</v>
      </c>
      <c r="S465" s="32">
        <v>14.899400000000002</v>
      </c>
      <c r="T465" s="35">
        <v>0.79</v>
      </c>
      <c r="U465" s="35">
        <v>0.45</v>
      </c>
      <c r="V465" s="35">
        <v>3.4347826086956523E-2</v>
      </c>
      <c r="W465" s="9" t="s">
        <v>152</v>
      </c>
      <c r="X465" s="15">
        <v>464</v>
      </c>
      <c r="Y465" s="39">
        <v>0.49492238210475609</v>
      </c>
      <c r="Z465" s="39">
        <v>0.49356418555589848</v>
      </c>
      <c r="AA465" s="39">
        <v>0.49422325205909373</v>
      </c>
      <c r="AB465" s="39">
        <v>0.49598047523083844</v>
      </c>
      <c r="AC465" s="39">
        <v>0.4874447321586568</v>
      </c>
      <c r="AD465" s="39">
        <v>0.48735496564984437</v>
      </c>
      <c r="AE465" s="39">
        <v>0.48707041800805218</v>
      </c>
      <c r="AF465" s="40">
        <v>0.49272655191039905</v>
      </c>
    </row>
    <row r="466" spans="1:32">
      <c r="A466" s="15">
        <v>464</v>
      </c>
      <c r="B466" s="16">
        <v>0</v>
      </c>
      <c r="C466" s="20">
        <v>0.16</v>
      </c>
      <c r="D466" s="20">
        <v>0.85970593706636411</v>
      </c>
      <c r="E466" s="20">
        <v>0.06</v>
      </c>
      <c r="F466" s="8" t="s">
        <v>436</v>
      </c>
      <c r="G466" s="24">
        <v>1.1873475677320804</v>
      </c>
      <c r="H466" s="24">
        <v>1.1942220070703555</v>
      </c>
      <c r="I466" s="25">
        <v>1.2151073200531513</v>
      </c>
      <c r="L466" s="15">
        <v>464</v>
      </c>
      <c r="M466" s="16">
        <v>0</v>
      </c>
      <c r="N466" s="16">
        <v>1</v>
      </c>
      <c r="O466" s="16">
        <v>11</v>
      </c>
      <c r="P466" s="16">
        <v>205</v>
      </c>
      <c r="Q466" s="29">
        <v>23</v>
      </c>
      <c r="R466" s="20">
        <v>0.64780000000000004</v>
      </c>
      <c r="S466" s="32">
        <v>14.899400000000002</v>
      </c>
      <c r="T466" s="35">
        <v>1.87</v>
      </c>
      <c r="U466" s="35">
        <v>1.57</v>
      </c>
      <c r="V466" s="35">
        <v>8.1304347826086962E-2</v>
      </c>
      <c r="W466" s="9" t="s">
        <v>153</v>
      </c>
      <c r="X466" s="15">
        <v>465</v>
      </c>
      <c r="Y466" s="39">
        <v>0.47920545605207049</v>
      </c>
      <c r="Z466" s="39">
        <v>0.48703167882373583</v>
      </c>
      <c r="AA466" s="39">
        <v>0.48064718061880146</v>
      </c>
      <c r="AB466" s="39">
        <v>0.48792845021777725</v>
      </c>
      <c r="AC466" s="39">
        <v>0.4730396796165503</v>
      </c>
      <c r="AD466" s="39">
        <v>0.47982977005771998</v>
      </c>
      <c r="AE466" s="39">
        <v>0.47402274805142852</v>
      </c>
      <c r="AF466" s="40">
        <v>0.48325223121788485</v>
      </c>
    </row>
    <row r="467" spans="1:32">
      <c r="A467" s="15">
        <v>465</v>
      </c>
      <c r="B467" s="16">
        <v>0</v>
      </c>
      <c r="C467" s="20">
        <v>0.42</v>
      </c>
      <c r="D467" s="20">
        <v>0.59899177584926466</v>
      </c>
      <c r="E467" s="20">
        <v>0.06</v>
      </c>
      <c r="F467" s="8" t="s">
        <v>436</v>
      </c>
      <c r="G467" s="24">
        <v>0.50960014707103918</v>
      </c>
      <c r="H467" s="24">
        <v>0.51255060184352619</v>
      </c>
      <c r="I467" s="25">
        <v>0.52151441232067786</v>
      </c>
      <c r="L467" s="15">
        <v>465</v>
      </c>
      <c r="M467" s="16">
        <v>0</v>
      </c>
      <c r="N467" s="16">
        <v>1</v>
      </c>
      <c r="O467" s="16">
        <v>12</v>
      </c>
      <c r="P467" s="16">
        <v>206</v>
      </c>
      <c r="Q467" s="29">
        <v>55</v>
      </c>
      <c r="R467" s="20">
        <v>0.64780000000000004</v>
      </c>
      <c r="S467" s="32">
        <v>35.629000000000005</v>
      </c>
      <c r="T467" s="35">
        <v>2.35</v>
      </c>
      <c r="U467" s="35">
        <v>1.57</v>
      </c>
      <c r="V467" s="35">
        <v>4.2727272727272732E-2</v>
      </c>
      <c r="W467" s="9" t="s">
        <v>154</v>
      </c>
      <c r="X467" s="15">
        <v>466</v>
      </c>
      <c r="Y467" s="39">
        <v>0.47542514479770026</v>
      </c>
      <c r="Z467" s="39">
        <v>0.51190367562136252</v>
      </c>
      <c r="AA467" s="39">
        <v>0.49615574315288019</v>
      </c>
      <c r="AB467" s="39">
        <v>0.499588024831983</v>
      </c>
      <c r="AC467" s="39">
        <v>0.46882261710950546</v>
      </c>
      <c r="AD467" s="39">
        <v>0.50153330444505395</v>
      </c>
      <c r="AE467" s="39">
        <v>0.48857555415895487</v>
      </c>
      <c r="AF467" s="40">
        <v>0.49575722664911387</v>
      </c>
    </row>
    <row r="468" spans="1:32">
      <c r="A468" s="15">
        <v>466</v>
      </c>
      <c r="B468" s="16">
        <v>1</v>
      </c>
      <c r="C468" s="20">
        <v>0.47</v>
      </c>
      <c r="D468" s="20">
        <v>0.47078745680764889</v>
      </c>
      <c r="E468" s="20">
        <v>7.0000000000000007E-2</v>
      </c>
      <c r="F468" s="8" t="s">
        <v>436</v>
      </c>
      <c r="G468" s="24">
        <v>1.265527640284821</v>
      </c>
      <c r="H468" s="24">
        <v>1.2728547222871582</v>
      </c>
      <c r="I468" s="25">
        <v>1.2951152141380931</v>
      </c>
      <c r="L468" s="15">
        <v>466</v>
      </c>
      <c r="M468" s="16">
        <v>0</v>
      </c>
      <c r="N468" s="16">
        <v>1</v>
      </c>
      <c r="O468" s="16">
        <v>12</v>
      </c>
      <c r="P468" s="16">
        <v>207</v>
      </c>
      <c r="Q468" s="29">
        <v>34</v>
      </c>
      <c r="R468" s="20">
        <v>0.64780000000000004</v>
      </c>
      <c r="S468" s="32">
        <v>22.025200000000002</v>
      </c>
      <c r="T468" s="35">
        <v>2.0100000000000002</v>
      </c>
      <c r="U468" s="35">
        <v>1.6</v>
      </c>
      <c r="V468" s="35">
        <v>5.9117647058823539E-2</v>
      </c>
      <c r="W468" s="9" t="s">
        <v>154</v>
      </c>
      <c r="X468" s="15">
        <v>467</v>
      </c>
      <c r="Y468" s="39">
        <v>0.5000344869349127</v>
      </c>
      <c r="Z468" s="39">
        <v>0.48512182440675328</v>
      </c>
      <c r="AA468" s="39">
        <v>0.48760179303961204</v>
      </c>
      <c r="AB468" s="39">
        <v>0.49574674915587885</v>
      </c>
      <c r="AC468" s="39">
        <v>0.49156012529213639</v>
      </c>
      <c r="AD468" s="39">
        <v>0.4788129096872803</v>
      </c>
      <c r="AE468" s="39">
        <v>0.47955421283824323</v>
      </c>
      <c r="AF468" s="40">
        <v>0.4913064033242906</v>
      </c>
    </row>
    <row r="469" spans="1:32">
      <c r="A469" s="15">
        <v>467</v>
      </c>
      <c r="B469" s="16">
        <v>1</v>
      </c>
      <c r="C469" s="20">
        <v>0.94</v>
      </c>
      <c r="D469" s="20">
        <v>0.17188516685452584</v>
      </c>
      <c r="E469" s="20">
        <v>0.06</v>
      </c>
      <c r="F469" s="8" t="s">
        <v>434</v>
      </c>
      <c r="G469" s="24">
        <v>0.85293380425112097</v>
      </c>
      <c r="H469" s="24">
        <v>0.85787207326032788</v>
      </c>
      <c r="I469" s="25">
        <v>0.87287508496432031</v>
      </c>
      <c r="L469" s="15">
        <v>467</v>
      </c>
      <c r="M469" s="16">
        <v>0</v>
      </c>
      <c r="N469" s="16">
        <v>1</v>
      </c>
      <c r="O469" s="16">
        <v>12</v>
      </c>
      <c r="P469" s="16">
        <v>208</v>
      </c>
      <c r="Q469" s="29">
        <v>52</v>
      </c>
      <c r="R469" s="20">
        <v>0.64780000000000004</v>
      </c>
      <c r="S469" s="32">
        <v>33.685600000000001</v>
      </c>
      <c r="T469" s="35">
        <v>1.22</v>
      </c>
      <c r="U469" s="35">
        <v>0.56000000000000005</v>
      </c>
      <c r="V469" s="35">
        <v>2.3461538461538461E-2</v>
      </c>
      <c r="W469" s="9" t="s">
        <v>153</v>
      </c>
      <c r="X469" s="15">
        <v>468</v>
      </c>
      <c r="Y469" s="39">
        <v>0.48178169969449697</v>
      </c>
      <c r="Z469" s="39">
        <v>0.49014282846926382</v>
      </c>
      <c r="AA469" s="39">
        <v>0.47774497947014744</v>
      </c>
      <c r="AB469" s="39">
        <v>0.48718104159434367</v>
      </c>
      <c r="AC469" s="39">
        <v>0.47740549034401486</v>
      </c>
      <c r="AD469" s="39">
        <v>0.48172725575593667</v>
      </c>
      <c r="AE469" s="39">
        <v>0.46996132476982516</v>
      </c>
      <c r="AF469" s="40">
        <v>0.48419248910879187</v>
      </c>
    </row>
    <row r="470" spans="1:32">
      <c r="A470" s="15">
        <v>468</v>
      </c>
      <c r="B470" s="16">
        <v>1</v>
      </c>
      <c r="C470" s="20">
        <v>0.36</v>
      </c>
      <c r="D470" s="20">
        <v>0.60951590416273937</v>
      </c>
      <c r="E470" s="20">
        <v>7.0000000000000007E-2</v>
      </c>
      <c r="F470" s="8" t="s">
        <v>436</v>
      </c>
      <c r="G470" s="24">
        <v>1.0718814314825449</v>
      </c>
      <c r="H470" s="24">
        <v>1.0780873513654861</v>
      </c>
      <c r="I470" s="25">
        <v>1.0969416277251203</v>
      </c>
      <c r="L470" s="15">
        <v>468</v>
      </c>
      <c r="M470" s="16">
        <v>0</v>
      </c>
      <c r="N470" s="16">
        <v>1</v>
      </c>
      <c r="O470" s="16">
        <v>12</v>
      </c>
      <c r="P470" s="16">
        <v>209</v>
      </c>
      <c r="Q470" s="29">
        <v>55</v>
      </c>
      <c r="R470" s="20">
        <v>0.64780000000000004</v>
      </c>
      <c r="S470" s="32">
        <v>35.629000000000005</v>
      </c>
      <c r="T470" s="35">
        <v>3.85</v>
      </c>
      <c r="U470" s="35">
        <v>3.03</v>
      </c>
      <c r="V470" s="35">
        <v>7.0000000000000007E-2</v>
      </c>
      <c r="W470" s="9" t="s">
        <v>155</v>
      </c>
      <c r="X470" s="15">
        <v>469</v>
      </c>
      <c r="Y470" s="39">
        <v>0.48109362068460382</v>
      </c>
      <c r="Z470" s="39">
        <v>0.4853530467471549</v>
      </c>
      <c r="AA470" s="39">
        <v>0.47999521277907559</v>
      </c>
      <c r="AB470" s="39">
        <v>0.48417617428392407</v>
      </c>
      <c r="AC470" s="39">
        <v>0.47620346503480415</v>
      </c>
      <c r="AD470" s="39">
        <v>0.47509373389527948</v>
      </c>
      <c r="AE470" s="39">
        <v>0.47374382135013637</v>
      </c>
      <c r="AF470" s="40">
        <v>0.48106196867764561</v>
      </c>
    </row>
    <row r="471" spans="1:32">
      <c r="A471" s="15">
        <v>469</v>
      </c>
      <c r="B471" s="16">
        <v>0</v>
      </c>
      <c r="C471" s="20">
        <v>0.92</v>
      </c>
      <c r="D471" s="20">
        <v>0.20258497911151899</v>
      </c>
      <c r="E471" s="20">
        <v>0.08</v>
      </c>
      <c r="F471" s="8" t="s">
        <v>434</v>
      </c>
      <c r="G471" s="24">
        <v>2.2378857641807679</v>
      </c>
      <c r="H471" s="24">
        <v>2.2508425515191504</v>
      </c>
      <c r="I471" s="25">
        <v>1.6578926537592125</v>
      </c>
      <c r="L471" s="15">
        <v>469</v>
      </c>
      <c r="M471" s="16">
        <v>0</v>
      </c>
      <c r="N471" s="16">
        <v>1</v>
      </c>
      <c r="O471" s="16">
        <v>12</v>
      </c>
      <c r="P471" s="16">
        <v>210</v>
      </c>
      <c r="Q471" s="29">
        <v>55</v>
      </c>
      <c r="R471" s="20">
        <v>0.64780000000000004</v>
      </c>
      <c r="S471" s="32">
        <v>35.629000000000005</v>
      </c>
      <c r="T471" s="35">
        <v>3.83</v>
      </c>
      <c r="U471" s="35">
        <v>2.9</v>
      </c>
      <c r="V471" s="35">
        <v>6.9636363636363635E-2</v>
      </c>
      <c r="W471" s="9" t="s">
        <v>155</v>
      </c>
      <c r="X471" s="15">
        <v>470</v>
      </c>
      <c r="Y471" s="39">
        <v>0.50223222716830296</v>
      </c>
      <c r="Z471" s="39">
        <v>0.49139004302998351</v>
      </c>
      <c r="AA471" s="39">
        <v>0.4967496144227968</v>
      </c>
      <c r="AB471" s="39">
        <v>0.49475912383292875</v>
      </c>
      <c r="AC471" s="39">
        <v>0.49165100421102365</v>
      </c>
      <c r="AD471" s="39">
        <v>0.48356419853681221</v>
      </c>
      <c r="AE471" s="39">
        <v>0.49004052418746974</v>
      </c>
      <c r="AF471" s="40">
        <v>0.49298366717047626</v>
      </c>
    </row>
    <row r="472" spans="1:32">
      <c r="A472" s="15">
        <v>470</v>
      </c>
      <c r="B472" s="16">
        <v>0</v>
      </c>
      <c r="C472" s="20">
        <v>0.63</v>
      </c>
      <c r="D472" s="20">
        <v>0.51096465339993336</v>
      </c>
      <c r="E472" s="20">
        <v>7.0000000000000007E-2</v>
      </c>
      <c r="F472" s="8" t="s">
        <v>438</v>
      </c>
      <c r="G472" s="24">
        <v>0.97156875630734274</v>
      </c>
      <c r="H472" s="24">
        <v>0.97719389140654167</v>
      </c>
      <c r="I472" s="25">
        <v>0.99428367885483093</v>
      </c>
      <c r="L472" s="15">
        <v>470</v>
      </c>
      <c r="M472" s="16">
        <v>0</v>
      </c>
      <c r="N472" s="16">
        <v>1</v>
      </c>
      <c r="O472" s="16">
        <v>12</v>
      </c>
      <c r="P472" s="16">
        <v>211</v>
      </c>
      <c r="Q472" s="29">
        <v>63</v>
      </c>
      <c r="R472" s="20">
        <v>0.64780000000000004</v>
      </c>
      <c r="S472" s="32">
        <v>40.811400000000006</v>
      </c>
      <c r="T472" s="35">
        <v>3.99</v>
      </c>
      <c r="U472" s="35">
        <v>3.18</v>
      </c>
      <c r="V472" s="35">
        <v>6.3333333333333339E-2</v>
      </c>
      <c r="W472" s="9" t="s">
        <v>155</v>
      </c>
      <c r="X472" s="15">
        <v>471</v>
      </c>
      <c r="Y472" s="39">
        <v>0.47966435184243522</v>
      </c>
      <c r="Z472" s="39">
        <v>0.48468685139729473</v>
      </c>
      <c r="AA472" s="39">
        <v>0.47818585819778364</v>
      </c>
      <c r="AB472" s="39">
        <v>0.47897506449830601</v>
      </c>
      <c r="AC472" s="39">
        <v>0.47344942296866627</v>
      </c>
      <c r="AD472" s="39">
        <v>0.4778953551307431</v>
      </c>
      <c r="AE472" s="39">
        <v>0.47150223843363298</v>
      </c>
      <c r="AF472" s="40">
        <v>0.47303385373990653</v>
      </c>
    </row>
    <row r="473" spans="1:32">
      <c r="A473" s="15">
        <v>471</v>
      </c>
      <c r="B473" s="16">
        <v>1</v>
      </c>
      <c r="C473" s="20">
        <v>0.9</v>
      </c>
      <c r="D473" s="20">
        <v>0.23159538658365303</v>
      </c>
      <c r="E473" s="20">
        <v>0.1</v>
      </c>
      <c r="F473" s="8" t="s">
        <v>434</v>
      </c>
      <c r="G473" s="24">
        <v>1.7574616628407616</v>
      </c>
      <c r="H473" s="24">
        <v>1.7676369172640469</v>
      </c>
      <c r="I473" s="25">
        <v>1.6578926537592125</v>
      </c>
      <c r="L473" s="15">
        <v>471</v>
      </c>
      <c r="M473" s="16">
        <v>0</v>
      </c>
      <c r="N473" s="16">
        <v>1</v>
      </c>
      <c r="O473" s="16">
        <v>12</v>
      </c>
      <c r="P473" s="16">
        <v>212</v>
      </c>
      <c r="Q473" s="29">
        <v>7</v>
      </c>
      <c r="R473" s="20">
        <v>0.64780000000000004</v>
      </c>
      <c r="S473" s="32">
        <v>4.5346000000000002</v>
      </c>
      <c r="T473" s="35">
        <v>7.0000000000000007E-2</v>
      </c>
      <c r="U473" s="35">
        <v>0.01</v>
      </c>
      <c r="V473" s="35">
        <v>0.01</v>
      </c>
      <c r="W473" s="9" t="s">
        <v>152</v>
      </c>
      <c r="X473" s="15">
        <v>472</v>
      </c>
      <c r="Y473" s="39">
        <v>0.483477594912334</v>
      </c>
      <c r="Z473" s="39">
        <v>0.49789246003954224</v>
      </c>
      <c r="AA473" s="39">
        <v>0.4854474245902734</v>
      </c>
      <c r="AB473" s="39">
        <v>0.49698558888258554</v>
      </c>
      <c r="AC473" s="39">
        <v>0.4744025551175205</v>
      </c>
      <c r="AD473" s="39">
        <v>0.48906637992559859</v>
      </c>
      <c r="AE473" s="39">
        <v>0.47872781795173486</v>
      </c>
      <c r="AF473" s="40">
        <v>0.49295749678128481</v>
      </c>
    </row>
    <row r="474" spans="1:32">
      <c r="A474" s="15">
        <v>472</v>
      </c>
      <c r="B474" s="16">
        <v>0</v>
      </c>
      <c r="C474" s="20">
        <v>0.91</v>
      </c>
      <c r="D474" s="20">
        <v>0.21727233298780477</v>
      </c>
      <c r="E474" s="20">
        <v>0.09</v>
      </c>
      <c r="F474" s="8" t="s">
        <v>434</v>
      </c>
      <c r="G474" s="24">
        <v>2.1928829473650131</v>
      </c>
      <c r="H474" s="24">
        <v>2.2055791798813207</v>
      </c>
      <c r="I474" s="25">
        <v>1.6578926537592125</v>
      </c>
      <c r="L474" s="15">
        <v>472</v>
      </c>
      <c r="M474" s="16">
        <v>0</v>
      </c>
      <c r="N474" s="16">
        <v>1</v>
      </c>
      <c r="O474" s="16">
        <v>12</v>
      </c>
      <c r="P474" s="16">
        <v>213</v>
      </c>
      <c r="Q474" s="29">
        <v>50</v>
      </c>
      <c r="R474" s="20">
        <v>0.64780000000000004</v>
      </c>
      <c r="S474" s="32">
        <v>32.39</v>
      </c>
      <c r="T474" s="35">
        <v>0.95000000000000007</v>
      </c>
      <c r="U474" s="35">
        <v>0.19</v>
      </c>
      <c r="V474" s="35">
        <v>1.9000000000000003E-2</v>
      </c>
      <c r="W474" s="9" t="s">
        <v>152</v>
      </c>
      <c r="X474" s="15">
        <v>473</v>
      </c>
      <c r="Y474" s="39">
        <v>0.48738378382250341</v>
      </c>
      <c r="Z474" s="39">
        <v>0.48312361962487521</v>
      </c>
      <c r="AA474" s="39">
        <v>0.49018251202253338</v>
      </c>
      <c r="AB474" s="39">
        <v>0.4663378478518721</v>
      </c>
      <c r="AC474" s="39">
        <v>0.48031092587176133</v>
      </c>
      <c r="AD474" s="39">
        <v>0.47419035352861189</v>
      </c>
      <c r="AE474" s="39">
        <v>0.48349428981346859</v>
      </c>
      <c r="AF474" s="40">
        <v>0.45973233980670275</v>
      </c>
    </row>
    <row r="475" spans="1:32">
      <c r="A475" s="15">
        <v>473</v>
      </c>
      <c r="B475" s="16">
        <v>1</v>
      </c>
      <c r="C475" s="20">
        <v>0.03</v>
      </c>
      <c r="D475" s="20">
        <v>0.99642335770206691</v>
      </c>
      <c r="E475" s="20">
        <v>1</v>
      </c>
      <c r="F475" s="8" t="s">
        <v>436</v>
      </c>
      <c r="G475" s="24">
        <v>0.99721266025607402</v>
      </c>
      <c r="H475" s="24">
        <v>1.0029862670133476</v>
      </c>
      <c r="I475" s="25">
        <v>1.0205271279085577</v>
      </c>
      <c r="L475" s="15">
        <v>473</v>
      </c>
      <c r="M475" s="16">
        <v>0</v>
      </c>
      <c r="N475" s="16">
        <v>1</v>
      </c>
      <c r="O475" s="16">
        <v>12</v>
      </c>
      <c r="P475" s="16">
        <v>214</v>
      </c>
      <c r="Q475" s="29">
        <v>49</v>
      </c>
      <c r="R475" s="20">
        <v>0.64780000000000004</v>
      </c>
      <c r="S475" s="32">
        <v>31.7422</v>
      </c>
      <c r="T475" s="35">
        <v>4.08</v>
      </c>
      <c r="U475" s="35">
        <v>3.38</v>
      </c>
      <c r="V475" s="35">
        <v>8.3265306122448979E-2</v>
      </c>
      <c r="W475" s="9" t="s">
        <v>155</v>
      </c>
      <c r="X475" s="15">
        <v>474</v>
      </c>
      <c r="Y475" s="39">
        <v>0.49395192158840712</v>
      </c>
      <c r="Z475" s="39">
        <v>0.49187662065061649</v>
      </c>
      <c r="AA475" s="39">
        <v>0.48117137884527778</v>
      </c>
      <c r="AB475" s="39">
        <v>0.49494624000069426</v>
      </c>
      <c r="AC475" s="39">
        <v>0.48805120241622474</v>
      </c>
      <c r="AD475" s="39">
        <v>0.48630242127722167</v>
      </c>
      <c r="AE475" s="39">
        <v>0.4759034828819938</v>
      </c>
      <c r="AF475" s="40">
        <v>0.49229787133429753</v>
      </c>
    </row>
    <row r="476" spans="1:32">
      <c r="A476" s="15">
        <v>474</v>
      </c>
      <c r="B476" s="16">
        <v>1</v>
      </c>
      <c r="C476" s="20">
        <v>0.69</v>
      </c>
      <c r="D476" s="20">
        <v>0.49227612857360609</v>
      </c>
      <c r="E476" s="20">
        <v>0.06</v>
      </c>
      <c r="F476" s="8" t="s">
        <v>438</v>
      </c>
      <c r="G476" s="24">
        <v>0.92768326737951545</v>
      </c>
      <c r="H476" s="24">
        <v>0.9330543166999048</v>
      </c>
      <c r="I476" s="25">
        <v>0.94937216322999152</v>
      </c>
      <c r="L476" s="15">
        <v>474</v>
      </c>
      <c r="M476" s="16">
        <v>0</v>
      </c>
      <c r="N476" s="16">
        <v>1</v>
      </c>
      <c r="O476" s="16">
        <v>12</v>
      </c>
      <c r="P476" s="16">
        <v>215</v>
      </c>
      <c r="Q476" s="29">
        <v>56</v>
      </c>
      <c r="R476" s="20">
        <v>0.64780000000000004</v>
      </c>
      <c r="S476" s="32">
        <v>36.276800000000001</v>
      </c>
      <c r="T476" s="35">
        <v>1.27</v>
      </c>
      <c r="U476" s="35">
        <v>0.55000000000000004</v>
      </c>
      <c r="V476" s="35">
        <v>2.267857142857143E-2</v>
      </c>
      <c r="W476" s="9" t="s">
        <v>153</v>
      </c>
      <c r="X476" s="15">
        <v>475</v>
      </c>
      <c r="Y476" s="39">
        <v>0.48895344665760421</v>
      </c>
      <c r="Z476" s="39">
        <v>0.49550125303620951</v>
      </c>
      <c r="AA476" s="39">
        <v>0.48984866093134233</v>
      </c>
      <c r="AB476" s="39">
        <v>0.47809567248762996</v>
      </c>
      <c r="AC476" s="39">
        <v>0.48183489709855032</v>
      </c>
      <c r="AD476" s="39">
        <v>0.4898297950544801</v>
      </c>
      <c r="AE476" s="39">
        <v>0.48113649436270078</v>
      </c>
      <c r="AF476" s="40">
        <v>0.47324768426135011</v>
      </c>
    </row>
    <row r="477" spans="1:32">
      <c r="A477" s="15">
        <v>475</v>
      </c>
      <c r="B477" s="16">
        <v>1</v>
      </c>
      <c r="C477" s="20">
        <v>0.02</v>
      </c>
      <c r="D477" s="20">
        <v>0.99604261948721451</v>
      </c>
      <c r="E477" s="20">
        <v>1</v>
      </c>
      <c r="F477" s="8" t="s">
        <v>436</v>
      </c>
      <c r="G477" s="24">
        <v>1.0222331603096146</v>
      </c>
      <c r="H477" s="24">
        <v>1.0281516293755382</v>
      </c>
      <c r="I477" s="25">
        <v>1.0461325981117928</v>
      </c>
      <c r="L477" s="15">
        <v>475</v>
      </c>
      <c r="M477" s="16">
        <v>0</v>
      </c>
      <c r="N477" s="16">
        <v>1</v>
      </c>
      <c r="O477" s="16">
        <v>12</v>
      </c>
      <c r="P477" s="16">
        <v>216</v>
      </c>
      <c r="Q477" s="29">
        <v>53</v>
      </c>
      <c r="R477" s="20">
        <v>0.64780000000000004</v>
      </c>
      <c r="S477" s="32">
        <v>34.333400000000005</v>
      </c>
      <c r="T477" s="35">
        <v>1.47</v>
      </c>
      <c r="U477" s="35">
        <v>0.73</v>
      </c>
      <c r="V477" s="35">
        <v>2.7735849056603774E-2</v>
      </c>
      <c r="W477" s="9" t="s">
        <v>153</v>
      </c>
      <c r="X477" s="15">
        <v>476</v>
      </c>
      <c r="Y477" s="39">
        <v>0.48894677343588899</v>
      </c>
      <c r="Z477" s="39">
        <v>0.48841133161042544</v>
      </c>
      <c r="AA477" s="39">
        <v>0.50637579594670135</v>
      </c>
      <c r="AB477" s="39">
        <v>0.49409040392221321</v>
      </c>
      <c r="AC477" s="39">
        <v>0.48182620232834089</v>
      </c>
      <c r="AD477" s="39">
        <v>0.48186979147420966</v>
      </c>
      <c r="AE477" s="39">
        <v>0.50040910585894915</v>
      </c>
      <c r="AF477" s="40">
        <v>0.49011650580029742</v>
      </c>
    </row>
    <row r="478" spans="1:32">
      <c r="A478" s="15">
        <v>476</v>
      </c>
      <c r="B478" s="16">
        <v>1</v>
      </c>
      <c r="C478" s="20">
        <v>0.94</v>
      </c>
      <c r="D478" s="20">
        <v>0.17188516685452584</v>
      </c>
      <c r="E478" s="20">
        <v>0.06</v>
      </c>
      <c r="F478" s="8" t="s">
        <v>434</v>
      </c>
      <c r="G478" s="24">
        <v>0.43938701677676384</v>
      </c>
      <c r="H478" s="24">
        <v>0.44193095544724681</v>
      </c>
      <c r="I478" s="25">
        <v>0.44965972469338078</v>
      </c>
      <c r="L478" s="15">
        <v>476</v>
      </c>
      <c r="M478" s="16">
        <v>0</v>
      </c>
      <c r="N478" s="16">
        <v>1</v>
      </c>
      <c r="O478" s="16">
        <v>12</v>
      </c>
      <c r="P478" s="16">
        <v>217</v>
      </c>
      <c r="Q478" s="29">
        <v>67</v>
      </c>
      <c r="R478" s="20">
        <v>0.64780000000000004</v>
      </c>
      <c r="S478" s="32">
        <v>43.4026</v>
      </c>
      <c r="T478" s="35">
        <v>3.25</v>
      </c>
      <c r="U478" s="35">
        <v>2.4</v>
      </c>
      <c r="V478" s="35">
        <v>4.8507462686567165E-2</v>
      </c>
      <c r="W478" s="9" t="s">
        <v>155</v>
      </c>
      <c r="X478" s="15">
        <v>477</v>
      </c>
      <c r="Y478" s="39">
        <v>0.48160379017303789</v>
      </c>
      <c r="Z478" s="39">
        <v>0.49394495317097575</v>
      </c>
      <c r="AA478" s="39">
        <v>0.46402412850060454</v>
      </c>
      <c r="AB478" s="39">
        <v>0.4809573609911838</v>
      </c>
      <c r="AC478" s="39">
        <v>0.47468217676938013</v>
      </c>
      <c r="AD478" s="39">
        <v>0.4868516339880895</v>
      </c>
      <c r="AE478" s="39">
        <v>0.45913210058799142</v>
      </c>
      <c r="AF478" s="40">
        <v>0.47868244807459209</v>
      </c>
    </row>
    <row r="479" spans="1:32">
      <c r="A479" s="15">
        <v>477</v>
      </c>
      <c r="B479" s="16">
        <v>1</v>
      </c>
      <c r="C479" s="20">
        <v>0.02</v>
      </c>
      <c r="D479" s="20">
        <v>0.99756714174924133</v>
      </c>
      <c r="E479" s="20">
        <v>1</v>
      </c>
      <c r="F479" s="8" t="s">
        <v>436</v>
      </c>
      <c r="G479" s="24">
        <v>1.1031823482280458</v>
      </c>
      <c r="H479" s="24">
        <v>1.1095694924291621</v>
      </c>
      <c r="I479" s="25">
        <v>1.1289743484679438</v>
      </c>
      <c r="L479" s="15">
        <v>477</v>
      </c>
      <c r="M479" s="16">
        <v>0</v>
      </c>
      <c r="N479" s="16">
        <v>1</v>
      </c>
      <c r="O479" s="16">
        <v>12</v>
      </c>
      <c r="P479" s="16">
        <v>218</v>
      </c>
      <c r="Q479" s="29">
        <v>52</v>
      </c>
      <c r="R479" s="20">
        <v>0.64780000000000004</v>
      </c>
      <c r="S479" s="32">
        <v>33.685600000000001</v>
      </c>
      <c r="T479" s="35">
        <v>1.84</v>
      </c>
      <c r="U479" s="35">
        <v>1</v>
      </c>
      <c r="V479" s="35">
        <v>3.5384615384615389E-2</v>
      </c>
      <c r="W479" s="9" t="s">
        <v>153</v>
      </c>
      <c r="X479" s="15">
        <v>478</v>
      </c>
      <c r="Y479" s="39">
        <v>0.49049173093054871</v>
      </c>
      <c r="Z479" s="39">
        <v>0.49226238813690093</v>
      </c>
      <c r="AA479" s="39">
        <v>0.50025526029643441</v>
      </c>
      <c r="AB479" s="39">
        <v>0.4817636934006066</v>
      </c>
      <c r="AC479" s="39">
        <v>0.48160724081095196</v>
      </c>
      <c r="AD479" s="39">
        <v>0.48520401008119812</v>
      </c>
      <c r="AE479" s="39">
        <v>0.49427983781440649</v>
      </c>
      <c r="AF479" s="40">
        <v>0.47671266938182638</v>
      </c>
    </row>
    <row r="480" spans="1:32">
      <c r="A480" s="15">
        <v>478</v>
      </c>
      <c r="B480" s="16">
        <v>0</v>
      </c>
      <c r="C480" s="20">
        <v>0.94</v>
      </c>
      <c r="D480" s="20">
        <v>0.17188516685452584</v>
      </c>
      <c r="E480" s="20">
        <v>0.06</v>
      </c>
      <c r="F480" s="8" t="s">
        <v>434</v>
      </c>
      <c r="G480" s="24">
        <v>1.4474685190523051</v>
      </c>
      <c r="H480" s="24">
        <v>1.4558489923010054</v>
      </c>
      <c r="I480" s="25">
        <v>1.4813098041767516</v>
      </c>
      <c r="L480" s="15">
        <v>478</v>
      </c>
      <c r="M480" s="16">
        <v>0</v>
      </c>
      <c r="N480" s="16">
        <v>1</v>
      </c>
      <c r="O480" s="16">
        <v>12</v>
      </c>
      <c r="P480" s="16">
        <v>219</v>
      </c>
      <c r="Q480" s="29">
        <v>55</v>
      </c>
      <c r="R480" s="20">
        <v>0.64780000000000004</v>
      </c>
      <c r="S480" s="32">
        <v>35.629000000000005</v>
      </c>
      <c r="T480" s="35">
        <v>3.59</v>
      </c>
      <c r="U480" s="35">
        <v>2.76</v>
      </c>
      <c r="V480" s="35">
        <v>6.5272727272727274E-2</v>
      </c>
      <c r="W480" s="9" t="s">
        <v>155</v>
      </c>
      <c r="X480" s="15">
        <v>479</v>
      </c>
      <c r="Y480" s="39">
        <v>0.47871480411557021</v>
      </c>
      <c r="Z480" s="39">
        <v>0.4743455886178784</v>
      </c>
      <c r="AA480" s="39">
        <v>0.46515325625148762</v>
      </c>
      <c r="AB480" s="39">
        <v>0.48230262795995571</v>
      </c>
      <c r="AC480" s="39">
        <v>0.47090148704991797</v>
      </c>
      <c r="AD480" s="39">
        <v>0.4652192657524602</v>
      </c>
      <c r="AE480" s="39">
        <v>0.459804265040684</v>
      </c>
      <c r="AF480" s="40">
        <v>0.47720092090420702</v>
      </c>
    </row>
    <row r="481" spans="1:32">
      <c r="A481" s="15">
        <v>479</v>
      </c>
      <c r="B481" s="16">
        <v>0</v>
      </c>
      <c r="C481" s="20">
        <v>0.21</v>
      </c>
      <c r="D481" s="20">
        <v>0.79102717149089741</v>
      </c>
      <c r="E481" s="20">
        <v>0.43</v>
      </c>
      <c r="F481" s="8" t="s">
        <v>436</v>
      </c>
      <c r="G481" s="24">
        <v>1.6014306149971191</v>
      </c>
      <c r="H481" s="24">
        <v>1.6107024894814221</v>
      </c>
      <c r="I481" s="25">
        <v>1.6388714776727493</v>
      </c>
      <c r="L481" s="15">
        <v>479</v>
      </c>
      <c r="M481" s="16">
        <v>0</v>
      </c>
      <c r="N481" s="16">
        <v>1</v>
      </c>
      <c r="O481" s="16">
        <v>12</v>
      </c>
      <c r="P481" s="16">
        <v>220</v>
      </c>
      <c r="Q481" s="29">
        <v>51</v>
      </c>
      <c r="R481" s="20">
        <v>0.64780000000000004</v>
      </c>
      <c r="S481" s="32">
        <v>33.037800000000004</v>
      </c>
      <c r="T481" s="35">
        <v>1.99</v>
      </c>
      <c r="U481" s="35">
        <v>1.18</v>
      </c>
      <c r="V481" s="35">
        <v>3.9019607843137252E-2</v>
      </c>
      <c r="W481" s="9" t="s">
        <v>153</v>
      </c>
      <c r="X481" s="15">
        <v>480</v>
      </c>
      <c r="Y481" s="39">
        <v>0.49170670204453021</v>
      </c>
      <c r="Z481" s="39">
        <v>0.49789495128359029</v>
      </c>
      <c r="AA481" s="39">
        <v>0.49743795153110865</v>
      </c>
      <c r="AB481" s="39">
        <v>0.48428170141866628</v>
      </c>
      <c r="AC481" s="39">
        <v>0.48520485962292048</v>
      </c>
      <c r="AD481" s="39">
        <v>0.48916221055540821</v>
      </c>
      <c r="AE481" s="39">
        <v>0.49347065807747142</v>
      </c>
      <c r="AF481" s="40">
        <v>0.48175353338032173</v>
      </c>
    </row>
    <row r="482" spans="1:32">
      <c r="A482" s="15">
        <v>480</v>
      </c>
      <c r="B482" s="16">
        <v>1</v>
      </c>
      <c r="C482" s="20">
        <v>0.02</v>
      </c>
      <c r="D482" s="20">
        <v>0.99917029198757767</v>
      </c>
      <c r="E482" s="20">
        <v>1</v>
      </c>
      <c r="F482" s="8" t="s">
        <v>436</v>
      </c>
      <c r="G482" s="24">
        <v>1.1081222699170696</v>
      </c>
      <c r="H482" s="24">
        <v>1.1145380150038153</v>
      </c>
      <c r="I482" s="25">
        <v>1.1340297637211938</v>
      </c>
      <c r="L482" s="15">
        <v>480</v>
      </c>
      <c r="M482" s="16">
        <v>0</v>
      </c>
      <c r="N482" s="16">
        <v>1</v>
      </c>
      <c r="O482" s="16">
        <v>13</v>
      </c>
      <c r="P482" s="16">
        <v>221</v>
      </c>
      <c r="Q482" s="29">
        <v>86</v>
      </c>
      <c r="R482" s="20">
        <v>0.64780000000000004</v>
      </c>
      <c r="S482" s="32">
        <v>55.710800000000006</v>
      </c>
      <c r="T482" s="35">
        <v>5.47</v>
      </c>
      <c r="U482" s="35">
        <v>4.41</v>
      </c>
      <c r="V482" s="35">
        <v>6.3604651162790696E-2</v>
      </c>
      <c r="W482" s="9" t="s">
        <v>156</v>
      </c>
      <c r="X482" s="15">
        <v>481</v>
      </c>
      <c r="Y482" s="39">
        <v>0.50671691871530677</v>
      </c>
      <c r="Z482" s="39">
        <v>0.49335811366493837</v>
      </c>
      <c r="AA482" s="39">
        <v>0.49066839910052429</v>
      </c>
      <c r="AB482" s="39">
        <v>0.48650711184013617</v>
      </c>
      <c r="AC482" s="39">
        <v>0.50025795998479261</v>
      </c>
      <c r="AD482" s="39">
        <v>0.48584904976911036</v>
      </c>
      <c r="AE482" s="39">
        <v>0.48796285546910212</v>
      </c>
      <c r="AF482" s="40">
        <v>0.48203888577236709</v>
      </c>
    </row>
    <row r="483" spans="1:32">
      <c r="A483" s="15">
        <v>481</v>
      </c>
      <c r="B483" s="16">
        <v>1</v>
      </c>
      <c r="C483" s="20">
        <v>0.55000000000000004</v>
      </c>
      <c r="D483" s="20">
        <v>0.5380816121761125</v>
      </c>
      <c r="E483" s="20">
        <v>0.08</v>
      </c>
      <c r="F483" s="8" t="s">
        <v>438</v>
      </c>
      <c r="G483" s="24">
        <v>0.73139227080182134</v>
      </c>
      <c r="H483" s="24">
        <v>0.73562684535669587</v>
      </c>
      <c r="I483" s="25">
        <v>0.74849195486971809</v>
      </c>
      <c r="L483" s="15">
        <v>481</v>
      </c>
      <c r="M483" s="16">
        <v>0</v>
      </c>
      <c r="N483" s="16">
        <v>1</v>
      </c>
      <c r="O483" s="16">
        <v>13</v>
      </c>
      <c r="P483" s="16">
        <v>222</v>
      </c>
      <c r="Q483" s="29">
        <v>72</v>
      </c>
      <c r="R483" s="20">
        <v>0.64780000000000004</v>
      </c>
      <c r="S483" s="32">
        <v>46.641600000000004</v>
      </c>
      <c r="T483" s="35">
        <v>1.81</v>
      </c>
      <c r="U483" s="35">
        <v>0.77</v>
      </c>
      <c r="V483" s="35">
        <v>2.5138888888888891E-2</v>
      </c>
      <c r="W483" s="9" t="s">
        <v>153</v>
      </c>
      <c r="X483" s="15">
        <v>482</v>
      </c>
      <c r="Y483" s="39">
        <v>0.48660769541454907</v>
      </c>
      <c r="Z483" s="39">
        <v>0.48730598963524896</v>
      </c>
      <c r="AA483" s="39">
        <v>0.4936229812510331</v>
      </c>
      <c r="AB483" s="39">
        <v>0.49001582134381022</v>
      </c>
      <c r="AC483" s="39">
        <v>0.48023446840252276</v>
      </c>
      <c r="AD483" s="39">
        <v>0.47998476910239796</v>
      </c>
      <c r="AE483" s="39">
        <v>0.48869338758141367</v>
      </c>
      <c r="AF483" s="40">
        <v>0.48822926607713096</v>
      </c>
    </row>
    <row r="484" spans="1:32">
      <c r="A484" s="15">
        <v>482</v>
      </c>
      <c r="B484" s="16">
        <v>1</v>
      </c>
      <c r="C484" s="20">
        <v>0.02</v>
      </c>
      <c r="D484" s="20">
        <v>0.99604261948721451</v>
      </c>
      <c r="E484" s="20">
        <v>1</v>
      </c>
      <c r="F484" s="8" t="s">
        <v>436</v>
      </c>
      <c r="G484" s="24">
        <v>1.0425494359899761</v>
      </c>
      <c r="H484" s="24">
        <v>1.0485855311062153</v>
      </c>
      <c r="I484" s="25">
        <v>1.066923860894752</v>
      </c>
      <c r="L484" s="15">
        <v>482</v>
      </c>
      <c r="M484" s="16">
        <v>0</v>
      </c>
      <c r="N484" s="16">
        <v>1</v>
      </c>
      <c r="O484" s="16">
        <v>13</v>
      </c>
      <c r="P484" s="16">
        <v>223</v>
      </c>
      <c r="Q484" s="29">
        <v>77</v>
      </c>
      <c r="R484" s="20">
        <v>0.64780000000000004</v>
      </c>
      <c r="S484" s="32">
        <v>49.880600000000001</v>
      </c>
      <c r="T484" s="35">
        <v>2.12</v>
      </c>
      <c r="U484" s="35">
        <v>0.99</v>
      </c>
      <c r="V484" s="35">
        <v>2.7532467532467533E-2</v>
      </c>
      <c r="W484" s="9" t="s">
        <v>154</v>
      </c>
      <c r="X484" s="15">
        <v>483</v>
      </c>
      <c r="Y484" s="39">
        <v>0.47362773306455014</v>
      </c>
      <c r="Z484" s="39">
        <v>0.49403827141592149</v>
      </c>
      <c r="AA484" s="39">
        <v>0.49712769951875591</v>
      </c>
      <c r="AB484" s="39">
        <v>0.48358563440607444</v>
      </c>
      <c r="AC484" s="39">
        <v>0.46781438733782921</v>
      </c>
      <c r="AD484" s="39">
        <v>0.4872294724659042</v>
      </c>
      <c r="AE484" s="39">
        <v>0.49046797444458645</v>
      </c>
      <c r="AF484" s="40">
        <v>0.48014749148164548</v>
      </c>
    </row>
    <row r="485" spans="1:32">
      <c r="A485" s="15">
        <v>483</v>
      </c>
      <c r="B485" s="16">
        <v>1</v>
      </c>
      <c r="C485" s="20">
        <v>0.21</v>
      </c>
      <c r="D485" s="20">
        <v>0.88083229744946123</v>
      </c>
      <c r="E485" s="20">
        <v>0.03</v>
      </c>
      <c r="F485" s="8" t="s">
        <v>436</v>
      </c>
      <c r="G485" s="24">
        <v>0.60243203113200483</v>
      </c>
      <c r="H485" s="24">
        <v>0.60591995881720762</v>
      </c>
      <c r="I485" s="25">
        <v>0.61651667191368176</v>
      </c>
      <c r="L485" s="15">
        <v>483</v>
      </c>
      <c r="M485" s="16">
        <v>0</v>
      </c>
      <c r="N485" s="16">
        <v>1</v>
      </c>
      <c r="O485" s="16">
        <v>13</v>
      </c>
      <c r="P485" s="16">
        <v>224</v>
      </c>
      <c r="Q485" s="29">
        <v>70</v>
      </c>
      <c r="R485" s="20">
        <v>0.64780000000000004</v>
      </c>
      <c r="S485" s="32">
        <v>45.346000000000004</v>
      </c>
      <c r="T485" s="35">
        <v>4.66</v>
      </c>
      <c r="U485" s="35">
        <v>3.71</v>
      </c>
      <c r="V485" s="35">
        <v>6.6571428571428573E-2</v>
      </c>
      <c r="W485" s="9" t="s">
        <v>155</v>
      </c>
      <c r="X485" s="15">
        <v>484</v>
      </c>
      <c r="Y485" s="39">
        <v>0.49465514974270353</v>
      </c>
      <c r="Z485" s="39">
        <v>0.46878023703452915</v>
      </c>
      <c r="AA485" s="39">
        <v>0.4910254642941998</v>
      </c>
      <c r="AB485" s="39">
        <v>0.49147988687431354</v>
      </c>
      <c r="AC485" s="39">
        <v>0.48887632224935756</v>
      </c>
      <c r="AD485" s="39">
        <v>0.46550079607621242</v>
      </c>
      <c r="AE485" s="39">
        <v>0.48408029699032062</v>
      </c>
      <c r="AF485" s="40">
        <v>0.48812226244522516</v>
      </c>
    </row>
    <row r="486" spans="1:32">
      <c r="A486" s="15">
        <v>484</v>
      </c>
      <c r="B486" s="16">
        <v>1</v>
      </c>
      <c r="C486" s="20">
        <v>0.9</v>
      </c>
      <c r="D486" s="20">
        <v>0.231595386583653</v>
      </c>
      <c r="E486" s="20">
        <v>0.1</v>
      </c>
      <c r="F486" s="8" t="s">
        <v>434</v>
      </c>
      <c r="G486" s="24">
        <v>0.66880310128757881</v>
      </c>
      <c r="H486" s="24">
        <v>0.67267530052729563</v>
      </c>
      <c r="I486" s="25">
        <v>0.68443947343998013</v>
      </c>
      <c r="L486" s="15">
        <v>484</v>
      </c>
      <c r="M486" s="16">
        <v>0</v>
      </c>
      <c r="N486" s="16">
        <v>1</v>
      </c>
      <c r="O486" s="16">
        <v>13</v>
      </c>
      <c r="P486" s="16">
        <v>225</v>
      </c>
      <c r="Q486" s="29">
        <v>68</v>
      </c>
      <c r="R486" s="20">
        <v>0.64780000000000004</v>
      </c>
      <c r="S486" s="32">
        <v>44.050400000000003</v>
      </c>
      <c r="T486" s="35">
        <v>4.42</v>
      </c>
      <c r="U486" s="35">
        <v>3.37</v>
      </c>
      <c r="V486" s="35">
        <v>6.5000000000000002E-2</v>
      </c>
      <c r="W486" s="9" t="s">
        <v>155</v>
      </c>
      <c r="X486" s="15">
        <v>485</v>
      </c>
      <c r="Y486" s="39">
        <v>0.48162566083173319</v>
      </c>
      <c r="Z486" s="39">
        <v>0.48072944700366516</v>
      </c>
      <c r="AA486" s="39">
        <v>0.48546949426222946</v>
      </c>
      <c r="AB486" s="39">
        <v>0.49045192121475828</v>
      </c>
      <c r="AC486" s="39">
        <v>0.47773436325721236</v>
      </c>
      <c r="AD486" s="39">
        <v>0.47324229452950639</v>
      </c>
      <c r="AE486" s="39">
        <v>0.47860660566569874</v>
      </c>
      <c r="AF486" s="40">
        <v>0.48460135241151714</v>
      </c>
    </row>
    <row r="487" spans="1:32">
      <c r="A487" s="15">
        <v>485</v>
      </c>
      <c r="B487" s="16">
        <v>1</v>
      </c>
      <c r="C487" s="20">
        <v>0.45</v>
      </c>
      <c r="D487" s="20">
        <v>0.60178954198413548</v>
      </c>
      <c r="E487" s="20">
        <v>0.06</v>
      </c>
      <c r="F487" s="8" t="s">
        <v>436</v>
      </c>
      <c r="G487" s="24">
        <v>0.92043693135184768</v>
      </c>
      <c r="H487" s="24">
        <v>0.92576602623631554</v>
      </c>
      <c r="I487" s="25">
        <v>0.94195641051353773</v>
      </c>
      <c r="L487" s="15">
        <v>485</v>
      </c>
      <c r="M487" s="16">
        <v>0</v>
      </c>
      <c r="N487" s="16">
        <v>1</v>
      </c>
      <c r="O487" s="16">
        <v>13</v>
      </c>
      <c r="P487" s="16">
        <v>226</v>
      </c>
      <c r="Q487" s="29">
        <v>60</v>
      </c>
      <c r="R487" s="20">
        <v>0.64780000000000004</v>
      </c>
      <c r="S487" s="32">
        <v>38.868000000000002</v>
      </c>
      <c r="T487" s="35">
        <v>2.92</v>
      </c>
      <c r="U487" s="35">
        <v>1.99</v>
      </c>
      <c r="V487" s="35">
        <v>4.8666666666666664E-2</v>
      </c>
      <c r="W487" s="9" t="s">
        <v>154</v>
      </c>
      <c r="X487" s="15">
        <v>486</v>
      </c>
      <c r="Y487" s="39">
        <v>0.48974007528036262</v>
      </c>
      <c r="Z487" s="39">
        <v>0.48935628718463847</v>
      </c>
      <c r="AA487" s="39">
        <v>0.48902091941995729</v>
      </c>
      <c r="AB487" s="39">
        <v>0.47911074701566697</v>
      </c>
      <c r="AC487" s="39">
        <v>0.48267665612786415</v>
      </c>
      <c r="AD487" s="39">
        <v>0.48371166241031444</v>
      </c>
      <c r="AE487" s="39">
        <v>0.48245811264237448</v>
      </c>
      <c r="AF487" s="40">
        <v>0.4730748800168747</v>
      </c>
    </row>
    <row r="488" spans="1:32">
      <c r="A488" s="15">
        <v>486</v>
      </c>
      <c r="B488" s="16">
        <v>0</v>
      </c>
      <c r="C488" s="20">
        <v>0.02</v>
      </c>
      <c r="D488" s="20">
        <v>0.99835916395484214</v>
      </c>
      <c r="E488" s="20">
        <v>1</v>
      </c>
      <c r="F488" s="8" t="s">
        <v>436</v>
      </c>
      <c r="G488" s="24">
        <v>1.0313884209270041</v>
      </c>
      <c r="H488" s="24">
        <v>1.0373598966149569</v>
      </c>
      <c r="I488" s="25">
        <v>1.0555019053774262</v>
      </c>
      <c r="L488" s="15">
        <v>486</v>
      </c>
      <c r="M488" s="16">
        <v>0</v>
      </c>
      <c r="N488" s="16">
        <v>1</v>
      </c>
      <c r="O488" s="16">
        <v>13</v>
      </c>
      <c r="P488" s="16">
        <v>227</v>
      </c>
      <c r="Q488" s="29">
        <v>84</v>
      </c>
      <c r="R488" s="20">
        <v>0.64780000000000004</v>
      </c>
      <c r="S488" s="32">
        <v>54.415200000000006</v>
      </c>
      <c r="T488" s="35">
        <v>2.44</v>
      </c>
      <c r="U488" s="35">
        <v>1.28</v>
      </c>
      <c r="V488" s="35">
        <v>2.9047619047619048E-2</v>
      </c>
      <c r="W488" s="9" t="s">
        <v>154</v>
      </c>
      <c r="X488" s="15">
        <v>487</v>
      </c>
      <c r="Y488" s="39">
        <v>0.49449893321485233</v>
      </c>
      <c r="Z488" s="39">
        <v>0.47509353714427649</v>
      </c>
      <c r="AA488" s="39">
        <v>0.48779239927470358</v>
      </c>
      <c r="AB488" s="39">
        <v>0.48623168121180071</v>
      </c>
      <c r="AC488" s="39">
        <v>0.48952225400403326</v>
      </c>
      <c r="AD488" s="39">
        <v>0.47010359003831736</v>
      </c>
      <c r="AE488" s="39">
        <v>0.48255992562954902</v>
      </c>
      <c r="AF488" s="40">
        <v>0.48256490897565563</v>
      </c>
    </row>
    <row r="489" spans="1:32">
      <c r="A489" s="15">
        <v>487</v>
      </c>
      <c r="B489" s="16">
        <v>1</v>
      </c>
      <c r="C489" s="20">
        <v>0.02</v>
      </c>
      <c r="D489" s="20">
        <v>0.99835916395484214</v>
      </c>
      <c r="E489" s="20">
        <v>1</v>
      </c>
      <c r="F489" s="8" t="s">
        <v>436</v>
      </c>
      <c r="G489" s="24">
        <v>1.2252296638351639</v>
      </c>
      <c r="H489" s="24">
        <v>1.232323430840202</v>
      </c>
      <c r="I489" s="25">
        <v>1.2538750857224201</v>
      </c>
      <c r="L489" s="15">
        <v>487</v>
      </c>
      <c r="M489" s="16">
        <v>0</v>
      </c>
      <c r="N489" s="16">
        <v>1</v>
      </c>
      <c r="O489" s="16">
        <v>13</v>
      </c>
      <c r="P489" s="16">
        <v>228</v>
      </c>
      <c r="Q489" s="29">
        <v>73</v>
      </c>
      <c r="R489" s="20">
        <v>0.64780000000000004</v>
      </c>
      <c r="S489" s="32">
        <v>47.289400000000001</v>
      </c>
      <c r="T489" s="35">
        <v>3.8200000000000003</v>
      </c>
      <c r="U489" s="35">
        <v>2.63</v>
      </c>
      <c r="V489" s="35">
        <v>5.2328767123287677E-2</v>
      </c>
      <c r="W489" s="9" t="s">
        <v>155</v>
      </c>
      <c r="X489" s="15">
        <v>488</v>
      </c>
      <c r="Y489" s="39">
        <v>0.47789258255920625</v>
      </c>
      <c r="Z489" s="39">
        <v>0.49343167768394958</v>
      </c>
      <c r="AA489" s="39">
        <v>0.48890629669594954</v>
      </c>
      <c r="AB489" s="39">
        <v>0.48422731288041332</v>
      </c>
      <c r="AC489" s="39">
        <v>0.47108745333292529</v>
      </c>
      <c r="AD489" s="39">
        <v>0.48651601743372913</v>
      </c>
      <c r="AE489" s="39">
        <v>0.48094698006862596</v>
      </c>
      <c r="AF489" s="40">
        <v>0.47982340300073728</v>
      </c>
    </row>
    <row r="490" spans="1:32">
      <c r="A490" s="15">
        <v>488</v>
      </c>
      <c r="B490" s="16">
        <v>0</v>
      </c>
      <c r="C490" s="20">
        <v>0.91</v>
      </c>
      <c r="D490" s="20">
        <v>0.21727233298780477</v>
      </c>
      <c r="E490" s="20">
        <v>0.09</v>
      </c>
      <c r="F490" s="8" t="s">
        <v>434</v>
      </c>
      <c r="G490" s="24">
        <v>0.54659002017887726</v>
      </c>
      <c r="H490" s="24">
        <v>0.54975463687473103</v>
      </c>
      <c r="I490" s="25">
        <v>0.55936909514705757</v>
      </c>
      <c r="L490" s="15">
        <v>488</v>
      </c>
      <c r="M490" s="16">
        <v>0</v>
      </c>
      <c r="N490" s="16">
        <v>1</v>
      </c>
      <c r="O490" s="16">
        <v>13</v>
      </c>
      <c r="P490" s="16">
        <v>229</v>
      </c>
      <c r="Q490" s="29">
        <v>75</v>
      </c>
      <c r="R490" s="20">
        <v>0.64780000000000004</v>
      </c>
      <c r="S490" s="32">
        <v>48.585000000000001</v>
      </c>
      <c r="T490" s="35">
        <v>2.08</v>
      </c>
      <c r="U490" s="35">
        <v>1.03</v>
      </c>
      <c r="V490" s="35">
        <v>2.7733333333333336E-2</v>
      </c>
      <c r="W490" s="9" t="s">
        <v>154</v>
      </c>
      <c r="X490" s="15">
        <v>489</v>
      </c>
      <c r="Y490" s="39">
        <v>0.49637286434919892</v>
      </c>
      <c r="Z490" s="39">
        <v>0.48395319760815536</v>
      </c>
      <c r="AA490" s="39">
        <v>0.48462802101544467</v>
      </c>
      <c r="AB490" s="39">
        <v>0.50068990706131078</v>
      </c>
      <c r="AC490" s="39">
        <v>0.48839753976256695</v>
      </c>
      <c r="AD490" s="39">
        <v>0.47768161941032877</v>
      </c>
      <c r="AE490" s="39">
        <v>0.47527439374956965</v>
      </c>
      <c r="AF490" s="40">
        <v>0.49666445219223365</v>
      </c>
    </row>
    <row r="491" spans="1:32">
      <c r="A491" s="15">
        <v>489</v>
      </c>
      <c r="B491" s="16">
        <v>1</v>
      </c>
      <c r="C491" s="20">
        <v>0.02</v>
      </c>
      <c r="D491" s="20">
        <v>0.99756714174924133</v>
      </c>
      <c r="E491" s="20">
        <v>1</v>
      </c>
      <c r="F491" s="8" t="s">
        <v>436</v>
      </c>
      <c r="G491" s="24">
        <v>1.0965095700351308</v>
      </c>
      <c r="H491" s="24">
        <v>1.1028580805537842</v>
      </c>
      <c r="I491" s="25">
        <v>1.1221455631588626</v>
      </c>
      <c r="L491" s="15">
        <v>489</v>
      </c>
      <c r="M491" s="16">
        <v>0</v>
      </c>
      <c r="N491" s="16">
        <v>1</v>
      </c>
      <c r="O491" s="16">
        <v>13</v>
      </c>
      <c r="P491" s="16">
        <v>230</v>
      </c>
      <c r="Q491" s="29">
        <v>75</v>
      </c>
      <c r="R491" s="20">
        <v>0.64780000000000004</v>
      </c>
      <c r="S491" s="32">
        <v>48.585000000000001</v>
      </c>
      <c r="T491" s="35">
        <v>6.1099999999999994</v>
      </c>
      <c r="U491" s="35">
        <v>4.97</v>
      </c>
      <c r="V491" s="35">
        <v>8.1466666666666659E-2</v>
      </c>
      <c r="W491" s="9" t="s">
        <v>156</v>
      </c>
      <c r="X491" s="15">
        <v>490</v>
      </c>
      <c r="Y491" s="39">
        <v>0.48877664913358226</v>
      </c>
      <c r="Z491" s="39">
        <v>0.47571778285226757</v>
      </c>
      <c r="AA491" s="39">
        <v>0.49609291949331558</v>
      </c>
      <c r="AB491" s="39">
        <v>0.48121786901769908</v>
      </c>
      <c r="AC491" s="39">
        <v>0.48225222797490208</v>
      </c>
      <c r="AD491" s="39">
        <v>0.47090524026159813</v>
      </c>
      <c r="AE491" s="39">
        <v>0.48802934497205075</v>
      </c>
      <c r="AF491" s="40">
        <v>0.47990424278255328</v>
      </c>
    </row>
    <row r="492" spans="1:32">
      <c r="A492" s="15">
        <v>490</v>
      </c>
      <c r="B492" s="16">
        <v>0</v>
      </c>
      <c r="C492" s="20">
        <v>0.87</v>
      </c>
      <c r="D492" s="20">
        <v>0.27276032039195819</v>
      </c>
      <c r="E492" s="20">
        <v>0.13</v>
      </c>
      <c r="F492" s="8" t="s">
        <v>434</v>
      </c>
      <c r="G492" s="24">
        <v>1.182728219690375</v>
      </c>
      <c r="H492" s="24">
        <v>1.1895759141826101</v>
      </c>
      <c r="I492" s="25">
        <v>1.2103799733419682</v>
      </c>
      <c r="L492" s="15">
        <v>490</v>
      </c>
      <c r="M492" s="16">
        <v>0</v>
      </c>
      <c r="N492" s="16">
        <v>1</v>
      </c>
      <c r="O492" s="16">
        <v>13</v>
      </c>
      <c r="P492" s="16">
        <v>231</v>
      </c>
      <c r="Q492" s="29">
        <v>62</v>
      </c>
      <c r="R492" s="20">
        <v>0.64780000000000004</v>
      </c>
      <c r="S492" s="32">
        <v>40.163600000000002</v>
      </c>
      <c r="T492" s="35">
        <v>3.17</v>
      </c>
      <c r="U492" s="35">
        <v>2.25</v>
      </c>
      <c r="V492" s="35">
        <v>5.1129032258064512E-2</v>
      </c>
      <c r="W492" s="9" t="s">
        <v>155</v>
      </c>
      <c r="X492" s="15">
        <v>491</v>
      </c>
      <c r="Y492" s="39">
        <v>0.49023100519863499</v>
      </c>
      <c r="Z492" s="39">
        <v>0.49173527159776675</v>
      </c>
      <c r="AA492" s="39">
        <v>0.49559579982089436</v>
      </c>
      <c r="AB492" s="39">
        <v>0.49134642564961034</v>
      </c>
      <c r="AC492" s="39">
        <v>0.48466600002532528</v>
      </c>
      <c r="AD492" s="39">
        <v>0.4824935124590784</v>
      </c>
      <c r="AE492" s="39">
        <v>0.48964011895025655</v>
      </c>
      <c r="AF492" s="40">
        <v>0.487409318056295</v>
      </c>
    </row>
    <row r="493" spans="1:32">
      <c r="A493" s="15">
        <v>491</v>
      </c>
      <c r="B493" s="16">
        <v>0</v>
      </c>
      <c r="C493" s="20">
        <v>0.86</v>
      </c>
      <c r="D493" s="20">
        <v>0.28597383862931031</v>
      </c>
      <c r="E493" s="20">
        <v>0.14000000000000001</v>
      </c>
      <c r="F493" s="8" t="s">
        <v>434</v>
      </c>
      <c r="G493" s="24">
        <v>0.63501315758802335</v>
      </c>
      <c r="H493" s="24">
        <v>0.63868972167884264</v>
      </c>
      <c r="I493" s="25">
        <v>0.64985953320231382</v>
      </c>
      <c r="L493" s="15">
        <v>491</v>
      </c>
      <c r="M493" s="16">
        <v>0</v>
      </c>
      <c r="N493" s="16">
        <v>1</v>
      </c>
      <c r="O493" s="16">
        <v>13</v>
      </c>
      <c r="P493" s="16">
        <v>232</v>
      </c>
      <c r="Q493" s="29">
        <v>85</v>
      </c>
      <c r="R493" s="20">
        <v>0.64780000000000004</v>
      </c>
      <c r="S493" s="32">
        <v>55.063000000000002</v>
      </c>
      <c r="T493" s="35">
        <v>3.45</v>
      </c>
      <c r="U493" s="35">
        <v>2.2799999999999998</v>
      </c>
      <c r="V493" s="35">
        <v>4.0588235294117647E-2</v>
      </c>
      <c r="W493" s="9" t="s">
        <v>155</v>
      </c>
      <c r="X493" s="15">
        <v>492</v>
      </c>
      <c r="Y493" s="39">
        <v>0.48809920120830741</v>
      </c>
      <c r="Z493" s="39">
        <v>0.4903894962306245</v>
      </c>
      <c r="AA493" s="39">
        <v>0.46946956253178929</v>
      </c>
      <c r="AB493" s="39">
        <v>0.48668079360007255</v>
      </c>
      <c r="AC493" s="39">
        <v>0.48064619554295823</v>
      </c>
      <c r="AD493" s="39">
        <v>0.48422447162369786</v>
      </c>
      <c r="AE493" s="39">
        <v>0.46490636939842211</v>
      </c>
      <c r="AF493" s="40">
        <v>0.48186258804345306</v>
      </c>
    </row>
    <row r="494" spans="1:32">
      <c r="A494" s="15">
        <v>492</v>
      </c>
      <c r="B494" s="16">
        <v>1</v>
      </c>
      <c r="C494" s="20">
        <v>0.95</v>
      </c>
      <c r="D494" s="20">
        <v>0.15570568692893463</v>
      </c>
      <c r="E494" s="20">
        <v>0.05</v>
      </c>
      <c r="F494" s="8" t="s">
        <v>434</v>
      </c>
      <c r="G494" s="24">
        <v>0.57073770921890299</v>
      </c>
      <c r="H494" s="24">
        <v>0.57404213487042943</v>
      </c>
      <c r="I494" s="25">
        <v>0.58408134833417436</v>
      </c>
      <c r="L494" s="15">
        <v>492</v>
      </c>
      <c r="M494" s="16">
        <v>0</v>
      </c>
      <c r="N494" s="16">
        <v>1</v>
      </c>
      <c r="O494" s="16">
        <v>13</v>
      </c>
      <c r="P494" s="16">
        <v>233</v>
      </c>
      <c r="Q494" s="29">
        <v>64</v>
      </c>
      <c r="R494" s="20">
        <v>0.64780000000000004</v>
      </c>
      <c r="S494" s="32">
        <v>41.459200000000003</v>
      </c>
      <c r="T494" s="35">
        <v>5.9</v>
      </c>
      <c r="U494" s="35">
        <v>5.05</v>
      </c>
      <c r="V494" s="35">
        <v>9.2187500000000006E-2</v>
      </c>
      <c r="W494" s="9" t="s">
        <v>156</v>
      </c>
      <c r="X494" s="15">
        <v>493</v>
      </c>
      <c r="Y494" s="39">
        <v>0.48319283303369387</v>
      </c>
      <c r="Z494" s="39">
        <v>0.48677087066137653</v>
      </c>
      <c r="AA494" s="39">
        <v>0.48217941251943303</v>
      </c>
      <c r="AB494" s="39">
        <v>0.48134792874238841</v>
      </c>
      <c r="AC494" s="39">
        <v>0.47914149681555562</v>
      </c>
      <c r="AD494" s="39">
        <v>0.47909739120336059</v>
      </c>
      <c r="AE494" s="39">
        <v>0.47469649040700429</v>
      </c>
      <c r="AF494" s="40">
        <v>0.47669733653532192</v>
      </c>
    </row>
    <row r="495" spans="1:32">
      <c r="A495" s="15">
        <v>493</v>
      </c>
      <c r="B495" s="16">
        <v>1</v>
      </c>
      <c r="C495" s="20">
        <v>0.78</v>
      </c>
      <c r="D495" s="20">
        <v>0.38492729313249729</v>
      </c>
      <c r="E495" s="20">
        <v>0.22</v>
      </c>
      <c r="F495" s="8" t="s">
        <v>438</v>
      </c>
      <c r="G495" s="24">
        <v>0.58140795222944841</v>
      </c>
      <c r="H495" s="24">
        <v>0.58477415586435066</v>
      </c>
      <c r="I495" s="25">
        <v>0.59500105772779766</v>
      </c>
      <c r="L495" s="15">
        <v>493</v>
      </c>
      <c r="M495" s="16">
        <v>0</v>
      </c>
      <c r="N495" s="16">
        <v>1</v>
      </c>
      <c r="O495" s="16">
        <v>13</v>
      </c>
      <c r="P495" s="16">
        <v>234</v>
      </c>
      <c r="Q495" s="29">
        <v>85</v>
      </c>
      <c r="R495" s="20">
        <v>0.64780000000000004</v>
      </c>
      <c r="S495" s="32">
        <v>55.063000000000002</v>
      </c>
      <c r="T495" s="35">
        <v>5.12</v>
      </c>
      <c r="U495" s="35">
        <v>3.86</v>
      </c>
      <c r="V495" s="35">
        <v>6.023529411764706E-2</v>
      </c>
      <c r="W495" s="9" t="s">
        <v>156</v>
      </c>
      <c r="X495" s="15">
        <v>494</v>
      </c>
      <c r="Y495" s="39">
        <v>0.49928462021430547</v>
      </c>
      <c r="Z495" s="39">
        <v>0.48881483373244095</v>
      </c>
      <c r="AA495" s="39">
        <v>0.48485436140682503</v>
      </c>
      <c r="AB495" s="39">
        <v>0.5013388872509934</v>
      </c>
      <c r="AC495" s="39">
        <v>0.49376656027664639</v>
      </c>
      <c r="AD495" s="39">
        <v>0.48050352701317323</v>
      </c>
      <c r="AE495" s="39">
        <v>0.48085481279374404</v>
      </c>
      <c r="AF495" s="40">
        <v>0.497633142489881</v>
      </c>
    </row>
    <row r="496" spans="1:32">
      <c r="A496" s="15">
        <v>494</v>
      </c>
      <c r="B496" s="16">
        <v>0</v>
      </c>
      <c r="C496" s="20">
        <v>0.92</v>
      </c>
      <c r="D496" s="20">
        <v>0.20258497911151899</v>
      </c>
      <c r="E496" s="20">
        <v>0.08</v>
      </c>
      <c r="F496" s="8" t="s">
        <v>434</v>
      </c>
      <c r="G496" s="24">
        <v>0.91290512677931479</v>
      </c>
      <c r="H496" s="24">
        <v>0.91819061443785432</v>
      </c>
      <c r="I496" s="25">
        <v>0.9342485151019394</v>
      </c>
      <c r="L496" s="15">
        <v>494</v>
      </c>
      <c r="M496" s="16">
        <v>0</v>
      </c>
      <c r="N496" s="16">
        <v>1</v>
      </c>
      <c r="O496" s="16">
        <v>13</v>
      </c>
      <c r="P496" s="16">
        <v>235</v>
      </c>
      <c r="Q496" s="29">
        <v>71</v>
      </c>
      <c r="R496" s="20">
        <v>0.64780000000000004</v>
      </c>
      <c r="S496" s="32">
        <v>45.9938</v>
      </c>
      <c r="T496" s="35">
        <v>2.27</v>
      </c>
      <c r="U496" s="35">
        <v>1.1299999999999999</v>
      </c>
      <c r="V496" s="35">
        <v>3.1971830985915495E-2</v>
      </c>
      <c r="W496" s="9" t="s">
        <v>154</v>
      </c>
      <c r="X496" s="15">
        <v>495</v>
      </c>
      <c r="Y496" s="39">
        <v>0.48478117015832839</v>
      </c>
      <c r="Z496" s="39">
        <v>0.47925098884953748</v>
      </c>
      <c r="AA496" s="39">
        <v>0.48915981092450017</v>
      </c>
      <c r="AB496" s="39">
        <v>0.49750791924747345</v>
      </c>
      <c r="AC496" s="39">
        <v>0.47793300096849967</v>
      </c>
      <c r="AD496" s="39">
        <v>0.47461373559362807</v>
      </c>
      <c r="AE496" s="39">
        <v>0.48314543420902561</v>
      </c>
      <c r="AF496" s="40">
        <v>0.49436117287471604</v>
      </c>
    </row>
    <row r="497" spans="1:32">
      <c r="A497" s="15">
        <v>495</v>
      </c>
      <c r="B497" s="16">
        <v>0</v>
      </c>
      <c r="C497" s="20">
        <v>0.93</v>
      </c>
      <c r="D497" s="20">
        <v>0.18747949848141848</v>
      </c>
      <c r="E497" s="20">
        <v>7.0000000000000007E-2</v>
      </c>
      <c r="F497" s="8" t="s">
        <v>434</v>
      </c>
      <c r="G497" s="24">
        <v>1.9118197282287224</v>
      </c>
      <c r="H497" s="24">
        <v>1.9228886764496123</v>
      </c>
      <c r="I497" s="25">
        <v>1.6578926537592125</v>
      </c>
      <c r="L497" s="15">
        <v>495</v>
      </c>
      <c r="M497" s="16">
        <v>0</v>
      </c>
      <c r="N497" s="16">
        <v>1</v>
      </c>
      <c r="O497" s="16">
        <v>13</v>
      </c>
      <c r="P497" s="16">
        <v>236</v>
      </c>
      <c r="Q497" s="29">
        <v>88</v>
      </c>
      <c r="R497" s="20">
        <v>0.64780000000000004</v>
      </c>
      <c r="S497" s="32">
        <v>57.006400000000006</v>
      </c>
      <c r="T497" s="35">
        <v>4.1399999999999997</v>
      </c>
      <c r="U497" s="35">
        <v>2.85</v>
      </c>
      <c r="V497" s="35">
        <v>4.7045454545454543E-2</v>
      </c>
      <c r="W497" s="9" t="s">
        <v>155</v>
      </c>
      <c r="X497" s="15">
        <v>496</v>
      </c>
      <c r="Y497" s="39">
        <v>0.47077874654972213</v>
      </c>
      <c r="Z497" s="39">
        <v>0.48291211564330289</v>
      </c>
      <c r="AA497" s="39">
        <v>0.47757461323118483</v>
      </c>
      <c r="AB497" s="39">
        <v>0.48888383066768187</v>
      </c>
      <c r="AC497" s="39">
        <v>0.4658849651993584</v>
      </c>
      <c r="AD497" s="39">
        <v>0.47497406913822426</v>
      </c>
      <c r="AE497" s="39">
        <v>0.47057789568179298</v>
      </c>
      <c r="AF497" s="40">
        <v>0.48670629797707199</v>
      </c>
    </row>
    <row r="498" spans="1:32">
      <c r="A498" s="15">
        <v>496</v>
      </c>
      <c r="B498" s="16">
        <v>0</v>
      </c>
      <c r="C498" s="20">
        <v>0.02</v>
      </c>
      <c r="D498" s="20">
        <v>0.99756714174924133</v>
      </c>
      <c r="E498" s="20">
        <v>1</v>
      </c>
      <c r="F498" s="8" t="s">
        <v>436</v>
      </c>
      <c r="G498" s="24">
        <v>1.1330183230707063</v>
      </c>
      <c r="H498" s="24">
        <v>1.1395782099503173</v>
      </c>
      <c r="I498" s="25">
        <v>1.1595078775014733</v>
      </c>
      <c r="L498" s="15">
        <v>496</v>
      </c>
      <c r="M498" s="16">
        <v>0</v>
      </c>
      <c r="N498" s="16">
        <v>1</v>
      </c>
      <c r="O498" s="16">
        <v>13</v>
      </c>
      <c r="P498" s="16">
        <v>237</v>
      </c>
      <c r="Q498" s="29">
        <v>81</v>
      </c>
      <c r="R498" s="20">
        <v>0.64780000000000004</v>
      </c>
      <c r="S498" s="32">
        <v>52.471800000000002</v>
      </c>
      <c r="T498" s="35">
        <v>4</v>
      </c>
      <c r="U498" s="35">
        <v>2.81</v>
      </c>
      <c r="V498" s="35">
        <v>4.9382716049382713E-2</v>
      </c>
      <c r="W498" s="9" t="s">
        <v>155</v>
      </c>
      <c r="X498" s="15">
        <v>497</v>
      </c>
      <c r="Y498" s="39">
        <v>0.4960186134110201</v>
      </c>
      <c r="Z498" s="39">
        <v>0.49195894572554344</v>
      </c>
      <c r="AA498" s="39">
        <v>0.47441360374242636</v>
      </c>
      <c r="AB498" s="39">
        <v>0.48641399362926085</v>
      </c>
      <c r="AC498" s="39">
        <v>0.48847874091930849</v>
      </c>
      <c r="AD498" s="39">
        <v>0.48312230389422284</v>
      </c>
      <c r="AE498" s="39">
        <v>0.46752073451627324</v>
      </c>
      <c r="AF498" s="40">
        <v>0.48459159872411089</v>
      </c>
    </row>
    <row r="499" spans="1:32">
      <c r="A499" s="15">
        <v>497</v>
      </c>
      <c r="B499" s="16">
        <v>0</v>
      </c>
      <c r="C499" s="20">
        <v>0.02</v>
      </c>
      <c r="D499" s="20">
        <v>0.99679477127711513</v>
      </c>
      <c r="E499" s="20">
        <v>1</v>
      </c>
      <c r="F499" s="8" t="s">
        <v>436</v>
      </c>
      <c r="G499" s="24">
        <v>0.93712839533625003</v>
      </c>
      <c r="H499" s="24">
        <v>0.94255412953657292</v>
      </c>
      <c r="I499" s="25">
        <v>0.95903811482745716</v>
      </c>
      <c r="L499" s="15">
        <v>497</v>
      </c>
      <c r="M499" s="16">
        <v>0</v>
      </c>
      <c r="N499" s="16">
        <v>1</v>
      </c>
      <c r="O499" s="16">
        <v>13</v>
      </c>
      <c r="P499" s="16">
        <v>238</v>
      </c>
      <c r="Q499" s="29">
        <v>74</v>
      </c>
      <c r="R499" s="20">
        <v>0.64780000000000004</v>
      </c>
      <c r="S499" s="32">
        <v>47.937200000000004</v>
      </c>
      <c r="T499" s="35">
        <v>6.23</v>
      </c>
      <c r="U499" s="35">
        <v>5.21</v>
      </c>
      <c r="V499" s="35">
        <v>8.418918918918919E-2</v>
      </c>
      <c r="W499" s="9" t="s">
        <v>156</v>
      </c>
      <c r="X499" s="15">
        <v>498</v>
      </c>
      <c r="Y499" s="39">
        <v>0.48643400827406008</v>
      </c>
      <c r="Z499" s="39">
        <v>0.48622170059817088</v>
      </c>
      <c r="AA499" s="39">
        <v>0.46651521563553855</v>
      </c>
      <c r="AB499" s="39">
        <v>0.49329944319374441</v>
      </c>
      <c r="AC499" s="39">
        <v>0.47870058800404464</v>
      </c>
      <c r="AD499" s="39">
        <v>0.47758667205712585</v>
      </c>
      <c r="AE499" s="39">
        <v>0.45934272073728294</v>
      </c>
      <c r="AF499" s="40">
        <v>0.48833841812968343</v>
      </c>
    </row>
    <row r="500" spans="1:32">
      <c r="A500" s="15">
        <v>498</v>
      </c>
      <c r="B500" s="16">
        <v>0</v>
      </c>
      <c r="C500" s="20">
        <v>0.91</v>
      </c>
      <c r="D500" s="20">
        <v>0.21727233298780477</v>
      </c>
      <c r="E500" s="20">
        <v>0.09</v>
      </c>
      <c r="F500" s="8" t="s">
        <v>434</v>
      </c>
      <c r="G500" s="24">
        <v>0.45514480184307254</v>
      </c>
      <c r="H500" s="24">
        <v>0.45777997406680299</v>
      </c>
      <c r="I500" s="25">
        <v>0.46578592101723298</v>
      </c>
      <c r="L500" s="15">
        <v>498</v>
      </c>
      <c r="M500" s="16">
        <v>0</v>
      </c>
      <c r="N500" s="16">
        <v>1</v>
      </c>
      <c r="O500" s="16">
        <v>13</v>
      </c>
      <c r="P500" s="16">
        <v>239</v>
      </c>
      <c r="Q500" s="29">
        <v>61</v>
      </c>
      <c r="R500" s="20">
        <v>0.64780000000000004</v>
      </c>
      <c r="S500" s="32">
        <v>39.515800000000006</v>
      </c>
      <c r="T500" s="35">
        <v>3.29</v>
      </c>
      <c r="U500" s="35">
        <v>2.2200000000000002</v>
      </c>
      <c r="V500" s="35">
        <v>5.3934426229508198E-2</v>
      </c>
      <c r="W500" s="9" t="s">
        <v>155</v>
      </c>
      <c r="X500" s="15">
        <v>499</v>
      </c>
      <c r="Y500" s="39">
        <v>0.49127064934265091</v>
      </c>
      <c r="Z500" s="39">
        <v>0.48948631002000226</v>
      </c>
      <c r="AA500" s="39">
        <v>0.49559730286286274</v>
      </c>
      <c r="AB500" s="39">
        <v>0.49361173331699049</v>
      </c>
      <c r="AC500" s="39">
        <v>0.48240923198019664</v>
      </c>
      <c r="AD500" s="39">
        <v>0.48099814932223561</v>
      </c>
      <c r="AE500" s="39">
        <v>0.48925084849083056</v>
      </c>
      <c r="AF500" s="40">
        <v>0.4896686880147687</v>
      </c>
    </row>
    <row r="501" spans="1:32">
      <c r="A501" s="15">
        <v>499</v>
      </c>
      <c r="B501" s="16">
        <v>1</v>
      </c>
      <c r="C501" s="20">
        <v>0.02</v>
      </c>
      <c r="D501" s="20">
        <v>0.99917029198757767</v>
      </c>
      <c r="E501" s="20">
        <v>1</v>
      </c>
      <c r="F501" s="8" t="s">
        <v>436</v>
      </c>
      <c r="G501" s="24">
        <v>1.1484977338629538</v>
      </c>
      <c r="H501" s="24">
        <v>1.1551472425798226</v>
      </c>
      <c r="I501" s="25">
        <v>1.1753491912624445</v>
      </c>
      <c r="L501" s="15">
        <v>499</v>
      </c>
      <c r="M501" s="16">
        <v>0</v>
      </c>
      <c r="N501" s="16">
        <v>1</v>
      </c>
      <c r="O501" s="16">
        <v>13</v>
      </c>
      <c r="P501" s="16">
        <v>240</v>
      </c>
      <c r="Q501" s="29">
        <v>83</v>
      </c>
      <c r="R501" s="20">
        <v>0.64780000000000004</v>
      </c>
      <c r="S501" s="32">
        <v>53.767400000000002</v>
      </c>
      <c r="T501" s="35">
        <v>6.03</v>
      </c>
      <c r="U501" s="35">
        <v>4.97</v>
      </c>
      <c r="V501" s="35">
        <v>7.2650602409638554E-2</v>
      </c>
      <c r="W501" s="9" t="s">
        <v>156</v>
      </c>
      <c r="X501" s="15">
        <v>500</v>
      </c>
      <c r="Y501" s="39">
        <v>0.49035315891006015</v>
      </c>
      <c r="Z501" s="39">
        <v>0.48688364003576268</v>
      </c>
      <c r="AA501" s="39">
        <v>0.48493885093577827</v>
      </c>
      <c r="AB501" s="39">
        <v>0.49062522366401184</v>
      </c>
      <c r="AC501" s="39">
        <v>0.48380247626217004</v>
      </c>
      <c r="AD501" s="39">
        <v>0.48043135689868788</v>
      </c>
      <c r="AE501" s="39">
        <v>0.47646456012651939</v>
      </c>
      <c r="AF501" s="40">
        <v>0.48702156831628957</v>
      </c>
    </row>
    <row r="502" spans="1:32">
      <c r="A502" s="15">
        <v>500</v>
      </c>
      <c r="B502" s="16">
        <v>0</v>
      </c>
      <c r="C502" s="20">
        <v>0.02</v>
      </c>
      <c r="D502" s="20">
        <v>0.99756714174924133</v>
      </c>
      <c r="E502" s="20">
        <v>1</v>
      </c>
      <c r="F502" s="8" t="s">
        <v>436</v>
      </c>
      <c r="G502" s="24">
        <v>1.1415978070942396</v>
      </c>
      <c r="H502" s="24">
        <v>1.1482073669963728</v>
      </c>
      <c r="I502" s="25">
        <v>1.1682879467268537</v>
      </c>
      <c r="L502" s="15">
        <v>500</v>
      </c>
      <c r="M502" s="16">
        <v>0</v>
      </c>
      <c r="N502" s="16">
        <v>1</v>
      </c>
      <c r="O502" s="16">
        <v>13</v>
      </c>
      <c r="P502" s="16">
        <v>241</v>
      </c>
      <c r="Q502" s="29">
        <v>80</v>
      </c>
      <c r="R502" s="20">
        <v>0.64780000000000004</v>
      </c>
      <c r="S502" s="32">
        <v>51.824000000000005</v>
      </c>
      <c r="T502" s="35">
        <v>2.5499999999999998</v>
      </c>
      <c r="U502" s="35">
        <v>1.41</v>
      </c>
      <c r="V502" s="35">
        <v>3.1875000000000001E-2</v>
      </c>
      <c r="W502" s="9" t="s">
        <v>154</v>
      </c>
      <c r="X502" s="15">
        <v>501</v>
      </c>
      <c r="Y502" s="39">
        <v>0.49204001294473132</v>
      </c>
      <c r="Z502" s="39">
        <v>0.48426205274600825</v>
      </c>
      <c r="AA502" s="39">
        <v>0.47532939463223467</v>
      </c>
      <c r="AB502" s="39">
        <v>0.47773591731052251</v>
      </c>
      <c r="AC502" s="39">
        <v>0.48013608575179489</v>
      </c>
      <c r="AD502" s="39">
        <v>0.47625668786059222</v>
      </c>
      <c r="AE502" s="39">
        <v>0.46535794262018582</v>
      </c>
      <c r="AF502" s="40">
        <v>0.47505162403069784</v>
      </c>
    </row>
    <row r="503" spans="1:32">
      <c r="A503" s="15">
        <v>501</v>
      </c>
      <c r="B503" s="16">
        <v>1</v>
      </c>
      <c r="C503" s="20">
        <v>0.02</v>
      </c>
      <c r="D503" s="20">
        <v>0.99835916395484214</v>
      </c>
      <c r="E503" s="20">
        <v>1</v>
      </c>
      <c r="F503" s="8" t="s">
        <v>436</v>
      </c>
      <c r="G503" s="24">
        <v>0.98508924826425381</v>
      </c>
      <c r="H503" s="24">
        <v>0.99079266356068174</v>
      </c>
      <c r="I503" s="25">
        <v>1.0081202749738112</v>
      </c>
      <c r="L503" s="15">
        <v>501</v>
      </c>
      <c r="M503" s="16">
        <v>0</v>
      </c>
      <c r="N503" s="16">
        <v>1</v>
      </c>
      <c r="O503" s="16">
        <v>13</v>
      </c>
      <c r="P503" s="16">
        <v>242</v>
      </c>
      <c r="Q503" s="29">
        <v>66</v>
      </c>
      <c r="R503" s="20">
        <v>0.64780000000000004</v>
      </c>
      <c r="S503" s="32">
        <v>42.754800000000003</v>
      </c>
      <c r="T503" s="35">
        <v>2.23</v>
      </c>
      <c r="U503" s="35">
        <v>1.34</v>
      </c>
      <c r="V503" s="35">
        <v>3.378787878787879E-2</v>
      </c>
      <c r="W503" s="9" t="s">
        <v>154</v>
      </c>
      <c r="X503" s="15">
        <v>502</v>
      </c>
      <c r="Y503" s="39">
        <v>0.48483544616851326</v>
      </c>
      <c r="Z503" s="39">
        <v>0.48498055801253181</v>
      </c>
      <c r="AA503" s="39">
        <v>0.47821308388373562</v>
      </c>
      <c r="AB503" s="39">
        <v>0.47849092862031406</v>
      </c>
      <c r="AC503" s="39">
        <v>0.47539258064790624</v>
      </c>
      <c r="AD503" s="39">
        <v>0.47982013659530698</v>
      </c>
      <c r="AE503" s="39">
        <v>0.47247628686480109</v>
      </c>
      <c r="AF503" s="40">
        <v>0.47222966803307953</v>
      </c>
    </row>
    <row r="504" spans="1:32">
      <c r="A504" s="15">
        <v>502</v>
      </c>
      <c r="B504" s="16">
        <v>1</v>
      </c>
      <c r="C504" s="20">
        <v>0.84</v>
      </c>
      <c r="D504" s="20">
        <v>0.31176052336924964</v>
      </c>
      <c r="E504" s="20">
        <v>0.16</v>
      </c>
      <c r="F504" s="8" t="s">
        <v>434</v>
      </c>
      <c r="G504" s="24">
        <v>0.5755010765546793</v>
      </c>
      <c r="H504" s="24">
        <v>0.57883308088719665</v>
      </c>
      <c r="I504" s="25">
        <v>0.58895608145790446</v>
      </c>
      <c r="L504" s="15">
        <v>502</v>
      </c>
      <c r="M504" s="16">
        <v>0</v>
      </c>
      <c r="N504" s="16">
        <v>1</v>
      </c>
      <c r="O504" s="16">
        <v>13</v>
      </c>
      <c r="P504" s="16">
        <v>243</v>
      </c>
      <c r="Q504" s="29">
        <v>67</v>
      </c>
      <c r="R504" s="20">
        <v>0.64780000000000004</v>
      </c>
      <c r="S504" s="32">
        <v>43.4026</v>
      </c>
      <c r="T504" s="35">
        <v>3.8200000000000003</v>
      </c>
      <c r="U504" s="35">
        <v>2.89</v>
      </c>
      <c r="V504" s="35">
        <v>5.701492537313433E-2</v>
      </c>
      <c r="W504" s="9" t="s">
        <v>155</v>
      </c>
      <c r="X504" s="15">
        <v>503</v>
      </c>
      <c r="Y504" s="39">
        <v>0.49658736334344461</v>
      </c>
      <c r="Z504" s="39">
        <v>0.49692287689511883</v>
      </c>
      <c r="AA504" s="39">
        <v>0.49792056311080263</v>
      </c>
      <c r="AB504" s="39">
        <v>0.48802231161124088</v>
      </c>
      <c r="AC504" s="39">
        <v>0.48992625231203057</v>
      </c>
      <c r="AD504" s="39">
        <v>0.48845479489041782</v>
      </c>
      <c r="AE504" s="39">
        <v>0.49068781758373708</v>
      </c>
      <c r="AF504" s="40">
        <v>0.48514752704014358</v>
      </c>
    </row>
    <row r="505" spans="1:32">
      <c r="A505" s="15">
        <v>503</v>
      </c>
      <c r="B505" s="16">
        <v>1</v>
      </c>
      <c r="C505" s="20">
        <v>0.35</v>
      </c>
      <c r="D505" s="20">
        <v>0.78409609467708896</v>
      </c>
      <c r="E505" s="20">
        <v>0.08</v>
      </c>
      <c r="F505" s="8" t="s">
        <v>436</v>
      </c>
      <c r="G505" s="24">
        <v>0.65732715899733618</v>
      </c>
      <c r="H505" s="24">
        <v>0.66113291546050823</v>
      </c>
      <c r="I505" s="25">
        <v>0.67269522781187274</v>
      </c>
      <c r="L505" s="15">
        <v>503</v>
      </c>
      <c r="M505" s="16">
        <v>0</v>
      </c>
      <c r="N505" s="16">
        <v>1</v>
      </c>
      <c r="O505" s="16">
        <v>13</v>
      </c>
      <c r="P505" s="16">
        <v>244</v>
      </c>
      <c r="Q505" s="29">
        <v>64</v>
      </c>
      <c r="R505" s="20">
        <v>0.64780000000000004</v>
      </c>
      <c r="S505" s="32">
        <v>41.459200000000003</v>
      </c>
      <c r="T505" s="35">
        <v>2.64</v>
      </c>
      <c r="U505" s="35">
        <v>1.77</v>
      </c>
      <c r="V505" s="35">
        <v>4.1250000000000002E-2</v>
      </c>
      <c r="W505" s="9" t="s">
        <v>154</v>
      </c>
      <c r="X505" s="15">
        <v>504</v>
      </c>
      <c r="Y505" s="39">
        <v>0.47777258276664308</v>
      </c>
      <c r="Z505" s="39">
        <v>0.49552040533260505</v>
      </c>
      <c r="AA505" s="39">
        <v>0.47838545416348544</v>
      </c>
      <c r="AB505" s="39">
        <v>0.5005777119572119</v>
      </c>
      <c r="AC505" s="39">
        <v>0.47079265827527345</v>
      </c>
      <c r="AD505" s="39">
        <v>0.48675449144183569</v>
      </c>
      <c r="AE505" s="39">
        <v>0.47219115703047626</v>
      </c>
      <c r="AF505" s="40">
        <v>0.49492927648233215</v>
      </c>
    </row>
    <row r="506" spans="1:32">
      <c r="A506" s="15">
        <v>504</v>
      </c>
      <c r="B506" s="16">
        <v>1</v>
      </c>
      <c r="C506" s="20">
        <v>0.02</v>
      </c>
      <c r="D506" s="20">
        <v>0.99917029198757767</v>
      </c>
      <c r="E506" s="20">
        <v>1</v>
      </c>
      <c r="F506" s="8" t="s">
        <v>436</v>
      </c>
      <c r="G506" s="24">
        <v>1.0134059177148751</v>
      </c>
      <c r="H506" s="24">
        <v>1.0192732792993913</v>
      </c>
      <c r="I506" s="25">
        <v>1.0370989778103334</v>
      </c>
      <c r="L506" s="15">
        <v>504</v>
      </c>
      <c r="M506" s="16">
        <v>0</v>
      </c>
      <c r="N506" s="16">
        <v>1</v>
      </c>
      <c r="O506" s="16">
        <v>13</v>
      </c>
      <c r="P506" s="16">
        <v>245</v>
      </c>
      <c r="Q506" s="29">
        <v>79</v>
      </c>
      <c r="R506" s="20">
        <v>0.64780000000000004</v>
      </c>
      <c r="S506" s="32">
        <v>51.176200000000001</v>
      </c>
      <c r="T506" s="35">
        <v>3.19</v>
      </c>
      <c r="U506" s="35">
        <v>1.79</v>
      </c>
      <c r="V506" s="35">
        <v>4.0379746835443035E-2</v>
      </c>
      <c r="W506" s="9" t="s">
        <v>155</v>
      </c>
      <c r="X506" s="15">
        <v>505</v>
      </c>
      <c r="Y506" s="39">
        <v>0.46807004970517968</v>
      </c>
      <c r="Z506" s="39">
        <v>0.49422414461001196</v>
      </c>
      <c r="AA506" s="39">
        <v>0.49326734148170609</v>
      </c>
      <c r="AB506" s="39">
        <v>0.50270694581790409</v>
      </c>
      <c r="AC506" s="39">
        <v>0.46463491713700905</v>
      </c>
      <c r="AD506" s="39">
        <v>0.48569665669674444</v>
      </c>
      <c r="AE506" s="39">
        <v>0.48725906095945437</v>
      </c>
      <c r="AF506" s="40">
        <v>0.49826973845361178</v>
      </c>
    </row>
    <row r="507" spans="1:32">
      <c r="A507" s="15">
        <v>505</v>
      </c>
      <c r="B507" s="16">
        <v>0</v>
      </c>
      <c r="C507" s="20">
        <v>0.08</v>
      </c>
      <c r="D507" s="20">
        <v>0.9431671254758639</v>
      </c>
      <c r="E507" s="20">
        <v>0.05</v>
      </c>
      <c r="F507" s="8" t="s">
        <v>436</v>
      </c>
      <c r="G507" s="24">
        <v>0.84511775507936948</v>
      </c>
      <c r="H507" s="24">
        <v>0.85001077115897405</v>
      </c>
      <c r="I507" s="25">
        <v>0.86487629941862609</v>
      </c>
      <c r="L507" s="15">
        <v>505</v>
      </c>
      <c r="M507" s="16">
        <v>0</v>
      </c>
      <c r="N507" s="16">
        <v>1</v>
      </c>
      <c r="O507" s="16">
        <v>13</v>
      </c>
      <c r="P507" s="16">
        <v>246</v>
      </c>
      <c r="Q507" s="29">
        <v>69</v>
      </c>
      <c r="R507" s="20">
        <v>0.64780000000000004</v>
      </c>
      <c r="S507" s="32">
        <v>44.6982</v>
      </c>
      <c r="T507" s="35">
        <v>2.99</v>
      </c>
      <c r="U507" s="35">
        <v>1.98</v>
      </c>
      <c r="V507" s="35">
        <v>4.3333333333333335E-2</v>
      </c>
      <c r="W507" s="9" t="s">
        <v>154</v>
      </c>
      <c r="X507" s="15">
        <v>506</v>
      </c>
      <c r="Y507" s="39">
        <v>0.48702106040930715</v>
      </c>
      <c r="Z507" s="39">
        <v>0.47761250204111788</v>
      </c>
      <c r="AA507" s="39">
        <v>0.49962452392737611</v>
      </c>
      <c r="AB507" s="39">
        <v>0.48822456012037718</v>
      </c>
      <c r="AC507" s="39">
        <v>0.48199960010447596</v>
      </c>
      <c r="AD507" s="39">
        <v>0.47399404842951193</v>
      </c>
      <c r="AE507" s="39">
        <v>0.4920962188243283</v>
      </c>
      <c r="AF507" s="40">
        <v>0.48240856883477717</v>
      </c>
    </row>
    <row r="508" spans="1:32">
      <c r="A508" s="15">
        <v>506</v>
      </c>
      <c r="B508" s="16">
        <v>1</v>
      </c>
      <c r="C508" s="20">
        <v>0.25</v>
      </c>
      <c r="D508" s="20">
        <v>0.69792703927215372</v>
      </c>
      <c r="E508" s="20">
        <v>7.0000000000000007E-2</v>
      </c>
      <c r="F508" s="8" t="s">
        <v>436</v>
      </c>
      <c r="G508" s="24">
        <v>0.77853221352640789</v>
      </c>
      <c r="H508" s="24">
        <v>0.78303971631685287</v>
      </c>
      <c r="I508" s="25">
        <v>0.796734012232029</v>
      </c>
      <c r="L508" s="15">
        <v>506</v>
      </c>
      <c r="M508" s="16">
        <v>0</v>
      </c>
      <c r="N508" s="16">
        <v>1</v>
      </c>
      <c r="O508" s="16">
        <v>14</v>
      </c>
      <c r="P508" s="16">
        <v>247</v>
      </c>
      <c r="Q508" s="29">
        <v>49</v>
      </c>
      <c r="R508" s="20">
        <v>0.64780000000000004</v>
      </c>
      <c r="S508" s="32">
        <v>31.7422</v>
      </c>
      <c r="T508" s="35">
        <v>1.6099999999999999</v>
      </c>
      <c r="U508" s="35">
        <v>0.82</v>
      </c>
      <c r="V508" s="35">
        <v>3.2857142857142856E-2</v>
      </c>
      <c r="W508" s="9" t="s">
        <v>153</v>
      </c>
      <c r="X508" s="15">
        <v>507</v>
      </c>
      <c r="Y508" s="39">
        <v>0.47479336387351534</v>
      </c>
      <c r="Z508" s="39">
        <v>0.48656439475726382</v>
      </c>
      <c r="AA508" s="39">
        <v>0.48851506783301663</v>
      </c>
      <c r="AB508" s="39">
        <v>0.48923403528679493</v>
      </c>
      <c r="AC508" s="39">
        <v>0.46766976052467601</v>
      </c>
      <c r="AD508" s="39">
        <v>0.47640180153805395</v>
      </c>
      <c r="AE508" s="39">
        <v>0.48019681023316596</v>
      </c>
      <c r="AF508" s="40">
        <v>0.48474307148942847</v>
      </c>
    </row>
    <row r="509" spans="1:32">
      <c r="A509" s="15">
        <v>507</v>
      </c>
      <c r="B509" s="16">
        <v>1</v>
      </c>
      <c r="C509" s="20">
        <v>0.91</v>
      </c>
      <c r="D509" s="20">
        <v>0.21727233298780477</v>
      </c>
      <c r="E509" s="20">
        <v>0.09</v>
      </c>
      <c r="F509" s="8" t="s">
        <v>434</v>
      </c>
      <c r="G509" s="24">
        <v>0.65320374848306018</v>
      </c>
      <c r="H509" s="24">
        <v>0.65698563145188438</v>
      </c>
      <c r="I509" s="25">
        <v>0.66847541346631334</v>
      </c>
      <c r="L509" s="15">
        <v>507</v>
      </c>
      <c r="M509" s="16">
        <v>0</v>
      </c>
      <c r="N509" s="16">
        <v>1</v>
      </c>
      <c r="O509" s="16">
        <v>14</v>
      </c>
      <c r="P509" s="16">
        <v>248</v>
      </c>
      <c r="Q509" s="29">
        <v>42</v>
      </c>
      <c r="R509" s="20">
        <v>0.64780000000000004</v>
      </c>
      <c r="S509" s="32">
        <v>27.207600000000003</v>
      </c>
      <c r="T509" s="35">
        <v>1.49</v>
      </c>
      <c r="U509" s="35">
        <v>0.78</v>
      </c>
      <c r="V509" s="35">
        <v>3.5476190476190474E-2</v>
      </c>
      <c r="W509" s="9" t="s">
        <v>153</v>
      </c>
      <c r="X509" s="15">
        <v>508</v>
      </c>
      <c r="Y509" s="39">
        <v>0.48811133062162188</v>
      </c>
      <c r="Z509" s="39">
        <v>0.49945360127456795</v>
      </c>
      <c r="AA509" s="39">
        <v>0.48280608487060467</v>
      </c>
      <c r="AB509" s="39">
        <v>0.47296478745259873</v>
      </c>
      <c r="AC509" s="39">
        <v>0.48035926371690996</v>
      </c>
      <c r="AD509" s="39">
        <v>0.49256591001775546</v>
      </c>
      <c r="AE509" s="39">
        <v>0.47767279224175313</v>
      </c>
      <c r="AF509" s="40">
        <v>0.47000752689411679</v>
      </c>
    </row>
    <row r="510" spans="1:32">
      <c r="A510" s="15">
        <v>508</v>
      </c>
      <c r="B510" s="16">
        <v>1</v>
      </c>
      <c r="C510" s="20">
        <v>0.23</v>
      </c>
      <c r="D510" s="20">
        <v>0.79767279926935808</v>
      </c>
      <c r="E510" s="20">
        <v>0.09</v>
      </c>
      <c r="F510" s="8" t="s">
        <v>436</v>
      </c>
      <c r="G510" s="24">
        <v>0.79112838330498381</v>
      </c>
      <c r="H510" s="24">
        <v>0.795708814703185</v>
      </c>
      <c r="I510" s="25">
        <v>0.80962467585785747</v>
      </c>
      <c r="L510" s="15">
        <v>508</v>
      </c>
      <c r="M510" s="16">
        <v>0</v>
      </c>
      <c r="N510" s="16">
        <v>1</v>
      </c>
      <c r="O510" s="16">
        <v>14</v>
      </c>
      <c r="P510" s="16">
        <v>249</v>
      </c>
      <c r="Q510" s="29">
        <v>41</v>
      </c>
      <c r="R510" s="20">
        <v>0.64780000000000004</v>
      </c>
      <c r="S510" s="32">
        <v>26.559800000000003</v>
      </c>
      <c r="T510" s="35">
        <v>1.7200000000000002</v>
      </c>
      <c r="U510" s="35">
        <v>1.1100000000000001</v>
      </c>
      <c r="V510" s="35">
        <v>4.1951219512195125E-2</v>
      </c>
      <c r="W510" s="9" t="s">
        <v>153</v>
      </c>
      <c r="X510" s="15">
        <v>509</v>
      </c>
      <c r="Y510" s="39">
        <v>0.49152482261649477</v>
      </c>
      <c r="Z510" s="39">
        <v>0.47550486203246717</v>
      </c>
      <c r="AA510" s="39">
        <v>0.47716587357200702</v>
      </c>
      <c r="AB510" s="39">
        <v>0.48746222057497318</v>
      </c>
      <c r="AC510" s="39">
        <v>0.48606093565920594</v>
      </c>
      <c r="AD510" s="39">
        <v>0.47209813747106455</v>
      </c>
      <c r="AE510" s="39">
        <v>0.47013896759282953</v>
      </c>
      <c r="AF510" s="40">
        <v>0.48464226657997989</v>
      </c>
    </row>
    <row r="511" spans="1:32">
      <c r="A511" s="15">
        <v>509</v>
      </c>
      <c r="B511" s="16">
        <v>0</v>
      </c>
      <c r="C511" s="20">
        <v>0.18</v>
      </c>
      <c r="D511" s="20">
        <v>0.88379278694211594</v>
      </c>
      <c r="E511" s="20">
        <v>7.0000000000000007E-2</v>
      </c>
      <c r="F511" s="8" t="s">
        <v>436</v>
      </c>
      <c r="G511" s="24">
        <v>0.77047748500991087</v>
      </c>
      <c r="H511" s="24">
        <v>0.77493835297827196</v>
      </c>
      <c r="I511" s="25">
        <v>0.78849096710571365</v>
      </c>
      <c r="L511" s="15">
        <v>509</v>
      </c>
      <c r="M511" s="16">
        <v>0</v>
      </c>
      <c r="N511" s="16">
        <v>1</v>
      </c>
      <c r="O511" s="16">
        <v>14</v>
      </c>
      <c r="P511" s="16">
        <v>250</v>
      </c>
      <c r="Q511" s="29">
        <v>36</v>
      </c>
      <c r="R511" s="20">
        <v>0.64780000000000004</v>
      </c>
      <c r="S511" s="32">
        <v>23.320800000000002</v>
      </c>
      <c r="T511" s="35">
        <v>1.3900000000000001</v>
      </c>
      <c r="U511" s="35">
        <v>0.97</v>
      </c>
      <c r="V511" s="35">
        <v>3.8611111111111117E-2</v>
      </c>
      <c r="W511" s="9" t="s">
        <v>153</v>
      </c>
      <c r="X511" s="15">
        <v>510</v>
      </c>
      <c r="Y511" s="39">
        <v>0.49070832327461705</v>
      </c>
      <c r="Z511" s="39">
        <v>0.48216936793343412</v>
      </c>
      <c r="AA511" s="39">
        <v>0.4813808248645613</v>
      </c>
      <c r="AB511" s="39">
        <v>0.48889944177848549</v>
      </c>
      <c r="AC511" s="39">
        <v>0.48340781667804567</v>
      </c>
      <c r="AD511" s="39">
        <v>0.47511346117600334</v>
      </c>
      <c r="AE511" s="39">
        <v>0.47415258995333748</v>
      </c>
      <c r="AF511" s="40">
        <v>0.48556902228663501</v>
      </c>
    </row>
    <row r="512" spans="1:32">
      <c r="A512" s="15">
        <v>510</v>
      </c>
      <c r="B512" s="16">
        <v>0</v>
      </c>
      <c r="C512" s="20">
        <v>0.43</v>
      </c>
      <c r="D512" s="20">
        <v>0.58112574176917342</v>
      </c>
      <c r="E512" s="20">
        <v>0.13</v>
      </c>
      <c r="F512" s="8" t="s">
        <v>436</v>
      </c>
      <c r="G512" s="24">
        <v>0.8614230118826085</v>
      </c>
      <c r="H512" s="24">
        <v>0.86641043123707129</v>
      </c>
      <c r="I512" s="25">
        <v>0.88156276716859228</v>
      </c>
      <c r="L512" s="15">
        <v>510</v>
      </c>
      <c r="M512" s="16">
        <v>0</v>
      </c>
      <c r="N512" s="16">
        <v>1</v>
      </c>
      <c r="O512" s="16">
        <v>14</v>
      </c>
      <c r="P512" s="16">
        <v>251</v>
      </c>
      <c r="Q512" s="29">
        <v>38</v>
      </c>
      <c r="R512" s="20">
        <v>0.64780000000000004</v>
      </c>
      <c r="S512" s="32">
        <v>24.616400000000002</v>
      </c>
      <c r="T512" s="35">
        <v>1.29</v>
      </c>
      <c r="U512" s="35">
        <v>0.84</v>
      </c>
      <c r="V512" s="35">
        <v>3.3947368421052636E-2</v>
      </c>
      <c r="W512" s="9" t="s">
        <v>153</v>
      </c>
      <c r="X512" s="15">
        <v>511</v>
      </c>
      <c r="Y512" s="39">
        <v>0.49244395885546804</v>
      </c>
      <c r="Z512" s="39">
        <v>0.50189799334366214</v>
      </c>
      <c r="AA512" s="39">
        <v>0.48113473372790122</v>
      </c>
      <c r="AB512" s="39">
        <v>0.48108642588064543</v>
      </c>
      <c r="AC512" s="39">
        <v>0.48752669950981675</v>
      </c>
      <c r="AD512" s="39">
        <v>0.49406010838817221</v>
      </c>
      <c r="AE512" s="39">
        <v>0.47567596594800093</v>
      </c>
      <c r="AF512" s="40">
        <v>0.47820993840874776</v>
      </c>
    </row>
    <row r="513" spans="1:32">
      <c r="A513" s="15">
        <v>511</v>
      </c>
      <c r="B513" s="16">
        <v>1</v>
      </c>
      <c r="C513" s="20">
        <v>0.02</v>
      </c>
      <c r="D513" s="20">
        <v>0.99917029198757767</v>
      </c>
      <c r="E513" s="20">
        <v>1</v>
      </c>
      <c r="F513" s="8" t="s">
        <v>436</v>
      </c>
      <c r="G513" s="24">
        <v>1.1158180083693314</v>
      </c>
      <c r="H513" s="24">
        <v>1.1222783098173239</v>
      </c>
      <c r="I513" s="25">
        <v>1.1419054257267338</v>
      </c>
      <c r="L513" s="15">
        <v>511</v>
      </c>
      <c r="M513" s="16">
        <v>0</v>
      </c>
      <c r="N513" s="16">
        <v>1</v>
      </c>
      <c r="O513" s="16">
        <v>14</v>
      </c>
      <c r="P513" s="16">
        <v>252</v>
      </c>
      <c r="Q513" s="29">
        <v>45</v>
      </c>
      <c r="R513" s="20">
        <v>0.64780000000000004</v>
      </c>
      <c r="S513" s="32">
        <v>29.151000000000003</v>
      </c>
      <c r="T513" s="35">
        <v>1.07</v>
      </c>
      <c r="U513" s="35">
        <v>0.28999999999999998</v>
      </c>
      <c r="V513" s="35">
        <v>2.377777777777778E-2</v>
      </c>
      <c r="W513" s="9" t="s">
        <v>153</v>
      </c>
      <c r="X513" s="15">
        <v>512</v>
      </c>
      <c r="Y513" s="39">
        <v>0.49622166653080813</v>
      </c>
      <c r="Z513" s="39">
        <v>0.47783253523043268</v>
      </c>
      <c r="AA513" s="39">
        <v>0.48171813207567121</v>
      </c>
      <c r="AB513" s="39">
        <v>0.47981932494038321</v>
      </c>
      <c r="AC513" s="39">
        <v>0.4883526707313533</v>
      </c>
      <c r="AD513" s="39">
        <v>0.47142883578590905</v>
      </c>
      <c r="AE513" s="39">
        <v>0.47357509106877854</v>
      </c>
      <c r="AF513" s="40">
        <v>0.47342123099009598</v>
      </c>
    </row>
    <row r="514" spans="1:32">
      <c r="A514" s="15">
        <v>512</v>
      </c>
      <c r="B514" s="16">
        <v>0</v>
      </c>
      <c r="C514" s="20">
        <v>0.89</v>
      </c>
      <c r="D514" s="20">
        <v>0.24559627500636821</v>
      </c>
      <c r="E514" s="20">
        <v>0.11</v>
      </c>
      <c r="F514" s="8" t="s">
        <v>434</v>
      </c>
      <c r="G514" s="24">
        <v>0.89433837723167742</v>
      </c>
      <c r="H514" s="24">
        <v>0.89951636814963065</v>
      </c>
      <c r="I514" s="25">
        <v>0.91524768173347593</v>
      </c>
      <c r="L514" s="15">
        <v>512</v>
      </c>
      <c r="M514" s="16">
        <v>0</v>
      </c>
      <c r="N514" s="16">
        <v>1</v>
      </c>
      <c r="O514" s="16">
        <v>14</v>
      </c>
      <c r="P514" s="16">
        <v>253</v>
      </c>
      <c r="Q514" s="29">
        <v>40</v>
      </c>
      <c r="R514" s="20">
        <v>0.64780000000000004</v>
      </c>
      <c r="S514" s="32">
        <v>25.912000000000003</v>
      </c>
      <c r="T514" s="35">
        <v>1.1100000000000001</v>
      </c>
      <c r="U514" s="35">
        <v>0.42</v>
      </c>
      <c r="V514" s="35">
        <v>2.7750000000000004E-2</v>
      </c>
      <c r="W514" s="9" t="s">
        <v>153</v>
      </c>
      <c r="X514" s="15">
        <v>513</v>
      </c>
      <c r="Y514" s="39">
        <v>0.47529266979635254</v>
      </c>
      <c r="Z514" s="39">
        <v>0.49868291664036662</v>
      </c>
      <c r="AA514" s="39">
        <v>0.49196547709908617</v>
      </c>
      <c r="AB514" s="39">
        <v>0.48530751474180556</v>
      </c>
      <c r="AC514" s="39">
        <v>0.46998683220284221</v>
      </c>
      <c r="AD514" s="39">
        <v>0.49219974509192937</v>
      </c>
      <c r="AE514" s="39">
        <v>0.48611894480935353</v>
      </c>
      <c r="AF514" s="40">
        <v>0.48123880253490176</v>
      </c>
    </row>
    <row r="515" spans="1:32">
      <c r="A515" s="15">
        <v>513</v>
      </c>
      <c r="B515" s="16">
        <v>1</v>
      </c>
      <c r="C515" s="20">
        <v>0.88</v>
      </c>
      <c r="D515" s="20">
        <v>0.25930874124763043</v>
      </c>
      <c r="E515" s="20">
        <v>0.12</v>
      </c>
      <c r="F515" s="8" t="s">
        <v>434</v>
      </c>
      <c r="G515" s="24">
        <v>0.94139690861290659</v>
      </c>
      <c r="H515" s="24">
        <v>0.94684735641553308</v>
      </c>
      <c r="I515" s="25">
        <v>0.96340642438496638</v>
      </c>
      <c r="L515" s="15">
        <v>513</v>
      </c>
      <c r="M515" s="16">
        <v>0</v>
      </c>
      <c r="N515" s="16">
        <v>1</v>
      </c>
      <c r="O515" s="16">
        <v>14</v>
      </c>
      <c r="P515" s="16">
        <v>254</v>
      </c>
      <c r="Q515" s="29">
        <v>56</v>
      </c>
      <c r="R515" s="20">
        <v>0.64780000000000004</v>
      </c>
      <c r="S515" s="32">
        <v>36.276800000000001</v>
      </c>
      <c r="T515" s="35">
        <v>2.58</v>
      </c>
      <c r="U515" s="35">
        <v>1.75</v>
      </c>
      <c r="V515" s="35">
        <v>4.6071428571428576E-2</v>
      </c>
      <c r="W515" s="9" t="s">
        <v>154</v>
      </c>
      <c r="X515" s="15">
        <v>514</v>
      </c>
      <c r="Y515" s="39">
        <v>0.47607483104894671</v>
      </c>
      <c r="Z515" s="39">
        <v>0.49264756791640762</v>
      </c>
      <c r="AA515" s="39">
        <v>0.48845678796002368</v>
      </c>
      <c r="AB515" s="39">
        <v>0.48920715623163252</v>
      </c>
      <c r="AC515" s="39">
        <v>0.46910250077780064</v>
      </c>
      <c r="AD515" s="39">
        <v>0.4855444015775125</v>
      </c>
      <c r="AE515" s="39">
        <v>0.48234167886296003</v>
      </c>
      <c r="AF515" s="40">
        <v>0.48561635387787777</v>
      </c>
    </row>
    <row r="516" spans="1:32">
      <c r="A516" s="15">
        <v>514</v>
      </c>
      <c r="B516" s="16">
        <v>0</v>
      </c>
      <c r="C516" s="20">
        <v>0.92</v>
      </c>
      <c r="D516" s="20">
        <v>0.20258497911151899</v>
      </c>
      <c r="E516" s="20">
        <v>0.08</v>
      </c>
      <c r="F516" s="8" t="s">
        <v>434</v>
      </c>
      <c r="G516" s="24">
        <v>0.48177253736864523</v>
      </c>
      <c r="H516" s="24">
        <v>0.48456187738415024</v>
      </c>
      <c r="I516" s="25">
        <v>0.49303620327061237</v>
      </c>
      <c r="L516" s="15">
        <v>514</v>
      </c>
      <c r="M516" s="16">
        <v>0</v>
      </c>
      <c r="N516" s="16">
        <v>1</v>
      </c>
      <c r="O516" s="16">
        <v>14</v>
      </c>
      <c r="P516" s="16">
        <v>255</v>
      </c>
      <c r="Q516" s="29">
        <v>10</v>
      </c>
      <c r="R516" s="20">
        <v>0.64780000000000004</v>
      </c>
      <c r="S516" s="32">
        <v>6.4780000000000006</v>
      </c>
      <c r="T516" s="35">
        <v>0.3</v>
      </c>
      <c r="U516" s="35">
        <v>0.11</v>
      </c>
      <c r="V516" s="35">
        <v>0.03</v>
      </c>
      <c r="W516" s="9" t="s">
        <v>152</v>
      </c>
      <c r="X516" s="15">
        <v>515</v>
      </c>
      <c r="Y516" s="39">
        <v>0.49374481569727169</v>
      </c>
      <c r="Z516" s="39">
        <v>0.48974015766337725</v>
      </c>
      <c r="AA516" s="39">
        <v>0.4769717830617819</v>
      </c>
      <c r="AB516" s="39">
        <v>0.48598860858445714</v>
      </c>
      <c r="AC516" s="39">
        <v>0.4878635684824994</v>
      </c>
      <c r="AD516" s="39">
        <v>0.48558937241026601</v>
      </c>
      <c r="AE516" s="39">
        <v>0.47265333363060374</v>
      </c>
      <c r="AF516" s="40">
        <v>0.48602087902644242</v>
      </c>
    </row>
    <row r="517" spans="1:32">
      <c r="A517" s="15">
        <v>515</v>
      </c>
      <c r="B517" s="16">
        <v>1</v>
      </c>
      <c r="C517" s="20">
        <v>0.2</v>
      </c>
      <c r="D517" s="20">
        <v>0.86262150492873246</v>
      </c>
      <c r="E517" s="20">
        <v>7.0000000000000007E-2</v>
      </c>
      <c r="F517" s="8" t="s">
        <v>436</v>
      </c>
      <c r="G517" s="24">
        <v>0.87287134063399752</v>
      </c>
      <c r="H517" s="24">
        <v>0.87792504288966366</v>
      </c>
      <c r="I517" s="25">
        <v>0.89327875366339649</v>
      </c>
      <c r="L517" s="15">
        <v>515</v>
      </c>
      <c r="M517" s="16">
        <v>0</v>
      </c>
      <c r="N517" s="16">
        <v>1</v>
      </c>
      <c r="O517" s="16">
        <v>16</v>
      </c>
      <c r="P517" s="16">
        <v>257</v>
      </c>
      <c r="Q517" s="29">
        <v>59</v>
      </c>
      <c r="R517" s="20">
        <v>0.64780000000000004</v>
      </c>
      <c r="S517" s="32">
        <v>38.220200000000006</v>
      </c>
      <c r="T517" s="35">
        <v>2.63</v>
      </c>
      <c r="U517" s="35">
        <v>1.8</v>
      </c>
      <c r="V517" s="35">
        <v>4.4576271186440676E-2</v>
      </c>
      <c r="W517" s="9" t="s">
        <v>154</v>
      </c>
      <c r="X517" s="15">
        <v>516</v>
      </c>
      <c r="Y517" s="39">
        <v>0.4815624863217623</v>
      </c>
      <c r="Z517" s="39">
        <v>0.47688180887571252</v>
      </c>
      <c r="AA517" s="39">
        <v>0.4919640995579207</v>
      </c>
      <c r="AB517" s="39">
        <v>0.47784626092420651</v>
      </c>
      <c r="AC517" s="39">
        <v>0.47288013301278042</v>
      </c>
      <c r="AD517" s="39">
        <v>0.47086168095614916</v>
      </c>
      <c r="AE517" s="39">
        <v>0.48478321302900024</v>
      </c>
      <c r="AF517" s="40">
        <v>0.47188238430544244</v>
      </c>
    </row>
    <row r="518" spans="1:32">
      <c r="A518" s="15">
        <v>516</v>
      </c>
      <c r="B518" s="16">
        <v>0</v>
      </c>
      <c r="C518" s="20">
        <v>0.87</v>
      </c>
      <c r="D518" s="20">
        <v>0.27276032039195819</v>
      </c>
      <c r="E518" s="20">
        <v>0.13</v>
      </c>
      <c r="F518" s="8" t="s">
        <v>434</v>
      </c>
      <c r="G518" s="24">
        <v>1.1766846896907577</v>
      </c>
      <c r="H518" s="24">
        <v>1.1834973936869488</v>
      </c>
      <c r="I518" s="25">
        <v>1.2041951478190402</v>
      </c>
      <c r="L518" s="15">
        <v>516</v>
      </c>
      <c r="M518" s="16">
        <v>0</v>
      </c>
      <c r="N518" s="16">
        <v>1</v>
      </c>
      <c r="O518" s="16">
        <v>16</v>
      </c>
      <c r="P518" s="16">
        <v>258</v>
      </c>
      <c r="Q518" s="29">
        <v>71</v>
      </c>
      <c r="R518" s="20">
        <v>0.64780000000000004</v>
      </c>
      <c r="S518" s="32">
        <v>45.9938</v>
      </c>
      <c r="T518" s="35">
        <v>3.5100000000000002</v>
      </c>
      <c r="U518" s="35">
        <v>2.48</v>
      </c>
      <c r="V518" s="35">
        <v>4.9436619718309864E-2</v>
      </c>
      <c r="W518" s="9" t="s">
        <v>155</v>
      </c>
      <c r="X518" s="15">
        <v>517</v>
      </c>
      <c r="Y518" s="39">
        <v>0.49187813341263631</v>
      </c>
      <c r="Z518" s="39">
        <v>0.47969090571445039</v>
      </c>
      <c r="AA518" s="39">
        <v>0.4800895306261363</v>
      </c>
      <c r="AB518" s="39">
        <v>0.4743968235419439</v>
      </c>
      <c r="AC518" s="39">
        <v>0.48350274479195748</v>
      </c>
      <c r="AD518" s="39">
        <v>0.47190640448314602</v>
      </c>
      <c r="AE518" s="39">
        <v>0.47573233891688771</v>
      </c>
      <c r="AF518" s="40">
        <v>0.46931981088063668</v>
      </c>
    </row>
    <row r="519" spans="1:32">
      <c r="A519" s="15">
        <v>517</v>
      </c>
      <c r="B519" s="16">
        <v>1</v>
      </c>
      <c r="C519" s="20">
        <v>0.09</v>
      </c>
      <c r="D519" s="20">
        <v>0.92130618967149669</v>
      </c>
      <c r="E519" s="20">
        <v>0.08</v>
      </c>
      <c r="F519" s="8" t="s">
        <v>436</v>
      </c>
      <c r="G519" s="24">
        <v>0.85995490647319328</v>
      </c>
      <c r="H519" s="24">
        <v>0.8649338258720799</v>
      </c>
      <c r="I519" s="25">
        <v>0.88006033799109584</v>
      </c>
      <c r="L519" s="15">
        <v>517</v>
      </c>
      <c r="M519" s="16">
        <v>0</v>
      </c>
      <c r="N519" s="16">
        <v>1</v>
      </c>
      <c r="O519" s="16">
        <v>16</v>
      </c>
      <c r="P519" s="16">
        <v>259</v>
      </c>
      <c r="Q519" s="29">
        <v>27</v>
      </c>
      <c r="R519" s="20">
        <v>0.64780000000000004</v>
      </c>
      <c r="S519" s="32">
        <v>17.490600000000001</v>
      </c>
      <c r="T519" s="35">
        <v>0.76</v>
      </c>
      <c r="U519" s="35">
        <v>0.41</v>
      </c>
      <c r="V519" s="35">
        <v>2.8148148148148148E-2</v>
      </c>
      <c r="W519" s="9" t="s">
        <v>152</v>
      </c>
      <c r="X519" s="15">
        <v>518</v>
      </c>
      <c r="Y519" s="39">
        <v>0.48834021946173162</v>
      </c>
      <c r="Z519" s="39">
        <v>0.47418999250038313</v>
      </c>
      <c r="AA519" s="39">
        <v>0.48829399132350365</v>
      </c>
      <c r="AB519" s="39">
        <v>0.48480510917071418</v>
      </c>
      <c r="AC519" s="39">
        <v>0.47895497881439508</v>
      </c>
      <c r="AD519" s="39">
        <v>0.4686602176482168</v>
      </c>
      <c r="AE519" s="39">
        <v>0.48193224115492339</v>
      </c>
      <c r="AF519" s="40">
        <v>0.48106115941564265</v>
      </c>
    </row>
    <row r="520" spans="1:32">
      <c r="A520" s="15">
        <v>518</v>
      </c>
      <c r="B520" s="16">
        <v>0</v>
      </c>
      <c r="C520" s="20">
        <v>0.93</v>
      </c>
      <c r="D520" s="20">
        <v>0.18747949848141848</v>
      </c>
      <c r="E520" s="20">
        <v>7.0000000000000007E-2</v>
      </c>
      <c r="F520" s="8" t="s">
        <v>434</v>
      </c>
      <c r="G520" s="24">
        <v>0.69301420237513423</v>
      </c>
      <c r="H520" s="24">
        <v>0.69702657771009258</v>
      </c>
      <c r="I520" s="25">
        <v>0.70921662122512941</v>
      </c>
      <c r="L520" s="15">
        <v>518</v>
      </c>
      <c r="M520" s="16">
        <v>0</v>
      </c>
      <c r="N520" s="16">
        <v>2</v>
      </c>
      <c r="O520" s="16">
        <v>0</v>
      </c>
      <c r="P520" s="16">
        <v>56</v>
      </c>
      <c r="Q520" s="29">
        <v>21</v>
      </c>
      <c r="R520" s="20">
        <v>0.63719999999999999</v>
      </c>
      <c r="S520" s="32">
        <v>13.3812</v>
      </c>
      <c r="T520" s="35">
        <v>0.71</v>
      </c>
      <c r="U520" s="35">
        <v>0.46</v>
      </c>
      <c r="V520" s="35">
        <v>3.380952380952381E-2</v>
      </c>
      <c r="W520" s="9" t="s">
        <v>152</v>
      </c>
      <c r="X520" s="15">
        <v>519</v>
      </c>
      <c r="Y520" s="39">
        <v>0.48535722797726305</v>
      </c>
      <c r="Z520" s="39">
        <v>0.48978854771977243</v>
      </c>
      <c r="AA520" s="39">
        <v>0.49155852262304478</v>
      </c>
      <c r="AB520" s="39">
        <v>0.47703112507130208</v>
      </c>
      <c r="AC520" s="39">
        <v>0.47914399232821514</v>
      </c>
      <c r="AD520" s="39">
        <v>0.48305054946688636</v>
      </c>
      <c r="AE520" s="39">
        <v>0.48391912745538035</v>
      </c>
      <c r="AF520" s="40">
        <v>0.47054478109434106</v>
      </c>
    </row>
    <row r="521" spans="1:32">
      <c r="A521" s="15">
        <v>519</v>
      </c>
      <c r="B521" s="16">
        <v>1</v>
      </c>
      <c r="C521" s="20">
        <v>0.3</v>
      </c>
      <c r="D521" s="20">
        <v>0.60422878608226105</v>
      </c>
      <c r="E521" s="20">
        <v>0.13</v>
      </c>
      <c r="F521" s="8" t="s">
        <v>436</v>
      </c>
      <c r="G521" s="24">
        <v>0.82595135255612639</v>
      </c>
      <c r="H521" s="24">
        <v>0.83073340005748164</v>
      </c>
      <c r="I521" s="25">
        <v>0.84526179340707797</v>
      </c>
      <c r="L521" s="15">
        <v>519</v>
      </c>
      <c r="M521" s="16">
        <v>0</v>
      </c>
      <c r="N521" s="16">
        <v>2</v>
      </c>
      <c r="O521" s="16">
        <v>0</v>
      </c>
      <c r="P521" s="16">
        <v>57</v>
      </c>
      <c r="Q521" s="29">
        <v>11</v>
      </c>
      <c r="R521" s="20">
        <v>0.63719999999999999</v>
      </c>
      <c r="S521" s="32">
        <v>7.0091999999999999</v>
      </c>
      <c r="T521" s="35">
        <v>0.16</v>
      </c>
      <c r="U521" s="35">
        <v>0.03</v>
      </c>
      <c r="V521" s="35">
        <v>1.4545454545454545E-2</v>
      </c>
      <c r="W521" s="9" t="s">
        <v>152</v>
      </c>
      <c r="X521" s="15">
        <v>520</v>
      </c>
      <c r="Y521" s="39">
        <v>0.48864813668293744</v>
      </c>
      <c r="Z521" s="39">
        <v>0.49535106345914487</v>
      </c>
      <c r="AA521" s="39">
        <v>0.49997799967224366</v>
      </c>
      <c r="AB521" s="39">
        <v>0.50145315406913959</v>
      </c>
      <c r="AC521" s="39">
        <v>0.48050672387627474</v>
      </c>
      <c r="AD521" s="39">
        <v>0.48648547071496762</v>
      </c>
      <c r="AE521" s="39">
        <v>0.491923757659675</v>
      </c>
      <c r="AF521" s="40">
        <v>0.49569994082200541</v>
      </c>
    </row>
    <row r="522" spans="1:32">
      <c r="A522" s="15">
        <v>520</v>
      </c>
      <c r="B522" s="16">
        <v>0</v>
      </c>
      <c r="C522" s="20">
        <v>0.78</v>
      </c>
      <c r="D522" s="20">
        <v>0.38492729313249735</v>
      </c>
      <c r="E522" s="20">
        <v>0.22</v>
      </c>
      <c r="F522" s="8" t="s">
        <v>438</v>
      </c>
      <c r="G522" s="24">
        <v>1.1711226020402214</v>
      </c>
      <c r="H522" s="24">
        <v>1.1779031029686784</v>
      </c>
      <c r="I522" s="25">
        <v>1.1985030205914138</v>
      </c>
      <c r="L522" s="15">
        <v>520</v>
      </c>
      <c r="M522" s="16">
        <v>0</v>
      </c>
      <c r="N522" s="16">
        <v>2</v>
      </c>
      <c r="O522" s="16">
        <v>0</v>
      </c>
      <c r="P522" s="16">
        <v>58</v>
      </c>
      <c r="Q522" s="29">
        <v>24</v>
      </c>
      <c r="R522" s="20">
        <v>0.63719999999999999</v>
      </c>
      <c r="S522" s="32">
        <v>15.2928</v>
      </c>
      <c r="T522" s="35">
        <v>2.2799999999999998</v>
      </c>
      <c r="U522" s="35">
        <v>1.97</v>
      </c>
      <c r="V522" s="35">
        <v>9.4999999999999987E-2</v>
      </c>
      <c r="W522" s="9" t="s">
        <v>154</v>
      </c>
      <c r="X522" s="15">
        <v>521</v>
      </c>
      <c r="Y522" s="39">
        <v>0.477353721752099</v>
      </c>
      <c r="Z522" s="39">
        <v>0.48963956593936064</v>
      </c>
      <c r="AA522" s="39">
        <v>0.47414942725799514</v>
      </c>
      <c r="AB522" s="39">
        <v>0.48473855217442435</v>
      </c>
      <c r="AC522" s="39">
        <v>0.47245544411881452</v>
      </c>
      <c r="AD522" s="39">
        <v>0.48151159390647813</v>
      </c>
      <c r="AE522" s="39">
        <v>0.46872410900369504</v>
      </c>
      <c r="AF522" s="40">
        <v>0.48087411194726287</v>
      </c>
    </row>
    <row r="523" spans="1:32">
      <c r="A523" s="15">
        <v>521</v>
      </c>
      <c r="B523" s="16">
        <v>0</v>
      </c>
      <c r="C523" s="20">
        <v>0.08</v>
      </c>
      <c r="D523" s="20">
        <v>0.93963075308478217</v>
      </c>
      <c r="E523" s="20">
        <v>0.09</v>
      </c>
      <c r="F523" s="8" t="s">
        <v>436</v>
      </c>
      <c r="G523" s="24">
        <v>1.0318862469969627</v>
      </c>
      <c r="H523" s="24">
        <v>1.037860604970787</v>
      </c>
      <c r="I523" s="25">
        <v>1.0560113704390135</v>
      </c>
      <c r="L523" s="15">
        <v>521</v>
      </c>
      <c r="M523" s="16">
        <v>0</v>
      </c>
      <c r="N523" s="16">
        <v>2</v>
      </c>
      <c r="O523" s="16">
        <v>0</v>
      </c>
      <c r="P523" s="16">
        <v>59</v>
      </c>
      <c r="Q523" s="29">
        <v>23</v>
      </c>
      <c r="R523" s="20">
        <v>0.63719999999999999</v>
      </c>
      <c r="S523" s="32">
        <v>14.6556</v>
      </c>
      <c r="T523" s="35">
        <v>0.33</v>
      </c>
      <c r="U523" s="35">
        <v>0.06</v>
      </c>
      <c r="V523" s="35">
        <v>1.4347826086956523E-2</v>
      </c>
      <c r="W523" s="9" t="s">
        <v>152</v>
      </c>
      <c r="X523" s="15">
        <v>522</v>
      </c>
      <c r="Y523" s="39">
        <v>0.48033318973792588</v>
      </c>
      <c r="Z523" s="39">
        <v>0.48477674440183682</v>
      </c>
      <c r="AA523" s="39">
        <v>0.47926061949331838</v>
      </c>
      <c r="AB523" s="39">
        <v>0.49999869923346324</v>
      </c>
      <c r="AC523" s="39">
        <v>0.47075771121070292</v>
      </c>
      <c r="AD523" s="39">
        <v>0.47786291822275806</v>
      </c>
      <c r="AE523" s="39">
        <v>0.47216663798058761</v>
      </c>
      <c r="AF523" s="40">
        <v>0.49598259055340244</v>
      </c>
    </row>
    <row r="524" spans="1:32">
      <c r="A524" s="15">
        <v>522</v>
      </c>
      <c r="B524" s="16">
        <v>1</v>
      </c>
      <c r="C524" s="20">
        <v>0.05</v>
      </c>
      <c r="D524" s="20">
        <v>0.95603886788420112</v>
      </c>
      <c r="E524" s="20">
        <v>0.4</v>
      </c>
      <c r="F524" s="8" t="s">
        <v>436</v>
      </c>
      <c r="G524" s="24">
        <v>0.96366864725303469</v>
      </c>
      <c r="H524" s="24">
        <v>0.96924804273736809</v>
      </c>
      <c r="I524" s="25">
        <v>0.98619886813723834</v>
      </c>
      <c r="L524" s="15">
        <v>522</v>
      </c>
      <c r="M524" s="16">
        <v>0</v>
      </c>
      <c r="N524" s="16">
        <v>2</v>
      </c>
      <c r="O524" s="16">
        <v>0</v>
      </c>
      <c r="P524" s="16">
        <v>60</v>
      </c>
      <c r="Q524" s="29">
        <v>16</v>
      </c>
      <c r="R524" s="20">
        <v>0.63719999999999999</v>
      </c>
      <c r="S524" s="32">
        <v>10.1952</v>
      </c>
      <c r="T524" s="35">
        <v>0.93</v>
      </c>
      <c r="U524" s="35">
        <v>0.67</v>
      </c>
      <c r="V524" s="35">
        <v>5.8125000000000003E-2</v>
      </c>
      <c r="W524" s="9" t="s">
        <v>152</v>
      </c>
      <c r="X524" s="15">
        <v>523</v>
      </c>
      <c r="Y524" s="39">
        <v>0.48527618560320912</v>
      </c>
      <c r="Z524" s="39">
        <v>0.49507066192267191</v>
      </c>
      <c r="AA524" s="39">
        <v>0.48844781882523797</v>
      </c>
      <c r="AB524" s="39">
        <v>0.49203128452608752</v>
      </c>
      <c r="AC524" s="39">
        <v>0.47835565654779799</v>
      </c>
      <c r="AD524" s="39">
        <v>0.48720171853109401</v>
      </c>
      <c r="AE524" s="39">
        <v>0.48210388090632561</v>
      </c>
      <c r="AF524" s="40">
        <v>0.48968560947389872</v>
      </c>
    </row>
    <row r="525" spans="1:32">
      <c r="A525" s="15">
        <v>523</v>
      </c>
      <c r="B525" s="16">
        <v>1</v>
      </c>
      <c r="C525" s="20">
        <v>0.08</v>
      </c>
      <c r="D525" s="20">
        <v>0.93037448836467462</v>
      </c>
      <c r="E525" s="20">
        <v>0.46</v>
      </c>
      <c r="F525" s="8" t="s">
        <v>436</v>
      </c>
      <c r="G525" s="24">
        <v>1.0927362532428513</v>
      </c>
      <c r="H525" s="24">
        <v>1.0990629172204434</v>
      </c>
      <c r="I525" s="25">
        <v>1.1182840275986088</v>
      </c>
      <c r="L525" s="15">
        <v>523</v>
      </c>
      <c r="M525" s="16">
        <v>0</v>
      </c>
      <c r="N525" s="16">
        <v>2</v>
      </c>
      <c r="O525" s="16">
        <v>0</v>
      </c>
      <c r="P525" s="16">
        <v>61</v>
      </c>
      <c r="Q525" s="29">
        <v>14</v>
      </c>
      <c r="R525" s="20">
        <v>0.63719999999999999</v>
      </c>
      <c r="S525" s="32">
        <v>8.9207999999999998</v>
      </c>
      <c r="T525" s="35">
        <v>0.68</v>
      </c>
      <c r="U525" s="35">
        <v>0.54</v>
      </c>
      <c r="V525" s="35">
        <v>4.8571428571428578E-2</v>
      </c>
      <c r="W525" s="9" t="s">
        <v>152</v>
      </c>
      <c r="X525" s="15">
        <v>524</v>
      </c>
      <c r="Y525" s="39">
        <v>0.48465814674790747</v>
      </c>
      <c r="Z525" s="39">
        <v>0.48401886725656829</v>
      </c>
      <c r="AA525" s="39">
        <v>0.50046412249661698</v>
      </c>
      <c r="AB525" s="39">
        <v>0.48953938830699129</v>
      </c>
      <c r="AC525" s="39">
        <v>0.47949561735302804</v>
      </c>
      <c r="AD525" s="39">
        <v>0.47697557651673606</v>
      </c>
      <c r="AE525" s="39">
        <v>0.4908923534299317</v>
      </c>
      <c r="AF525" s="40">
        <v>0.48598432368459055</v>
      </c>
    </row>
    <row r="526" spans="1:32">
      <c r="A526" s="15">
        <v>524</v>
      </c>
      <c r="B526" s="16">
        <v>1</v>
      </c>
      <c r="C526" s="20">
        <v>0.92</v>
      </c>
      <c r="D526" s="20">
        <v>0.20258497911151899</v>
      </c>
      <c r="E526" s="20">
        <v>0.08</v>
      </c>
      <c r="F526" s="8" t="s">
        <v>434</v>
      </c>
      <c r="G526" s="24">
        <v>0.5697546272415116</v>
      </c>
      <c r="H526" s="24">
        <v>0.5730533610993277</v>
      </c>
      <c r="I526" s="25">
        <v>0.58307528225933303</v>
      </c>
      <c r="L526" s="15">
        <v>524</v>
      </c>
      <c r="M526" s="16">
        <v>0</v>
      </c>
      <c r="N526" s="16">
        <v>2</v>
      </c>
      <c r="O526" s="16">
        <v>0</v>
      </c>
      <c r="P526" s="16">
        <v>62</v>
      </c>
      <c r="Q526" s="29">
        <v>18</v>
      </c>
      <c r="R526" s="20">
        <v>0.63719999999999999</v>
      </c>
      <c r="S526" s="32">
        <v>11.4696</v>
      </c>
      <c r="T526" s="35">
        <v>0.62</v>
      </c>
      <c r="U526" s="35">
        <v>0.33</v>
      </c>
      <c r="V526" s="35">
        <v>3.4444444444444444E-2</v>
      </c>
      <c r="W526" s="9" t="s">
        <v>152</v>
      </c>
      <c r="X526" s="15">
        <v>525</v>
      </c>
      <c r="Y526" s="39">
        <v>0.48691778260752061</v>
      </c>
      <c r="Z526" s="39">
        <v>0.48154030736083986</v>
      </c>
      <c r="AA526" s="39">
        <v>0.48198019676783727</v>
      </c>
      <c r="AB526" s="39">
        <v>0.48960295577862706</v>
      </c>
      <c r="AC526" s="39">
        <v>0.48185226317842139</v>
      </c>
      <c r="AD526" s="39">
        <v>0.47629845401185611</v>
      </c>
      <c r="AE526" s="39">
        <v>0.47299117527738654</v>
      </c>
      <c r="AF526" s="40">
        <v>0.48350644426233308</v>
      </c>
    </row>
    <row r="527" spans="1:32">
      <c r="A527" s="15">
        <v>525</v>
      </c>
      <c r="B527" s="16">
        <v>0</v>
      </c>
      <c r="C527" s="20">
        <v>0.91</v>
      </c>
      <c r="D527" s="20">
        <v>0.21727233298780477</v>
      </c>
      <c r="E527" s="20">
        <v>0.09</v>
      </c>
      <c r="F527" s="8" t="s">
        <v>434</v>
      </c>
      <c r="G527" s="24">
        <v>0.60891198391731893</v>
      </c>
      <c r="H527" s="24">
        <v>0.61243742887509467</v>
      </c>
      <c r="I527" s="25">
        <v>0.62314812362758343</v>
      </c>
      <c r="L527" s="15">
        <v>525</v>
      </c>
      <c r="M527" s="16">
        <v>0</v>
      </c>
      <c r="N527" s="16">
        <v>2</v>
      </c>
      <c r="O527" s="16">
        <v>0</v>
      </c>
      <c r="P527" s="16">
        <v>63</v>
      </c>
      <c r="Q527" s="29">
        <v>34</v>
      </c>
      <c r="R527" s="20">
        <v>0.63719999999999999</v>
      </c>
      <c r="S527" s="32">
        <v>21.6648</v>
      </c>
      <c r="T527" s="35">
        <v>1.53</v>
      </c>
      <c r="U527" s="35">
        <v>0.98</v>
      </c>
      <c r="V527" s="35">
        <v>4.4999999999999998E-2</v>
      </c>
      <c r="W527" s="9" t="s">
        <v>153</v>
      </c>
      <c r="X527" s="15">
        <v>526</v>
      </c>
      <c r="Y527" s="39">
        <v>0.48062294575483533</v>
      </c>
      <c r="Z527" s="39">
        <v>0.49442846312427524</v>
      </c>
      <c r="AA527" s="39">
        <v>0.48650490777079197</v>
      </c>
      <c r="AB527" s="39">
        <v>0.50559419283209961</v>
      </c>
      <c r="AC527" s="39">
        <v>0.47352372892938155</v>
      </c>
      <c r="AD527" s="39">
        <v>0.48622561435701872</v>
      </c>
      <c r="AE527" s="39">
        <v>0.4773940562538479</v>
      </c>
      <c r="AF527" s="40">
        <v>0.50253708928756058</v>
      </c>
    </row>
    <row r="528" spans="1:32">
      <c r="A528" s="15">
        <v>526</v>
      </c>
      <c r="B528" s="16">
        <v>1</v>
      </c>
      <c r="C528" s="20">
        <v>0.46</v>
      </c>
      <c r="D528" s="20">
        <v>0.66404795483121115</v>
      </c>
      <c r="E528" s="20">
        <v>0.03</v>
      </c>
      <c r="F528" s="8" t="s">
        <v>436</v>
      </c>
      <c r="G528" s="24">
        <v>0.59211467762941106</v>
      </c>
      <c r="H528" s="24">
        <v>0.59554287047141152</v>
      </c>
      <c r="I528" s="25">
        <v>0.60595810245577342</v>
      </c>
      <c r="L528" s="15">
        <v>526</v>
      </c>
      <c r="M528" s="16">
        <v>0</v>
      </c>
      <c r="N528" s="16">
        <v>2</v>
      </c>
      <c r="O528" s="16">
        <v>0</v>
      </c>
      <c r="P528" s="16">
        <v>64</v>
      </c>
      <c r="Q528" s="29">
        <v>37</v>
      </c>
      <c r="R528" s="20">
        <v>0.63719999999999999</v>
      </c>
      <c r="S528" s="32">
        <v>23.5764</v>
      </c>
      <c r="T528" s="35">
        <v>1.21</v>
      </c>
      <c r="U528" s="35">
        <v>0.69</v>
      </c>
      <c r="V528" s="35">
        <v>3.2702702702702702E-2</v>
      </c>
      <c r="W528" s="9" t="s">
        <v>153</v>
      </c>
      <c r="X528" s="15">
        <v>527</v>
      </c>
      <c r="Y528" s="39">
        <v>0.48092531635659025</v>
      </c>
      <c r="Z528" s="39">
        <v>0.48662354728402657</v>
      </c>
      <c r="AA528" s="39">
        <v>0.47588366156296685</v>
      </c>
      <c r="AB528" s="39">
        <v>0.50027490586768264</v>
      </c>
      <c r="AC528" s="39">
        <v>0.47600912033394116</v>
      </c>
      <c r="AD528" s="39">
        <v>0.47767597794451022</v>
      </c>
      <c r="AE528" s="39">
        <v>0.47151315867798665</v>
      </c>
      <c r="AF528" s="40">
        <v>0.49748609366067859</v>
      </c>
    </row>
    <row r="529" spans="1:32">
      <c r="A529" s="15">
        <v>527</v>
      </c>
      <c r="B529" s="16">
        <v>0</v>
      </c>
      <c r="C529" s="20">
        <v>0.02</v>
      </c>
      <c r="D529" s="20">
        <v>0.99835916395484214</v>
      </c>
      <c r="E529" s="20">
        <v>1</v>
      </c>
      <c r="F529" s="8" t="s">
        <v>436</v>
      </c>
      <c r="G529" s="24">
        <v>1.0912105042124192</v>
      </c>
      <c r="H529" s="24">
        <v>1.0975283344925832</v>
      </c>
      <c r="I529" s="25">
        <v>1.1167226071132967</v>
      </c>
      <c r="L529" s="15">
        <v>527</v>
      </c>
      <c r="M529" s="16">
        <v>0</v>
      </c>
      <c r="N529" s="16">
        <v>2</v>
      </c>
      <c r="O529" s="16">
        <v>0</v>
      </c>
      <c r="P529" s="16">
        <v>65</v>
      </c>
      <c r="Q529" s="29">
        <v>14</v>
      </c>
      <c r="R529" s="20">
        <v>0.63719999999999999</v>
      </c>
      <c r="S529" s="32">
        <v>8.9207999999999998</v>
      </c>
      <c r="T529" s="35">
        <v>0.72</v>
      </c>
      <c r="U529" s="35">
        <v>0.49</v>
      </c>
      <c r="V529" s="35">
        <v>5.1428571428571428E-2</v>
      </c>
      <c r="W529" s="9" t="s">
        <v>152</v>
      </c>
      <c r="X529" s="15">
        <v>528</v>
      </c>
      <c r="Y529" s="39">
        <v>0.49540586045149193</v>
      </c>
      <c r="Z529" s="39">
        <v>0.47740401850794245</v>
      </c>
      <c r="AA529" s="39">
        <v>0.48475059455399233</v>
      </c>
      <c r="AB529" s="39">
        <v>0.4911569536346127</v>
      </c>
      <c r="AC529" s="39">
        <v>0.48618782015783713</v>
      </c>
      <c r="AD529" s="39">
        <v>0.46823983918167406</v>
      </c>
      <c r="AE529" s="39">
        <v>0.47762288662089497</v>
      </c>
      <c r="AF529" s="40">
        <v>0.48640048049869528</v>
      </c>
    </row>
    <row r="530" spans="1:32">
      <c r="A530" s="15">
        <v>528</v>
      </c>
      <c r="B530" s="16">
        <v>1</v>
      </c>
      <c r="C530" s="20">
        <v>0.02</v>
      </c>
      <c r="D530" s="20">
        <v>0.99756714174924133</v>
      </c>
      <c r="E530" s="20">
        <v>1</v>
      </c>
      <c r="F530" s="8" t="s">
        <v>436</v>
      </c>
      <c r="G530" s="24">
        <v>1.0851453321822546</v>
      </c>
      <c r="H530" s="24">
        <v>1.0914280466645423</v>
      </c>
      <c r="I530" s="25">
        <v>1.1105156335770547</v>
      </c>
      <c r="L530" s="15">
        <v>528</v>
      </c>
      <c r="M530" s="16">
        <v>0</v>
      </c>
      <c r="N530" s="16">
        <v>2</v>
      </c>
      <c r="O530" s="16">
        <v>0</v>
      </c>
      <c r="P530" s="16">
        <v>66</v>
      </c>
      <c r="Q530" s="29">
        <v>23</v>
      </c>
      <c r="R530" s="20">
        <v>0.63719999999999999</v>
      </c>
      <c r="S530" s="32">
        <v>14.6556</v>
      </c>
      <c r="T530" s="35">
        <v>0.24000000000000002</v>
      </c>
      <c r="U530" s="35">
        <v>0</v>
      </c>
      <c r="V530" s="35">
        <v>1.0434782608695653E-2</v>
      </c>
      <c r="W530" s="9" t="s">
        <v>152</v>
      </c>
      <c r="X530" s="15">
        <v>529</v>
      </c>
      <c r="Y530" s="39">
        <v>0.49666354941792074</v>
      </c>
      <c r="Z530" s="39">
        <v>0.48882456879210917</v>
      </c>
      <c r="AA530" s="39">
        <v>0.48794887533697501</v>
      </c>
      <c r="AB530" s="39">
        <v>0.49304449794946215</v>
      </c>
      <c r="AC530" s="39">
        <v>0.48895084207177958</v>
      </c>
      <c r="AD530" s="39">
        <v>0.48102413468191252</v>
      </c>
      <c r="AE530" s="39">
        <v>0.4829339168495001</v>
      </c>
      <c r="AF530" s="40">
        <v>0.49026485067704612</v>
      </c>
    </row>
    <row r="531" spans="1:32">
      <c r="A531" s="15">
        <v>529</v>
      </c>
      <c r="B531" s="16">
        <v>1</v>
      </c>
      <c r="C531" s="20">
        <v>0.02</v>
      </c>
      <c r="D531" s="20">
        <v>0.99756714174924133</v>
      </c>
      <c r="E531" s="20">
        <v>1</v>
      </c>
      <c r="F531" s="8" t="s">
        <v>436</v>
      </c>
      <c r="G531" s="24">
        <v>0.98402260866880653</v>
      </c>
      <c r="H531" s="24">
        <v>0.98971984839424421</v>
      </c>
      <c r="I531" s="25">
        <v>1.0070286977343328</v>
      </c>
      <c r="L531" s="15">
        <v>529</v>
      </c>
      <c r="M531" s="16">
        <v>0</v>
      </c>
      <c r="N531" s="16">
        <v>2</v>
      </c>
      <c r="O531" s="16">
        <v>0</v>
      </c>
      <c r="P531" s="16">
        <v>67</v>
      </c>
      <c r="Q531" s="29">
        <v>24</v>
      </c>
      <c r="R531" s="20">
        <v>0.63719999999999999</v>
      </c>
      <c r="S531" s="32">
        <v>15.2928</v>
      </c>
      <c r="T531" s="35">
        <v>1.6800000000000002</v>
      </c>
      <c r="U531" s="35">
        <v>1.3</v>
      </c>
      <c r="V531" s="35">
        <v>7.0000000000000007E-2</v>
      </c>
      <c r="W531" s="9" t="s">
        <v>153</v>
      </c>
      <c r="X531" s="15">
        <v>530</v>
      </c>
      <c r="Y531" s="39">
        <v>0.49999139823797828</v>
      </c>
      <c r="Z531" s="39">
        <v>0.48699348213663662</v>
      </c>
      <c r="AA531" s="39">
        <v>0.48802979691598297</v>
      </c>
      <c r="AB531" s="39">
        <v>0.48810770145393489</v>
      </c>
      <c r="AC531" s="39">
        <v>0.49324057368636287</v>
      </c>
      <c r="AD531" s="39">
        <v>0.48222462217831086</v>
      </c>
      <c r="AE531" s="39">
        <v>0.47898861435440937</v>
      </c>
      <c r="AF531" s="40">
        <v>0.4851765160418538</v>
      </c>
    </row>
    <row r="532" spans="1:32">
      <c r="A532" s="15">
        <v>530</v>
      </c>
      <c r="B532" s="16">
        <v>1</v>
      </c>
      <c r="C532" s="20">
        <v>0.88</v>
      </c>
      <c r="D532" s="20">
        <v>0.25930874124763043</v>
      </c>
      <c r="E532" s="20">
        <v>0.12</v>
      </c>
      <c r="F532" s="8" t="s">
        <v>434</v>
      </c>
      <c r="G532" s="24">
        <v>0.59192327584227766</v>
      </c>
      <c r="H532" s="24">
        <v>0.59535036051678725</v>
      </c>
      <c r="I532" s="25">
        <v>0.60576222576478789</v>
      </c>
      <c r="L532" s="15">
        <v>530</v>
      </c>
      <c r="M532" s="16">
        <v>0</v>
      </c>
      <c r="N532" s="16">
        <v>2</v>
      </c>
      <c r="O532" s="16">
        <v>0</v>
      </c>
      <c r="P532" s="16">
        <v>68</v>
      </c>
      <c r="Q532" s="29">
        <v>23</v>
      </c>
      <c r="R532" s="20">
        <v>0.63719999999999999</v>
      </c>
      <c r="S532" s="32">
        <v>14.6556</v>
      </c>
      <c r="T532" s="35">
        <v>0.43</v>
      </c>
      <c r="U532" s="35">
        <v>0.13</v>
      </c>
      <c r="V532" s="35">
        <v>1.8695652173913044E-2</v>
      </c>
      <c r="W532" s="9" t="s">
        <v>152</v>
      </c>
      <c r="X532" s="15">
        <v>531</v>
      </c>
      <c r="Y532" s="39">
        <v>0.48314292409704196</v>
      </c>
      <c r="Z532" s="39">
        <v>0.48183949739079457</v>
      </c>
      <c r="AA532" s="39">
        <v>0.48371246438894805</v>
      </c>
      <c r="AB532" s="39">
        <v>0.48172785619966779</v>
      </c>
      <c r="AC532" s="39">
        <v>0.47715751550916252</v>
      </c>
      <c r="AD532" s="39">
        <v>0.47759145444702672</v>
      </c>
      <c r="AE532" s="39">
        <v>0.47549421187395019</v>
      </c>
      <c r="AF532" s="40">
        <v>0.47499695024266381</v>
      </c>
    </row>
    <row r="533" spans="1:32">
      <c r="A533" s="15">
        <v>531</v>
      </c>
      <c r="B533" s="16">
        <v>0</v>
      </c>
      <c r="C533" s="20">
        <v>0.18</v>
      </c>
      <c r="D533" s="20">
        <v>0.89658083735826044</v>
      </c>
      <c r="E533" s="20">
        <v>0.08</v>
      </c>
      <c r="F533" s="8" t="s">
        <v>436</v>
      </c>
      <c r="G533" s="24">
        <v>1.2154313799046335</v>
      </c>
      <c r="H533" s="24">
        <v>1.2224684173467952</v>
      </c>
      <c r="I533" s="25">
        <v>1.2438477214935213</v>
      </c>
      <c r="L533" s="15">
        <v>531</v>
      </c>
      <c r="M533" s="16">
        <v>0</v>
      </c>
      <c r="N533" s="16">
        <v>2</v>
      </c>
      <c r="O533" s="16">
        <v>0</v>
      </c>
      <c r="P533" s="16">
        <v>69</v>
      </c>
      <c r="Q533" s="29">
        <v>30</v>
      </c>
      <c r="R533" s="20">
        <v>0.63719999999999999</v>
      </c>
      <c r="S533" s="32">
        <v>19.116</v>
      </c>
      <c r="T533" s="35">
        <v>1.3800000000000001</v>
      </c>
      <c r="U533" s="35">
        <v>0.86</v>
      </c>
      <c r="V533" s="35">
        <v>4.6000000000000006E-2</v>
      </c>
      <c r="W533" s="9" t="s">
        <v>153</v>
      </c>
      <c r="X533" s="15">
        <v>532</v>
      </c>
      <c r="Y533" s="39">
        <v>0.47859738943076319</v>
      </c>
      <c r="Z533" s="39">
        <v>0.49826113242185532</v>
      </c>
      <c r="AA533" s="39">
        <v>0.49116674539634175</v>
      </c>
      <c r="AB533" s="39">
        <v>0.48342104086380305</v>
      </c>
      <c r="AC533" s="39">
        <v>0.47017637786394556</v>
      </c>
      <c r="AD533" s="39">
        <v>0.48871981347215399</v>
      </c>
      <c r="AE533" s="39">
        <v>0.48561007189856709</v>
      </c>
      <c r="AF533" s="40">
        <v>0.48079862892506331</v>
      </c>
    </row>
    <row r="534" spans="1:32">
      <c r="A534" s="15">
        <v>532</v>
      </c>
      <c r="B534" s="16">
        <v>0</v>
      </c>
      <c r="C534" s="20">
        <v>0.35</v>
      </c>
      <c r="D534" s="20">
        <v>0.71363509262167346</v>
      </c>
      <c r="E534" s="20">
        <v>0.08</v>
      </c>
      <c r="F534" s="8" t="s">
        <v>436</v>
      </c>
      <c r="G534" s="24">
        <v>0.55291403587454813</v>
      </c>
      <c r="H534" s="24">
        <v>0.55611526700702996</v>
      </c>
      <c r="I534" s="25">
        <v>0.56584096401913375</v>
      </c>
      <c r="L534" s="15">
        <v>532</v>
      </c>
      <c r="M534" s="16">
        <v>0</v>
      </c>
      <c r="N534" s="16">
        <v>2</v>
      </c>
      <c r="O534" s="16">
        <v>0</v>
      </c>
      <c r="P534" s="16">
        <v>70</v>
      </c>
      <c r="Q534" s="29">
        <v>25</v>
      </c>
      <c r="R534" s="20">
        <v>0.63719999999999999</v>
      </c>
      <c r="S534" s="32">
        <v>15.93</v>
      </c>
      <c r="T534" s="35">
        <v>0.73</v>
      </c>
      <c r="U534" s="35">
        <v>0.33</v>
      </c>
      <c r="V534" s="35">
        <v>2.92E-2</v>
      </c>
      <c r="W534" s="9" t="s">
        <v>152</v>
      </c>
      <c r="X534" s="15">
        <v>533</v>
      </c>
      <c r="Y534" s="39">
        <v>0.4735142280884318</v>
      </c>
      <c r="Z534" s="39">
        <v>0.47409373435624169</v>
      </c>
      <c r="AA534" s="39">
        <v>0.48962246729434478</v>
      </c>
      <c r="AB534" s="39">
        <v>0.48325746079939036</v>
      </c>
      <c r="AC534" s="39">
        <v>0.46679491499444348</v>
      </c>
      <c r="AD534" s="39">
        <v>0.46792746646947997</v>
      </c>
      <c r="AE534" s="39">
        <v>0.48445180620650774</v>
      </c>
      <c r="AF534" s="40">
        <v>0.47912369995137633</v>
      </c>
    </row>
    <row r="535" spans="1:32">
      <c r="A535" s="15">
        <v>533</v>
      </c>
      <c r="B535" s="16">
        <v>1</v>
      </c>
      <c r="C535" s="20">
        <v>0.01</v>
      </c>
      <c r="D535" s="20">
        <v>0.99999999999999978</v>
      </c>
      <c r="E535" s="20">
        <v>1</v>
      </c>
      <c r="F535" s="8" t="s">
        <v>436</v>
      </c>
      <c r="G535" s="24">
        <v>1.0287418972725344</v>
      </c>
      <c r="H535" s="24">
        <v>1.0346980502640719</v>
      </c>
      <c r="I535" s="25">
        <v>1.0527935069668561</v>
      </c>
      <c r="L535" s="15">
        <v>533</v>
      </c>
      <c r="M535" s="16">
        <v>0</v>
      </c>
      <c r="N535" s="16">
        <v>2</v>
      </c>
      <c r="O535" s="16">
        <v>0</v>
      </c>
      <c r="P535" s="16">
        <v>71</v>
      </c>
      <c r="Q535" s="29">
        <v>26</v>
      </c>
      <c r="R535" s="20">
        <v>0.63719999999999999</v>
      </c>
      <c r="S535" s="32">
        <v>16.5672</v>
      </c>
      <c r="T535" s="35">
        <v>0.75</v>
      </c>
      <c r="U535" s="35">
        <v>0.24</v>
      </c>
      <c r="V535" s="35">
        <v>2.8846153846153848E-2</v>
      </c>
      <c r="W535" s="9" t="s">
        <v>152</v>
      </c>
      <c r="X535" s="15">
        <v>534</v>
      </c>
      <c r="Y535" s="39">
        <v>0.48330540013694939</v>
      </c>
      <c r="Z535" s="39">
        <v>0.48185015859087293</v>
      </c>
      <c r="AA535" s="39">
        <v>0.48903953185639665</v>
      </c>
      <c r="AB535" s="39">
        <v>0.48594120813848235</v>
      </c>
      <c r="AC535" s="39">
        <v>0.4764568644350633</v>
      </c>
      <c r="AD535" s="39">
        <v>0.47488437118480148</v>
      </c>
      <c r="AE535" s="39">
        <v>0.48139357583349596</v>
      </c>
      <c r="AF535" s="40">
        <v>0.48654693250052072</v>
      </c>
    </row>
    <row r="536" spans="1:32">
      <c r="A536" s="15">
        <v>534</v>
      </c>
      <c r="B536" s="16">
        <v>0</v>
      </c>
      <c r="C536" s="20">
        <v>0.48</v>
      </c>
      <c r="D536" s="20">
        <v>0.47111217233675318</v>
      </c>
      <c r="E536" s="20">
        <v>0.09</v>
      </c>
      <c r="F536" s="8" t="s">
        <v>436</v>
      </c>
      <c r="G536" s="24">
        <v>0.6321389365331247</v>
      </c>
      <c r="H536" s="24">
        <v>0.63579885961770144</v>
      </c>
      <c r="I536" s="25">
        <v>0.64691811390928478</v>
      </c>
      <c r="L536" s="15">
        <v>534</v>
      </c>
      <c r="M536" s="16">
        <v>0</v>
      </c>
      <c r="N536" s="16">
        <v>2</v>
      </c>
      <c r="O536" s="16">
        <v>0</v>
      </c>
      <c r="P536" s="16">
        <v>72</v>
      </c>
      <c r="Q536" s="29">
        <v>29</v>
      </c>
      <c r="R536" s="20">
        <v>0.63719999999999999</v>
      </c>
      <c r="S536" s="32">
        <v>18.4788</v>
      </c>
      <c r="T536" s="35">
        <v>0.67</v>
      </c>
      <c r="U536" s="35">
        <v>0.28000000000000003</v>
      </c>
      <c r="V536" s="35">
        <v>2.3103448275862071E-2</v>
      </c>
      <c r="W536" s="9" t="s">
        <v>152</v>
      </c>
      <c r="X536" s="15">
        <v>535</v>
      </c>
      <c r="Y536" s="39">
        <v>0.49748690672775614</v>
      </c>
      <c r="Z536" s="39">
        <v>0.48729553734660175</v>
      </c>
      <c r="AA536" s="39">
        <v>0.4911457731189931</v>
      </c>
      <c r="AB536" s="39">
        <v>0.50041973537815931</v>
      </c>
      <c r="AC536" s="39">
        <v>0.48980023959635322</v>
      </c>
      <c r="AD536" s="39">
        <v>0.47759222575706278</v>
      </c>
      <c r="AE536" s="39">
        <v>0.48523383835095185</v>
      </c>
      <c r="AF536" s="40">
        <v>0.49742353529156969</v>
      </c>
    </row>
    <row r="537" spans="1:32">
      <c r="A537" s="15">
        <v>535</v>
      </c>
      <c r="B537" s="16">
        <v>1</v>
      </c>
      <c r="C537" s="20">
        <v>0.22</v>
      </c>
      <c r="D537" s="20">
        <v>0.85403467536630651</v>
      </c>
      <c r="E537" s="20">
        <v>0.08</v>
      </c>
      <c r="F537" s="8" t="s">
        <v>436</v>
      </c>
      <c r="G537" s="24">
        <v>1.1703313995360651</v>
      </c>
      <c r="H537" s="24">
        <v>1.177107319603983</v>
      </c>
      <c r="I537" s="25">
        <v>1.1976933200617863</v>
      </c>
      <c r="L537" s="15">
        <v>535</v>
      </c>
      <c r="M537" s="16">
        <v>0</v>
      </c>
      <c r="N537" s="16">
        <v>2</v>
      </c>
      <c r="O537" s="16">
        <v>0</v>
      </c>
      <c r="P537" s="16">
        <v>73</v>
      </c>
      <c r="Q537" s="29">
        <v>25</v>
      </c>
      <c r="R537" s="20">
        <v>0.63719999999999999</v>
      </c>
      <c r="S537" s="32">
        <v>15.93</v>
      </c>
      <c r="T537" s="35">
        <v>0.66</v>
      </c>
      <c r="U537" s="35">
        <v>0.34</v>
      </c>
      <c r="V537" s="35">
        <v>2.64E-2</v>
      </c>
      <c r="W537" s="9" t="s">
        <v>152</v>
      </c>
      <c r="X537" s="15">
        <v>536</v>
      </c>
      <c r="Y537" s="39">
        <v>0.5068167430197188</v>
      </c>
      <c r="Z537" s="39">
        <v>0.49935483101699757</v>
      </c>
      <c r="AA537" s="39">
        <v>0.4847461683140224</v>
      </c>
      <c r="AB537" s="39">
        <v>0.48318022991613391</v>
      </c>
      <c r="AC537" s="39">
        <v>0.50131562515307071</v>
      </c>
      <c r="AD537" s="39">
        <v>0.49328342895997734</v>
      </c>
      <c r="AE537" s="39">
        <v>0.479622646490517</v>
      </c>
      <c r="AF537" s="40">
        <v>0.48125569903138321</v>
      </c>
    </row>
    <row r="538" spans="1:32">
      <c r="A538" s="15">
        <v>536</v>
      </c>
      <c r="B538" s="16">
        <v>0</v>
      </c>
      <c r="C538" s="20">
        <v>0.56000000000000005</v>
      </c>
      <c r="D538" s="20">
        <v>0.62088527598125665</v>
      </c>
      <c r="E538" s="20">
        <v>0.03</v>
      </c>
      <c r="F538" s="8" t="s">
        <v>438</v>
      </c>
      <c r="G538" s="24">
        <v>0.72557792378015662</v>
      </c>
      <c r="H538" s="24">
        <v>0.72977883474992911</v>
      </c>
      <c r="I538" s="25">
        <v>0.74254167053903231</v>
      </c>
      <c r="L538" s="15">
        <v>536</v>
      </c>
      <c r="M538" s="16">
        <v>0</v>
      </c>
      <c r="N538" s="16">
        <v>2</v>
      </c>
      <c r="O538" s="16">
        <v>0</v>
      </c>
      <c r="P538" s="16">
        <v>74</v>
      </c>
      <c r="Q538" s="29">
        <v>29</v>
      </c>
      <c r="R538" s="20">
        <v>0.63719999999999999</v>
      </c>
      <c r="S538" s="32">
        <v>18.4788</v>
      </c>
      <c r="T538" s="35">
        <v>2.4</v>
      </c>
      <c r="U538" s="35">
        <v>1.96</v>
      </c>
      <c r="V538" s="35">
        <v>8.2758620689655171E-2</v>
      </c>
      <c r="W538" s="9" t="s">
        <v>154</v>
      </c>
      <c r="X538" s="15">
        <v>537</v>
      </c>
      <c r="Y538" s="39">
        <v>0.48185902819988868</v>
      </c>
      <c r="Z538" s="39">
        <v>0.48834634751393335</v>
      </c>
      <c r="AA538" s="39">
        <v>0.48759398076032373</v>
      </c>
      <c r="AB538" s="39">
        <v>0.49393596180292093</v>
      </c>
      <c r="AC538" s="39">
        <v>0.47636570233540487</v>
      </c>
      <c r="AD538" s="39">
        <v>0.48233852180626535</v>
      </c>
      <c r="AE538" s="39">
        <v>0.47935022546320505</v>
      </c>
      <c r="AF538" s="40">
        <v>0.49078110194816227</v>
      </c>
    </row>
    <row r="539" spans="1:32">
      <c r="A539" s="15">
        <v>537</v>
      </c>
      <c r="B539" s="16">
        <v>1</v>
      </c>
      <c r="C539" s="20">
        <v>0.08</v>
      </c>
      <c r="D539" s="20">
        <v>0.93632279486441172</v>
      </c>
      <c r="E539" s="20">
        <v>0.4</v>
      </c>
      <c r="F539" s="8" t="s">
        <v>436</v>
      </c>
      <c r="G539" s="24">
        <v>1.1809731827530088</v>
      </c>
      <c r="H539" s="24">
        <v>1.1878107160293621</v>
      </c>
      <c r="I539" s="25">
        <v>1.2085839042822315</v>
      </c>
      <c r="L539" s="15">
        <v>537</v>
      </c>
      <c r="M539" s="16">
        <v>0</v>
      </c>
      <c r="N539" s="16">
        <v>2</v>
      </c>
      <c r="O539" s="16">
        <v>0</v>
      </c>
      <c r="P539" s="16">
        <v>75</v>
      </c>
      <c r="Q539" s="29">
        <v>18</v>
      </c>
      <c r="R539" s="20">
        <v>0.63719999999999999</v>
      </c>
      <c r="S539" s="32">
        <v>11.4696</v>
      </c>
      <c r="T539" s="35">
        <v>1.26</v>
      </c>
      <c r="U539" s="35">
        <v>1.01</v>
      </c>
      <c r="V539" s="35">
        <v>7.0000000000000007E-2</v>
      </c>
      <c r="W539" s="9" t="s">
        <v>153</v>
      </c>
      <c r="X539" s="15">
        <v>538</v>
      </c>
      <c r="Y539" s="39">
        <v>0.48727941909818062</v>
      </c>
      <c r="Z539" s="39">
        <v>0.4951797179288448</v>
      </c>
      <c r="AA539" s="39">
        <v>0.48898781031471594</v>
      </c>
      <c r="AB539" s="39">
        <v>0.49749989640197773</v>
      </c>
      <c r="AC539" s="39">
        <v>0.48051343969575006</v>
      </c>
      <c r="AD539" s="39">
        <v>0.4893149586862498</v>
      </c>
      <c r="AE539" s="39">
        <v>0.48179255310990965</v>
      </c>
      <c r="AF539" s="40">
        <v>0.49582110390424539</v>
      </c>
    </row>
    <row r="540" spans="1:32">
      <c r="A540" s="15">
        <v>538</v>
      </c>
      <c r="B540" s="16">
        <v>0</v>
      </c>
      <c r="C540" s="20">
        <v>0.02</v>
      </c>
      <c r="D540" s="20">
        <v>0.99917029198757767</v>
      </c>
      <c r="E540" s="20">
        <v>1</v>
      </c>
      <c r="F540" s="8" t="s">
        <v>436</v>
      </c>
      <c r="G540" s="24">
        <v>0.96439930535237839</v>
      </c>
      <c r="H540" s="24">
        <v>0.96998293116060141</v>
      </c>
      <c r="I540" s="25">
        <v>0.9869466087559895</v>
      </c>
      <c r="L540" s="15">
        <v>538</v>
      </c>
      <c r="M540" s="16">
        <v>0</v>
      </c>
      <c r="N540" s="16">
        <v>2</v>
      </c>
      <c r="O540" s="16">
        <v>0</v>
      </c>
      <c r="P540" s="16">
        <v>76</v>
      </c>
      <c r="Q540" s="29">
        <v>21</v>
      </c>
      <c r="R540" s="20">
        <v>0.63719999999999999</v>
      </c>
      <c r="S540" s="32">
        <v>13.3812</v>
      </c>
      <c r="T540" s="35">
        <v>1.78</v>
      </c>
      <c r="U540" s="35">
        <v>1.45</v>
      </c>
      <c r="V540" s="35">
        <v>8.4761904761904761E-2</v>
      </c>
      <c r="W540" s="9" t="s">
        <v>153</v>
      </c>
      <c r="X540" s="15">
        <v>539</v>
      </c>
      <c r="Y540" s="39">
        <v>0.49405562070807457</v>
      </c>
      <c r="Z540" s="39">
        <v>0.49148613174323352</v>
      </c>
      <c r="AA540" s="39">
        <v>0.49850093524288774</v>
      </c>
      <c r="AB540" s="39">
        <v>0.4811649708815941</v>
      </c>
      <c r="AC540" s="39">
        <v>0.48708764499085538</v>
      </c>
      <c r="AD540" s="39">
        <v>0.48277301344624379</v>
      </c>
      <c r="AE540" s="39">
        <v>0.48915005207642559</v>
      </c>
      <c r="AF540" s="40">
        <v>0.47648579289758447</v>
      </c>
    </row>
    <row r="541" spans="1:32">
      <c r="A541" s="15">
        <v>539</v>
      </c>
      <c r="B541" s="16">
        <v>1</v>
      </c>
      <c r="C541" s="20">
        <v>0.02</v>
      </c>
      <c r="D541" s="20">
        <v>0.99835916395484214</v>
      </c>
      <c r="E541" s="20">
        <v>1</v>
      </c>
      <c r="F541" s="8" t="s">
        <v>436</v>
      </c>
      <c r="G541" s="24">
        <v>1.0734723764397935</v>
      </c>
      <c r="H541" s="24">
        <v>1.0796875074879371</v>
      </c>
      <c r="I541" s="25">
        <v>1.0985697683941973</v>
      </c>
      <c r="L541" s="15">
        <v>539</v>
      </c>
      <c r="M541" s="16">
        <v>0</v>
      </c>
      <c r="N541" s="16">
        <v>2</v>
      </c>
      <c r="O541" s="16">
        <v>0</v>
      </c>
      <c r="P541" s="16">
        <v>77</v>
      </c>
      <c r="Q541" s="29">
        <v>23</v>
      </c>
      <c r="R541" s="20">
        <v>0.63719999999999999</v>
      </c>
      <c r="S541" s="32">
        <v>14.6556</v>
      </c>
      <c r="T541" s="35">
        <v>1.5</v>
      </c>
      <c r="U541" s="35">
        <v>1.19</v>
      </c>
      <c r="V541" s="35">
        <v>6.5217391304347824E-2</v>
      </c>
      <c r="W541" s="9" t="s">
        <v>153</v>
      </c>
      <c r="X541" s="15">
        <v>540</v>
      </c>
      <c r="Y541" s="39">
        <v>0.47417729864333458</v>
      </c>
      <c r="Z541" s="39">
        <v>0.49363110774668822</v>
      </c>
      <c r="AA541" s="39">
        <v>0.4850779544420018</v>
      </c>
      <c r="AB541" s="39">
        <v>0.47574414206616844</v>
      </c>
      <c r="AC541" s="39">
        <v>0.46976203564070068</v>
      </c>
      <c r="AD541" s="39">
        <v>0.48645525323295608</v>
      </c>
      <c r="AE541" s="39">
        <v>0.47968232919504095</v>
      </c>
      <c r="AF541" s="40">
        <v>0.47323017799382355</v>
      </c>
    </row>
    <row r="542" spans="1:32">
      <c r="A542" s="15">
        <v>540</v>
      </c>
      <c r="B542" s="16">
        <v>1</v>
      </c>
      <c r="C542" s="20">
        <v>0.95</v>
      </c>
      <c r="D542" s="20">
        <v>0.15570568692893463</v>
      </c>
      <c r="E542" s="20">
        <v>0.05</v>
      </c>
      <c r="F542" s="8" t="s">
        <v>434</v>
      </c>
      <c r="G542" s="24">
        <v>0.5443620880064578</v>
      </c>
      <c r="H542" s="24">
        <v>0.54751380554372875</v>
      </c>
      <c r="I542" s="25">
        <v>0.55708907473445024</v>
      </c>
      <c r="L542" s="15">
        <v>540</v>
      </c>
      <c r="M542" s="16">
        <v>0</v>
      </c>
      <c r="N542" s="16">
        <v>2</v>
      </c>
      <c r="O542" s="16">
        <v>0</v>
      </c>
      <c r="P542" s="16">
        <v>78</v>
      </c>
      <c r="Q542" s="29">
        <v>21</v>
      </c>
      <c r="R542" s="20">
        <v>0.63719999999999999</v>
      </c>
      <c r="S542" s="32">
        <v>13.3812</v>
      </c>
      <c r="T542" s="35">
        <v>0.63</v>
      </c>
      <c r="U542" s="35">
        <v>0.31</v>
      </c>
      <c r="V542" s="35">
        <v>0.03</v>
      </c>
      <c r="W542" s="9" t="s">
        <v>152</v>
      </c>
      <c r="X542" s="15">
        <v>541</v>
      </c>
      <c r="Y542" s="39">
        <v>0.47872461826420165</v>
      </c>
      <c r="Z542" s="39">
        <v>0.47842032024536613</v>
      </c>
      <c r="AA542" s="39">
        <v>0.4894951558155704</v>
      </c>
      <c r="AB542" s="39">
        <v>0.49487366240545499</v>
      </c>
      <c r="AC542" s="39">
        <v>0.47347560947867395</v>
      </c>
      <c r="AD542" s="39">
        <v>0.47213591220604856</v>
      </c>
      <c r="AE542" s="39">
        <v>0.48408856799263134</v>
      </c>
      <c r="AF542" s="40">
        <v>0.4896707359671395</v>
      </c>
    </row>
    <row r="543" spans="1:32">
      <c r="A543" s="15">
        <v>541</v>
      </c>
      <c r="B543" s="16">
        <v>0</v>
      </c>
      <c r="C543" s="20">
        <v>0.94</v>
      </c>
      <c r="D543" s="20">
        <v>0.17188516685452584</v>
      </c>
      <c r="E543" s="20">
        <v>0.06</v>
      </c>
      <c r="F543" s="8" t="s">
        <v>434</v>
      </c>
      <c r="G543" s="24">
        <v>1.5507824457715997</v>
      </c>
      <c r="H543" s="24">
        <v>1.5597610802843918</v>
      </c>
      <c r="I543" s="25">
        <v>1.5870391727556887</v>
      </c>
      <c r="L543" s="15">
        <v>541</v>
      </c>
      <c r="M543" s="16">
        <v>0</v>
      </c>
      <c r="N543" s="16">
        <v>2</v>
      </c>
      <c r="O543" s="16">
        <v>0</v>
      </c>
      <c r="P543" s="16">
        <v>79</v>
      </c>
      <c r="Q543" s="29">
        <v>20</v>
      </c>
      <c r="R543" s="20">
        <v>0.63719999999999999</v>
      </c>
      <c r="S543" s="32">
        <v>12.744</v>
      </c>
      <c r="T543" s="35">
        <v>0.59</v>
      </c>
      <c r="U543" s="35">
        <v>0.37</v>
      </c>
      <c r="V543" s="35">
        <v>2.9499999999999998E-2</v>
      </c>
      <c r="W543" s="9" t="s">
        <v>152</v>
      </c>
      <c r="X543" s="15">
        <v>542</v>
      </c>
      <c r="Y543" s="39">
        <v>0.50117319468883181</v>
      </c>
      <c r="Z543" s="39">
        <v>0.48068602051203452</v>
      </c>
      <c r="AA543" s="39">
        <v>0.48710754470160467</v>
      </c>
      <c r="AB543" s="39">
        <v>0.49579016413564431</v>
      </c>
      <c r="AC543" s="39">
        <v>0.49367471314845135</v>
      </c>
      <c r="AD543" s="39">
        <v>0.4726725691803223</v>
      </c>
      <c r="AE543" s="39">
        <v>0.47975443303874066</v>
      </c>
      <c r="AF543" s="40">
        <v>0.49323460310110201</v>
      </c>
    </row>
    <row r="544" spans="1:32">
      <c r="A544" s="15">
        <v>542</v>
      </c>
      <c r="B544" s="16">
        <v>1</v>
      </c>
      <c r="C544" s="20">
        <v>0.02</v>
      </c>
      <c r="D544" s="20">
        <v>0.99917029198757767</v>
      </c>
      <c r="E544" s="20">
        <v>1</v>
      </c>
      <c r="F544" s="8" t="s">
        <v>436</v>
      </c>
      <c r="G544" s="24">
        <v>1.0741190087826107</v>
      </c>
      <c r="H544" s="24">
        <v>1.0803378836669617</v>
      </c>
      <c r="I544" s="25">
        <v>1.0992315187649342</v>
      </c>
      <c r="L544" s="15">
        <v>542</v>
      </c>
      <c r="M544" s="16">
        <v>0</v>
      </c>
      <c r="N544" s="16">
        <v>2</v>
      </c>
      <c r="O544" s="16">
        <v>0</v>
      </c>
      <c r="P544" s="16">
        <v>80</v>
      </c>
      <c r="Q544" s="29">
        <v>16</v>
      </c>
      <c r="R544" s="20">
        <v>0.63719999999999999</v>
      </c>
      <c r="S544" s="32">
        <v>10.1952</v>
      </c>
      <c r="T544" s="35">
        <v>0.47000000000000003</v>
      </c>
      <c r="U544" s="35">
        <v>0.11</v>
      </c>
      <c r="V544" s="35">
        <v>2.9375000000000002E-2</v>
      </c>
      <c r="W544" s="9" t="s">
        <v>152</v>
      </c>
      <c r="X544" s="15">
        <v>543</v>
      </c>
      <c r="Y544" s="39">
        <v>0.48855224231190442</v>
      </c>
      <c r="Z544" s="39">
        <v>0.49889315423174302</v>
      </c>
      <c r="AA544" s="39">
        <v>0.4871948168247896</v>
      </c>
      <c r="AB544" s="39">
        <v>0.5022792548874595</v>
      </c>
      <c r="AC544" s="39">
        <v>0.4799795775536716</v>
      </c>
      <c r="AD544" s="39">
        <v>0.49249926977609115</v>
      </c>
      <c r="AE544" s="39">
        <v>0.47989278959227177</v>
      </c>
      <c r="AF544" s="40">
        <v>0.49926685304869167</v>
      </c>
    </row>
    <row r="545" spans="1:32">
      <c r="A545" s="15">
        <v>543</v>
      </c>
      <c r="B545" s="16">
        <v>1</v>
      </c>
      <c r="C545" s="20">
        <v>0.33</v>
      </c>
      <c r="D545" s="20">
        <v>0.65663420741094281</v>
      </c>
      <c r="E545" s="20">
        <v>0.04</v>
      </c>
      <c r="F545" s="8" t="s">
        <v>436</v>
      </c>
      <c r="G545" s="24">
        <v>1.160205632518384</v>
      </c>
      <c r="H545" s="24">
        <v>1.1669229269799435</v>
      </c>
      <c r="I545" s="25">
        <v>1.1873308163108092</v>
      </c>
      <c r="L545" s="15">
        <v>543</v>
      </c>
      <c r="M545" s="16">
        <v>0</v>
      </c>
      <c r="N545" s="16">
        <v>2</v>
      </c>
      <c r="O545" s="16">
        <v>0</v>
      </c>
      <c r="P545" s="16">
        <v>81</v>
      </c>
      <c r="Q545" s="29">
        <v>29</v>
      </c>
      <c r="R545" s="20">
        <v>0.63719999999999999</v>
      </c>
      <c r="S545" s="32">
        <v>18.4788</v>
      </c>
      <c r="T545" s="35">
        <v>2.65</v>
      </c>
      <c r="U545" s="35">
        <v>2.35</v>
      </c>
      <c r="V545" s="35">
        <v>9.1379310344827588E-2</v>
      </c>
      <c r="W545" s="9" t="s">
        <v>154</v>
      </c>
      <c r="X545" s="15">
        <v>544</v>
      </c>
      <c r="Y545" s="39">
        <v>0.48557655513120518</v>
      </c>
      <c r="Z545" s="39">
        <v>0.4802816791232134</v>
      </c>
      <c r="AA545" s="39">
        <v>0.48683291778855858</v>
      </c>
      <c r="AB545" s="39">
        <v>0.49061499336254893</v>
      </c>
      <c r="AC545" s="39">
        <v>0.47736712907060286</v>
      </c>
      <c r="AD545" s="39">
        <v>0.4746234613656567</v>
      </c>
      <c r="AE545" s="39">
        <v>0.48017193495345689</v>
      </c>
      <c r="AF545" s="40">
        <v>0.48560893503861163</v>
      </c>
    </row>
    <row r="546" spans="1:32">
      <c r="A546" s="15">
        <v>544</v>
      </c>
      <c r="B546" s="16">
        <v>1</v>
      </c>
      <c r="C546" s="20">
        <v>7.0000000000000007E-2</v>
      </c>
      <c r="D546" s="20">
        <v>0.94852458688311891</v>
      </c>
      <c r="E546" s="20">
        <v>0.48</v>
      </c>
      <c r="F546" s="8" t="s">
        <v>436</v>
      </c>
      <c r="G546" s="24">
        <v>1.0307127171360173</v>
      </c>
      <c r="H546" s="24">
        <v>1.0366802806714985</v>
      </c>
      <c r="I546" s="25">
        <v>1.0548104038786832</v>
      </c>
      <c r="L546" s="15">
        <v>544</v>
      </c>
      <c r="M546" s="16">
        <v>0</v>
      </c>
      <c r="N546" s="16">
        <v>2</v>
      </c>
      <c r="O546" s="16">
        <v>0</v>
      </c>
      <c r="P546" s="16">
        <v>82</v>
      </c>
      <c r="Q546" s="29">
        <v>18</v>
      </c>
      <c r="R546" s="20">
        <v>0.63719999999999999</v>
      </c>
      <c r="S546" s="32">
        <v>11.4696</v>
      </c>
      <c r="T546" s="35">
        <v>0.34</v>
      </c>
      <c r="U546" s="35">
        <v>0.03</v>
      </c>
      <c r="V546" s="35">
        <v>1.8888888888888889E-2</v>
      </c>
      <c r="W546" s="9" t="s">
        <v>152</v>
      </c>
      <c r="X546" s="15">
        <v>545</v>
      </c>
      <c r="Y546" s="39">
        <v>0.49934917373709475</v>
      </c>
      <c r="Z546" s="39">
        <v>0.47406181112973211</v>
      </c>
      <c r="AA546" s="39">
        <v>0.48636750693305453</v>
      </c>
      <c r="AB546" s="39">
        <v>0.48868738424212332</v>
      </c>
      <c r="AC546" s="39">
        <v>0.4912314196448837</v>
      </c>
      <c r="AD546" s="39">
        <v>0.46834942448871908</v>
      </c>
      <c r="AE546" s="39">
        <v>0.47460584415243645</v>
      </c>
      <c r="AF546" s="40">
        <v>0.48425585677717925</v>
      </c>
    </row>
    <row r="547" spans="1:32">
      <c r="A547" s="15">
        <v>545</v>
      </c>
      <c r="B547" s="16">
        <v>1</v>
      </c>
      <c r="C547" s="20">
        <v>0.21</v>
      </c>
      <c r="D547" s="20">
        <v>0.87558695822567889</v>
      </c>
      <c r="E547" s="20">
        <v>0.04</v>
      </c>
      <c r="F547" s="8" t="s">
        <v>436</v>
      </c>
      <c r="G547" s="24">
        <v>0.61230155872355152</v>
      </c>
      <c r="H547" s="24">
        <v>0.61584662845424232</v>
      </c>
      <c r="I547" s="25">
        <v>0.62661694545436164</v>
      </c>
      <c r="L547" s="15">
        <v>545</v>
      </c>
      <c r="M547" s="16">
        <v>0</v>
      </c>
      <c r="N547" s="16">
        <v>2</v>
      </c>
      <c r="O547" s="16">
        <v>0</v>
      </c>
      <c r="P547" s="16">
        <v>83</v>
      </c>
      <c r="Q547" s="29">
        <v>23</v>
      </c>
      <c r="R547" s="20">
        <v>0.63719999999999999</v>
      </c>
      <c r="S547" s="32">
        <v>14.6556</v>
      </c>
      <c r="T547" s="35">
        <v>0.4</v>
      </c>
      <c r="U547" s="35">
        <v>0.02</v>
      </c>
      <c r="V547" s="35">
        <v>1.7391304347826087E-2</v>
      </c>
      <c r="W547" s="9" t="s">
        <v>152</v>
      </c>
      <c r="X547" s="15">
        <v>546</v>
      </c>
      <c r="Y547" s="39">
        <v>0.48751787247221817</v>
      </c>
      <c r="Z547" s="39">
        <v>0.48123304028983566</v>
      </c>
      <c r="AA547" s="39">
        <v>0.48867847858072599</v>
      </c>
      <c r="AB547" s="39">
        <v>0.49517658236990431</v>
      </c>
      <c r="AC547" s="39">
        <v>0.48230384842386342</v>
      </c>
      <c r="AD547" s="39">
        <v>0.47256023732332492</v>
      </c>
      <c r="AE547" s="39">
        <v>0.48594679930315149</v>
      </c>
      <c r="AF547" s="40">
        <v>0.49198649445774223</v>
      </c>
    </row>
    <row r="548" spans="1:32">
      <c r="A548" s="15">
        <v>546</v>
      </c>
      <c r="B548" s="16">
        <v>0</v>
      </c>
      <c r="C548" s="20">
        <v>0.2</v>
      </c>
      <c r="D548" s="20">
        <v>0.83829465913112811</v>
      </c>
      <c r="E548" s="20">
        <v>0.09</v>
      </c>
      <c r="F548" s="8" t="s">
        <v>436</v>
      </c>
      <c r="G548" s="24">
        <v>1.2225551017024696</v>
      </c>
      <c r="H548" s="24">
        <v>1.2296333836754605</v>
      </c>
      <c r="I548" s="25">
        <v>1.2511379933042488</v>
      </c>
      <c r="L548" s="15">
        <v>546</v>
      </c>
      <c r="M548" s="16">
        <v>0</v>
      </c>
      <c r="N548" s="16">
        <v>2</v>
      </c>
      <c r="O548" s="16">
        <v>1</v>
      </c>
      <c r="P548" s="16">
        <v>0</v>
      </c>
      <c r="Q548" s="29">
        <v>36</v>
      </c>
      <c r="R548" s="20">
        <v>0.63719999999999999</v>
      </c>
      <c r="S548" s="32">
        <v>22.9392</v>
      </c>
      <c r="T548" s="35">
        <v>1.8399999999999999</v>
      </c>
      <c r="U548" s="35">
        <v>1.35</v>
      </c>
      <c r="V548" s="35">
        <v>5.1111111111111107E-2</v>
      </c>
      <c r="W548" s="9" t="s">
        <v>153</v>
      </c>
      <c r="X548" s="15">
        <v>547</v>
      </c>
      <c r="Y548" s="39">
        <v>0.4798748864300042</v>
      </c>
      <c r="Z548" s="39">
        <v>0.4967413447783719</v>
      </c>
      <c r="AA548" s="39">
        <v>0.48233193717927497</v>
      </c>
      <c r="AB548" s="39">
        <v>0.48319095342876284</v>
      </c>
      <c r="AC548" s="39">
        <v>0.47322134978956976</v>
      </c>
      <c r="AD548" s="39">
        <v>0.4915543531735258</v>
      </c>
      <c r="AE548" s="39">
        <v>0.47568416083874021</v>
      </c>
      <c r="AF548" s="40">
        <v>0.47630434050896908</v>
      </c>
    </row>
    <row r="549" spans="1:32">
      <c r="A549" s="15">
        <v>547</v>
      </c>
      <c r="B549" s="16">
        <v>1</v>
      </c>
      <c r="C549" s="20">
        <v>0.12</v>
      </c>
      <c r="D549" s="20">
        <v>0.91333379756610433</v>
      </c>
      <c r="E549" s="20">
        <v>0.18</v>
      </c>
      <c r="F549" s="8" t="s">
        <v>436</v>
      </c>
      <c r="G549" s="24">
        <v>0.86564959046501699</v>
      </c>
      <c r="H549" s="24">
        <v>0.87066148063060778</v>
      </c>
      <c r="I549" s="25">
        <v>0.88588816161402328</v>
      </c>
      <c r="L549" s="15">
        <v>547</v>
      </c>
      <c r="M549" s="16">
        <v>0</v>
      </c>
      <c r="N549" s="16">
        <v>2</v>
      </c>
      <c r="O549" s="16">
        <v>1</v>
      </c>
      <c r="P549" s="16">
        <v>1</v>
      </c>
      <c r="Q549" s="29">
        <v>30</v>
      </c>
      <c r="R549" s="20">
        <v>0.63719999999999999</v>
      </c>
      <c r="S549" s="32">
        <v>19.116</v>
      </c>
      <c r="T549" s="35">
        <v>1.56</v>
      </c>
      <c r="U549" s="35">
        <v>1.1399999999999999</v>
      </c>
      <c r="V549" s="35">
        <v>5.2000000000000005E-2</v>
      </c>
      <c r="W549" s="9" t="s">
        <v>153</v>
      </c>
      <c r="X549" s="15">
        <v>548</v>
      </c>
      <c r="Y549" s="39">
        <v>0.49325734730661891</v>
      </c>
      <c r="Z549" s="39">
        <v>0.48455482259620836</v>
      </c>
      <c r="AA549" s="39">
        <v>0.49183701623139442</v>
      </c>
      <c r="AB549" s="39">
        <v>0.47878081066311451</v>
      </c>
      <c r="AC549" s="39">
        <v>0.48435906584568483</v>
      </c>
      <c r="AD549" s="39">
        <v>0.47438691238485498</v>
      </c>
      <c r="AE549" s="39">
        <v>0.48376672009416571</v>
      </c>
      <c r="AF549" s="40">
        <v>0.47701173296415955</v>
      </c>
    </row>
    <row r="550" spans="1:32">
      <c r="A550" s="15">
        <v>548</v>
      </c>
      <c r="B550" s="16">
        <v>0</v>
      </c>
      <c r="C550" s="20">
        <v>0.88</v>
      </c>
      <c r="D550" s="20">
        <v>0.25930874124763043</v>
      </c>
      <c r="E550" s="20">
        <v>0.12</v>
      </c>
      <c r="F550" s="8" t="s">
        <v>434</v>
      </c>
      <c r="G550" s="24">
        <v>0.78933413601526725</v>
      </c>
      <c r="H550" s="24">
        <v>0.79390417917965528</v>
      </c>
      <c r="I550" s="25">
        <v>0.80778847972205836</v>
      </c>
      <c r="L550" s="15">
        <v>548</v>
      </c>
      <c r="M550" s="16">
        <v>0</v>
      </c>
      <c r="N550" s="16">
        <v>2</v>
      </c>
      <c r="O550" s="16">
        <v>1</v>
      </c>
      <c r="P550" s="16">
        <v>2</v>
      </c>
      <c r="Q550" s="29">
        <v>16</v>
      </c>
      <c r="R550" s="20">
        <v>0.63719999999999999</v>
      </c>
      <c r="S550" s="32">
        <v>10.1952</v>
      </c>
      <c r="T550" s="35">
        <v>1.1399999999999999</v>
      </c>
      <c r="U550" s="35">
        <v>0.9</v>
      </c>
      <c r="V550" s="35">
        <v>7.1249999999999994E-2</v>
      </c>
      <c r="W550" s="9" t="s">
        <v>153</v>
      </c>
      <c r="X550" s="15">
        <v>549</v>
      </c>
      <c r="Y550" s="39">
        <v>0.48805129174792372</v>
      </c>
      <c r="Z550" s="39">
        <v>0.48353220958917958</v>
      </c>
      <c r="AA550" s="39">
        <v>0.50008326676902182</v>
      </c>
      <c r="AB550" s="39">
        <v>0.48882807563188452</v>
      </c>
      <c r="AC550" s="39">
        <v>0.48085795792881608</v>
      </c>
      <c r="AD550" s="39">
        <v>0.47675068166672774</v>
      </c>
      <c r="AE550" s="39">
        <v>0.49184157829551078</v>
      </c>
      <c r="AF550" s="40">
        <v>0.48474621784253097</v>
      </c>
    </row>
    <row r="551" spans="1:32">
      <c r="A551" s="15">
        <v>549</v>
      </c>
      <c r="B551" s="16">
        <v>0</v>
      </c>
      <c r="C551" s="20">
        <v>0.96</v>
      </c>
      <c r="D551" s="20">
        <v>0.13880369068795359</v>
      </c>
      <c r="E551" s="20">
        <v>0.04</v>
      </c>
      <c r="F551" s="8" t="s">
        <v>434</v>
      </c>
      <c r="G551" s="24">
        <v>0.51395436557043583</v>
      </c>
      <c r="H551" s="24">
        <v>0.51693003015658912</v>
      </c>
      <c r="I551" s="25">
        <v>0.52597043085772144</v>
      </c>
      <c r="L551" s="15">
        <v>549</v>
      </c>
      <c r="M551" s="16">
        <v>0</v>
      </c>
      <c r="N551" s="16">
        <v>2</v>
      </c>
      <c r="O551" s="16">
        <v>1</v>
      </c>
      <c r="P551" s="16">
        <v>3</v>
      </c>
      <c r="Q551" s="29">
        <v>33</v>
      </c>
      <c r="R551" s="20">
        <v>0.63719999999999999</v>
      </c>
      <c r="S551" s="32">
        <v>21.0276</v>
      </c>
      <c r="T551" s="35">
        <v>1.75</v>
      </c>
      <c r="U551" s="35">
        <v>1.24</v>
      </c>
      <c r="V551" s="35">
        <v>5.3030303030303032E-2</v>
      </c>
      <c r="W551" s="9" t="s">
        <v>153</v>
      </c>
      <c r="X551" s="15">
        <v>550</v>
      </c>
      <c r="Y551" s="39">
        <v>0.49146323546955273</v>
      </c>
      <c r="Z551" s="39">
        <v>0.47199394528929733</v>
      </c>
      <c r="AA551" s="39">
        <v>0.49195670034804984</v>
      </c>
      <c r="AB551" s="39">
        <v>0.48733029982329484</v>
      </c>
      <c r="AC551" s="39">
        <v>0.48568912795076874</v>
      </c>
      <c r="AD551" s="39">
        <v>0.46488756298499018</v>
      </c>
      <c r="AE551" s="39">
        <v>0.48441169743601409</v>
      </c>
      <c r="AF551" s="40">
        <v>0.48233689449610589</v>
      </c>
    </row>
    <row r="552" spans="1:32">
      <c r="A552" s="15">
        <v>550</v>
      </c>
      <c r="B552" s="16">
        <v>1</v>
      </c>
      <c r="C552" s="20">
        <v>0.36</v>
      </c>
      <c r="D552" s="20">
        <v>0.6619894255053107</v>
      </c>
      <c r="E552" s="20">
        <v>0.09</v>
      </c>
      <c r="F552" s="8" t="s">
        <v>436</v>
      </c>
      <c r="G552" s="24">
        <v>0.61179151956505007</v>
      </c>
      <c r="H552" s="24">
        <v>0.61533363629920423</v>
      </c>
      <c r="I552" s="25">
        <v>0.62609498176668366</v>
      </c>
      <c r="L552" s="15">
        <v>550</v>
      </c>
      <c r="M552" s="16">
        <v>0</v>
      </c>
      <c r="N552" s="16">
        <v>2</v>
      </c>
      <c r="O552" s="16">
        <v>1</v>
      </c>
      <c r="P552" s="16">
        <v>4</v>
      </c>
      <c r="Q552" s="29">
        <v>47</v>
      </c>
      <c r="R552" s="20">
        <v>0.63719999999999999</v>
      </c>
      <c r="S552" s="32">
        <v>29.948399999999999</v>
      </c>
      <c r="T552" s="35">
        <v>2.6</v>
      </c>
      <c r="U552" s="35">
        <v>2.04</v>
      </c>
      <c r="V552" s="35">
        <v>5.5319148936170216E-2</v>
      </c>
      <c r="W552" s="9" t="s">
        <v>154</v>
      </c>
      <c r="X552" s="15">
        <v>551</v>
      </c>
      <c r="Y552" s="39">
        <v>0.48846752794853454</v>
      </c>
      <c r="Z552" s="39">
        <v>0.49394131143118886</v>
      </c>
      <c r="AA552" s="39">
        <v>0.48117793458762081</v>
      </c>
      <c r="AB552" s="39">
        <v>0.48440615492568023</v>
      </c>
      <c r="AC552" s="39">
        <v>0.480601639123864</v>
      </c>
      <c r="AD552" s="39">
        <v>0.48750558125577542</v>
      </c>
      <c r="AE552" s="39">
        <v>0.47238890556412749</v>
      </c>
      <c r="AF552" s="40">
        <v>0.47918651465406026</v>
      </c>
    </row>
    <row r="553" spans="1:32">
      <c r="A553" s="15">
        <v>551</v>
      </c>
      <c r="B553" s="16">
        <v>1</v>
      </c>
      <c r="C553" s="20">
        <v>0.97</v>
      </c>
      <c r="D553" s="20">
        <v>0.12097036642660543</v>
      </c>
      <c r="E553" s="20">
        <v>0.03</v>
      </c>
      <c r="F553" s="8" t="s">
        <v>434</v>
      </c>
      <c r="G553" s="24">
        <v>0.64458216498852938</v>
      </c>
      <c r="H553" s="24">
        <v>0.64831413118964054</v>
      </c>
      <c r="I553" s="25">
        <v>0.65965226049968539</v>
      </c>
      <c r="L553" s="15">
        <v>551</v>
      </c>
      <c r="M553" s="16">
        <v>0</v>
      </c>
      <c r="N553" s="16">
        <v>2</v>
      </c>
      <c r="O553" s="16">
        <v>1</v>
      </c>
      <c r="P553" s="16">
        <v>5</v>
      </c>
      <c r="Q553" s="29">
        <v>40</v>
      </c>
      <c r="R553" s="20">
        <v>0.63719999999999999</v>
      </c>
      <c r="S553" s="32">
        <v>25.488</v>
      </c>
      <c r="T553" s="35">
        <v>2.02</v>
      </c>
      <c r="U553" s="35">
        <v>1.46</v>
      </c>
      <c r="V553" s="35">
        <v>5.0500000000000003E-2</v>
      </c>
      <c r="W553" s="9" t="s">
        <v>154</v>
      </c>
      <c r="X553" s="15">
        <v>552</v>
      </c>
      <c r="Y553" s="39">
        <v>0.49556118802571386</v>
      </c>
      <c r="Z553" s="39">
        <v>0.4929375854549225</v>
      </c>
      <c r="AA553" s="39">
        <v>0.48299734209793893</v>
      </c>
      <c r="AB553" s="39">
        <v>0.47479710037791034</v>
      </c>
      <c r="AC553" s="39">
        <v>0.48792192507813847</v>
      </c>
      <c r="AD553" s="39">
        <v>0.48798349329329421</v>
      </c>
      <c r="AE553" s="39">
        <v>0.47511971006853054</v>
      </c>
      <c r="AF553" s="40">
        <v>0.47105759020115739</v>
      </c>
    </row>
    <row r="554" spans="1:32">
      <c r="A554" s="15">
        <v>552</v>
      </c>
      <c r="B554" s="16">
        <v>0</v>
      </c>
      <c r="C554" s="20">
        <v>0.31</v>
      </c>
      <c r="D554" s="20">
        <v>0.66726067742834361</v>
      </c>
      <c r="E554" s="20">
        <v>0.1</v>
      </c>
      <c r="F554" s="8" t="s">
        <v>436</v>
      </c>
      <c r="G554" s="24">
        <v>0.67720998023439771</v>
      </c>
      <c r="H554" s="24">
        <v>0.68113085315730104</v>
      </c>
      <c r="I554" s="25">
        <v>0.69304290214501563</v>
      </c>
      <c r="L554" s="15">
        <v>552</v>
      </c>
      <c r="M554" s="16">
        <v>0</v>
      </c>
      <c r="N554" s="16">
        <v>2</v>
      </c>
      <c r="O554" s="16">
        <v>1</v>
      </c>
      <c r="P554" s="16">
        <v>6</v>
      </c>
      <c r="Q554" s="29">
        <v>37</v>
      </c>
      <c r="R554" s="20">
        <v>0.63719999999999999</v>
      </c>
      <c r="S554" s="32">
        <v>23.5764</v>
      </c>
      <c r="T554" s="35">
        <v>0.79</v>
      </c>
      <c r="U554" s="35">
        <v>0.26</v>
      </c>
      <c r="V554" s="35">
        <v>2.1351351351351352E-2</v>
      </c>
      <c r="W554" s="9" t="s">
        <v>152</v>
      </c>
      <c r="X554" s="15">
        <v>553</v>
      </c>
      <c r="Y554" s="39">
        <v>0.4885980233319191</v>
      </c>
      <c r="Z554" s="39">
        <v>0.4773589421688812</v>
      </c>
      <c r="AA554" s="39">
        <v>0.46957996978159366</v>
      </c>
      <c r="AB554" s="39">
        <v>0.48457985693824385</v>
      </c>
      <c r="AC554" s="39">
        <v>0.48069086868815708</v>
      </c>
      <c r="AD554" s="39">
        <v>0.47133266637387705</v>
      </c>
      <c r="AE554" s="39">
        <v>0.46461052260338292</v>
      </c>
      <c r="AF554" s="40">
        <v>0.47987897714395811</v>
      </c>
    </row>
    <row r="555" spans="1:32">
      <c r="A555" s="15">
        <v>553</v>
      </c>
      <c r="B555" s="16">
        <v>0</v>
      </c>
      <c r="C555" s="20">
        <v>0.02</v>
      </c>
      <c r="D555" s="20">
        <v>0.99756714174924133</v>
      </c>
      <c r="E555" s="20">
        <v>1</v>
      </c>
      <c r="F555" s="8" t="s">
        <v>436</v>
      </c>
      <c r="G555" s="24">
        <v>0.98669591445560589</v>
      </c>
      <c r="H555" s="24">
        <v>0.99240863193916884</v>
      </c>
      <c r="I555" s="25">
        <v>1.0097645044337014</v>
      </c>
      <c r="L555" s="15">
        <v>553</v>
      </c>
      <c r="M555" s="16">
        <v>0</v>
      </c>
      <c r="N555" s="16">
        <v>2</v>
      </c>
      <c r="O555" s="16">
        <v>1</v>
      </c>
      <c r="P555" s="16">
        <v>7</v>
      </c>
      <c r="Q555" s="29">
        <v>37</v>
      </c>
      <c r="R555" s="20">
        <v>0.63719999999999999</v>
      </c>
      <c r="S555" s="32">
        <v>23.5764</v>
      </c>
      <c r="T555" s="35">
        <v>1.69</v>
      </c>
      <c r="U555" s="35">
        <v>1.1200000000000001</v>
      </c>
      <c r="V555" s="35">
        <v>4.5675675675675674E-2</v>
      </c>
      <c r="W555" s="9" t="s">
        <v>153</v>
      </c>
      <c r="X555" s="15">
        <v>554</v>
      </c>
      <c r="Y555" s="39">
        <v>0.49226835762740917</v>
      </c>
      <c r="Z555" s="39">
        <v>0.50210527039373321</v>
      </c>
      <c r="AA555" s="39">
        <v>0.47152364951153974</v>
      </c>
      <c r="AB555" s="39">
        <v>0.47489021460762409</v>
      </c>
      <c r="AC555" s="39">
        <v>0.48428917240430736</v>
      </c>
      <c r="AD555" s="39">
        <v>0.49152962637198877</v>
      </c>
      <c r="AE555" s="39">
        <v>0.4621852690143376</v>
      </c>
      <c r="AF555" s="40">
        <v>0.46883029691091677</v>
      </c>
    </row>
    <row r="556" spans="1:32">
      <c r="A556" s="15">
        <v>554</v>
      </c>
      <c r="B556" s="16">
        <v>0</v>
      </c>
      <c r="C556" s="20">
        <v>0.65</v>
      </c>
      <c r="D556" s="20">
        <v>0.44016754090641114</v>
      </c>
      <c r="E556" s="20">
        <v>0.06</v>
      </c>
      <c r="F556" s="8" t="s">
        <v>438</v>
      </c>
      <c r="G556" s="24">
        <v>0.67137507272753238</v>
      </c>
      <c r="H556" s="24">
        <v>0.67526216302537256</v>
      </c>
      <c r="I556" s="25">
        <v>0.6870715766324974</v>
      </c>
      <c r="L556" s="15">
        <v>554</v>
      </c>
      <c r="M556" s="16">
        <v>0</v>
      </c>
      <c r="N556" s="16">
        <v>2</v>
      </c>
      <c r="O556" s="16">
        <v>1</v>
      </c>
      <c r="P556" s="16">
        <v>8</v>
      </c>
      <c r="Q556" s="29">
        <v>29</v>
      </c>
      <c r="R556" s="20">
        <v>0.63719999999999999</v>
      </c>
      <c r="S556" s="32">
        <v>18.4788</v>
      </c>
      <c r="T556" s="35">
        <v>0.47000000000000003</v>
      </c>
      <c r="U556" s="35">
        <v>0.03</v>
      </c>
      <c r="V556" s="35">
        <v>1.620689655172414E-2</v>
      </c>
      <c r="W556" s="9" t="s">
        <v>152</v>
      </c>
      <c r="X556" s="15">
        <v>555</v>
      </c>
      <c r="Y556" s="39">
        <v>0.49910208826738534</v>
      </c>
      <c r="Z556" s="39">
        <v>0.48711192421813787</v>
      </c>
      <c r="AA556" s="39">
        <v>0.49663687498215958</v>
      </c>
      <c r="AB556" s="39">
        <v>0.49051388479309382</v>
      </c>
      <c r="AC556" s="39">
        <v>0.49155636443958767</v>
      </c>
      <c r="AD556" s="39">
        <v>0.48067181244110424</v>
      </c>
      <c r="AE556" s="39">
        <v>0.49097430607114556</v>
      </c>
      <c r="AF556" s="40">
        <v>0.48435587418259585</v>
      </c>
    </row>
    <row r="557" spans="1:32">
      <c r="A557" s="15">
        <v>555</v>
      </c>
      <c r="B557" s="16">
        <v>0</v>
      </c>
      <c r="C557" s="20">
        <v>0.91</v>
      </c>
      <c r="D557" s="20">
        <v>0.21727233298780477</v>
      </c>
      <c r="E557" s="20">
        <v>0.09</v>
      </c>
      <c r="F557" s="8" t="s">
        <v>434</v>
      </c>
      <c r="G557" s="24">
        <v>0.60495539885495131</v>
      </c>
      <c r="H557" s="24">
        <v>0.60845793619516242</v>
      </c>
      <c r="I557" s="25">
        <v>0.61909903505204622</v>
      </c>
      <c r="L557" s="15">
        <v>555</v>
      </c>
      <c r="M557" s="16">
        <v>0</v>
      </c>
      <c r="N557" s="16">
        <v>2</v>
      </c>
      <c r="O557" s="16">
        <v>1</v>
      </c>
      <c r="P557" s="16">
        <v>9</v>
      </c>
      <c r="Q557" s="29">
        <v>46</v>
      </c>
      <c r="R557" s="20">
        <v>0.63719999999999999</v>
      </c>
      <c r="S557" s="32">
        <v>29.311199999999999</v>
      </c>
      <c r="T557" s="35">
        <v>2.2600000000000002</v>
      </c>
      <c r="U557" s="35">
        <v>1.53</v>
      </c>
      <c r="V557" s="35">
        <v>4.9130434782608701E-2</v>
      </c>
      <c r="W557" s="9" t="s">
        <v>154</v>
      </c>
      <c r="X557" s="15">
        <v>556</v>
      </c>
      <c r="Y557" s="39">
        <v>0.48506847170292644</v>
      </c>
      <c r="Z557" s="39">
        <v>0.47806236487791609</v>
      </c>
      <c r="AA557" s="39">
        <v>0.48241803581087145</v>
      </c>
      <c r="AB557" s="39">
        <v>0.49806032980836307</v>
      </c>
      <c r="AC557" s="39">
        <v>0.47902626961804817</v>
      </c>
      <c r="AD557" s="39">
        <v>0.46965553034326957</v>
      </c>
      <c r="AE557" s="39">
        <v>0.47317278044058919</v>
      </c>
      <c r="AF557" s="40">
        <v>0.4940828324758626</v>
      </c>
    </row>
    <row r="558" spans="1:32">
      <c r="A558" s="15">
        <v>556</v>
      </c>
      <c r="B558" s="16">
        <v>0</v>
      </c>
      <c r="C558" s="20">
        <v>0.02</v>
      </c>
      <c r="D558" s="20">
        <v>0.99756714174924133</v>
      </c>
      <c r="E558" s="20">
        <v>1</v>
      </c>
      <c r="F558" s="8" t="s">
        <v>436</v>
      </c>
      <c r="G558" s="24">
        <v>0.92412610030154019</v>
      </c>
      <c r="H558" s="24">
        <v>0.92947655453254019</v>
      </c>
      <c r="I558" s="25">
        <v>0.94573183088538937</v>
      </c>
      <c r="L558" s="15">
        <v>556</v>
      </c>
      <c r="M558" s="16">
        <v>0</v>
      </c>
      <c r="N558" s="16">
        <v>2</v>
      </c>
      <c r="O558" s="16">
        <v>1</v>
      </c>
      <c r="P558" s="16">
        <v>10</v>
      </c>
      <c r="Q558" s="29">
        <v>31</v>
      </c>
      <c r="R558" s="20">
        <v>0.63719999999999999</v>
      </c>
      <c r="S558" s="32">
        <v>19.7532</v>
      </c>
      <c r="T558" s="35">
        <v>1.84</v>
      </c>
      <c r="U558" s="35">
        <v>1.5</v>
      </c>
      <c r="V558" s="35">
        <v>5.9354838709677421E-2</v>
      </c>
      <c r="W558" s="9" t="s">
        <v>153</v>
      </c>
      <c r="X558" s="15">
        <v>557</v>
      </c>
      <c r="Y558" s="39">
        <v>0.48352059543820974</v>
      </c>
      <c r="Z558" s="39">
        <v>0.50508003623634334</v>
      </c>
      <c r="AA558" s="39">
        <v>0.48627047898886266</v>
      </c>
      <c r="AB558" s="39">
        <v>0.48620564599913912</v>
      </c>
      <c r="AC558" s="39">
        <v>0.47888939692017107</v>
      </c>
      <c r="AD558" s="39">
        <v>0.50071209707630238</v>
      </c>
      <c r="AE558" s="39">
        <v>0.48273751085668593</v>
      </c>
      <c r="AF558" s="40">
        <v>0.48113238598435226</v>
      </c>
    </row>
    <row r="559" spans="1:32">
      <c r="A559" s="15">
        <v>557</v>
      </c>
      <c r="B559" s="16">
        <v>0</v>
      </c>
      <c r="C559" s="20">
        <v>0.92</v>
      </c>
      <c r="D559" s="20">
        <v>0.20258497911151899</v>
      </c>
      <c r="E559" s="20">
        <v>0.08</v>
      </c>
      <c r="F559" s="8" t="s">
        <v>434</v>
      </c>
      <c r="G559" s="24">
        <v>2.5815675881220526</v>
      </c>
      <c r="H559" s="24">
        <v>2.3557193791407478</v>
      </c>
      <c r="I559" s="25">
        <v>1.6578926537592125</v>
      </c>
      <c r="L559" s="15">
        <v>557</v>
      </c>
      <c r="M559" s="16">
        <v>0</v>
      </c>
      <c r="N559" s="16">
        <v>2</v>
      </c>
      <c r="O559" s="16">
        <v>2</v>
      </c>
      <c r="P559" s="16">
        <v>11</v>
      </c>
      <c r="Q559" s="29">
        <v>31</v>
      </c>
      <c r="R559" s="20">
        <v>0.63719999999999999</v>
      </c>
      <c r="S559" s="32">
        <v>19.7532</v>
      </c>
      <c r="T559" s="35">
        <v>0.63</v>
      </c>
      <c r="U559" s="35">
        <v>0.16</v>
      </c>
      <c r="V559" s="35">
        <v>2.0322580645161289E-2</v>
      </c>
      <c r="W559" s="9" t="s">
        <v>152</v>
      </c>
      <c r="X559" s="15">
        <v>558</v>
      </c>
      <c r="Y559" s="39">
        <v>0.49799960783474145</v>
      </c>
      <c r="Z559" s="39">
        <v>0.49293974104859539</v>
      </c>
      <c r="AA559" s="39">
        <v>0.48746711190342995</v>
      </c>
      <c r="AB559" s="39">
        <v>0.49243284139314375</v>
      </c>
      <c r="AC559" s="39">
        <v>0.49159992924956114</v>
      </c>
      <c r="AD559" s="39">
        <v>0.48506122335214524</v>
      </c>
      <c r="AE559" s="39">
        <v>0.47979474473051759</v>
      </c>
      <c r="AF559" s="40">
        <v>0.48719351085587531</v>
      </c>
    </row>
    <row r="560" spans="1:32">
      <c r="A560" s="15">
        <v>558</v>
      </c>
      <c r="B560" s="16">
        <v>1</v>
      </c>
      <c r="C560" s="20">
        <v>0.34</v>
      </c>
      <c r="D560" s="20">
        <v>0.6333086903475752</v>
      </c>
      <c r="E560" s="20">
        <v>0.23</v>
      </c>
      <c r="F560" s="8" t="s">
        <v>436</v>
      </c>
      <c r="G560" s="24">
        <v>0.852309356918733</v>
      </c>
      <c r="H560" s="24">
        <v>0.85724401053728005</v>
      </c>
      <c r="I560" s="25">
        <v>0.87223603828145091</v>
      </c>
      <c r="L560" s="15">
        <v>558</v>
      </c>
      <c r="M560" s="16">
        <v>0</v>
      </c>
      <c r="N560" s="16">
        <v>2</v>
      </c>
      <c r="O560" s="16">
        <v>2</v>
      </c>
      <c r="P560" s="16">
        <v>12</v>
      </c>
      <c r="Q560" s="29">
        <v>41</v>
      </c>
      <c r="R560" s="20">
        <v>0.63719999999999999</v>
      </c>
      <c r="S560" s="32">
        <v>26.1252</v>
      </c>
      <c r="T560" s="35">
        <v>2.1800000000000002</v>
      </c>
      <c r="U560" s="35">
        <v>1.51</v>
      </c>
      <c r="V560" s="35">
        <v>5.3170731707317079E-2</v>
      </c>
      <c r="W560" s="9" t="s">
        <v>154</v>
      </c>
      <c r="X560" s="15">
        <v>559</v>
      </c>
      <c r="Y560" s="39">
        <v>0.49288337680331523</v>
      </c>
      <c r="Z560" s="39">
        <v>0.48753467829651287</v>
      </c>
      <c r="AA560" s="39">
        <v>0.48660911485313796</v>
      </c>
      <c r="AB560" s="39">
        <v>0.49590074268091827</v>
      </c>
      <c r="AC560" s="39">
        <v>0.48561732543181557</v>
      </c>
      <c r="AD560" s="39">
        <v>0.47996674178891535</v>
      </c>
      <c r="AE560" s="39">
        <v>0.47973645532795883</v>
      </c>
      <c r="AF560" s="40">
        <v>0.49219564568937391</v>
      </c>
    </row>
    <row r="561" spans="1:32">
      <c r="A561" s="15">
        <v>559</v>
      </c>
      <c r="B561" s="16">
        <v>0</v>
      </c>
      <c r="C561" s="20">
        <v>0.15</v>
      </c>
      <c r="D561" s="20">
        <v>0.91007136647648512</v>
      </c>
      <c r="E561" s="20">
        <v>0.04</v>
      </c>
      <c r="F561" s="8" t="s">
        <v>436</v>
      </c>
      <c r="G561" s="24">
        <v>0.89507074156104727</v>
      </c>
      <c r="H561" s="24">
        <v>0.90025297268152638</v>
      </c>
      <c r="I561" s="25">
        <v>0.91599716847328783</v>
      </c>
      <c r="L561" s="15">
        <v>559</v>
      </c>
      <c r="M561" s="16">
        <v>0</v>
      </c>
      <c r="N561" s="16">
        <v>2</v>
      </c>
      <c r="O561" s="16">
        <v>2</v>
      </c>
      <c r="P561" s="16">
        <v>13</v>
      </c>
      <c r="Q561" s="29">
        <v>36</v>
      </c>
      <c r="R561" s="20">
        <v>0.63719999999999999</v>
      </c>
      <c r="S561" s="32">
        <v>22.9392</v>
      </c>
      <c r="T561" s="35">
        <v>1.1500000000000001</v>
      </c>
      <c r="U561" s="35">
        <v>0.57999999999999996</v>
      </c>
      <c r="V561" s="35">
        <v>3.1944444444444449E-2</v>
      </c>
      <c r="W561" s="9" t="s">
        <v>153</v>
      </c>
      <c r="X561" s="15">
        <v>560</v>
      </c>
      <c r="Y561" s="39">
        <v>0.49325938679257675</v>
      </c>
      <c r="Z561" s="39">
        <v>0.47143979547919845</v>
      </c>
      <c r="AA561" s="39">
        <v>0.48178470302642462</v>
      </c>
      <c r="AB561" s="39">
        <v>0.48951153725626734</v>
      </c>
      <c r="AC561" s="39">
        <v>0.4848208380817503</v>
      </c>
      <c r="AD561" s="39">
        <v>0.46430509658705499</v>
      </c>
      <c r="AE561" s="39">
        <v>0.47543474371970157</v>
      </c>
      <c r="AF561" s="40">
        <v>0.48529789309142152</v>
      </c>
    </row>
    <row r="562" spans="1:32">
      <c r="A562" s="15">
        <v>560</v>
      </c>
      <c r="B562" s="16">
        <v>0</v>
      </c>
      <c r="C562" s="20">
        <v>0.91</v>
      </c>
      <c r="D562" s="20">
        <v>0.21727233298780477</v>
      </c>
      <c r="E562" s="20">
        <v>0.09</v>
      </c>
      <c r="F562" s="8" t="s">
        <v>434</v>
      </c>
      <c r="G562" s="24">
        <v>0.36073939496619462</v>
      </c>
      <c r="H562" s="24">
        <v>0.36282798398175803</v>
      </c>
      <c r="I562" s="25">
        <v>0.36917335021978737</v>
      </c>
      <c r="L562" s="15">
        <v>560</v>
      </c>
      <c r="M562" s="16">
        <v>0</v>
      </c>
      <c r="N562" s="16">
        <v>2</v>
      </c>
      <c r="O562" s="16">
        <v>2</v>
      </c>
      <c r="P562" s="16">
        <v>14</v>
      </c>
      <c r="Q562" s="29">
        <v>31</v>
      </c>
      <c r="R562" s="20">
        <v>0.63719999999999999</v>
      </c>
      <c r="S562" s="32">
        <v>19.7532</v>
      </c>
      <c r="T562" s="35">
        <v>2.56</v>
      </c>
      <c r="U562" s="35">
        <v>2.0699999999999998</v>
      </c>
      <c r="V562" s="35">
        <v>8.2580645161290323E-2</v>
      </c>
      <c r="W562" s="9" t="s">
        <v>154</v>
      </c>
      <c r="X562" s="15">
        <v>561</v>
      </c>
      <c r="Y562" s="39">
        <v>0.48853853587280432</v>
      </c>
      <c r="Z562" s="39">
        <v>0.4789614310549804</v>
      </c>
      <c r="AA562" s="39">
        <v>0.49880338841363642</v>
      </c>
      <c r="AB562" s="39">
        <v>0.4856998372608477</v>
      </c>
      <c r="AC562" s="39">
        <v>0.48399166341602451</v>
      </c>
      <c r="AD562" s="39">
        <v>0.47057639773975779</v>
      </c>
      <c r="AE562" s="39">
        <v>0.48927952451938722</v>
      </c>
      <c r="AF562" s="40">
        <v>0.48025016785433977</v>
      </c>
    </row>
    <row r="563" spans="1:32">
      <c r="A563" s="15">
        <v>561</v>
      </c>
      <c r="B563" s="16">
        <v>1</v>
      </c>
      <c r="C563" s="20">
        <v>0.89</v>
      </c>
      <c r="D563" s="20">
        <v>0.24559627500636821</v>
      </c>
      <c r="E563" s="20">
        <v>0.11</v>
      </c>
      <c r="F563" s="8" t="s">
        <v>434</v>
      </c>
      <c r="G563" s="24">
        <v>0.759876912850591</v>
      </c>
      <c r="H563" s="24">
        <v>0.76427640621202086</v>
      </c>
      <c r="I563" s="25">
        <v>0.77764255744236244</v>
      </c>
      <c r="L563" s="15">
        <v>561</v>
      </c>
      <c r="M563" s="16">
        <v>0</v>
      </c>
      <c r="N563" s="16">
        <v>2</v>
      </c>
      <c r="O563" s="16">
        <v>2</v>
      </c>
      <c r="P563" s="16">
        <v>15</v>
      </c>
      <c r="Q563" s="29">
        <v>25</v>
      </c>
      <c r="R563" s="20">
        <v>0.63719999999999999</v>
      </c>
      <c r="S563" s="32">
        <v>15.93</v>
      </c>
      <c r="T563" s="35">
        <v>0.93</v>
      </c>
      <c r="U563" s="35">
        <v>0.67</v>
      </c>
      <c r="V563" s="35">
        <v>3.7200000000000004E-2</v>
      </c>
      <c r="W563" s="9" t="s">
        <v>152</v>
      </c>
      <c r="X563" s="15">
        <v>562</v>
      </c>
      <c r="Y563" s="39">
        <v>0.48705283507240837</v>
      </c>
      <c r="Z563" s="39">
        <v>0.50749241045682414</v>
      </c>
      <c r="AA563" s="39">
        <v>0.47334315655702336</v>
      </c>
      <c r="AB563" s="39">
        <v>0.47746680741506498</v>
      </c>
      <c r="AC563" s="39">
        <v>0.48189039592953081</v>
      </c>
      <c r="AD563" s="39">
        <v>0.49710920884903387</v>
      </c>
      <c r="AE563" s="39">
        <v>0.46808475749821432</v>
      </c>
      <c r="AF563" s="40">
        <v>0.47548773126555249</v>
      </c>
    </row>
    <row r="564" spans="1:32">
      <c r="A564" s="15">
        <v>562</v>
      </c>
      <c r="B564" s="16">
        <v>1</v>
      </c>
      <c r="C564" s="20">
        <v>0.89</v>
      </c>
      <c r="D564" s="20">
        <v>0.24559627500636821</v>
      </c>
      <c r="E564" s="20">
        <v>0.11</v>
      </c>
      <c r="F564" s="8" t="s">
        <v>434</v>
      </c>
      <c r="G564" s="24">
        <v>1.5637008743946559</v>
      </c>
      <c r="H564" s="24">
        <v>1.5727543033116547</v>
      </c>
      <c r="I564" s="25">
        <v>1.60025962952004</v>
      </c>
      <c r="L564" s="15">
        <v>562</v>
      </c>
      <c r="M564" s="16">
        <v>0</v>
      </c>
      <c r="N564" s="16">
        <v>2</v>
      </c>
      <c r="O564" s="16">
        <v>2</v>
      </c>
      <c r="P564" s="16">
        <v>16</v>
      </c>
      <c r="Q564" s="29">
        <v>49</v>
      </c>
      <c r="R564" s="20">
        <v>0.63719999999999999</v>
      </c>
      <c r="S564" s="32">
        <v>31.222799999999999</v>
      </c>
      <c r="T564" s="35">
        <v>4.79</v>
      </c>
      <c r="U564" s="35">
        <v>3.99</v>
      </c>
      <c r="V564" s="35">
        <v>9.7755102040816333E-2</v>
      </c>
      <c r="W564" s="9" t="s">
        <v>155</v>
      </c>
      <c r="X564" s="15">
        <v>563</v>
      </c>
      <c r="Y564" s="39">
        <v>0.47988571766090937</v>
      </c>
      <c r="Z564" s="39">
        <v>0.48975276863776102</v>
      </c>
      <c r="AA564" s="39">
        <v>0.48488245010771308</v>
      </c>
      <c r="AB564" s="39">
        <v>0.49745719291735641</v>
      </c>
      <c r="AC564" s="39">
        <v>0.47324166911314131</v>
      </c>
      <c r="AD564" s="39">
        <v>0.48370761740146623</v>
      </c>
      <c r="AE564" s="39">
        <v>0.47935129738253324</v>
      </c>
      <c r="AF564" s="40">
        <v>0.49470095677329468</v>
      </c>
    </row>
    <row r="565" spans="1:32">
      <c r="A565" s="15">
        <v>563</v>
      </c>
      <c r="B565" s="16">
        <v>0</v>
      </c>
      <c r="C565" s="20">
        <v>0.84</v>
      </c>
      <c r="D565" s="20">
        <v>0.31176052336924964</v>
      </c>
      <c r="E565" s="20">
        <v>0.16</v>
      </c>
      <c r="F565" s="8" t="s">
        <v>434</v>
      </c>
      <c r="G565" s="24">
        <v>1.0130331964289077</v>
      </c>
      <c r="H565" s="24">
        <v>1.0188984000523178</v>
      </c>
      <c r="I565" s="25">
        <v>1.0367175424368786</v>
      </c>
      <c r="L565" s="15">
        <v>563</v>
      </c>
      <c r="M565" s="16">
        <v>0</v>
      </c>
      <c r="N565" s="16">
        <v>2</v>
      </c>
      <c r="O565" s="16">
        <v>2</v>
      </c>
      <c r="P565" s="16">
        <v>17</v>
      </c>
      <c r="Q565" s="29">
        <v>46</v>
      </c>
      <c r="R565" s="20">
        <v>0.63719999999999999</v>
      </c>
      <c r="S565" s="32">
        <v>29.311199999999999</v>
      </c>
      <c r="T565" s="35">
        <v>1.98</v>
      </c>
      <c r="U565" s="35">
        <v>1.34</v>
      </c>
      <c r="V565" s="35">
        <v>4.3043478260869565E-2</v>
      </c>
      <c r="W565" s="9" t="s">
        <v>153</v>
      </c>
      <c r="X565" s="15">
        <v>564</v>
      </c>
      <c r="Y565" s="39">
        <v>0.47671081006476235</v>
      </c>
      <c r="Z565" s="39">
        <v>0.48804052261943448</v>
      </c>
      <c r="AA565" s="39">
        <v>0.48114178675623609</v>
      </c>
      <c r="AB565" s="39">
        <v>0.47795857992784974</v>
      </c>
      <c r="AC565" s="39">
        <v>0.46766376958502076</v>
      </c>
      <c r="AD565" s="39">
        <v>0.48045391909923418</v>
      </c>
      <c r="AE565" s="39">
        <v>0.4721641846239697</v>
      </c>
      <c r="AF565" s="40">
        <v>0.47306401374487234</v>
      </c>
    </row>
    <row r="566" spans="1:32">
      <c r="A566" s="15">
        <v>564</v>
      </c>
      <c r="B566" s="16">
        <v>1</v>
      </c>
      <c r="C566" s="20">
        <v>0.87</v>
      </c>
      <c r="D566" s="20">
        <v>0.27276032039195819</v>
      </c>
      <c r="E566" s="20">
        <v>0.13</v>
      </c>
      <c r="F566" s="8" t="s">
        <v>434</v>
      </c>
      <c r="G566" s="24">
        <v>0.45576309900804418</v>
      </c>
      <c r="H566" s="24">
        <v>0.45840185101453507</v>
      </c>
      <c r="I566" s="25">
        <v>0.46641867374401891</v>
      </c>
      <c r="L566" s="15">
        <v>564</v>
      </c>
      <c r="M566" s="16">
        <v>0</v>
      </c>
      <c r="N566" s="16">
        <v>2</v>
      </c>
      <c r="O566" s="16">
        <v>2</v>
      </c>
      <c r="P566" s="16">
        <v>18</v>
      </c>
      <c r="Q566" s="29">
        <v>26</v>
      </c>
      <c r="R566" s="20">
        <v>0.63719999999999999</v>
      </c>
      <c r="S566" s="32">
        <v>16.5672</v>
      </c>
      <c r="T566" s="35">
        <v>0.44</v>
      </c>
      <c r="U566" s="35">
        <v>7.0000000000000007E-2</v>
      </c>
      <c r="V566" s="35">
        <v>1.6923076923076923E-2</v>
      </c>
      <c r="W566" s="9" t="s">
        <v>152</v>
      </c>
      <c r="X566" s="15">
        <v>565</v>
      </c>
      <c r="Y566" s="39">
        <v>0.4851105044262683</v>
      </c>
      <c r="Z566" s="39">
        <v>0.49372103920915555</v>
      </c>
      <c r="AA566" s="39">
        <v>0.48703277150398822</v>
      </c>
      <c r="AB566" s="39">
        <v>0.49038664340682631</v>
      </c>
      <c r="AC566" s="39">
        <v>0.48078333803999374</v>
      </c>
      <c r="AD566" s="39">
        <v>0.48854375883397733</v>
      </c>
      <c r="AE566" s="39">
        <v>0.48263789457622253</v>
      </c>
      <c r="AF566" s="40">
        <v>0.48719438377831098</v>
      </c>
    </row>
    <row r="567" spans="1:32">
      <c r="A567" s="15">
        <v>565</v>
      </c>
      <c r="B567" s="16">
        <v>0</v>
      </c>
      <c r="C567" s="20">
        <v>0.13</v>
      </c>
      <c r="D567" s="20">
        <v>0.9120282142189432</v>
      </c>
      <c r="E567" s="20">
        <v>0.13</v>
      </c>
      <c r="F567" s="8" t="s">
        <v>436</v>
      </c>
      <c r="G567" s="24">
        <v>1.0226697206506172</v>
      </c>
      <c r="H567" s="24">
        <v>1.0285907172894799</v>
      </c>
      <c r="I567" s="25">
        <v>1.0465793650740653</v>
      </c>
      <c r="L567" s="15">
        <v>565</v>
      </c>
      <c r="M567" s="16">
        <v>0</v>
      </c>
      <c r="N567" s="16">
        <v>2</v>
      </c>
      <c r="O567" s="16">
        <v>2</v>
      </c>
      <c r="P567" s="16">
        <v>19</v>
      </c>
      <c r="Q567" s="29">
        <v>30</v>
      </c>
      <c r="R567" s="20">
        <v>0.63719999999999999</v>
      </c>
      <c r="S567" s="32">
        <v>19.116</v>
      </c>
      <c r="T567" s="35">
        <v>1.85</v>
      </c>
      <c r="U567" s="35">
        <v>1.36</v>
      </c>
      <c r="V567" s="35">
        <v>6.1666666666666668E-2</v>
      </c>
      <c r="W567" s="9" t="s">
        <v>153</v>
      </c>
      <c r="X567" s="15">
        <v>566</v>
      </c>
      <c r="Y567" s="39">
        <v>0.49000072157091479</v>
      </c>
      <c r="Z567" s="39">
        <v>0.48818184212181215</v>
      </c>
      <c r="AA567" s="39">
        <v>0.49098072066418175</v>
      </c>
      <c r="AB567" s="39">
        <v>0.48290479129250896</v>
      </c>
      <c r="AC567" s="39">
        <v>0.48210715814359345</v>
      </c>
      <c r="AD567" s="39">
        <v>0.48011395749613756</v>
      </c>
      <c r="AE567" s="39">
        <v>0.48344660012068963</v>
      </c>
      <c r="AF567" s="40">
        <v>0.48032931637321086</v>
      </c>
    </row>
    <row r="568" spans="1:32">
      <c r="A568" s="15">
        <v>566</v>
      </c>
      <c r="B568" s="16">
        <v>0</v>
      </c>
      <c r="C568" s="20">
        <v>0.35</v>
      </c>
      <c r="D568" s="20">
        <v>0.59171442959347076</v>
      </c>
      <c r="E568" s="20">
        <v>0.12</v>
      </c>
      <c r="F568" s="8" t="s">
        <v>436</v>
      </c>
      <c r="G568" s="24">
        <v>0.76195504689920812</v>
      </c>
      <c r="H568" s="24">
        <v>0.76636657212632098</v>
      </c>
      <c r="I568" s="25">
        <v>0.77976927750576353</v>
      </c>
      <c r="L568" s="15">
        <v>566</v>
      </c>
      <c r="M568" s="16">
        <v>0</v>
      </c>
      <c r="N568" s="16">
        <v>2</v>
      </c>
      <c r="O568" s="16">
        <v>2</v>
      </c>
      <c r="P568" s="16">
        <v>20</v>
      </c>
      <c r="Q568" s="29">
        <v>42</v>
      </c>
      <c r="R568" s="20">
        <v>0.63719999999999999</v>
      </c>
      <c r="S568" s="32">
        <v>26.7624</v>
      </c>
      <c r="T568" s="35">
        <v>3.77</v>
      </c>
      <c r="U568" s="35">
        <v>3.1</v>
      </c>
      <c r="V568" s="35">
        <v>8.9761904761904765E-2</v>
      </c>
      <c r="W568" s="9" t="s">
        <v>155</v>
      </c>
      <c r="X568" s="15">
        <v>567</v>
      </c>
      <c r="Y568" s="39">
        <v>0.48090616358916272</v>
      </c>
      <c r="Z568" s="39">
        <v>0.50247714999092108</v>
      </c>
      <c r="AA568" s="39">
        <v>0.48982908088037935</v>
      </c>
      <c r="AB568" s="39">
        <v>0.49951315299726212</v>
      </c>
      <c r="AC568" s="39">
        <v>0.47443658040208064</v>
      </c>
      <c r="AD568" s="39">
        <v>0.49466361804117104</v>
      </c>
      <c r="AE568" s="39">
        <v>0.47971278020196306</v>
      </c>
      <c r="AF568" s="40">
        <v>0.49365972542298792</v>
      </c>
    </row>
    <row r="569" spans="1:32">
      <c r="A569" s="15">
        <v>567</v>
      </c>
      <c r="B569" s="16">
        <v>1</v>
      </c>
      <c r="C569" s="20">
        <v>0.94</v>
      </c>
      <c r="D569" s="20">
        <v>0.17188516685452584</v>
      </c>
      <c r="E569" s="20">
        <v>0.06</v>
      </c>
      <c r="F569" s="8" t="s">
        <v>434</v>
      </c>
      <c r="G569" s="24">
        <v>0.37038443635573121</v>
      </c>
      <c r="H569" s="24">
        <v>0.37252886769897481</v>
      </c>
      <c r="I569" s="25">
        <v>0.37904388915307302</v>
      </c>
      <c r="L569" s="15">
        <v>567</v>
      </c>
      <c r="M569" s="16">
        <v>0</v>
      </c>
      <c r="N569" s="16">
        <v>2</v>
      </c>
      <c r="O569" s="16">
        <v>2</v>
      </c>
      <c r="P569" s="16">
        <v>21</v>
      </c>
      <c r="Q569" s="29">
        <v>45</v>
      </c>
      <c r="R569" s="20">
        <v>0.63719999999999999</v>
      </c>
      <c r="S569" s="32">
        <v>28.673999999999999</v>
      </c>
      <c r="T569" s="35">
        <v>1.01</v>
      </c>
      <c r="U569" s="35">
        <v>0.31</v>
      </c>
      <c r="V569" s="35">
        <v>2.2444444444444444E-2</v>
      </c>
      <c r="W569" s="9" t="s">
        <v>153</v>
      </c>
      <c r="X569" s="15">
        <v>568</v>
      </c>
      <c r="Y569" s="39">
        <v>0.49648841196538301</v>
      </c>
      <c r="Z569" s="39">
        <v>0.48238062339286919</v>
      </c>
      <c r="AA569" s="39">
        <v>0.48376881744120631</v>
      </c>
      <c r="AB569" s="39">
        <v>0.4871188319584091</v>
      </c>
      <c r="AC569" s="39">
        <v>0.48978544181425132</v>
      </c>
      <c r="AD569" s="39">
        <v>0.47566806691765734</v>
      </c>
      <c r="AE569" s="39">
        <v>0.47825673321765755</v>
      </c>
      <c r="AF569" s="40">
        <v>0.48448513902640972</v>
      </c>
    </row>
    <row r="570" spans="1:32">
      <c r="A570" s="15">
        <v>568</v>
      </c>
      <c r="B570" s="16">
        <v>0</v>
      </c>
      <c r="C570" s="20">
        <v>0.89</v>
      </c>
      <c r="D570" s="20">
        <v>0.24559627500636821</v>
      </c>
      <c r="E570" s="20">
        <v>0.11</v>
      </c>
      <c r="F570" s="8" t="s">
        <v>434</v>
      </c>
      <c r="G570" s="24">
        <v>2.2621124165245159</v>
      </c>
      <c r="H570" s="24">
        <v>2.2752094699959438</v>
      </c>
      <c r="I570" s="25">
        <v>1.6578926537592125</v>
      </c>
      <c r="L570" s="15">
        <v>568</v>
      </c>
      <c r="M570" s="16">
        <v>0</v>
      </c>
      <c r="N570" s="16">
        <v>2</v>
      </c>
      <c r="O570" s="16">
        <v>2</v>
      </c>
      <c r="P570" s="16">
        <v>22</v>
      </c>
      <c r="Q570" s="29">
        <v>41</v>
      </c>
      <c r="R570" s="20">
        <v>0.63719999999999999</v>
      </c>
      <c r="S570" s="32">
        <v>26.1252</v>
      </c>
      <c r="T570" s="35">
        <v>0.72</v>
      </c>
      <c r="U570" s="35">
        <v>0.2</v>
      </c>
      <c r="V570" s="35">
        <v>1.7560975609756096E-2</v>
      </c>
      <c r="W570" s="9" t="s">
        <v>152</v>
      </c>
      <c r="X570" s="15">
        <v>569</v>
      </c>
      <c r="Y570" s="39">
        <v>0.4962159542140766</v>
      </c>
      <c r="Z570" s="39">
        <v>0.48809397299245783</v>
      </c>
      <c r="AA570" s="39">
        <v>0.48159736920530782</v>
      </c>
      <c r="AB570" s="39">
        <v>0.49473450204435526</v>
      </c>
      <c r="AC570" s="39">
        <v>0.48884427961655597</v>
      </c>
      <c r="AD570" s="39">
        <v>0.48055055262982399</v>
      </c>
      <c r="AE570" s="39">
        <v>0.4724082478629939</v>
      </c>
      <c r="AF570" s="40">
        <v>0.4905611204270855</v>
      </c>
    </row>
    <row r="571" spans="1:32">
      <c r="A571" s="15">
        <v>569</v>
      </c>
      <c r="B571" s="16">
        <v>0</v>
      </c>
      <c r="C571" s="20">
        <v>0.87</v>
      </c>
      <c r="D571" s="20">
        <v>0.27276032039195819</v>
      </c>
      <c r="E571" s="20">
        <v>0.13</v>
      </c>
      <c r="F571" s="8" t="s">
        <v>434</v>
      </c>
      <c r="G571" s="24">
        <v>2.4679242415960472</v>
      </c>
      <c r="H571" s="24">
        <v>2.3557193791407478</v>
      </c>
      <c r="I571" s="25">
        <v>1.6578926537592125</v>
      </c>
      <c r="L571" s="15">
        <v>569</v>
      </c>
      <c r="M571" s="16">
        <v>0</v>
      </c>
      <c r="N571" s="16">
        <v>2</v>
      </c>
      <c r="O571" s="16">
        <v>2</v>
      </c>
      <c r="P571" s="16">
        <v>23</v>
      </c>
      <c r="Q571" s="29">
        <v>48</v>
      </c>
      <c r="R571" s="20">
        <v>0.63719999999999999</v>
      </c>
      <c r="S571" s="32">
        <v>30.585599999999999</v>
      </c>
      <c r="T571" s="35">
        <v>2.1</v>
      </c>
      <c r="U571" s="35">
        <v>1.37</v>
      </c>
      <c r="V571" s="35">
        <v>4.3750000000000004E-2</v>
      </c>
      <c r="W571" s="9" t="s">
        <v>154</v>
      </c>
      <c r="X571" s="15">
        <v>570</v>
      </c>
      <c r="Y571" s="39">
        <v>0.47116747161243017</v>
      </c>
      <c r="Z571" s="39">
        <v>0.47925239978675427</v>
      </c>
      <c r="AA571" s="39">
        <v>0.47991060526322438</v>
      </c>
      <c r="AB571" s="39">
        <v>0.49698479040881216</v>
      </c>
      <c r="AC571" s="39">
        <v>0.46450335700443268</v>
      </c>
      <c r="AD571" s="39">
        <v>0.46898948368540089</v>
      </c>
      <c r="AE571" s="39">
        <v>0.47503634459990707</v>
      </c>
      <c r="AF571" s="40">
        <v>0.49293785782324839</v>
      </c>
    </row>
    <row r="572" spans="1:32">
      <c r="A572" s="15">
        <v>570</v>
      </c>
      <c r="B572" s="16">
        <v>1</v>
      </c>
      <c r="C572" s="20">
        <v>0.31</v>
      </c>
      <c r="D572" s="20">
        <v>0.71507580724176201</v>
      </c>
      <c r="E572" s="20">
        <v>0.44</v>
      </c>
      <c r="F572" s="8" t="s">
        <v>436</v>
      </c>
      <c r="G572" s="24">
        <v>0.75660448145621384</v>
      </c>
      <c r="H572" s="24">
        <v>0.76098502827518155</v>
      </c>
      <c r="I572" s="25">
        <v>0.77429361779760908</v>
      </c>
      <c r="L572" s="15">
        <v>570</v>
      </c>
      <c r="M572" s="16">
        <v>0</v>
      </c>
      <c r="N572" s="16">
        <v>2</v>
      </c>
      <c r="O572" s="16">
        <v>2</v>
      </c>
      <c r="P572" s="16">
        <v>24</v>
      </c>
      <c r="Q572" s="29">
        <v>35</v>
      </c>
      <c r="R572" s="20">
        <v>0.63719999999999999</v>
      </c>
      <c r="S572" s="32">
        <v>22.302</v>
      </c>
      <c r="T572" s="35">
        <v>0.89</v>
      </c>
      <c r="U572" s="35">
        <v>0.4</v>
      </c>
      <c r="V572" s="35">
        <v>2.5428571428571429E-2</v>
      </c>
      <c r="W572" s="9" t="s">
        <v>152</v>
      </c>
      <c r="X572" s="15">
        <v>571</v>
      </c>
      <c r="Y572" s="39">
        <v>0.48274805276826527</v>
      </c>
      <c r="Z572" s="39">
        <v>0.48162056610977694</v>
      </c>
      <c r="AA572" s="39">
        <v>0.48131239753050692</v>
      </c>
      <c r="AB572" s="39">
        <v>0.49944388716991034</v>
      </c>
      <c r="AC572" s="39">
        <v>0.47589538504307555</v>
      </c>
      <c r="AD572" s="39">
        <v>0.47633329863862284</v>
      </c>
      <c r="AE572" s="39">
        <v>0.47415647691727708</v>
      </c>
      <c r="AF572" s="40">
        <v>0.49761497417133704</v>
      </c>
    </row>
    <row r="573" spans="1:32">
      <c r="A573" s="15">
        <v>571</v>
      </c>
      <c r="B573" s="16">
        <v>1</v>
      </c>
      <c r="C573" s="20">
        <v>0.2</v>
      </c>
      <c r="D573" s="20">
        <v>0.868518339991043</v>
      </c>
      <c r="E573" s="20">
        <v>0.48</v>
      </c>
      <c r="F573" s="8" t="s">
        <v>436</v>
      </c>
      <c r="G573" s="24">
        <v>1.1291900074467247</v>
      </c>
      <c r="H573" s="24">
        <v>1.1357277293560777</v>
      </c>
      <c r="I573" s="25">
        <v>1.1555900572569269</v>
      </c>
      <c r="L573" s="15">
        <v>571</v>
      </c>
      <c r="M573" s="16">
        <v>0</v>
      </c>
      <c r="N573" s="16">
        <v>2</v>
      </c>
      <c r="O573" s="16">
        <v>2</v>
      </c>
      <c r="P573" s="16">
        <v>25</v>
      </c>
      <c r="Q573" s="29">
        <v>50</v>
      </c>
      <c r="R573" s="20">
        <v>0.63719999999999999</v>
      </c>
      <c r="S573" s="32">
        <v>31.86</v>
      </c>
      <c r="T573" s="35">
        <v>1.04</v>
      </c>
      <c r="U573" s="35">
        <v>0.21</v>
      </c>
      <c r="V573" s="35">
        <v>2.0799999999999999E-2</v>
      </c>
      <c r="W573" s="9" t="s">
        <v>153</v>
      </c>
      <c r="X573" s="15">
        <v>572</v>
      </c>
      <c r="Y573" s="39">
        <v>0.49175947844574774</v>
      </c>
      <c r="Z573" s="39">
        <v>0.48972358656421056</v>
      </c>
      <c r="AA573" s="39">
        <v>0.48749744736153955</v>
      </c>
      <c r="AB573" s="39">
        <v>0.48333570471217174</v>
      </c>
      <c r="AC573" s="39">
        <v>0.48614510048311299</v>
      </c>
      <c r="AD573" s="39">
        <v>0.48152812307963883</v>
      </c>
      <c r="AE573" s="39">
        <v>0.479580934797459</v>
      </c>
      <c r="AF573" s="40">
        <v>0.47861946274739459</v>
      </c>
    </row>
    <row r="574" spans="1:32">
      <c r="A574" s="15">
        <v>572</v>
      </c>
      <c r="B574" s="16">
        <v>0</v>
      </c>
      <c r="C574" s="20">
        <v>0.95</v>
      </c>
      <c r="D574" s="20">
        <v>0.15570568692893463</v>
      </c>
      <c r="E574" s="20">
        <v>0.05</v>
      </c>
      <c r="F574" s="8" t="s">
        <v>434</v>
      </c>
      <c r="G574" s="24">
        <v>1.1923390743084745</v>
      </c>
      <c r="H574" s="24">
        <v>1.1992424131957096</v>
      </c>
      <c r="I574" s="25">
        <v>1.2202155262295913</v>
      </c>
      <c r="L574" s="15">
        <v>572</v>
      </c>
      <c r="M574" s="16">
        <v>0</v>
      </c>
      <c r="N574" s="16">
        <v>2</v>
      </c>
      <c r="O574" s="16">
        <v>2</v>
      </c>
      <c r="P574" s="16">
        <v>26</v>
      </c>
      <c r="Q574" s="29">
        <v>42</v>
      </c>
      <c r="R574" s="20">
        <v>0.63719999999999999</v>
      </c>
      <c r="S574" s="32">
        <v>26.7624</v>
      </c>
      <c r="T574" s="35">
        <v>2.88</v>
      </c>
      <c r="U574" s="35">
        <v>2.37</v>
      </c>
      <c r="V574" s="35">
        <v>6.8571428571428575E-2</v>
      </c>
      <c r="W574" s="9" t="s">
        <v>154</v>
      </c>
      <c r="X574" s="15">
        <v>573</v>
      </c>
      <c r="Y574" s="39">
        <v>0.49003982325134759</v>
      </c>
      <c r="Z574" s="39">
        <v>0.48119184487068417</v>
      </c>
      <c r="AA574" s="39">
        <v>0.4799773921559819</v>
      </c>
      <c r="AB574" s="39">
        <v>0.49139240952912178</v>
      </c>
      <c r="AC574" s="39">
        <v>0.48227320029496368</v>
      </c>
      <c r="AD574" s="39">
        <v>0.47323884816351086</v>
      </c>
      <c r="AE574" s="39">
        <v>0.4719411173306346</v>
      </c>
      <c r="AF574" s="40">
        <v>0.48801925106721927</v>
      </c>
    </row>
    <row r="575" spans="1:32">
      <c r="A575" s="15">
        <v>573</v>
      </c>
      <c r="B575" s="16">
        <v>1</v>
      </c>
      <c r="C575" s="20">
        <v>0.16</v>
      </c>
      <c r="D575" s="20">
        <v>0.91405093012199101</v>
      </c>
      <c r="E575" s="20">
        <v>0.04</v>
      </c>
      <c r="F575" s="8" t="s">
        <v>436</v>
      </c>
      <c r="G575" s="24">
        <v>0.67625765448502762</v>
      </c>
      <c r="H575" s="24">
        <v>0.68017301368492999</v>
      </c>
      <c r="I575" s="25">
        <v>0.69206831136756963</v>
      </c>
      <c r="L575" s="15">
        <v>573</v>
      </c>
      <c r="M575" s="16">
        <v>0</v>
      </c>
      <c r="N575" s="16">
        <v>2</v>
      </c>
      <c r="O575" s="16">
        <v>2</v>
      </c>
      <c r="P575" s="16">
        <v>27</v>
      </c>
      <c r="Q575" s="29">
        <v>42</v>
      </c>
      <c r="R575" s="20">
        <v>0.63719999999999999</v>
      </c>
      <c r="S575" s="32">
        <v>26.7624</v>
      </c>
      <c r="T575" s="35">
        <v>2.93</v>
      </c>
      <c r="U575" s="35">
        <v>2.38</v>
      </c>
      <c r="V575" s="35">
        <v>6.9761904761904761E-2</v>
      </c>
      <c r="W575" s="9" t="s">
        <v>154</v>
      </c>
      <c r="X575" s="15">
        <v>574</v>
      </c>
      <c r="Y575" s="39">
        <v>0.48511615340310965</v>
      </c>
      <c r="Z575" s="39">
        <v>0.47881909176568554</v>
      </c>
      <c r="AA575" s="39">
        <v>0.48862465885668799</v>
      </c>
      <c r="AB575" s="39">
        <v>0.47760859515257009</v>
      </c>
      <c r="AC575" s="39">
        <v>0.47871556575825364</v>
      </c>
      <c r="AD575" s="39">
        <v>0.47224069517940875</v>
      </c>
      <c r="AE575" s="39">
        <v>0.48142024212186357</v>
      </c>
      <c r="AF575" s="40">
        <v>0.47073722582007266</v>
      </c>
    </row>
    <row r="576" spans="1:32">
      <c r="A576" s="15">
        <v>574</v>
      </c>
      <c r="B576" s="16">
        <v>0</v>
      </c>
      <c r="C576" s="20">
        <v>0.02</v>
      </c>
      <c r="D576" s="20">
        <v>0.99460135128185911</v>
      </c>
      <c r="E576" s="20">
        <v>1</v>
      </c>
      <c r="F576" s="8" t="s">
        <v>436</v>
      </c>
      <c r="G576" s="24">
        <v>0.98845963488983291</v>
      </c>
      <c r="H576" s="24">
        <v>0.99418256386450787</v>
      </c>
      <c r="I576" s="25">
        <v>1.0115694600072829</v>
      </c>
      <c r="L576" s="15">
        <v>574</v>
      </c>
      <c r="M576" s="16">
        <v>0</v>
      </c>
      <c r="N576" s="16">
        <v>2</v>
      </c>
      <c r="O576" s="16">
        <v>2</v>
      </c>
      <c r="P576" s="16">
        <v>28</v>
      </c>
      <c r="Q576" s="29">
        <v>42</v>
      </c>
      <c r="R576" s="20">
        <v>0.63719999999999999</v>
      </c>
      <c r="S576" s="32">
        <v>26.7624</v>
      </c>
      <c r="T576" s="35">
        <v>2.6</v>
      </c>
      <c r="U576" s="35">
        <v>1.99</v>
      </c>
      <c r="V576" s="35">
        <v>6.1904761904761907E-2</v>
      </c>
      <c r="W576" s="9" t="s">
        <v>154</v>
      </c>
      <c r="X576" s="15">
        <v>575</v>
      </c>
      <c r="Y576" s="39">
        <v>0.47615641977324591</v>
      </c>
      <c r="Z576" s="39">
        <v>0.48068188718630145</v>
      </c>
      <c r="AA576" s="39">
        <v>0.48571241496731365</v>
      </c>
      <c r="AB576" s="39">
        <v>0.49693632742376265</v>
      </c>
      <c r="AC576" s="39">
        <v>0.47046155725624139</v>
      </c>
      <c r="AD576" s="39">
        <v>0.4754540364780046</v>
      </c>
      <c r="AE576" s="39">
        <v>0.47591871018841037</v>
      </c>
      <c r="AF576" s="40">
        <v>0.49129927101414839</v>
      </c>
    </row>
    <row r="577" spans="1:32">
      <c r="A577" s="15">
        <v>575</v>
      </c>
      <c r="B577" s="16">
        <v>1</v>
      </c>
      <c r="C577" s="20">
        <v>0.43</v>
      </c>
      <c r="D577" s="20">
        <v>0.63753409877057554</v>
      </c>
      <c r="E577" s="20">
        <v>0.15</v>
      </c>
      <c r="F577" s="8" t="s">
        <v>436</v>
      </c>
      <c r="G577" s="24">
        <v>0.85109818290870343</v>
      </c>
      <c r="H577" s="24">
        <v>0.85602582413889317</v>
      </c>
      <c r="I577" s="25">
        <v>0.87099654746558464</v>
      </c>
      <c r="L577" s="15">
        <v>575</v>
      </c>
      <c r="M577" s="16">
        <v>0</v>
      </c>
      <c r="N577" s="16">
        <v>2</v>
      </c>
      <c r="O577" s="16">
        <v>2</v>
      </c>
      <c r="P577" s="16">
        <v>29</v>
      </c>
      <c r="Q577" s="29">
        <v>37</v>
      </c>
      <c r="R577" s="20">
        <v>0.63719999999999999</v>
      </c>
      <c r="S577" s="32">
        <v>23.5764</v>
      </c>
      <c r="T577" s="35">
        <v>1.74</v>
      </c>
      <c r="U577" s="35">
        <v>1.1000000000000001</v>
      </c>
      <c r="V577" s="35">
        <v>4.7027027027027025E-2</v>
      </c>
      <c r="W577" s="9" t="s">
        <v>153</v>
      </c>
      <c r="X577" s="15">
        <v>576</v>
      </c>
      <c r="Y577" s="39">
        <v>0.47498669185935954</v>
      </c>
      <c r="Z577" s="39">
        <v>0.48173588696587089</v>
      </c>
      <c r="AA577" s="39">
        <v>0.49963933603509947</v>
      </c>
      <c r="AB577" s="39">
        <v>0.48240255589452563</v>
      </c>
      <c r="AC577" s="39">
        <v>0.46952568797547106</v>
      </c>
      <c r="AD577" s="39">
        <v>0.47587232854262712</v>
      </c>
      <c r="AE577" s="39">
        <v>0.48841229312183165</v>
      </c>
      <c r="AF577" s="40">
        <v>0.47853375729746833</v>
      </c>
    </row>
    <row r="578" spans="1:32">
      <c r="A578" s="15">
        <v>576</v>
      </c>
      <c r="B578" s="16">
        <v>1</v>
      </c>
      <c r="C578" s="20">
        <v>0.34</v>
      </c>
      <c r="D578" s="20">
        <v>0.79319298951933115</v>
      </c>
      <c r="E578" s="20">
        <v>0.04</v>
      </c>
      <c r="F578" s="8" t="s">
        <v>436</v>
      </c>
      <c r="G578" s="24">
        <v>1.275797358300137</v>
      </c>
      <c r="H578" s="24">
        <v>1.2831838993483644</v>
      </c>
      <c r="I578" s="25">
        <v>1.3056250344084352</v>
      </c>
      <c r="L578" s="15">
        <v>576</v>
      </c>
      <c r="M578" s="16">
        <v>0</v>
      </c>
      <c r="N578" s="16">
        <v>2</v>
      </c>
      <c r="O578" s="16">
        <v>2</v>
      </c>
      <c r="P578" s="16">
        <v>30</v>
      </c>
      <c r="Q578" s="29">
        <v>44</v>
      </c>
      <c r="R578" s="20">
        <v>0.63719999999999999</v>
      </c>
      <c r="S578" s="32">
        <v>28.036799999999999</v>
      </c>
      <c r="T578" s="35">
        <v>1.7</v>
      </c>
      <c r="U578" s="35">
        <v>1.01</v>
      </c>
      <c r="V578" s="35">
        <v>3.8636363636363635E-2</v>
      </c>
      <c r="W578" s="9" t="s">
        <v>153</v>
      </c>
      <c r="X578" s="15">
        <v>577</v>
      </c>
      <c r="Y578" s="39">
        <v>0.47845911066257157</v>
      </c>
      <c r="Z578" s="39">
        <v>0.4814892740947892</v>
      </c>
      <c r="AA578" s="39">
        <v>0.49685312780261115</v>
      </c>
      <c r="AB578" s="39">
        <v>0.48022520752986447</v>
      </c>
      <c r="AC578" s="39">
        <v>0.47320081587938673</v>
      </c>
      <c r="AD578" s="39">
        <v>0.47523381549303673</v>
      </c>
      <c r="AE578" s="39">
        <v>0.49056186065902962</v>
      </c>
      <c r="AF578" s="40">
        <v>0.47533075662216728</v>
      </c>
    </row>
    <row r="579" spans="1:32">
      <c r="A579" s="15">
        <v>577</v>
      </c>
      <c r="B579" s="16">
        <v>0</v>
      </c>
      <c r="C579" s="20">
        <v>0.02</v>
      </c>
      <c r="D579" s="20">
        <v>0.99604261948721451</v>
      </c>
      <c r="E579" s="20">
        <v>1</v>
      </c>
      <c r="F579" s="8" t="s">
        <v>436</v>
      </c>
      <c r="G579" s="24">
        <v>1.018898609034774</v>
      </c>
      <c r="H579" s="24">
        <v>1.0247977718999841</v>
      </c>
      <c r="I579" s="25">
        <v>1.0427200862464672</v>
      </c>
      <c r="L579" s="15">
        <v>577</v>
      </c>
      <c r="M579" s="16">
        <v>0</v>
      </c>
      <c r="N579" s="16">
        <v>2</v>
      </c>
      <c r="O579" s="16">
        <v>2</v>
      </c>
      <c r="P579" s="16">
        <v>31</v>
      </c>
      <c r="Q579" s="29">
        <v>41</v>
      </c>
      <c r="R579" s="20">
        <v>0.63719999999999999</v>
      </c>
      <c r="S579" s="32">
        <v>26.1252</v>
      </c>
      <c r="T579" s="35">
        <v>1.92</v>
      </c>
      <c r="U579" s="35">
        <v>1.35</v>
      </c>
      <c r="V579" s="35">
        <v>4.6829268292682927E-2</v>
      </c>
      <c r="W579" s="9" t="s">
        <v>153</v>
      </c>
      <c r="X579" s="15">
        <v>578</v>
      </c>
      <c r="Y579" s="39">
        <v>0.47410701498768348</v>
      </c>
      <c r="Z579" s="39">
        <v>0.48190383459396352</v>
      </c>
      <c r="AA579" s="39">
        <v>0.49914094723421781</v>
      </c>
      <c r="AB579" s="39">
        <v>0.50035068165102836</v>
      </c>
      <c r="AC579" s="39">
        <v>0.46692317304874664</v>
      </c>
      <c r="AD579" s="39">
        <v>0.47617268509353605</v>
      </c>
      <c r="AE579" s="39">
        <v>0.48932877235369882</v>
      </c>
      <c r="AF579" s="40">
        <v>0.49585785207544247</v>
      </c>
    </row>
    <row r="580" spans="1:32">
      <c r="A580" s="15">
        <v>578</v>
      </c>
      <c r="B580" s="16">
        <v>0</v>
      </c>
      <c r="C580" s="20">
        <v>0.87</v>
      </c>
      <c r="D580" s="20">
        <v>0.27276032039195819</v>
      </c>
      <c r="E580" s="20">
        <v>0.13</v>
      </c>
      <c r="F580" s="8" t="s">
        <v>434</v>
      </c>
      <c r="G580" s="24">
        <v>0.49331340314787975</v>
      </c>
      <c r="H580" s="24">
        <v>0.49616956183035865</v>
      </c>
      <c r="I580" s="25">
        <v>0.50484689027516361</v>
      </c>
      <c r="L580" s="15">
        <v>578</v>
      </c>
      <c r="M580" s="16">
        <v>0</v>
      </c>
      <c r="N580" s="16">
        <v>2</v>
      </c>
      <c r="O580" s="16">
        <v>2</v>
      </c>
      <c r="P580" s="16">
        <v>32</v>
      </c>
      <c r="Q580" s="29">
        <v>33</v>
      </c>
      <c r="R580" s="20">
        <v>0.63719999999999999</v>
      </c>
      <c r="S580" s="32">
        <v>21.0276</v>
      </c>
      <c r="T580" s="35">
        <v>0.87</v>
      </c>
      <c r="U580" s="35">
        <v>0.34</v>
      </c>
      <c r="V580" s="35">
        <v>2.6363636363636363E-2</v>
      </c>
      <c r="W580" s="9" t="s">
        <v>152</v>
      </c>
      <c r="X580" s="15">
        <v>579</v>
      </c>
      <c r="Y580" s="39">
        <v>0.48546114103175514</v>
      </c>
      <c r="Z580" s="39">
        <v>0.48687324392775233</v>
      </c>
      <c r="AA580" s="39">
        <v>0.49644919394381148</v>
      </c>
      <c r="AB580" s="39">
        <v>0.47939372524443674</v>
      </c>
      <c r="AC580" s="39">
        <v>0.47697820529174867</v>
      </c>
      <c r="AD580" s="39">
        <v>0.48028776854065525</v>
      </c>
      <c r="AE580" s="39">
        <v>0.48975031970833094</v>
      </c>
      <c r="AF580" s="40">
        <v>0.47369150077727995</v>
      </c>
    </row>
    <row r="581" spans="1:32">
      <c r="A581" s="15">
        <v>579</v>
      </c>
      <c r="B581" s="16">
        <v>1</v>
      </c>
      <c r="C581" s="20">
        <v>0.2</v>
      </c>
      <c r="D581" s="20">
        <v>0.81650165284177967</v>
      </c>
      <c r="E581" s="20">
        <v>0.47</v>
      </c>
      <c r="F581" s="8" t="s">
        <v>436</v>
      </c>
      <c r="G581" s="24">
        <v>1.2783283365670779</v>
      </c>
      <c r="H581" s="24">
        <v>1.2857295313334207</v>
      </c>
      <c r="I581" s="25">
        <v>1.3082151860225324</v>
      </c>
      <c r="L581" s="15">
        <v>579</v>
      </c>
      <c r="M581" s="16">
        <v>0</v>
      </c>
      <c r="N581" s="16">
        <v>2</v>
      </c>
      <c r="O581" s="16">
        <v>2</v>
      </c>
      <c r="P581" s="16">
        <v>33</v>
      </c>
      <c r="Q581" s="29">
        <v>48</v>
      </c>
      <c r="R581" s="20">
        <v>0.63719999999999999</v>
      </c>
      <c r="S581" s="32">
        <v>30.585599999999999</v>
      </c>
      <c r="T581" s="35">
        <v>2.0300000000000002</v>
      </c>
      <c r="U581" s="35">
        <v>1.36</v>
      </c>
      <c r="V581" s="35">
        <v>4.2291666666666672E-2</v>
      </c>
      <c r="W581" s="9" t="s">
        <v>154</v>
      </c>
      <c r="X581" s="15">
        <v>580</v>
      </c>
      <c r="Y581" s="39">
        <v>0.49126508132830832</v>
      </c>
      <c r="Z581" s="39">
        <v>0.49565375865779365</v>
      </c>
      <c r="AA581" s="39">
        <v>0.48922624397079828</v>
      </c>
      <c r="AB581" s="39">
        <v>0.47830465731956562</v>
      </c>
      <c r="AC581" s="39">
        <v>0.48396465751252932</v>
      </c>
      <c r="AD581" s="39">
        <v>0.48873978541854829</v>
      </c>
      <c r="AE581" s="39">
        <v>0.4836053864985842</v>
      </c>
      <c r="AF581" s="40">
        <v>0.47615766328928755</v>
      </c>
    </row>
    <row r="582" spans="1:32">
      <c r="A582" s="15">
        <v>580</v>
      </c>
      <c r="B582" s="16">
        <v>0</v>
      </c>
      <c r="C582" s="20">
        <v>0.92</v>
      </c>
      <c r="D582" s="20">
        <v>0.20258497911151899</v>
      </c>
      <c r="E582" s="20">
        <v>0.08</v>
      </c>
      <c r="F582" s="8" t="s">
        <v>434</v>
      </c>
      <c r="G582" s="24">
        <v>0.95833941165146774</v>
      </c>
      <c r="H582" s="24">
        <v>0.9638879522219933</v>
      </c>
      <c r="I582" s="25">
        <v>0.98074503695441062</v>
      </c>
      <c r="L582" s="15">
        <v>580</v>
      </c>
      <c r="M582" s="16">
        <v>0</v>
      </c>
      <c r="N582" s="16">
        <v>2</v>
      </c>
      <c r="O582" s="16">
        <v>3</v>
      </c>
      <c r="P582" s="16">
        <v>34</v>
      </c>
      <c r="Q582" s="29">
        <v>28</v>
      </c>
      <c r="R582" s="20">
        <v>0.63719999999999999</v>
      </c>
      <c r="S582" s="32">
        <v>17.8416</v>
      </c>
      <c r="T582" s="35">
        <v>1.1299999999999999</v>
      </c>
      <c r="U582" s="35">
        <v>0.73</v>
      </c>
      <c r="V582" s="35">
        <v>4.0357142857142855E-2</v>
      </c>
      <c r="W582" s="9" t="s">
        <v>153</v>
      </c>
      <c r="X582" s="15">
        <v>581</v>
      </c>
      <c r="Y582" s="39">
        <v>0.48322769963380818</v>
      </c>
      <c r="Z582" s="39">
        <v>0.48396865420599616</v>
      </c>
      <c r="AA582" s="39">
        <v>0.49438326078105838</v>
      </c>
      <c r="AB582" s="39">
        <v>0.4958172751884542</v>
      </c>
      <c r="AC582" s="39">
        <v>0.47564392915035369</v>
      </c>
      <c r="AD582" s="39">
        <v>0.47902751892836698</v>
      </c>
      <c r="AE582" s="39">
        <v>0.485359381617051</v>
      </c>
      <c r="AF582" s="40">
        <v>0.49137431999087777</v>
      </c>
    </row>
    <row r="583" spans="1:32">
      <c r="A583" s="15">
        <v>581</v>
      </c>
      <c r="B583" s="16">
        <v>1</v>
      </c>
      <c r="C583" s="20">
        <v>0.35</v>
      </c>
      <c r="D583" s="20">
        <v>0.71599016994420772</v>
      </c>
      <c r="E583" s="20">
        <v>0.08</v>
      </c>
      <c r="F583" s="8" t="s">
        <v>436</v>
      </c>
      <c r="G583" s="24">
        <v>1.2744511953013122</v>
      </c>
      <c r="H583" s="24">
        <v>1.2818299424093942</v>
      </c>
      <c r="I583" s="25">
        <v>1.3042473986105358</v>
      </c>
      <c r="L583" s="15">
        <v>581</v>
      </c>
      <c r="M583" s="16">
        <v>0</v>
      </c>
      <c r="N583" s="16">
        <v>2</v>
      </c>
      <c r="O583" s="16">
        <v>3</v>
      </c>
      <c r="P583" s="16">
        <v>35</v>
      </c>
      <c r="Q583" s="29">
        <v>35</v>
      </c>
      <c r="R583" s="20">
        <v>0.63719999999999999</v>
      </c>
      <c r="S583" s="32">
        <v>22.302</v>
      </c>
      <c r="T583" s="35">
        <v>0.99</v>
      </c>
      <c r="U583" s="35">
        <v>0.51</v>
      </c>
      <c r="V583" s="35">
        <v>2.8285714285714286E-2</v>
      </c>
      <c r="W583" s="9" t="s">
        <v>152</v>
      </c>
      <c r="X583" s="15">
        <v>582</v>
      </c>
      <c r="Y583" s="39">
        <v>0.50040173559440349</v>
      </c>
      <c r="Z583" s="39">
        <v>0.49753974817241831</v>
      </c>
      <c r="AA583" s="39">
        <v>0.49233481828758097</v>
      </c>
      <c r="AB583" s="39">
        <v>0.48821309138078184</v>
      </c>
      <c r="AC583" s="39">
        <v>0.49337396741560308</v>
      </c>
      <c r="AD583" s="39">
        <v>0.48986486079246522</v>
      </c>
      <c r="AE583" s="39">
        <v>0.48751398098599569</v>
      </c>
      <c r="AF583" s="40">
        <v>0.48373663496253294</v>
      </c>
    </row>
    <row r="584" spans="1:32">
      <c r="A584" s="15">
        <v>582</v>
      </c>
      <c r="B584" s="16">
        <v>1</v>
      </c>
      <c r="C584" s="20">
        <v>0.16</v>
      </c>
      <c r="D584" s="20">
        <v>0.87901215494714913</v>
      </c>
      <c r="E584" s="20">
        <v>0.5</v>
      </c>
      <c r="F584" s="8" t="s">
        <v>436</v>
      </c>
      <c r="G584" s="24">
        <v>1.2705220887984439</v>
      </c>
      <c r="H584" s="24">
        <v>1.2778780873828064</v>
      </c>
      <c r="I584" s="25">
        <v>1.3002264310331793</v>
      </c>
      <c r="L584" s="15">
        <v>582</v>
      </c>
      <c r="M584" s="16">
        <v>0</v>
      </c>
      <c r="N584" s="16">
        <v>2</v>
      </c>
      <c r="O584" s="16">
        <v>3</v>
      </c>
      <c r="P584" s="16">
        <v>36</v>
      </c>
      <c r="Q584" s="29">
        <v>32</v>
      </c>
      <c r="R584" s="20">
        <v>0.63719999999999999</v>
      </c>
      <c r="S584" s="32">
        <v>20.3904</v>
      </c>
      <c r="T584" s="35">
        <v>0.77</v>
      </c>
      <c r="U584" s="35">
        <v>0.35</v>
      </c>
      <c r="V584" s="35">
        <v>2.4062500000000001E-2</v>
      </c>
      <c r="W584" s="9" t="s">
        <v>152</v>
      </c>
      <c r="X584" s="15">
        <v>583</v>
      </c>
      <c r="Y584" s="39">
        <v>0.49194683862445143</v>
      </c>
      <c r="Z584" s="39">
        <v>0.50082592085932742</v>
      </c>
      <c r="AA584" s="39">
        <v>0.48902543872153403</v>
      </c>
      <c r="AB584" s="39">
        <v>0.49899171293721301</v>
      </c>
      <c r="AC584" s="39">
        <v>0.48555554209999185</v>
      </c>
      <c r="AD584" s="39">
        <v>0.49313402029468434</v>
      </c>
      <c r="AE584" s="39">
        <v>0.47766673207073512</v>
      </c>
      <c r="AF584" s="40">
        <v>0.49474043177337718</v>
      </c>
    </row>
    <row r="585" spans="1:32">
      <c r="A585" s="15">
        <v>583</v>
      </c>
      <c r="B585" s="16">
        <v>1</v>
      </c>
      <c r="C585" s="20">
        <v>0.56999999999999995</v>
      </c>
      <c r="D585" s="20">
        <v>0.60795868756192772</v>
      </c>
      <c r="E585" s="20">
        <v>0.43</v>
      </c>
      <c r="F585" s="8" t="s">
        <v>438</v>
      </c>
      <c r="G585" s="24">
        <v>0.73389237187710876</v>
      </c>
      <c r="H585" s="24">
        <v>0.73814142137904071</v>
      </c>
      <c r="I585" s="25">
        <v>0.75105050739470203</v>
      </c>
      <c r="L585" s="15">
        <v>583</v>
      </c>
      <c r="M585" s="16">
        <v>0</v>
      </c>
      <c r="N585" s="16">
        <v>2</v>
      </c>
      <c r="O585" s="16">
        <v>3</v>
      </c>
      <c r="P585" s="16">
        <v>37</v>
      </c>
      <c r="Q585" s="29">
        <v>21</v>
      </c>
      <c r="R585" s="20">
        <v>0.63719999999999999</v>
      </c>
      <c r="S585" s="32">
        <v>13.3812</v>
      </c>
      <c r="T585" s="35">
        <v>3.52</v>
      </c>
      <c r="U585" s="35">
        <v>3.21</v>
      </c>
      <c r="V585" s="35">
        <v>0.16761904761904761</v>
      </c>
      <c r="W585" s="9" t="s">
        <v>155</v>
      </c>
      <c r="X585" s="15">
        <v>584</v>
      </c>
      <c r="Y585" s="39">
        <v>0.48869086570022008</v>
      </c>
      <c r="Z585" s="39">
        <v>0.49350231373694847</v>
      </c>
      <c r="AA585" s="39">
        <v>0.49282184482297869</v>
      </c>
      <c r="AB585" s="39">
        <v>0.49370515622720623</v>
      </c>
      <c r="AC585" s="39">
        <v>0.47960007728702519</v>
      </c>
      <c r="AD585" s="39">
        <v>0.48221088685770008</v>
      </c>
      <c r="AE585" s="39">
        <v>0.48652426805037252</v>
      </c>
      <c r="AF585" s="40">
        <v>0.4877183474590876</v>
      </c>
    </row>
    <row r="586" spans="1:32">
      <c r="A586" s="15">
        <v>584</v>
      </c>
      <c r="B586" s="16">
        <v>1</v>
      </c>
      <c r="C586" s="20">
        <v>0.02</v>
      </c>
      <c r="D586" s="20">
        <v>0.99917029198757767</v>
      </c>
      <c r="E586" s="20">
        <v>1</v>
      </c>
      <c r="F586" s="8" t="s">
        <v>436</v>
      </c>
      <c r="G586" s="24">
        <v>1.0276869196979486</v>
      </c>
      <c r="H586" s="24">
        <v>1.0336369646386196</v>
      </c>
      <c r="I586" s="25">
        <v>1.0517138644020259</v>
      </c>
      <c r="L586" s="15">
        <v>584</v>
      </c>
      <c r="M586" s="16">
        <v>0</v>
      </c>
      <c r="N586" s="16">
        <v>2</v>
      </c>
      <c r="O586" s="16">
        <v>3</v>
      </c>
      <c r="P586" s="16">
        <v>38</v>
      </c>
      <c r="Q586" s="29">
        <v>28</v>
      </c>
      <c r="R586" s="20">
        <v>0.63719999999999999</v>
      </c>
      <c r="S586" s="32">
        <v>17.8416</v>
      </c>
      <c r="T586" s="35">
        <v>2.81</v>
      </c>
      <c r="U586" s="35">
        <v>2.4700000000000002</v>
      </c>
      <c r="V586" s="35">
        <v>0.10035714285714285</v>
      </c>
      <c r="W586" s="9" t="s">
        <v>154</v>
      </c>
      <c r="X586" s="15">
        <v>585</v>
      </c>
      <c r="Y586" s="39">
        <v>0.47930488270796939</v>
      </c>
      <c r="Z586" s="39">
        <v>0.49468698817605311</v>
      </c>
      <c r="AA586" s="39">
        <v>0.48262313519467587</v>
      </c>
      <c r="AB586" s="39">
        <v>0.49757276231887115</v>
      </c>
      <c r="AC586" s="39">
        <v>0.47439088002734286</v>
      </c>
      <c r="AD586" s="39">
        <v>0.48468949733180133</v>
      </c>
      <c r="AE586" s="39">
        <v>0.47644565300522723</v>
      </c>
      <c r="AF586" s="40">
        <v>0.49254584305750815</v>
      </c>
    </row>
    <row r="587" spans="1:32">
      <c r="A587" s="15">
        <v>585</v>
      </c>
      <c r="B587" s="16">
        <v>0</v>
      </c>
      <c r="C587" s="20">
        <v>0.02</v>
      </c>
      <c r="D587" s="20">
        <v>0.99835916395484214</v>
      </c>
      <c r="E587" s="20">
        <v>1</v>
      </c>
      <c r="F587" s="8" t="s">
        <v>436</v>
      </c>
      <c r="G587" s="24">
        <v>0.97384869698261167</v>
      </c>
      <c r="H587" s="24">
        <v>0.97948703235634937</v>
      </c>
      <c r="I587" s="25">
        <v>0.99661692371008237</v>
      </c>
      <c r="L587" s="15">
        <v>585</v>
      </c>
      <c r="M587" s="16">
        <v>0</v>
      </c>
      <c r="N587" s="16">
        <v>2</v>
      </c>
      <c r="O587" s="16">
        <v>3</v>
      </c>
      <c r="P587" s="16">
        <v>39</v>
      </c>
      <c r="Q587" s="29">
        <v>34</v>
      </c>
      <c r="R587" s="20">
        <v>0.63719999999999999</v>
      </c>
      <c r="S587" s="32">
        <v>21.6648</v>
      </c>
      <c r="T587" s="35">
        <v>0.86</v>
      </c>
      <c r="U587" s="35">
        <v>0.28000000000000003</v>
      </c>
      <c r="V587" s="35">
        <v>2.5294117647058825E-2</v>
      </c>
      <c r="W587" s="9" t="s">
        <v>152</v>
      </c>
      <c r="X587" s="15">
        <v>586</v>
      </c>
      <c r="Y587" s="39">
        <v>0.48554793981763372</v>
      </c>
      <c r="Z587" s="39">
        <v>0.47864960327053346</v>
      </c>
      <c r="AA587" s="39">
        <v>0.47798874705715472</v>
      </c>
      <c r="AB587" s="39">
        <v>0.48766471041224013</v>
      </c>
      <c r="AC587" s="39">
        <v>0.47747833082576219</v>
      </c>
      <c r="AD587" s="39">
        <v>0.47342089331464449</v>
      </c>
      <c r="AE587" s="39">
        <v>0.46734334815168477</v>
      </c>
      <c r="AF587" s="40">
        <v>0.48235815031800855</v>
      </c>
    </row>
    <row r="588" spans="1:32">
      <c r="A588" s="15">
        <v>586</v>
      </c>
      <c r="B588" s="16">
        <v>0</v>
      </c>
      <c r="C588" s="20">
        <v>0.94</v>
      </c>
      <c r="D588" s="20">
        <v>0.17188516685452584</v>
      </c>
      <c r="E588" s="20">
        <v>0.06</v>
      </c>
      <c r="F588" s="8" t="s">
        <v>434</v>
      </c>
      <c r="G588" s="24">
        <v>1.0530899749784988</v>
      </c>
      <c r="H588" s="24">
        <v>1.0591870971249342</v>
      </c>
      <c r="I588" s="25">
        <v>1.0777108338337067</v>
      </c>
      <c r="L588" s="15">
        <v>586</v>
      </c>
      <c r="M588" s="16">
        <v>0</v>
      </c>
      <c r="N588" s="16">
        <v>2</v>
      </c>
      <c r="O588" s="16">
        <v>3</v>
      </c>
      <c r="P588" s="16">
        <v>40</v>
      </c>
      <c r="Q588" s="29">
        <v>32</v>
      </c>
      <c r="R588" s="20">
        <v>0.63719999999999999</v>
      </c>
      <c r="S588" s="32">
        <v>20.3904</v>
      </c>
      <c r="T588" s="35">
        <v>0.9</v>
      </c>
      <c r="U588" s="35">
        <v>0.51</v>
      </c>
      <c r="V588" s="35">
        <v>2.8125000000000001E-2</v>
      </c>
      <c r="W588" s="9" t="s">
        <v>152</v>
      </c>
      <c r="X588" s="15">
        <v>587</v>
      </c>
      <c r="Y588" s="39">
        <v>0.48480544247038493</v>
      </c>
      <c r="Z588" s="39">
        <v>0.49667449166820138</v>
      </c>
      <c r="AA588" s="39">
        <v>0.4916626333462078</v>
      </c>
      <c r="AB588" s="39">
        <v>0.48505232637136353</v>
      </c>
      <c r="AC588" s="39">
        <v>0.47622933676055651</v>
      </c>
      <c r="AD588" s="39">
        <v>0.49067678247764795</v>
      </c>
      <c r="AE588" s="39">
        <v>0.48468274805202333</v>
      </c>
      <c r="AF588" s="40">
        <v>0.47829556040140475</v>
      </c>
    </row>
    <row r="589" spans="1:32">
      <c r="A589" s="15">
        <v>587</v>
      </c>
      <c r="B589" s="16">
        <v>0</v>
      </c>
      <c r="C589" s="20">
        <v>0.97</v>
      </c>
      <c r="D589" s="20">
        <v>0.12097036642660543</v>
      </c>
      <c r="E589" s="20">
        <v>0.03</v>
      </c>
      <c r="F589" s="8" t="s">
        <v>434</v>
      </c>
      <c r="G589" s="24">
        <v>1.2311976808317222</v>
      </c>
      <c r="H589" s="24">
        <v>1.2383260011317916</v>
      </c>
      <c r="I589" s="25">
        <v>1.2599826327758674</v>
      </c>
      <c r="L589" s="15">
        <v>587</v>
      </c>
      <c r="M589" s="16">
        <v>0</v>
      </c>
      <c r="N589" s="16">
        <v>2</v>
      </c>
      <c r="O589" s="16">
        <v>3</v>
      </c>
      <c r="P589" s="16">
        <v>41</v>
      </c>
      <c r="Q589" s="29">
        <v>39</v>
      </c>
      <c r="R589" s="20">
        <v>0.63719999999999999</v>
      </c>
      <c r="S589" s="32">
        <v>24.8508</v>
      </c>
      <c r="T589" s="35">
        <v>1.76</v>
      </c>
      <c r="U589" s="35">
        <v>1.32</v>
      </c>
      <c r="V589" s="35">
        <v>4.5128205128205132E-2</v>
      </c>
      <c r="W589" s="9" t="s">
        <v>153</v>
      </c>
      <c r="X589" s="15">
        <v>588</v>
      </c>
      <c r="Y589" s="39">
        <v>0.48744833834629958</v>
      </c>
      <c r="Z589" s="39">
        <v>0.49008336034478839</v>
      </c>
      <c r="AA589" s="39">
        <v>0.49229648970602946</v>
      </c>
      <c r="AB589" s="39">
        <v>0.48499690189334765</v>
      </c>
      <c r="AC589" s="39">
        <v>0.47972369781673391</v>
      </c>
      <c r="AD589" s="39">
        <v>0.48343086218252068</v>
      </c>
      <c r="AE589" s="39">
        <v>0.48462259553343195</v>
      </c>
      <c r="AF589" s="40">
        <v>0.48174499766293444</v>
      </c>
    </row>
    <row r="590" spans="1:32">
      <c r="A590" s="15">
        <v>588</v>
      </c>
      <c r="B590" s="16">
        <v>1</v>
      </c>
      <c r="C590" s="20">
        <v>0.01</v>
      </c>
      <c r="D590" s="20">
        <v>0.99999999999999978</v>
      </c>
      <c r="E590" s="20">
        <v>1</v>
      </c>
      <c r="F590" s="8" t="s">
        <v>436</v>
      </c>
      <c r="G590" s="24">
        <v>1.0497980606949009</v>
      </c>
      <c r="H590" s="24">
        <v>1.0558761234979186</v>
      </c>
      <c r="I590" s="25">
        <v>1.0743419557969009</v>
      </c>
      <c r="L590" s="15">
        <v>588</v>
      </c>
      <c r="M590" s="16">
        <v>0</v>
      </c>
      <c r="N590" s="16">
        <v>2</v>
      </c>
      <c r="O590" s="16">
        <v>3</v>
      </c>
      <c r="P590" s="16">
        <v>42</v>
      </c>
      <c r="Q590" s="29">
        <v>33</v>
      </c>
      <c r="R590" s="20">
        <v>0.63719999999999999</v>
      </c>
      <c r="S590" s="32">
        <v>21.0276</v>
      </c>
      <c r="T590" s="35">
        <v>2.1</v>
      </c>
      <c r="U590" s="35">
        <v>1.49</v>
      </c>
      <c r="V590" s="35">
        <v>6.3636363636363644E-2</v>
      </c>
      <c r="W590" s="9" t="s">
        <v>154</v>
      </c>
      <c r="X590" s="15">
        <v>589</v>
      </c>
      <c r="Y590" s="39">
        <v>0.48081828601115911</v>
      </c>
      <c r="Z590" s="39">
        <v>0.46928214474538571</v>
      </c>
      <c r="AA590" s="39">
        <v>0.48699204313493238</v>
      </c>
      <c r="AB590" s="39">
        <v>0.4920812817009052</v>
      </c>
      <c r="AC590" s="39">
        <v>0.4744026104211454</v>
      </c>
      <c r="AD590" s="39">
        <v>0.46033836987973475</v>
      </c>
      <c r="AE590" s="39">
        <v>0.48145850404087315</v>
      </c>
      <c r="AF590" s="40">
        <v>0.48898172413393431</v>
      </c>
    </row>
    <row r="591" spans="1:32">
      <c r="A591" s="15">
        <v>589</v>
      </c>
      <c r="B591" s="16">
        <v>1</v>
      </c>
      <c r="C591" s="20">
        <v>0.02</v>
      </c>
      <c r="D591" s="20">
        <v>0.99756714174924133</v>
      </c>
      <c r="E591" s="20">
        <v>1</v>
      </c>
      <c r="F591" s="8" t="s">
        <v>436</v>
      </c>
      <c r="G591" s="24">
        <v>1.1881249745572324</v>
      </c>
      <c r="H591" s="24">
        <v>1.1950039148825866</v>
      </c>
      <c r="I591" s="25">
        <v>1.2159029023658399</v>
      </c>
      <c r="L591" s="15">
        <v>589</v>
      </c>
      <c r="M591" s="16">
        <v>0</v>
      </c>
      <c r="N591" s="16">
        <v>2</v>
      </c>
      <c r="O591" s="16">
        <v>3</v>
      </c>
      <c r="P591" s="16">
        <v>43</v>
      </c>
      <c r="Q591" s="29">
        <v>30</v>
      </c>
      <c r="R591" s="20">
        <v>0.63719999999999999</v>
      </c>
      <c r="S591" s="32">
        <v>19.116</v>
      </c>
      <c r="T591" s="35">
        <v>0.99</v>
      </c>
      <c r="U591" s="35">
        <v>0.51</v>
      </c>
      <c r="V591" s="35">
        <v>3.3000000000000002E-2</v>
      </c>
      <c r="W591" s="9" t="s">
        <v>152</v>
      </c>
      <c r="X591" s="15">
        <v>590</v>
      </c>
      <c r="Y591" s="39">
        <v>0.4891746810002563</v>
      </c>
      <c r="Z591" s="39">
        <v>0.47714874002187324</v>
      </c>
      <c r="AA591" s="39">
        <v>0.48667885713263065</v>
      </c>
      <c r="AB591" s="39">
        <v>0.48911224595227676</v>
      </c>
      <c r="AC591" s="39">
        <v>0.48215848175998155</v>
      </c>
      <c r="AD591" s="39">
        <v>0.47126102861503238</v>
      </c>
      <c r="AE591" s="39">
        <v>0.47641719087968054</v>
      </c>
      <c r="AF591" s="40">
        <v>0.48463912910056267</v>
      </c>
    </row>
    <row r="592" spans="1:32">
      <c r="A592" s="15">
        <v>590</v>
      </c>
      <c r="B592" s="16">
        <v>0</v>
      </c>
      <c r="C592" s="20">
        <v>0.93</v>
      </c>
      <c r="D592" s="20">
        <v>0.18747949848141848</v>
      </c>
      <c r="E592" s="20">
        <v>7.0000000000000007E-2</v>
      </c>
      <c r="F592" s="8" t="s">
        <v>434</v>
      </c>
      <c r="G592" s="24">
        <v>0.79333499117735251</v>
      </c>
      <c r="H592" s="24">
        <v>0.79792819827188233</v>
      </c>
      <c r="I592" s="25">
        <v>0.81188287341607002</v>
      </c>
      <c r="L592" s="15">
        <v>590</v>
      </c>
      <c r="M592" s="16">
        <v>0</v>
      </c>
      <c r="N592" s="16">
        <v>2</v>
      </c>
      <c r="O592" s="16">
        <v>3</v>
      </c>
      <c r="P592" s="16">
        <v>44</v>
      </c>
      <c r="Q592" s="29">
        <v>27</v>
      </c>
      <c r="R592" s="20">
        <v>0.63719999999999999</v>
      </c>
      <c r="S592" s="32">
        <v>17.2044</v>
      </c>
      <c r="T592" s="35">
        <v>0.61</v>
      </c>
      <c r="U592" s="35">
        <v>0.15</v>
      </c>
      <c r="V592" s="35">
        <v>2.2592592592592591E-2</v>
      </c>
      <c r="W592" s="9" t="s">
        <v>152</v>
      </c>
      <c r="X592" s="15">
        <v>591</v>
      </c>
      <c r="Y592" s="39">
        <v>0.47710784626199026</v>
      </c>
      <c r="Z592" s="39">
        <v>0.4980926618237469</v>
      </c>
      <c r="AA592" s="39">
        <v>0.48817163209732484</v>
      </c>
      <c r="AB592" s="39">
        <v>0.48539136251498799</v>
      </c>
      <c r="AC592" s="39">
        <v>0.46864638803687542</v>
      </c>
      <c r="AD592" s="39">
        <v>0.49053251748961346</v>
      </c>
      <c r="AE592" s="39">
        <v>0.48162992662464432</v>
      </c>
      <c r="AF592" s="40">
        <v>0.48261554732653883</v>
      </c>
    </row>
    <row r="593" spans="1:32">
      <c r="A593" s="15">
        <v>591</v>
      </c>
      <c r="B593" s="16">
        <v>0</v>
      </c>
      <c r="C593" s="20">
        <v>0.15</v>
      </c>
      <c r="D593" s="20">
        <v>0.90821897287200393</v>
      </c>
      <c r="E593" s="20">
        <v>0.08</v>
      </c>
      <c r="F593" s="8" t="s">
        <v>436</v>
      </c>
      <c r="G593" s="24">
        <v>1.079140279149464</v>
      </c>
      <c r="H593" s="24">
        <v>1.0853882259075243</v>
      </c>
      <c r="I593" s="25">
        <v>1.1043701845983798</v>
      </c>
      <c r="L593" s="15">
        <v>591</v>
      </c>
      <c r="M593" s="16">
        <v>0</v>
      </c>
      <c r="N593" s="16">
        <v>2</v>
      </c>
      <c r="O593" s="16">
        <v>3</v>
      </c>
      <c r="P593" s="16">
        <v>45</v>
      </c>
      <c r="Q593" s="29">
        <v>44</v>
      </c>
      <c r="R593" s="20">
        <v>0.63719999999999999</v>
      </c>
      <c r="S593" s="32">
        <v>28.036799999999999</v>
      </c>
      <c r="T593" s="35">
        <v>2.64</v>
      </c>
      <c r="U593" s="35">
        <v>2.02</v>
      </c>
      <c r="V593" s="35">
        <v>6.0000000000000005E-2</v>
      </c>
      <c r="W593" s="9" t="s">
        <v>154</v>
      </c>
      <c r="X593" s="15">
        <v>592</v>
      </c>
      <c r="Y593" s="39">
        <v>0.48695332933146318</v>
      </c>
      <c r="Z593" s="39">
        <v>0.47892302321237029</v>
      </c>
      <c r="AA593" s="39">
        <v>0.49001311685586924</v>
      </c>
      <c r="AB593" s="39">
        <v>0.49021061784419434</v>
      </c>
      <c r="AC593" s="39">
        <v>0.48332509856126882</v>
      </c>
      <c r="AD593" s="39">
        <v>0.47092749712156745</v>
      </c>
      <c r="AE593" s="39">
        <v>0.48423419653144356</v>
      </c>
      <c r="AF593" s="40">
        <v>0.48688046990229272</v>
      </c>
    </row>
    <row r="594" spans="1:32">
      <c r="A594" s="15">
        <v>592</v>
      </c>
      <c r="B594" s="16">
        <v>0</v>
      </c>
      <c r="C594" s="20">
        <v>0.24</v>
      </c>
      <c r="D594" s="20">
        <v>0.78644053695188987</v>
      </c>
      <c r="E594" s="20">
        <v>0.09</v>
      </c>
      <c r="F594" s="8" t="s">
        <v>436</v>
      </c>
      <c r="G594" s="24">
        <v>1.0424934803947334</v>
      </c>
      <c r="H594" s="24">
        <v>1.0485292515423592</v>
      </c>
      <c r="I594" s="25">
        <v>1.0668665970781366</v>
      </c>
      <c r="L594" s="15">
        <v>592</v>
      </c>
      <c r="M594" s="16">
        <v>0</v>
      </c>
      <c r="N594" s="16">
        <v>2</v>
      </c>
      <c r="O594" s="16">
        <v>3</v>
      </c>
      <c r="P594" s="16">
        <v>46</v>
      </c>
      <c r="Q594" s="29">
        <v>21</v>
      </c>
      <c r="R594" s="20">
        <v>0.63719999999999999</v>
      </c>
      <c r="S594" s="32">
        <v>13.3812</v>
      </c>
      <c r="T594" s="35">
        <v>0.44</v>
      </c>
      <c r="U594" s="35">
        <v>0</v>
      </c>
      <c r="V594" s="35">
        <v>2.0952380952380951E-2</v>
      </c>
      <c r="W594" s="9" t="s">
        <v>152</v>
      </c>
      <c r="X594" s="15">
        <v>593</v>
      </c>
      <c r="Y594" s="39">
        <v>0.48794508685344307</v>
      </c>
      <c r="Z594" s="39">
        <v>0.48770825956701269</v>
      </c>
      <c r="AA594" s="39">
        <v>0.47925635034655401</v>
      </c>
      <c r="AB594" s="39">
        <v>0.48482058236633785</v>
      </c>
      <c r="AC594" s="39">
        <v>0.48035611210429296</v>
      </c>
      <c r="AD594" s="39">
        <v>0.48243922442223769</v>
      </c>
      <c r="AE594" s="39">
        <v>0.47330944781222706</v>
      </c>
      <c r="AF594" s="40">
        <v>0.47963892457449159</v>
      </c>
    </row>
    <row r="595" spans="1:32">
      <c r="A595" s="15">
        <v>593</v>
      </c>
      <c r="B595" s="16">
        <v>0</v>
      </c>
      <c r="C595" s="20">
        <v>0.33</v>
      </c>
      <c r="D595" s="20">
        <v>0.77624861270958179</v>
      </c>
      <c r="E595" s="20">
        <v>0.1</v>
      </c>
      <c r="F595" s="8" t="s">
        <v>436</v>
      </c>
      <c r="G595" s="24">
        <v>0.98644267975671263</v>
      </c>
      <c r="H595" s="24">
        <v>0.99215393107600891</v>
      </c>
      <c r="I595" s="25">
        <v>1.0095053492000703</v>
      </c>
      <c r="L595" s="15">
        <v>593</v>
      </c>
      <c r="M595" s="16">
        <v>0</v>
      </c>
      <c r="N595" s="16">
        <v>2</v>
      </c>
      <c r="O595" s="16">
        <v>3</v>
      </c>
      <c r="P595" s="16">
        <v>47</v>
      </c>
      <c r="Q595" s="29">
        <v>13</v>
      </c>
      <c r="R595" s="20">
        <v>0.63719999999999999</v>
      </c>
      <c r="S595" s="32">
        <v>8.2835999999999999</v>
      </c>
      <c r="T595" s="35">
        <v>0.25</v>
      </c>
      <c r="U595" s="35">
        <v>0.13</v>
      </c>
      <c r="V595" s="35">
        <v>1.9230769230769232E-2</v>
      </c>
      <c r="W595" s="9" t="s">
        <v>152</v>
      </c>
      <c r="X595" s="15">
        <v>594</v>
      </c>
      <c r="Y595" s="39">
        <v>0.48790305568569459</v>
      </c>
      <c r="Z595" s="39">
        <v>0.48660888304214811</v>
      </c>
      <c r="AA595" s="39">
        <v>0.49203298479230617</v>
      </c>
      <c r="AB595" s="39">
        <v>0.49173281099369659</v>
      </c>
      <c r="AC595" s="39">
        <v>0.4783576039003824</v>
      </c>
      <c r="AD595" s="39">
        <v>0.47654932748299123</v>
      </c>
      <c r="AE595" s="39">
        <v>0.48591014193096388</v>
      </c>
      <c r="AF595" s="40">
        <v>0.48762629459885326</v>
      </c>
    </row>
    <row r="596" spans="1:32">
      <c r="A596" s="15">
        <v>594</v>
      </c>
      <c r="B596" s="16">
        <v>0</v>
      </c>
      <c r="C596" s="20">
        <v>0.02</v>
      </c>
      <c r="D596" s="20">
        <v>0.99917029198757767</v>
      </c>
      <c r="E596" s="20">
        <v>1</v>
      </c>
      <c r="F596" s="8" t="s">
        <v>436</v>
      </c>
      <c r="G596" s="24">
        <v>1.0500575023468464</v>
      </c>
      <c r="H596" s="24">
        <v>1.0561370672508046</v>
      </c>
      <c r="I596" s="25">
        <v>1.0746074630998785</v>
      </c>
      <c r="L596" s="15">
        <v>594</v>
      </c>
      <c r="M596" s="16">
        <v>0</v>
      </c>
      <c r="N596" s="16">
        <v>2</v>
      </c>
      <c r="O596" s="16">
        <v>3</v>
      </c>
      <c r="P596" s="16">
        <v>48</v>
      </c>
      <c r="Q596" s="29">
        <v>24</v>
      </c>
      <c r="R596" s="20">
        <v>0.63719999999999999</v>
      </c>
      <c r="S596" s="32">
        <v>15.2928</v>
      </c>
      <c r="T596" s="35">
        <v>1.64</v>
      </c>
      <c r="U596" s="35">
        <v>1.32</v>
      </c>
      <c r="V596" s="35">
        <v>6.8333333333333329E-2</v>
      </c>
      <c r="W596" s="9" t="s">
        <v>153</v>
      </c>
      <c r="X596" s="15">
        <v>595</v>
      </c>
      <c r="Y596" s="39">
        <v>0.47844672929275106</v>
      </c>
      <c r="Z596" s="39">
        <v>0.47359462326284124</v>
      </c>
      <c r="AA596" s="39">
        <v>0.47981007773895912</v>
      </c>
      <c r="AB596" s="39">
        <v>0.48341916702133136</v>
      </c>
      <c r="AC596" s="39">
        <v>0.47264553083801364</v>
      </c>
      <c r="AD596" s="39">
        <v>0.46860953702239511</v>
      </c>
      <c r="AE596" s="39">
        <v>0.47359324418146814</v>
      </c>
      <c r="AF596" s="40">
        <v>0.47987291076099947</v>
      </c>
    </row>
    <row r="597" spans="1:32">
      <c r="A597" s="15">
        <v>595</v>
      </c>
      <c r="B597" s="16">
        <v>1</v>
      </c>
      <c r="C597" s="20">
        <v>0.02</v>
      </c>
      <c r="D597" s="20">
        <v>0.99917029198757767</v>
      </c>
      <c r="E597" s="20">
        <v>1</v>
      </c>
      <c r="F597" s="8" t="s">
        <v>436</v>
      </c>
      <c r="G597" s="24">
        <v>0.97128226609547985</v>
      </c>
      <c r="H597" s="24">
        <v>0.97690574248948081</v>
      </c>
      <c r="I597" s="25">
        <v>0.99399049060648759</v>
      </c>
      <c r="L597" s="15">
        <v>595</v>
      </c>
      <c r="M597" s="16">
        <v>0</v>
      </c>
      <c r="N597" s="16">
        <v>2</v>
      </c>
      <c r="O597" s="16">
        <v>3</v>
      </c>
      <c r="P597" s="16">
        <v>49</v>
      </c>
      <c r="Q597" s="29">
        <v>29</v>
      </c>
      <c r="R597" s="20">
        <v>0.63719999999999999</v>
      </c>
      <c r="S597" s="32">
        <v>18.4788</v>
      </c>
      <c r="T597" s="35">
        <v>0.92</v>
      </c>
      <c r="U597" s="35">
        <v>0.39</v>
      </c>
      <c r="V597" s="35">
        <v>3.1724137931034485E-2</v>
      </c>
      <c r="W597" s="9" t="s">
        <v>152</v>
      </c>
      <c r="X597" s="15">
        <v>596</v>
      </c>
      <c r="Y597" s="39">
        <v>0.47990292586887662</v>
      </c>
      <c r="Z597" s="39">
        <v>0.49346466880483564</v>
      </c>
      <c r="AA597" s="39">
        <v>0.49428261429729281</v>
      </c>
      <c r="AB597" s="39">
        <v>0.49207872632312299</v>
      </c>
      <c r="AC597" s="39">
        <v>0.47358129224166684</v>
      </c>
      <c r="AD597" s="39">
        <v>0.48716472185377324</v>
      </c>
      <c r="AE597" s="39">
        <v>0.48561852590204907</v>
      </c>
      <c r="AF597" s="40">
        <v>0.48842411908778799</v>
      </c>
    </row>
    <row r="598" spans="1:32">
      <c r="A598" s="15">
        <v>596</v>
      </c>
      <c r="B598" s="16">
        <v>0</v>
      </c>
      <c r="C598" s="20">
        <v>0.92</v>
      </c>
      <c r="D598" s="20">
        <v>0.20258497911151899</v>
      </c>
      <c r="E598" s="20">
        <v>0.08</v>
      </c>
      <c r="F598" s="8" t="s">
        <v>434</v>
      </c>
      <c r="G598" s="24">
        <v>0.86150049724053357</v>
      </c>
      <c r="H598" s="24">
        <v>0.86648836521544004</v>
      </c>
      <c r="I598" s="25">
        <v>0.88164206410587531</v>
      </c>
      <c r="L598" s="15">
        <v>596</v>
      </c>
      <c r="M598" s="16">
        <v>0</v>
      </c>
      <c r="N598" s="16">
        <v>2</v>
      </c>
      <c r="O598" s="16">
        <v>3</v>
      </c>
      <c r="P598" s="16">
        <v>50</v>
      </c>
      <c r="Q598" s="29">
        <v>16</v>
      </c>
      <c r="R598" s="20">
        <v>0.63719999999999999</v>
      </c>
      <c r="S598" s="32">
        <v>10.1952</v>
      </c>
      <c r="T598" s="35">
        <v>0.43000000000000005</v>
      </c>
      <c r="U598" s="35">
        <v>0.2</v>
      </c>
      <c r="V598" s="35">
        <v>2.6875000000000003E-2</v>
      </c>
      <c r="W598" s="9" t="s">
        <v>152</v>
      </c>
      <c r="X598" s="15">
        <v>597</v>
      </c>
      <c r="Y598" s="39">
        <v>0.48062170400177939</v>
      </c>
      <c r="Z598" s="39">
        <v>0.48798819850216124</v>
      </c>
      <c r="AA598" s="39">
        <v>0.49660512210990015</v>
      </c>
      <c r="AB598" s="39">
        <v>0.4797831321200004</v>
      </c>
      <c r="AC598" s="39">
        <v>0.47350498661441437</v>
      </c>
      <c r="AD598" s="39">
        <v>0.48029089970757544</v>
      </c>
      <c r="AE598" s="39">
        <v>0.48850200548836387</v>
      </c>
      <c r="AF598" s="40">
        <v>0.47659504485924759</v>
      </c>
    </row>
    <row r="599" spans="1:32">
      <c r="A599" s="15">
        <v>597</v>
      </c>
      <c r="B599" s="16">
        <v>1</v>
      </c>
      <c r="C599" s="20">
        <v>0.14000000000000001</v>
      </c>
      <c r="D599" s="20">
        <v>0.92652834019987906</v>
      </c>
      <c r="E599" s="20">
        <v>0.38</v>
      </c>
      <c r="F599" s="8" t="s">
        <v>436</v>
      </c>
      <c r="G599" s="24">
        <v>0.91888829607846922</v>
      </c>
      <c r="H599" s="24">
        <v>0.92420842476000442</v>
      </c>
      <c r="I599" s="25">
        <v>0.9403715687132812</v>
      </c>
      <c r="L599" s="15">
        <v>597</v>
      </c>
      <c r="M599" s="16">
        <v>0</v>
      </c>
      <c r="N599" s="16">
        <v>2</v>
      </c>
      <c r="O599" s="16">
        <v>3</v>
      </c>
      <c r="P599" s="16">
        <v>51</v>
      </c>
      <c r="Q599" s="29">
        <v>27</v>
      </c>
      <c r="R599" s="20">
        <v>0.63719999999999999</v>
      </c>
      <c r="S599" s="32">
        <v>17.2044</v>
      </c>
      <c r="T599" s="35">
        <v>1.46</v>
      </c>
      <c r="U599" s="35">
        <v>1.07</v>
      </c>
      <c r="V599" s="35">
        <v>5.4074074074074073E-2</v>
      </c>
      <c r="W599" s="9" t="s">
        <v>153</v>
      </c>
      <c r="X599" s="15">
        <v>598</v>
      </c>
      <c r="Y599" s="39">
        <v>0.49175430153558514</v>
      </c>
      <c r="Z599" s="39">
        <v>0.48821665019324267</v>
      </c>
      <c r="AA599" s="39">
        <v>0.47469462393414363</v>
      </c>
      <c r="AB599" s="39">
        <v>0.49716250061223316</v>
      </c>
      <c r="AC599" s="39">
        <v>0.48578414341167064</v>
      </c>
      <c r="AD599" s="39">
        <v>0.47984182739609982</v>
      </c>
      <c r="AE599" s="39">
        <v>0.46805443353921011</v>
      </c>
      <c r="AF599" s="40">
        <v>0.49346824290067853</v>
      </c>
    </row>
    <row r="600" spans="1:32">
      <c r="A600" s="15">
        <v>598</v>
      </c>
      <c r="B600" s="16">
        <v>1</v>
      </c>
      <c r="C600" s="20">
        <v>0.38</v>
      </c>
      <c r="D600" s="20">
        <v>0.65453874051317762</v>
      </c>
      <c r="E600" s="20">
        <v>0.12</v>
      </c>
      <c r="F600" s="8" t="s">
        <v>436</v>
      </c>
      <c r="G600" s="24">
        <v>0.74486621525447505</v>
      </c>
      <c r="H600" s="24">
        <v>0.74917880050841046</v>
      </c>
      <c r="I600" s="25">
        <v>0.76228091522079822</v>
      </c>
      <c r="L600" s="15">
        <v>598</v>
      </c>
      <c r="M600" s="16">
        <v>0</v>
      </c>
      <c r="N600" s="16">
        <v>2</v>
      </c>
      <c r="O600" s="16">
        <v>3</v>
      </c>
      <c r="P600" s="16">
        <v>52</v>
      </c>
      <c r="Q600" s="29">
        <v>26</v>
      </c>
      <c r="R600" s="20">
        <v>0.63719999999999999</v>
      </c>
      <c r="S600" s="32">
        <v>16.5672</v>
      </c>
      <c r="T600" s="35">
        <v>0.65</v>
      </c>
      <c r="U600" s="35">
        <v>0.15</v>
      </c>
      <c r="V600" s="35">
        <v>2.5000000000000001E-2</v>
      </c>
      <c r="W600" s="9" t="s">
        <v>152</v>
      </c>
      <c r="X600" s="15">
        <v>599</v>
      </c>
      <c r="Y600" s="39">
        <v>0.48722658366929811</v>
      </c>
      <c r="Z600" s="39">
        <v>0.48599495733500664</v>
      </c>
      <c r="AA600" s="39">
        <v>0.48039868638450794</v>
      </c>
      <c r="AB600" s="39">
        <v>0.49416380607277655</v>
      </c>
      <c r="AC600" s="39">
        <v>0.48171797453611132</v>
      </c>
      <c r="AD600" s="39">
        <v>0.47935027753405668</v>
      </c>
      <c r="AE600" s="39">
        <v>0.47321575638090163</v>
      </c>
      <c r="AF600" s="40">
        <v>0.48733812427901763</v>
      </c>
    </row>
    <row r="601" spans="1:32">
      <c r="A601" s="15">
        <v>599</v>
      </c>
      <c r="B601" s="16">
        <v>1</v>
      </c>
      <c r="C601" s="20">
        <v>0.09</v>
      </c>
      <c r="D601" s="20">
        <v>0.91214236933894133</v>
      </c>
      <c r="E601" s="20">
        <v>0.41</v>
      </c>
      <c r="F601" s="8" t="s">
        <v>436</v>
      </c>
      <c r="G601" s="24">
        <v>1.131477920831274</v>
      </c>
      <c r="H601" s="24">
        <v>1.1380288891751174</v>
      </c>
      <c r="I601" s="25">
        <v>1.1579314612204887</v>
      </c>
      <c r="L601" s="15">
        <v>599</v>
      </c>
      <c r="M601" s="16">
        <v>0</v>
      </c>
      <c r="N601" s="16">
        <v>2</v>
      </c>
      <c r="O601" s="16">
        <v>3</v>
      </c>
      <c r="P601" s="16">
        <v>53</v>
      </c>
      <c r="Q601" s="29">
        <v>27</v>
      </c>
      <c r="R601" s="20">
        <v>0.63719999999999999</v>
      </c>
      <c r="S601" s="32">
        <v>17.2044</v>
      </c>
      <c r="T601" s="35">
        <v>0.5</v>
      </c>
      <c r="U601" s="35">
        <v>0.1</v>
      </c>
      <c r="V601" s="35">
        <v>1.8518518518518517E-2</v>
      </c>
      <c r="W601" s="9" t="s">
        <v>152</v>
      </c>
      <c r="X601" s="15">
        <v>600</v>
      </c>
      <c r="Y601" s="39">
        <v>0.47982935752273365</v>
      </c>
      <c r="Z601" s="39">
        <v>0.47535892448375289</v>
      </c>
      <c r="AA601" s="39">
        <v>0.5003741173932007</v>
      </c>
      <c r="AB601" s="39">
        <v>0.51018667317115673</v>
      </c>
      <c r="AC601" s="39">
        <v>0.47366675862689822</v>
      </c>
      <c r="AD601" s="39">
        <v>0.46916568256810937</v>
      </c>
      <c r="AE601" s="39">
        <v>0.49091034808441647</v>
      </c>
      <c r="AF601" s="40">
        <v>0.50527253207769574</v>
      </c>
    </row>
    <row r="602" spans="1:32">
      <c r="A602" s="15">
        <v>600</v>
      </c>
      <c r="B602" s="16">
        <v>1</v>
      </c>
      <c r="C602" s="20">
        <v>0.02</v>
      </c>
      <c r="D602" s="20">
        <v>0.99835916395484214</v>
      </c>
      <c r="E602" s="20">
        <v>1</v>
      </c>
      <c r="F602" s="8" t="s">
        <v>436</v>
      </c>
      <c r="G602" s="24">
        <v>1.2308883499581422</v>
      </c>
      <c r="H602" s="24">
        <v>1.2380148793114125</v>
      </c>
      <c r="I602" s="25">
        <v>1.259666069859481</v>
      </c>
      <c r="L602" s="15">
        <v>600</v>
      </c>
      <c r="M602" s="16">
        <v>0</v>
      </c>
      <c r="N602" s="16">
        <v>2</v>
      </c>
      <c r="O602" s="16">
        <v>3</v>
      </c>
      <c r="P602" s="16">
        <v>54</v>
      </c>
      <c r="Q602" s="29">
        <v>38</v>
      </c>
      <c r="R602" s="20">
        <v>0.63719999999999999</v>
      </c>
      <c r="S602" s="32">
        <v>24.2136</v>
      </c>
      <c r="T602" s="35">
        <v>0.96</v>
      </c>
      <c r="U602" s="35">
        <v>0.35</v>
      </c>
      <c r="V602" s="35">
        <v>2.5263157894736842E-2</v>
      </c>
      <c r="W602" s="9" t="s">
        <v>152</v>
      </c>
      <c r="X602" s="15">
        <v>601</v>
      </c>
      <c r="Y602" s="39">
        <v>0.48210570655089946</v>
      </c>
      <c r="Z602" s="39">
        <v>0.4836428744477213</v>
      </c>
      <c r="AA602" s="39">
        <v>0.47912507592185838</v>
      </c>
      <c r="AB602" s="39">
        <v>0.49245554948200226</v>
      </c>
      <c r="AC602" s="39">
        <v>0.47745128480099475</v>
      </c>
      <c r="AD602" s="39">
        <v>0.47674285673692118</v>
      </c>
      <c r="AE602" s="39">
        <v>0.47053532129557019</v>
      </c>
      <c r="AF602" s="40">
        <v>0.48912588559256032</v>
      </c>
    </row>
    <row r="603" spans="1:32">
      <c r="A603" s="15">
        <v>601</v>
      </c>
      <c r="B603" s="16">
        <v>0</v>
      </c>
      <c r="C603" s="20">
        <v>0.02</v>
      </c>
      <c r="D603" s="20">
        <v>0.99835916395484214</v>
      </c>
      <c r="E603" s="20">
        <v>1</v>
      </c>
      <c r="F603" s="8" t="s">
        <v>436</v>
      </c>
      <c r="G603" s="24">
        <v>1.1469981147628208</v>
      </c>
      <c r="H603" s="24">
        <v>1.1536389410678882</v>
      </c>
      <c r="I603" s="25">
        <v>1.1738145116156551</v>
      </c>
      <c r="L603" s="15">
        <v>601</v>
      </c>
      <c r="M603" s="16">
        <v>0</v>
      </c>
      <c r="N603" s="16">
        <v>2</v>
      </c>
      <c r="O603" s="16">
        <v>3</v>
      </c>
      <c r="P603" s="16">
        <v>55</v>
      </c>
      <c r="Q603" s="29">
        <v>34</v>
      </c>
      <c r="R603" s="20">
        <v>0.63719999999999999</v>
      </c>
      <c r="S603" s="32">
        <v>21.6648</v>
      </c>
      <c r="T603" s="35">
        <v>1.78</v>
      </c>
      <c r="U603" s="35">
        <v>1.27</v>
      </c>
      <c r="V603" s="35">
        <v>5.2352941176470588E-2</v>
      </c>
      <c r="W603" s="9" t="s">
        <v>153</v>
      </c>
      <c r="X603" s="15">
        <v>602</v>
      </c>
      <c r="Y603" s="39">
        <v>0.48951997083355936</v>
      </c>
      <c r="Z603" s="39">
        <v>0.48423401956503864</v>
      </c>
      <c r="AA603" s="39">
        <v>0.47807647880399923</v>
      </c>
      <c r="AB603" s="39">
        <v>0.48977389451539399</v>
      </c>
      <c r="AC603" s="39">
        <v>0.48382516790710789</v>
      </c>
      <c r="AD603" s="39">
        <v>0.47966824457787965</v>
      </c>
      <c r="AE603" s="39">
        <v>0.4694459819390665</v>
      </c>
      <c r="AF603" s="40">
        <v>0.48599225488209263</v>
      </c>
    </row>
    <row r="604" spans="1:32">
      <c r="A604" s="15">
        <v>602</v>
      </c>
      <c r="B604" s="16">
        <v>1</v>
      </c>
      <c r="C604" s="20">
        <v>0.9</v>
      </c>
      <c r="D604" s="20">
        <v>0.23159538658365303</v>
      </c>
      <c r="E604" s="20">
        <v>0.1</v>
      </c>
      <c r="F604" s="8" t="s">
        <v>434</v>
      </c>
      <c r="G604" s="24">
        <v>1.7646268455867369</v>
      </c>
      <c r="H604" s="24">
        <v>1.7748435845891577</v>
      </c>
      <c r="I604" s="25">
        <v>1.6578926537592125</v>
      </c>
      <c r="L604" s="15">
        <v>602</v>
      </c>
      <c r="M604" s="16">
        <v>0</v>
      </c>
      <c r="N604" s="16">
        <v>2</v>
      </c>
      <c r="O604" s="16">
        <v>4</v>
      </c>
      <c r="P604" s="16">
        <v>84</v>
      </c>
      <c r="Q604" s="29">
        <v>32</v>
      </c>
      <c r="R604" s="20">
        <v>0.63719999999999999</v>
      </c>
      <c r="S604" s="32">
        <v>20.3904</v>
      </c>
      <c r="T604" s="35">
        <v>1.81</v>
      </c>
      <c r="U604" s="35">
        <v>1.27</v>
      </c>
      <c r="V604" s="35">
        <v>5.6562500000000002E-2</v>
      </c>
      <c r="W604" s="9" t="s">
        <v>153</v>
      </c>
      <c r="X604" s="15">
        <v>603</v>
      </c>
      <c r="Y604" s="39">
        <v>0.48524723830576572</v>
      </c>
      <c r="Z604" s="39">
        <v>0.48986878782871074</v>
      </c>
      <c r="AA604" s="39">
        <v>0.49006063536355071</v>
      </c>
      <c r="AB604" s="39">
        <v>0.5000307617882811</v>
      </c>
      <c r="AC604" s="39">
        <v>0.47658786040591478</v>
      </c>
      <c r="AD604" s="39">
        <v>0.48321166321241882</v>
      </c>
      <c r="AE604" s="39">
        <v>0.48004963650502946</v>
      </c>
      <c r="AF604" s="40">
        <v>0.49656105916359577</v>
      </c>
    </row>
    <row r="605" spans="1:32">
      <c r="A605" s="15">
        <v>603</v>
      </c>
      <c r="B605" s="16">
        <v>0</v>
      </c>
      <c r="C605" s="20">
        <v>0.9</v>
      </c>
      <c r="D605" s="20">
        <v>0.231595386583653</v>
      </c>
      <c r="E605" s="20">
        <v>0.1</v>
      </c>
      <c r="F605" s="8" t="s">
        <v>434</v>
      </c>
      <c r="G605" s="24">
        <v>2.2542032413819304</v>
      </c>
      <c r="H605" s="24">
        <v>2.2672545027481559</v>
      </c>
      <c r="I605" s="25">
        <v>1.6578926537592125</v>
      </c>
      <c r="L605" s="15">
        <v>603</v>
      </c>
      <c r="M605" s="16">
        <v>0</v>
      </c>
      <c r="N605" s="16">
        <v>2</v>
      </c>
      <c r="O605" s="16">
        <v>4</v>
      </c>
      <c r="P605" s="16">
        <v>85</v>
      </c>
      <c r="Q605" s="29">
        <v>55</v>
      </c>
      <c r="R605" s="20">
        <v>0.63719999999999999</v>
      </c>
      <c r="S605" s="32">
        <v>35.045999999999999</v>
      </c>
      <c r="T605" s="35">
        <v>2.93</v>
      </c>
      <c r="U605" s="35">
        <v>2</v>
      </c>
      <c r="V605" s="35">
        <v>5.3272727272727277E-2</v>
      </c>
      <c r="W605" s="9" t="s">
        <v>154</v>
      </c>
      <c r="X605" s="15">
        <v>604</v>
      </c>
      <c r="Y605" s="39">
        <v>0.4914827722593374</v>
      </c>
      <c r="Z605" s="39">
        <v>0.46824744105588695</v>
      </c>
      <c r="AA605" s="39">
        <v>0.48413512067038345</v>
      </c>
      <c r="AB605" s="39">
        <v>0.4938728112861675</v>
      </c>
      <c r="AC605" s="39">
        <v>0.48228672205322071</v>
      </c>
      <c r="AD605" s="39">
        <v>0.46328918893354087</v>
      </c>
      <c r="AE605" s="39">
        <v>0.47897553171701401</v>
      </c>
      <c r="AF605" s="40">
        <v>0.48800541296283473</v>
      </c>
    </row>
    <row r="606" spans="1:32">
      <c r="A606" s="15">
        <v>604</v>
      </c>
      <c r="B606" s="16">
        <v>0</v>
      </c>
      <c r="C606" s="20">
        <v>0.02</v>
      </c>
      <c r="D606" s="20">
        <v>0.99835916395484214</v>
      </c>
      <c r="E606" s="20">
        <v>1</v>
      </c>
      <c r="F606" s="8" t="s">
        <v>436</v>
      </c>
      <c r="G606" s="24">
        <v>1.2482130758767995</v>
      </c>
      <c r="H606" s="24">
        <v>1.2554399109708796</v>
      </c>
      <c r="I606" s="25">
        <v>1.2773958415403079</v>
      </c>
      <c r="L606" s="15">
        <v>604</v>
      </c>
      <c r="M606" s="16">
        <v>0</v>
      </c>
      <c r="N606" s="16">
        <v>2</v>
      </c>
      <c r="O606" s="16">
        <v>4</v>
      </c>
      <c r="P606" s="16">
        <v>86</v>
      </c>
      <c r="Q606" s="29">
        <v>59</v>
      </c>
      <c r="R606" s="20">
        <v>0.63719999999999999</v>
      </c>
      <c r="S606" s="32">
        <v>37.594799999999999</v>
      </c>
      <c r="T606" s="35">
        <v>3.79</v>
      </c>
      <c r="U606" s="35">
        <v>2.82</v>
      </c>
      <c r="V606" s="35">
        <v>6.4237288135593221E-2</v>
      </c>
      <c r="W606" s="9" t="s">
        <v>155</v>
      </c>
      <c r="X606" s="15">
        <v>605</v>
      </c>
      <c r="Y606" s="39">
        <v>0.48677082005357353</v>
      </c>
      <c r="Z606" s="39">
        <v>0.48417353187189488</v>
      </c>
      <c r="AA606" s="39">
        <v>0.46125961340007215</v>
      </c>
      <c r="AB606" s="39">
        <v>0.48241566778914269</v>
      </c>
      <c r="AC606" s="39">
        <v>0.48085037787010215</v>
      </c>
      <c r="AD606" s="39">
        <v>0.47705532253635968</v>
      </c>
      <c r="AE606" s="39">
        <v>0.45197348441323937</v>
      </c>
      <c r="AF606" s="40">
        <v>0.48215874895309629</v>
      </c>
    </row>
    <row r="607" spans="1:32">
      <c r="A607" s="15">
        <v>605</v>
      </c>
      <c r="B607" s="16">
        <v>0</v>
      </c>
      <c r="C607" s="20">
        <v>0.23</v>
      </c>
      <c r="D607" s="20">
        <v>0.76418188432754386</v>
      </c>
      <c r="E607" s="20">
        <v>0.06</v>
      </c>
      <c r="F607" s="8" t="s">
        <v>436</v>
      </c>
      <c r="G607" s="24">
        <v>0.70386207504455922</v>
      </c>
      <c r="H607" s="24">
        <v>0.70793725679327701</v>
      </c>
      <c r="I607" s="25">
        <v>0.72031811319415762</v>
      </c>
      <c r="L607" s="15">
        <v>605</v>
      </c>
      <c r="M607" s="16">
        <v>0</v>
      </c>
      <c r="N607" s="16">
        <v>2</v>
      </c>
      <c r="O607" s="16">
        <v>4</v>
      </c>
      <c r="P607" s="16">
        <v>87</v>
      </c>
      <c r="Q607" s="29">
        <v>31</v>
      </c>
      <c r="R607" s="20">
        <v>0.63719999999999999</v>
      </c>
      <c r="S607" s="32">
        <v>19.7532</v>
      </c>
      <c r="T607" s="35">
        <v>1.63</v>
      </c>
      <c r="U607" s="35">
        <v>1.1599999999999999</v>
      </c>
      <c r="V607" s="35">
        <v>5.2580645161290317E-2</v>
      </c>
      <c r="W607" s="9" t="s">
        <v>153</v>
      </c>
      <c r="X607" s="15">
        <v>606</v>
      </c>
      <c r="Y607" s="39">
        <v>0.48875157904620098</v>
      </c>
      <c r="Z607" s="39">
        <v>0.48006606143159952</v>
      </c>
      <c r="AA607" s="39">
        <v>0.47860565358572749</v>
      </c>
      <c r="AB607" s="39">
        <v>0.48118297101712415</v>
      </c>
      <c r="AC607" s="39">
        <v>0.4832089136652602</v>
      </c>
      <c r="AD607" s="39">
        <v>0.47553540994157389</v>
      </c>
      <c r="AE607" s="39">
        <v>0.47369953536028125</v>
      </c>
      <c r="AF607" s="40">
        <v>0.47746980421905078</v>
      </c>
    </row>
    <row r="608" spans="1:32">
      <c r="A608" s="15">
        <v>606</v>
      </c>
      <c r="B608" s="16">
        <v>0</v>
      </c>
      <c r="C608" s="20">
        <v>0.02</v>
      </c>
      <c r="D608" s="20">
        <v>0.99835916395484214</v>
      </c>
      <c r="E608" s="20">
        <v>1</v>
      </c>
      <c r="F608" s="8" t="s">
        <v>436</v>
      </c>
      <c r="G608" s="24">
        <v>1.044020349042071</v>
      </c>
      <c r="H608" s="24">
        <v>1.0500649603694208</v>
      </c>
      <c r="I608" s="25">
        <v>1.0684291633565881</v>
      </c>
      <c r="L608" s="15">
        <v>606</v>
      </c>
      <c r="M608" s="16">
        <v>0</v>
      </c>
      <c r="N608" s="16">
        <v>2</v>
      </c>
      <c r="O608" s="16">
        <v>4</v>
      </c>
      <c r="P608" s="16">
        <v>88</v>
      </c>
      <c r="Q608" s="29">
        <v>44</v>
      </c>
      <c r="R608" s="20">
        <v>0.63719999999999999</v>
      </c>
      <c r="S608" s="32">
        <v>28.036799999999999</v>
      </c>
      <c r="T608" s="35">
        <v>1.85</v>
      </c>
      <c r="U608" s="35">
        <v>1.21</v>
      </c>
      <c r="V608" s="35">
        <v>4.2045454545454546E-2</v>
      </c>
      <c r="W608" s="9" t="s">
        <v>153</v>
      </c>
      <c r="X608" s="15">
        <v>607</v>
      </c>
      <c r="Y608" s="39">
        <v>0.47356869045834254</v>
      </c>
      <c r="Z608" s="39">
        <v>0.49599043589771125</v>
      </c>
      <c r="AA608" s="39">
        <v>0.47612779293087759</v>
      </c>
      <c r="AB608" s="39">
        <v>0.50053789566011386</v>
      </c>
      <c r="AC608" s="39">
        <v>0.4669844290598274</v>
      </c>
      <c r="AD608" s="39">
        <v>0.48980163088105555</v>
      </c>
      <c r="AE608" s="39">
        <v>0.4702109408637199</v>
      </c>
      <c r="AF608" s="40">
        <v>0.4955611319030323</v>
      </c>
    </row>
    <row r="609" spans="1:32">
      <c r="A609" s="15">
        <v>607</v>
      </c>
      <c r="B609" s="16">
        <v>1</v>
      </c>
      <c r="C609" s="20">
        <v>0.51</v>
      </c>
      <c r="D609" s="20">
        <v>0.46890593780642392</v>
      </c>
      <c r="E609" s="20">
        <v>0.09</v>
      </c>
      <c r="F609" s="8" t="s">
        <v>438</v>
      </c>
      <c r="G609" s="24">
        <v>1.4230002042945593</v>
      </c>
      <c r="H609" s="24">
        <v>1.4312390122465233</v>
      </c>
      <c r="I609" s="25">
        <v>1.4562694291597791</v>
      </c>
      <c r="L609" s="15">
        <v>607</v>
      </c>
      <c r="M609" s="16">
        <v>0</v>
      </c>
      <c r="N609" s="16">
        <v>2</v>
      </c>
      <c r="O609" s="16">
        <v>4</v>
      </c>
      <c r="P609" s="16">
        <v>89</v>
      </c>
      <c r="Q609" s="29">
        <v>15</v>
      </c>
      <c r="R609" s="20">
        <v>0.63719999999999999</v>
      </c>
      <c r="S609" s="32">
        <v>9.5579999999999998</v>
      </c>
      <c r="T609" s="35">
        <v>0.98</v>
      </c>
      <c r="U609" s="35">
        <v>0.73</v>
      </c>
      <c r="V609" s="35">
        <v>6.5333333333333327E-2</v>
      </c>
      <c r="W609" s="9" t="s">
        <v>152</v>
      </c>
      <c r="X609" s="15">
        <v>608</v>
      </c>
      <c r="Y609" s="39">
        <v>0.48325177370590661</v>
      </c>
      <c r="Z609" s="39">
        <v>0.48760866785835072</v>
      </c>
      <c r="AA609" s="39">
        <v>0.48894715320637366</v>
      </c>
      <c r="AB609" s="39">
        <v>0.4921769760034308</v>
      </c>
      <c r="AC609" s="39">
        <v>0.48003758335172209</v>
      </c>
      <c r="AD609" s="39">
        <v>0.47875298964654994</v>
      </c>
      <c r="AE609" s="39">
        <v>0.48285707686722928</v>
      </c>
      <c r="AF609" s="40">
        <v>0.49114352346162621</v>
      </c>
    </row>
    <row r="610" spans="1:32">
      <c r="A610" s="15">
        <v>608</v>
      </c>
      <c r="B610" s="16">
        <v>0</v>
      </c>
      <c r="C610" s="20">
        <v>0.02</v>
      </c>
      <c r="D610" s="20">
        <v>0.99679477127711513</v>
      </c>
      <c r="E610" s="20">
        <v>1</v>
      </c>
      <c r="F610" s="8" t="s">
        <v>436</v>
      </c>
      <c r="G610" s="24">
        <v>0.9531326769728472</v>
      </c>
      <c r="H610" s="24">
        <v>0.95865107187863952</v>
      </c>
      <c r="I610" s="25">
        <v>0.97541657072135046</v>
      </c>
      <c r="L610" s="15">
        <v>608</v>
      </c>
      <c r="M610" s="16">
        <v>0</v>
      </c>
      <c r="N610" s="16">
        <v>2</v>
      </c>
      <c r="O610" s="16">
        <v>4</v>
      </c>
      <c r="P610" s="16">
        <v>90</v>
      </c>
      <c r="Q610" s="29">
        <v>34</v>
      </c>
      <c r="R610" s="20">
        <v>0.63719999999999999</v>
      </c>
      <c r="S610" s="32">
        <v>21.6648</v>
      </c>
      <c r="T610" s="35">
        <v>0.98</v>
      </c>
      <c r="U610" s="35">
        <v>0.55000000000000004</v>
      </c>
      <c r="V610" s="35">
        <v>2.8823529411764706E-2</v>
      </c>
      <c r="W610" s="9" t="s">
        <v>152</v>
      </c>
      <c r="X610" s="15">
        <v>609</v>
      </c>
      <c r="Y610" s="39">
        <v>0.49394668293725463</v>
      </c>
      <c r="Z610" s="39">
        <v>0.47487672397374514</v>
      </c>
      <c r="AA610" s="39">
        <v>0.47895742196786534</v>
      </c>
      <c r="AB610" s="39">
        <v>0.48378999945927803</v>
      </c>
      <c r="AC610" s="39">
        <v>0.4888765252606399</v>
      </c>
      <c r="AD610" s="39">
        <v>0.46946888804706238</v>
      </c>
      <c r="AE610" s="39">
        <v>0.47356206463180672</v>
      </c>
      <c r="AF610" s="40">
        <v>0.48139555754627444</v>
      </c>
    </row>
    <row r="611" spans="1:32">
      <c r="A611" s="15">
        <v>609</v>
      </c>
      <c r="B611" s="16">
        <v>1</v>
      </c>
      <c r="C611" s="20">
        <v>0.02</v>
      </c>
      <c r="D611" s="20">
        <v>0.99756714174924133</v>
      </c>
      <c r="E611" s="20">
        <v>1</v>
      </c>
      <c r="F611" s="8" t="s">
        <v>436</v>
      </c>
      <c r="G611" s="24">
        <v>0.94183348408300049</v>
      </c>
      <c r="H611" s="24">
        <v>0.94728645954615975</v>
      </c>
      <c r="I611" s="25">
        <v>0.96385320683004272</v>
      </c>
      <c r="L611" s="15">
        <v>609</v>
      </c>
      <c r="M611" s="16">
        <v>0</v>
      </c>
      <c r="N611" s="16">
        <v>2</v>
      </c>
      <c r="O611" s="16">
        <v>4</v>
      </c>
      <c r="P611" s="16">
        <v>91</v>
      </c>
      <c r="Q611" s="29">
        <v>41</v>
      </c>
      <c r="R611" s="20">
        <v>0.63719999999999999</v>
      </c>
      <c r="S611" s="32">
        <v>26.1252</v>
      </c>
      <c r="T611" s="35">
        <v>2.16</v>
      </c>
      <c r="U611" s="35">
        <v>1.43</v>
      </c>
      <c r="V611" s="35">
        <v>5.2682926829268298E-2</v>
      </c>
      <c r="W611" s="9" t="s">
        <v>154</v>
      </c>
      <c r="X611" s="15">
        <v>610</v>
      </c>
      <c r="Y611" s="39">
        <v>0.48360405454545891</v>
      </c>
      <c r="Z611" s="39">
        <v>0.48639962623222827</v>
      </c>
      <c r="AA611" s="39">
        <v>0.48250250009301626</v>
      </c>
      <c r="AB611" s="39">
        <v>0.4864639144408745</v>
      </c>
      <c r="AC611" s="39">
        <v>0.47401933111124989</v>
      </c>
      <c r="AD611" s="39">
        <v>0.48157029932611073</v>
      </c>
      <c r="AE611" s="39">
        <v>0.47764468701738755</v>
      </c>
      <c r="AF611" s="40">
        <v>0.47928943006370406</v>
      </c>
    </row>
    <row r="612" spans="1:32">
      <c r="A612" s="15">
        <v>610</v>
      </c>
      <c r="B612" s="16">
        <v>0</v>
      </c>
      <c r="C612" s="20">
        <v>0.02</v>
      </c>
      <c r="D612" s="20">
        <v>0.99679477127711513</v>
      </c>
      <c r="E612" s="20">
        <v>1</v>
      </c>
      <c r="F612" s="8" t="s">
        <v>436</v>
      </c>
      <c r="G612" s="24">
        <v>0.96237240340943264</v>
      </c>
      <c r="H612" s="24">
        <v>0.96794429397278703</v>
      </c>
      <c r="I612" s="25">
        <v>0.98487231858617197</v>
      </c>
      <c r="L612" s="15">
        <v>610</v>
      </c>
      <c r="M612" s="16">
        <v>0</v>
      </c>
      <c r="N612" s="16">
        <v>2</v>
      </c>
      <c r="O612" s="16">
        <v>4</v>
      </c>
      <c r="P612" s="16">
        <v>92</v>
      </c>
      <c r="Q612" s="29">
        <v>36</v>
      </c>
      <c r="R612" s="20">
        <v>0.63719999999999999</v>
      </c>
      <c r="S612" s="32">
        <v>22.9392</v>
      </c>
      <c r="T612" s="35">
        <v>1.0900000000000001</v>
      </c>
      <c r="U612" s="35">
        <v>0.56000000000000005</v>
      </c>
      <c r="V612" s="35">
        <v>3.0277777777777778E-2</v>
      </c>
      <c r="W612" s="9" t="s">
        <v>153</v>
      </c>
      <c r="X612" s="15">
        <v>611</v>
      </c>
      <c r="Y612" s="39">
        <v>0.47423055137806597</v>
      </c>
      <c r="Z612" s="39">
        <v>0.47544219009623179</v>
      </c>
      <c r="AA612" s="39">
        <v>0.48570091496373269</v>
      </c>
      <c r="AB612" s="39">
        <v>0.48026688507164356</v>
      </c>
      <c r="AC612" s="39">
        <v>0.46860548210708403</v>
      </c>
      <c r="AD612" s="39">
        <v>0.46813457363577454</v>
      </c>
      <c r="AE612" s="39">
        <v>0.47779637522372026</v>
      </c>
      <c r="AF612" s="40">
        <v>0.47605784186374384</v>
      </c>
    </row>
    <row r="613" spans="1:32">
      <c r="A613" s="15">
        <v>611</v>
      </c>
      <c r="B613" s="16">
        <v>1</v>
      </c>
      <c r="C613" s="20">
        <v>0.92</v>
      </c>
      <c r="D613" s="20">
        <v>0.20258497911151899</v>
      </c>
      <c r="E613" s="20">
        <v>0.08</v>
      </c>
      <c r="F613" s="8" t="s">
        <v>434</v>
      </c>
      <c r="G613" s="24">
        <v>1.7311117869154822</v>
      </c>
      <c r="H613" s="24">
        <v>1.7411344822831529</v>
      </c>
      <c r="I613" s="25">
        <v>1.6578926537592125</v>
      </c>
      <c r="L613" s="15">
        <v>611</v>
      </c>
      <c r="M613" s="16">
        <v>0</v>
      </c>
      <c r="N613" s="16">
        <v>2</v>
      </c>
      <c r="O613" s="16">
        <v>4</v>
      </c>
      <c r="P613" s="16">
        <v>93</v>
      </c>
      <c r="Q613" s="29">
        <v>44</v>
      </c>
      <c r="R613" s="20">
        <v>0.63719999999999999</v>
      </c>
      <c r="S613" s="32">
        <v>28.036799999999999</v>
      </c>
      <c r="T613" s="35">
        <v>4.5</v>
      </c>
      <c r="U613" s="35">
        <v>3.8</v>
      </c>
      <c r="V613" s="35">
        <v>0.10227272727272728</v>
      </c>
      <c r="W613" s="9" t="s">
        <v>155</v>
      </c>
      <c r="X613" s="15">
        <v>612</v>
      </c>
      <c r="Y613" s="39">
        <v>0.48755238884164076</v>
      </c>
      <c r="Z613" s="39">
        <v>0.48565880640138542</v>
      </c>
      <c r="AA613" s="39">
        <v>0.49327781350285654</v>
      </c>
      <c r="AB613" s="39">
        <v>0.49210092602061678</v>
      </c>
      <c r="AC613" s="39">
        <v>0.4794131558854795</v>
      </c>
      <c r="AD613" s="39">
        <v>0.47895928466708254</v>
      </c>
      <c r="AE613" s="39">
        <v>0.48508162170638741</v>
      </c>
      <c r="AF613" s="40">
        <v>0.48823501982003925</v>
      </c>
    </row>
    <row r="614" spans="1:32">
      <c r="A614" s="15">
        <v>612</v>
      </c>
      <c r="B614" s="16">
        <v>1</v>
      </c>
      <c r="C614" s="20">
        <v>0.33</v>
      </c>
      <c r="D614" s="20">
        <v>0.66643112148254013</v>
      </c>
      <c r="E614" s="20">
        <v>0.1</v>
      </c>
      <c r="F614" s="8" t="s">
        <v>436</v>
      </c>
      <c r="G614" s="24">
        <v>1.5641421136811506</v>
      </c>
      <c r="H614" s="24">
        <v>1.5731980972609889</v>
      </c>
      <c r="I614" s="25">
        <v>1.6007111848198408</v>
      </c>
      <c r="L614" s="15">
        <v>612</v>
      </c>
      <c r="M614" s="16">
        <v>0</v>
      </c>
      <c r="N614" s="16">
        <v>2</v>
      </c>
      <c r="O614" s="16">
        <v>4</v>
      </c>
      <c r="P614" s="16">
        <v>94</v>
      </c>
      <c r="Q614" s="29">
        <v>58</v>
      </c>
      <c r="R614" s="20">
        <v>0.63719999999999999</v>
      </c>
      <c r="S614" s="32">
        <v>36.957599999999999</v>
      </c>
      <c r="T614" s="35">
        <v>2.6</v>
      </c>
      <c r="U614" s="35">
        <v>1.82</v>
      </c>
      <c r="V614" s="35">
        <v>4.4827586206896551E-2</v>
      </c>
      <c r="W614" s="9" t="s">
        <v>154</v>
      </c>
      <c r="X614" s="15">
        <v>613</v>
      </c>
      <c r="Y614" s="39">
        <v>0.48461916375183345</v>
      </c>
      <c r="Z614" s="39">
        <v>0.50631755924574562</v>
      </c>
      <c r="AA614" s="39">
        <v>0.48163880148867533</v>
      </c>
      <c r="AB614" s="39">
        <v>0.49707204212992118</v>
      </c>
      <c r="AC614" s="39">
        <v>0.47957547477768037</v>
      </c>
      <c r="AD614" s="39">
        <v>0.49837036664062945</v>
      </c>
      <c r="AE614" s="39">
        <v>0.475887034052002</v>
      </c>
      <c r="AF614" s="40">
        <v>0.4954045357817905</v>
      </c>
    </row>
    <row r="615" spans="1:32">
      <c r="A615" s="15">
        <v>613</v>
      </c>
      <c r="B615" s="16">
        <v>0</v>
      </c>
      <c r="C615" s="20">
        <v>0.55000000000000004</v>
      </c>
      <c r="D615" s="20">
        <v>0.62715117072915216</v>
      </c>
      <c r="E615" s="20">
        <v>0.45</v>
      </c>
      <c r="F615" s="8" t="s">
        <v>438</v>
      </c>
      <c r="G615" s="24">
        <v>0.65895430543356082</v>
      </c>
      <c r="H615" s="24">
        <v>0.66276948265925784</v>
      </c>
      <c r="I615" s="25">
        <v>0.67436041633727772</v>
      </c>
      <c r="L615" s="15">
        <v>613</v>
      </c>
      <c r="M615" s="16">
        <v>0</v>
      </c>
      <c r="N615" s="16">
        <v>2</v>
      </c>
      <c r="O615" s="16">
        <v>4</v>
      </c>
      <c r="P615" s="16">
        <v>95</v>
      </c>
      <c r="Q615" s="29">
        <v>54</v>
      </c>
      <c r="R615" s="20">
        <v>0.63719999999999999</v>
      </c>
      <c r="S615" s="32">
        <v>34.408799999999999</v>
      </c>
      <c r="T615" s="35">
        <v>2.11</v>
      </c>
      <c r="U615" s="35">
        <v>1.36</v>
      </c>
      <c r="V615" s="35">
        <v>3.9074074074074074E-2</v>
      </c>
      <c r="W615" s="9" t="s">
        <v>154</v>
      </c>
      <c r="X615" s="15">
        <v>614</v>
      </c>
      <c r="Y615" s="39">
        <v>0.49044334194310307</v>
      </c>
      <c r="Z615" s="39">
        <v>0.4793411609648669</v>
      </c>
      <c r="AA615" s="39">
        <v>0.49519823759706588</v>
      </c>
      <c r="AB615" s="39">
        <v>0.48349066099617544</v>
      </c>
      <c r="AC615" s="39">
        <v>0.48652575226833783</v>
      </c>
      <c r="AD615" s="39">
        <v>0.47349949090426047</v>
      </c>
      <c r="AE615" s="39">
        <v>0.4881115792096688</v>
      </c>
      <c r="AF615" s="40">
        <v>0.47873232985958331</v>
      </c>
    </row>
    <row r="616" spans="1:32">
      <c r="A616" s="15">
        <v>614</v>
      </c>
      <c r="B616" s="16">
        <v>0</v>
      </c>
      <c r="C616" s="20">
        <v>0.02</v>
      </c>
      <c r="D616" s="20">
        <v>0.99756714174924133</v>
      </c>
      <c r="E616" s="20">
        <v>1</v>
      </c>
      <c r="F616" s="8" t="s">
        <v>436</v>
      </c>
      <c r="G616" s="24">
        <v>1.0801311126874324</v>
      </c>
      <c r="H616" s="24">
        <v>1.0863847961187603</v>
      </c>
      <c r="I616" s="25">
        <v>1.1053841834624523</v>
      </c>
      <c r="L616" s="15">
        <v>614</v>
      </c>
      <c r="M616" s="16">
        <v>0</v>
      </c>
      <c r="N616" s="16">
        <v>2</v>
      </c>
      <c r="O616" s="16">
        <v>4</v>
      </c>
      <c r="P616" s="16">
        <v>96</v>
      </c>
      <c r="Q616" s="29">
        <v>49</v>
      </c>
      <c r="R616" s="20">
        <v>0.63719999999999999</v>
      </c>
      <c r="S616" s="32">
        <v>31.222799999999999</v>
      </c>
      <c r="T616" s="35">
        <v>1.23</v>
      </c>
      <c r="U616" s="35">
        <v>0.33</v>
      </c>
      <c r="V616" s="35">
        <v>2.510204081632653E-2</v>
      </c>
      <c r="W616" s="9" t="s">
        <v>153</v>
      </c>
      <c r="X616" s="15">
        <v>615</v>
      </c>
      <c r="Y616" s="39">
        <v>0.49162517236669889</v>
      </c>
      <c r="Z616" s="39">
        <v>0.48283319369389238</v>
      </c>
      <c r="AA616" s="39">
        <v>0.48420296159309184</v>
      </c>
      <c r="AB616" s="39">
        <v>0.47922493544870814</v>
      </c>
      <c r="AC616" s="39">
        <v>0.48202182955166378</v>
      </c>
      <c r="AD616" s="39">
        <v>0.47688808249007086</v>
      </c>
      <c r="AE616" s="39">
        <v>0.47525866240304887</v>
      </c>
      <c r="AF616" s="40">
        <v>0.47714912963183237</v>
      </c>
    </row>
    <row r="617" spans="1:32">
      <c r="A617" s="15">
        <v>615</v>
      </c>
      <c r="B617" s="16">
        <v>0</v>
      </c>
      <c r="C617" s="20">
        <v>0.68</v>
      </c>
      <c r="D617" s="20">
        <v>0.42751535477942226</v>
      </c>
      <c r="E617" s="20">
        <v>0.11</v>
      </c>
      <c r="F617" s="8" t="s">
        <v>438</v>
      </c>
      <c r="G617" s="24">
        <v>1.2315207550931448</v>
      </c>
      <c r="H617" s="24">
        <v>1.2386509459107209</v>
      </c>
      <c r="I617" s="25">
        <v>1.2603132603954827</v>
      </c>
      <c r="L617" s="15">
        <v>615</v>
      </c>
      <c r="M617" s="16">
        <v>0</v>
      </c>
      <c r="N617" s="16">
        <v>2</v>
      </c>
      <c r="O617" s="16">
        <v>4</v>
      </c>
      <c r="P617" s="16">
        <v>97</v>
      </c>
      <c r="Q617" s="29">
        <v>37</v>
      </c>
      <c r="R617" s="20">
        <v>0.63719999999999999</v>
      </c>
      <c r="S617" s="32">
        <v>23.5764</v>
      </c>
      <c r="T617" s="35">
        <v>1.8900000000000001</v>
      </c>
      <c r="U617" s="35">
        <v>1.31</v>
      </c>
      <c r="V617" s="35">
        <v>5.1081081081081087E-2</v>
      </c>
      <c r="W617" s="9" t="s">
        <v>153</v>
      </c>
      <c r="X617" s="15">
        <v>616</v>
      </c>
      <c r="Y617" s="39">
        <v>0.46804708081822838</v>
      </c>
      <c r="Z617" s="39">
        <v>0.49360200210670768</v>
      </c>
      <c r="AA617" s="39">
        <v>0.48756905019888036</v>
      </c>
      <c r="AB617" s="39">
        <v>0.49200720111551882</v>
      </c>
      <c r="AC617" s="39">
        <v>0.46184725397756538</v>
      </c>
      <c r="AD617" s="39">
        <v>0.48801214104255913</v>
      </c>
      <c r="AE617" s="39">
        <v>0.48275818563283918</v>
      </c>
      <c r="AF617" s="40">
        <v>0.48751950361619495</v>
      </c>
    </row>
    <row r="618" spans="1:32">
      <c r="A618" s="15">
        <v>616</v>
      </c>
      <c r="B618" s="16">
        <v>0</v>
      </c>
      <c r="C618" s="20">
        <v>0.38</v>
      </c>
      <c r="D618" s="20">
        <v>0.59054012013103385</v>
      </c>
      <c r="E618" s="20">
        <v>0.1</v>
      </c>
      <c r="F618" s="8" t="s">
        <v>436</v>
      </c>
      <c r="G618" s="24">
        <v>0.74504632245912894</v>
      </c>
      <c r="H618" s="24">
        <v>0.74935995048780568</v>
      </c>
      <c r="I618" s="25">
        <v>0.76246523326609239</v>
      </c>
      <c r="L618" s="15">
        <v>616</v>
      </c>
      <c r="M618" s="16">
        <v>0</v>
      </c>
      <c r="N618" s="16">
        <v>2</v>
      </c>
      <c r="O618" s="16">
        <v>5</v>
      </c>
      <c r="P618" s="16">
        <v>98</v>
      </c>
      <c r="Q618" s="29">
        <v>53</v>
      </c>
      <c r="R618" s="20">
        <v>0.63719999999999999</v>
      </c>
      <c r="S618" s="32">
        <v>33.771599999999999</v>
      </c>
      <c r="T618" s="35">
        <v>2.2800000000000002</v>
      </c>
      <c r="U618" s="35">
        <v>1.47</v>
      </c>
      <c r="V618" s="35">
        <v>4.3018867924528303E-2</v>
      </c>
      <c r="W618" s="9" t="s">
        <v>154</v>
      </c>
      <c r="X618" s="15">
        <v>617</v>
      </c>
      <c r="Y618" s="39">
        <v>0.47488993153812264</v>
      </c>
      <c r="Z618" s="39">
        <v>0.48668048625377164</v>
      </c>
      <c r="AA618" s="39">
        <v>0.48683694951748119</v>
      </c>
      <c r="AB618" s="39">
        <v>0.4832318209617712</v>
      </c>
      <c r="AC618" s="39">
        <v>0.46786927722320054</v>
      </c>
      <c r="AD618" s="39">
        <v>0.48066134049147652</v>
      </c>
      <c r="AE618" s="39">
        <v>0.47740856669430382</v>
      </c>
      <c r="AF618" s="40">
        <v>0.47965783800806677</v>
      </c>
    </row>
    <row r="619" spans="1:32">
      <c r="A619" s="15">
        <v>617</v>
      </c>
      <c r="B619" s="16">
        <v>1</v>
      </c>
      <c r="C619" s="20">
        <v>0.97</v>
      </c>
      <c r="D619" s="20">
        <v>0.12097036642660543</v>
      </c>
      <c r="E619" s="20">
        <v>0.03</v>
      </c>
      <c r="F619" s="8" t="s">
        <v>434</v>
      </c>
      <c r="G619" s="24">
        <v>0.52426541249945469</v>
      </c>
      <c r="H619" s="24">
        <v>0.52730077541535914</v>
      </c>
      <c r="I619" s="25">
        <v>0.53652254629666885</v>
      </c>
      <c r="L619" s="15">
        <v>617</v>
      </c>
      <c r="M619" s="16">
        <v>0</v>
      </c>
      <c r="N619" s="16">
        <v>2</v>
      </c>
      <c r="O619" s="16">
        <v>5</v>
      </c>
      <c r="P619" s="16">
        <v>99</v>
      </c>
      <c r="Q619" s="29">
        <v>55</v>
      </c>
      <c r="R619" s="20">
        <v>0.63719999999999999</v>
      </c>
      <c r="S619" s="32">
        <v>35.045999999999999</v>
      </c>
      <c r="T619" s="35">
        <v>2.63</v>
      </c>
      <c r="U619" s="35">
        <v>1.87</v>
      </c>
      <c r="V619" s="35">
        <v>4.7818181818181815E-2</v>
      </c>
      <c r="W619" s="9" t="s">
        <v>154</v>
      </c>
      <c r="X619" s="15">
        <v>618</v>
      </c>
      <c r="Y619" s="39">
        <v>0.48158291514287094</v>
      </c>
      <c r="Z619" s="39">
        <v>0.50278571035027653</v>
      </c>
      <c r="AA619" s="39">
        <v>0.4900517586704069</v>
      </c>
      <c r="AB619" s="39">
        <v>0.48495409908662346</v>
      </c>
      <c r="AC619" s="39">
        <v>0.47579680642793526</v>
      </c>
      <c r="AD619" s="39">
        <v>0.49692187624695172</v>
      </c>
      <c r="AE619" s="39">
        <v>0.48024581603631133</v>
      </c>
      <c r="AF619" s="40">
        <v>0.47834884602033156</v>
      </c>
    </row>
    <row r="620" spans="1:32">
      <c r="A620" s="15">
        <v>618</v>
      </c>
      <c r="B620" s="16">
        <v>0</v>
      </c>
      <c r="C620" s="20">
        <v>0.02</v>
      </c>
      <c r="D620" s="20">
        <v>0.99679477127711513</v>
      </c>
      <c r="E620" s="20">
        <v>1</v>
      </c>
      <c r="F620" s="8" t="s">
        <v>436</v>
      </c>
      <c r="G620" s="24">
        <v>1.0585204435295512</v>
      </c>
      <c r="H620" s="24">
        <v>1.0646490067027314</v>
      </c>
      <c r="I620" s="25">
        <v>1.083268264755392</v>
      </c>
      <c r="L620" s="15">
        <v>618</v>
      </c>
      <c r="M620" s="16">
        <v>0</v>
      </c>
      <c r="N620" s="16">
        <v>2</v>
      </c>
      <c r="O620" s="16">
        <v>5</v>
      </c>
      <c r="P620" s="16">
        <v>100</v>
      </c>
      <c r="Q620" s="29">
        <v>53</v>
      </c>
      <c r="R620" s="20">
        <v>0.63719999999999999</v>
      </c>
      <c r="S620" s="32">
        <v>33.771599999999999</v>
      </c>
      <c r="T620" s="35">
        <v>1.24</v>
      </c>
      <c r="U620" s="35">
        <v>0.56999999999999995</v>
      </c>
      <c r="V620" s="35">
        <v>2.339622641509434E-2</v>
      </c>
      <c r="W620" s="9" t="s">
        <v>153</v>
      </c>
      <c r="X620" s="15">
        <v>619</v>
      </c>
      <c r="Y620" s="39">
        <v>0.47821679328695527</v>
      </c>
      <c r="Z620" s="39">
        <v>0.49400510714582119</v>
      </c>
      <c r="AA620" s="39">
        <v>0.49893277873365166</v>
      </c>
      <c r="AB620" s="39">
        <v>0.48609689602449974</v>
      </c>
      <c r="AC620" s="39">
        <v>0.46824521483123643</v>
      </c>
      <c r="AD620" s="39">
        <v>0.48580836696527435</v>
      </c>
      <c r="AE620" s="39">
        <v>0.4897676110450046</v>
      </c>
      <c r="AF620" s="40">
        <v>0.48001024291780686</v>
      </c>
    </row>
    <row r="621" spans="1:32">
      <c r="A621" s="15">
        <v>619</v>
      </c>
      <c r="B621" s="16">
        <v>1</v>
      </c>
      <c r="C621" s="20">
        <v>0.87</v>
      </c>
      <c r="D621" s="20">
        <v>0.27276032039195819</v>
      </c>
      <c r="E621" s="20">
        <v>0.13</v>
      </c>
      <c r="F621" s="8" t="s">
        <v>434</v>
      </c>
      <c r="G621" s="24">
        <v>0.6608337747147045</v>
      </c>
      <c r="H621" s="24">
        <v>0.66465983358779157</v>
      </c>
      <c r="I621" s="25">
        <v>0.67628382692352662</v>
      </c>
      <c r="L621" s="15">
        <v>619</v>
      </c>
      <c r="M621" s="16">
        <v>0</v>
      </c>
      <c r="N621" s="16">
        <v>2</v>
      </c>
      <c r="O621" s="16">
        <v>5</v>
      </c>
      <c r="P621" s="16">
        <v>101</v>
      </c>
      <c r="Q621" s="29">
        <v>46</v>
      </c>
      <c r="R621" s="20">
        <v>0.63719999999999999</v>
      </c>
      <c r="S621" s="32">
        <v>29.311199999999999</v>
      </c>
      <c r="T621" s="35">
        <v>1.6400000000000001</v>
      </c>
      <c r="U621" s="35">
        <v>0.88</v>
      </c>
      <c r="V621" s="35">
        <v>3.5652173913043483E-2</v>
      </c>
      <c r="W621" s="9" t="s">
        <v>153</v>
      </c>
      <c r="X621" s="15">
        <v>620</v>
      </c>
      <c r="Y621" s="39">
        <v>0.48498475585594175</v>
      </c>
      <c r="Z621" s="39">
        <v>0.49342007111579334</v>
      </c>
      <c r="AA621" s="39">
        <v>0.48561995781935963</v>
      </c>
      <c r="AB621" s="39">
        <v>0.48932759106209955</v>
      </c>
      <c r="AC621" s="39">
        <v>0.4806804060896907</v>
      </c>
      <c r="AD621" s="39">
        <v>0.48463433851007481</v>
      </c>
      <c r="AE621" s="39">
        <v>0.47643580180995676</v>
      </c>
      <c r="AF621" s="40">
        <v>0.48520524989452785</v>
      </c>
    </row>
    <row r="622" spans="1:32">
      <c r="A622" s="15">
        <v>620</v>
      </c>
      <c r="B622" s="16">
        <v>0</v>
      </c>
      <c r="C622" s="20">
        <v>0.68</v>
      </c>
      <c r="D622" s="20">
        <v>0.4226432413489738</v>
      </c>
      <c r="E622" s="20">
        <v>0.08</v>
      </c>
      <c r="F622" s="8" t="s">
        <v>438</v>
      </c>
      <c r="G622" s="24">
        <v>0.71840801936171417</v>
      </c>
      <c r="H622" s="24">
        <v>0.72256741841507277</v>
      </c>
      <c r="I622" s="25">
        <v>0.73520413637490223</v>
      </c>
      <c r="L622" s="15">
        <v>620</v>
      </c>
      <c r="M622" s="16">
        <v>0</v>
      </c>
      <c r="N622" s="16">
        <v>2</v>
      </c>
      <c r="O622" s="16">
        <v>5</v>
      </c>
      <c r="P622" s="16">
        <v>102</v>
      </c>
      <c r="Q622" s="29">
        <v>15</v>
      </c>
      <c r="R622" s="20">
        <v>0.63719999999999999</v>
      </c>
      <c r="S622" s="32">
        <v>9.5579999999999998</v>
      </c>
      <c r="T622" s="35">
        <v>0.77</v>
      </c>
      <c r="U622" s="35">
        <v>0.48</v>
      </c>
      <c r="V622" s="35">
        <v>5.1333333333333335E-2</v>
      </c>
      <c r="W622" s="9" t="s">
        <v>152</v>
      </c>
      <c r="X622" s="15">
        <v>621</v>
      </c>
      <c r="Y622" s="39">
        <v>0.47652903067008939</v>
      </c>
      <c r="Z622" s="39">
        <v>0.49397971152304543</v>
      </c>
      <c r="AA622" s="39">
        <v>0.48219629588873164</v>
      </c>
      <c r="AB622" s="39">
        <v>0.48303438433423029</v>
      </c>
      <c r="AC622" s="39">
        <v>0.46858884012410762</v>
      </c>
      <c r="AD622" s="39">
        <v>0.48961212553699757</v>
      </c>
      <c r="AE622" s="39">
        <v>0.47638276071476932</v>
      </c>
      <c r="AF622" s="40">
        <v>0.4820555175959429</v>
      </c>
    </row>
    <row r="623" spans="1:32">
      <c r="A623" s="15">
        <v>621</v>
      </c>
      <c r="B623" s="16">
        <v>1</v>
      </c>
      <c r="C623" s="20">
        <v>0.49</v>
      </c>
      <c r="D623" s="20">
        <v>0.47377149093663967</v>
      </c>
      <c r="E623" s="20">
        <v>0.06</v>
      </c>
      <c r="F623" s="8" t="s">
        <v>436</v>
      </c>
      <c r="G623" s="24">
        <v>1.6678658521356557</v>
      </c>
      <c r="H623" s="24">
        <v>1.6775223696849251</v>
      </c>
      <c r="I623" s="25">
        <v>1.6578926537592125</v>
      </c>
      <c r="L623" s="15">
        <v>621</v>
      </c>
      <c r="M623" s="16">
        <v>0</v>
      </c>
      <c r="N623" s="16">
        <v>2</v>
      </c>
      <c r="O623" s="16">
        <v>6</v>
      </c>
      <c r="P623" s="16">
        <v>103</v>
      </c>
      <c r="Q623" s="29">
        <v>46</v>
      </c>
      <c r="R623" s="20">
        <v>0.63719999999999999</v>
      </c>
      <c r="S623" s="32">
        <v>29.311199999999999</v>
      </c>
      <c r="T623" s="35">
        <v>2.09</v>
      </c>
      <c r="U623" s="35">
        <v>1.44</v>
      </c>
      <c r="V623" s="35">
        <v>4.5434782608695649E-2</v>
      </c>
      <c r="W623" s="9" t="s">
        <v>154</v>
      </c>
      <c r="X623" s="15">
        <v>622</v>
      </c>
      <c r="Y623" s="39">
        <v>0.48762369482445717</v>
      </c>
      <c r="Z623" s="39">
        <v>0.49104884550905742</v>
      </c>
      <c r="AA623" s="39">
        <v>0.49382898177947487</v>
      </c>
      <c r="AB623" s="39">
        <v>0.48153332702426371</v>
      </c>
      <c r="AC623" s="39">
        <v>0.48184695388114174</v>
      </c>
      <c r="AD623" s="39">
        <v>0.48621156104975083</v>
      </c>
      <c r="AE623" s="39">
        <v>0.4819693355618847</v>
      </c>
      <c r="AF623" s="40">
        <v>0.47813299118047736</v>
      </c>
    </row>
    <row r="624" spans="1:32">
      <c r="A624" s="15">
        <v>622</v>
      </c>
      <c r="B624" s="16">
        <v>0</v>
      </c>
      <c r="C624" s="20">
        <v>0.02</v>
      </c>
      <c r="D624" s="20">
        <v>0.99531127541355291</v>
      </c>
      <c r="E624" s="20">
        <v>1</v>
      </c>
      <c r="F624" s="8" t="s">
        <v>436</v>
      </c>
      <c r="G624" s="24">
        <v>1.0266588583425349</v>
      </c>
      <c r="H624" s="24">
        <v>1.032602951070378</v>
      </c>
      <c r="I624" s="25">
        <v>1.0506617673477379</v>
      </c>
      <c r="L624" s="15">
        <v>622</v>
      </c>
      <c r="M624" s="16">
        <v>0</v>
      </c>
      <c r="N624" s="16">
        <v>2</v>
      </c>
      <c r="O624" s="16">
        <v>6</v>
      </c>
      <c r="P624" s="16">
        <v>104</v>
      </c>
      <c r="Q624" s="29">
        <v>40</v>
      </c>
      <c r="R624" s="20">
        <v>0.63719999999999999</v>
      </c>
      <c r="S624" s="32">
        <v>25.488</v>
      </c>
      <c r="T624" s="35">
        <v>1.93</v>
      </c>
      <c r="U624" s="35">
        <v>1.4</v>
      </c>
      <c r="V624" s="35">
        <v>4.8250000000000001E-2</v>
      </c>
      <c r="W624" s="9" t="s">
        <v>153</v>
      </c>
      <c r="X624" s="15">
        <v>623</v>
      </c>
      <c r="Y624" s="39">
        <v>0.46987172170606462</v>
      </c>
      <c r="Z624" s="39">
        <v>0.48017422649536068</v>
      </c>
      <c r="AA624" s="39">
        <v>0.49372138369983309</v>
      </c>
      <c r="AB624" s="39">
        <v>0.48558007049916724</v>
      </c>
      <c r="AC624" s="39">
        <v>0.46404379784901389</v>
      </c>
      <c r="AD624" s="39">
        <v>0.47447030037884502</v>
      </c>
      <c r="AE624" s="39">
        <v>0.48471966694598334</v>
      </c>
      <c r="AF624" s="40">
        <v>0.48576373908558651</v>
      </c>
    </row>
    <row r="625" spans="1:32">
      <c r="A625" s="15">
        <v>623</v>
      </c>
      <c r="B625" s="16">
        <v>1</v>
      </c>
      <c r="C625" s="20">
        <v>0.02</v>
      </c>
      <c r="D625" s="20">
        <v>0.99531127541355291</v>
      </c>
      <c r="E625" s="20">
        <v>1</v>
      </c>
      <c r="F625" s="8" t="s">
        <v>436</v>
      </c>
      <c r="G625" s="24">
        <v>0.99889530868405407</v>
      </c>
      <c r="H625" s="24">
        <v>1.0046786575462179</v>
      </c>
      <c r="I625" s="25">
        <v>1.0222491160420071</v>
      </c>
      <c r="L625" s="15">
        <v>623</v>
      </c>
      <c r="M625" s="16">
        <v>0</v>
      </c>
      <c r="N625" s="16">
        <v>2</v>
      </c>
      <c r="O625" s="16">
        <v>6</v>
      </c>
      <c r="P625" s="16">
        <v>105</v>
      </c>
      <c r="Q625" s="29">
        <v>43</v>
      </c>
      <c r="R625" s="20">
        <v>0.63719999999999999</v>
      </c>
      <c r="S625" s="32">
        <v>27.3996</v>
      </c>
      <c r="T625" s="35">
        <v>1.85</v>
      </c>
      <c r="U625" s="35">
        <v>1.24</v>
      </c>
      <c r="V625" s="35">
        <v>4.3023255813953491E-2</v>
      </c>
      <c r="W625" s="9" t="s">
        <v>153</v>
      </c>
      <c r="X625" s="15">
        <v>624</v>
      </c>
      <c r="Y625" s="39">
        <v>0.4683360628481944</v>
      </c>
      <c r="Z625" s="39">
        <v>0.48261031064169352</v>
      </c>
      <c r="AA625" s="39">
        <v>0.49513570254556338</v>
      </c>
      <c r="AB625" s="39">
        <v>0.48992716027423833</v>
      </c>
      <c r="AC625" s="39">
        <v>0.46179697542723946</v>
      </c>
      <c r="AD625" s="39">
        <v>0.47678234899870836</v>
      </c>
      <c r="AE625" s="39">
        <v>0.48642282370822454</v>
      </c>
      <c r="AF625" s="40">
        <v>0.48569545956561355</v>
      </c>
    </row>
    <row r="626" spans="1:32">
      <c r="A626" s="15">
        <v>624</v>
      </c>
      <c r="B626" s="16">
        <v>0</v>
      </c>
      <c r="C626" s="20">
        <v>1</v>
      </c>
      <c r="D626" s="20">
        <v>0</v>
      </c>
      <c r="E626" s="20">
        <v>0</v>
      </c>
      <c r="F626" s="8" t="s">
        <v>434</v>
      </c>
      <c r="G626" s="24">
        <v>3.0632236895570131</v>
      </c>
      <c r="H626" s="24">
        <v>2.3557193791407478</v>
      </c>
      <c r="I626" s="25">
        <v>1.6578926537592125</v>
      </c>
      <c r="L626" s="15">
        <v>624</v>
      </c>
      <c r="M626" s="16">
        <v>0</v>
      </c>
      <c r="N626" s="16">
        <v>2</v>
      </c>
      <c r="O626" s="16">
        <v>6</v>
      </c>
      <c r="P626" s="16">
        <v>106</v>
      </c>
      <c r="Q626" s="29">
        <v>58</v>
      </c>
      <c r="R626" s="20">
        <v>0.63719999999999999</v>
      </c>
      <c r="S626" s="32">
        <v>36.957599999999999</v>
      </c>
      <c r="T626" s="35">
        <v>0.93</v>
      </c>
      <c r="U626" s="35">
        <v>0.15</v>
      </c>
      <c r="V626" s="35">
        <v>1.603448275862069E-2</v>
      </c>
      <c r="W626" s="9" t="s">
        <v>152</v>
      </c>
      <c r="X626" s="15">
        <v>625</v>
      </c>
      <c r="Y626" s="39">
        <v>0.49097118527187694</v>
      </c>
      <c r="Z626" s="39">
        <v>0.48680381621460689</v>
      </c>
      <c r="AA626" s="39">
        <v>0.47231150679456974</v>
      </c>
      <c r="AB626" s="39">
        <v>0.47754305117139201</v>
      </c>
      <c r="AC626" s="39">
        <v>0.48204376223646667</v>
      </c>
      <c r="AD626" s="39">
        <v>0.47986440065493258</v>
      </c>
      <c r="AE626" s="39">
        <v>0.46646663366954161</v>
      </c>
      <c r="AF626" s="40">
        <v>0.4752478392337936</v>
      </c>
    </row>
    <row r="627" spans="1:32">
      <c r="A627" s="15">
        <v>625</v>
      </c>
      <c r="B627" s="16">
        <v>1</v>
      </c>
      <c r="C627" s="20">
        <v>0.22</v>
      </c>
      <c r="D627" s="20">
        <v>0.809284621616431</v>
      </c>
      <c r="E627" s="20">
        <v>0.08</v>
      </c>
      <c r="F627" s="8" t="s">
        <v>436</v>
      </c>
      <c r="G627" s="24">
        <v>1.218616452171462</v>
      </c>
      <c r="H627" s="24">
        <v>1.2256719303690364</v>
      </c>
      <c r="I627" s="25">
        <v>1.2471072595862418</v>
      </c>
      <c r="L627" s="15">
        <v>625</v>
      </c>
      <c r="M627" s="16">
        <v>0</v>
      </c>
      <c r="N627" s="16">
        <v>2</v>
      </c>
      <c r="O627" s="16">
        <v>6</v>
      </c>
      <c r="P627" s="16">
        <v>107</v>
      </c>
      <c r="Q627" s="29">
        <v>43</v>
      </c>
      <c r="R627" s="20">
        <v>0.63719999999999999</v>
      </c>
      <c r="S627" s="32">
        <v>27.3996</v>
      </c>
      <c r="T627" s="35">
        <v>1.17</v>
      </c>
      <c r="U627" s="35">
        <v>0.56999999999999995</v>
      </c>
      <c r="V627" s="35">
        <v>2.7209302325581393E-2</v>
      </c>
      <c r="W627" s="9" t="s">
        <v>153</v>
      </c>
      <c r="X627" s="15">
        <v>626</v>
      </c>
      <c r="Y627" s="39">
        <v>0.48946962596203375</v>
      </c>
      <c r="Z627" s="39">
        <v>0.48412468147207666</v>
      </c>
      <c r="AA627" s="39">
        <v>0.49204115333794768</v>
      </c>
      <c r="AB627" s="39">
        <v>0.48342144013671445</v>
      </c>
      <c r="AC627" s="39">
        <v>0.48274013190822379</v>
      </c>
      <c r="AD627" s="39">
        <v>0.47796422521557896</v>
      </c>
      <c r="AE627" s="39">
        <v>0.48399506857920638</v>
      </c>
      <c r="AF627" s="40">
        <v>0.47889799968989338</v>
      </c>
    </row>
    <row r="628" spans="1:32">
      <c r="A628" s="15">
        <v>626</v>
      </c>
      <c r="B628" s="16">
        <v>0</v>
      </c>
      <c r="C628" s="20">
        <v>0.23</v>
      </c>
      <c r="D628" s="20">
        <v>0.74161494221666935</v>
      </c>
      <c r="E628" s="20">
        <v>0.08</v>
      </c>
      <c r="F628" s="8" t="s">
        <v>436</v>
      </c>
      <c r="G628" s="24">
        <v>0.90364296672935962</v>
      </c>
      <c r="H628" s="24">
        <v>0.90887482884544191</v>
      </c>
      <c r="I628" s="25">
        <v>0.92476980913406404</v>
      </c>
      <c r="L628" s="15">
        <v>626</v>
      </c>
      <c r="M628" s="16">
        <v>0</v>
      </c>
      <c r="N628" s="16">
        <v>2</v>
      </c>
      <c r="O628" s="16">
        <v>6</v>
      </c>
      <c r="P628" s="16">
        <v>108</v>
      </c>
      <c r="Q628" s="29">
        <v>37</v>
      </c>
      <c r="R628" s="20">
        <v>0.63719999999999999</v>
      </c>
      <c r="S628" s="32">
        <v>23.5764</v>
      </c>
      <c r="T628" s="35">
        <v>1.01</v>
      </c>
      <c r="U628" s="35">
        <v>0.47</v>
      </c>
      <c r="V628" s="35">
        <v>2.7297297297297296E-2</v>
      </c>
      <c r="W628" s="9" t="s">
        <v>153</v>
      </c>
      <c r="X628" s="15">
        <v>627</v>
      </c>
      <c r="Y628" s="39">
        <v>0.48480672646848233</v>
      </c>
      <c r="Z628" s="39">
        <v>0.47993028445624669</v>
      </c>
      <c r="AA628" s="39">
        <v>0.48846917779501559</v>
      </c>
      <c r="AB628" s="39">
        <v>0.47759602854470928</v>
      </c>
      <c r="AC628" s="39">
        <v>0.47991213300749291</v>
      </c>
      <c r="AD628" s="39">
        <v>0.47384781353610073</v>
      </c>
      <c r="AE628" s="39">
        <v>0.48231000107451366</v>
      </c>
      <c r="AF628" s="40">
        <v>0.4758327702343933</v>
      </c>
    </row>
    <row r="629" spans="1:32">
      <c r="A629" s="15">
        <v>627</v>
      </c>
      <c r="B629" s="16">
        <v>1</v>
      </c>
      <c r="C629" s="20">
        <v>0.48</v>
      </c>
      <c r="D629" s="20">
        <v>0.69188708552531497</v>
      </c>
      <c r="E629" s="20">
        <v>0.52</v>
      </c>
      <c r="F629" s="8" t="s">
        <v>436</v>
      </c>
      <c r="G629" s="24">
        <v>0.85046942778840839</v>
      </c>
      <c r="H629" s="24">
        <v>0.85539342868694579</v>
      </c>
      <c r="I629" s="25">
        <v>0.87035309228030078</v>
      </c>
      <c r="L629" s="15">
        <v>627</v>
      </c>
      <c r="M629" s="16">
        <v>0</v>
      </c>
      <c r="N629" s="16">
        <v>2</v>
      </c>
      <c r="O629" s="16">
        <v>6</v>
      </c>
      <c r="P629" s="16">
        <v>109</v>
      </c>
      <c r="Q629" s="29">
        <v>49</v>
      </c>
      <c r="R629" s="20">
        <v>0.63719999999999999</v>
      </c>
      <c r="S629" s="32">
        <v>31.222799999999999</v>
      </c>
      <c r="T629" s="35">
        <v>2.1800000000000002</v>
      </c>
      <c r="U629" s="35">
        <v>1.4</v>
      </c>
      <c r="V629" s="35">
        <v>4.4489795918367353E-2</v>
      </c>
      <c r="W629" s="9" t="s">
        <v>154</v>
      </c>
      <c r="X629" s="15">
        <v>628</v>
      </c>
      <c r="Y629" s="39">
        <v>0.48324983161651325</v>
      </c>
      <c r="Z629" s="39">
        <v>0.48560310526022493</v>
      </c>
      <c r="AA629" s="39">
        <v>0.47353227241571244</v>
      </c>
      <c r="AB629" s="39">
        <v>0.47949945849379638</v>
      </c>
      <c r="AC629" s="39">
        <v>0.47965501449310777</v>
      </c>
      <c r="AD629" s="39">
        <v>0.47797336445311001</v>
      </c>
      <c r="AE629" s="39">
        <v>0.46684025366241799</v>
      </c>
      <c r="AF629" s="40">
        <v>0.47766265132550467</v>
      </c>
    </row>
    <row r="630" spans="1:32">
      <c r="A630" s="15">
        <v>628</v>
      </c>
      <c r="B630" s="16">
        <v>1</v>
      </c>
      <c r="C630" s="20">
        <v>0.92</v>
      </c>
      <c r="D630" s="20">
        <v>0.20258497911151899</v>
      </c>
      <c r="E630" s="20">
        <v>0.08</v>
      </c>
      <c r="F630" s="8" t="s">
        <v>434</v>
      </c>
      <c r="G630" s="24">
        <v>1.7972055641799944</v>
      </c>
      <c r="H630" s="24">
        <v>1.8076109256471211</v>
      </c>
      <c r="I630" s="25">
        <v>1.6578926537592125</v>
      </c>
      <c r="L630" s="15">
        <v>628</v>
      </c>
      <c r="M630" s="16">
        <v>0</v>
      </c>
      <c r="N630" s="16">
        <v>2</v>
      </c>
      <c r="O630" s="16">
        <v>6</v>
      </c>
      <c r="P630" s="16">
        <v>110</v>
      </c>
      <c r="Q630" s="29">
        <v>47</v>
      </c>
      <c r="R630" s="20">
        <v>0.63719999999999999</v>
      </c>
      <c r="S630" s="32">
        <v>29.948399999999999</v>
      </c>
      <c r="T630" s="35">
        <v>2.66</v>
      </c>
      <c r="U630" s="35">
        <v>1.86</v>
      </c>
      <c r="V630" s="35">
        <v>5.6595744680851066E-2</v>
      </c>
      <c r="W630" s="9" t="s">
        <v>154</v>
      </c>
      <c r="X630" s="15">
        <v>629</v>
      </c>
      <c r="Y630" s="39">
        <v>0.48721516228778422</v>
      </c>
      <c r="Z630" s="39">
        <v>0.48076624722507472</v>
      </c>
      <c r="AA630" s="39">
        <v>0.47856304406612155</v>
      </c>
      <c r="AB630" s="39">
        <v>0.48984847968593082</v>
      </c>
      <c r="AC630" s="39">
        <v>0.48110139528431534</v>
      </c>
      <c r="AD630" s="39">
        <v>0.47652499883589561</v>
      </c>
      <c r="AE630" s="39">
        <v>0.47251629514919397</v>
      </c>
      <c r="AF630" s="40">
        <v>0.48513466130354171</v>
      </c>
    </row>
    <row r="631" spans="1:32">
      <c r="A631" s="15">
        <v>629</v>
      </c>
      <c r="B631" s="16">
        <v>0</v>
      </c>
      <c r="C631" s="20">
        <v>0.14000000000000001</v>
      </c>
      <c r="D631" s="20">
        <v>0.92783883967990888</v>
      </c>
      <c r="E631" s="20">
        <v>0.46</v>
      </c>
      <c r="F631" s="8" t="s">
        <v>436</v>
      </c>
      <c r="G631" s="24">
        <v>0.86678104393220423</v>
      </c>
      <c r="H631" s="24">
        <v>0.8717994849245585</v>
      </c>
      <c r="I631" s="25">
        <v>0.88704606804988251</v>
      </c>
      <c r="L631" s="15">
        <v>629</v>
      </c>
      <c r="M631" s="16">
        <v>0</v>
      </c>
      <c r="N631" s="16">
        <v>2</v>
      </c>
      <c r="O631" s="16">
        <v>6</v>
      </c>
      <c r="P631" s="16">
        <v>111</v>
      </c>
      <c r="Q631" s="29">
        <v>37</v>
      </c>
      <c r="R631" s="20">
        <v>0.63719999999999999</v>
      </c>
      <c r="S631" s="32">
        <v>23.5764</v>
      </c>
      <c r="T631" s="35">
        <v>0.52</v>
      </c>
      <c r="U631" s="35">
        <v>7.0000000000000007E-2</v>
      </c>
      <c r="V631" s="35">
        <v>1.4054054054054054E-2</v>
      </c>
      <c r="W631" s="9" t="s">
        <v>152</v>
      </c>
      <c r="X631" s="15">
        <v>630</v>
      </c>
      <c r="Y631" s="39">
        <v>0.48857828325612707</v>
      </c>
      <c r="Z631" s="39">
        <v>0.47790279892760928</v>
      </c>
      <c r="AA631" s="39">
        <v>0.47801386481019281</v>
      </c>
      <c r="AB631" s="39">
        <v>0.49209781251053808</v>
      </c>
      <c r="AC631" s="39">
        <v>0.4829705863217858</v>
      </c>
      <c r="AD631" s="39">
        <v>0.46956978658972531</v>
      </c>
      <c r="AE631" s="39">
        <v>0.47050742210975532</v>
      </c>
      <c r="AF631" s="40">
        <v>0.48643488734563789</v>
      </c>
    </row>
    <row r="632" spans="1:32">
      <c r="A632" s="15">
        <v>630</v>
      </c>
      <c r="B632" s="16">
        <v>0</v>
      </c>
      <c r="C632" s="20">
        <v>0.22</v>
      </c>
      <c r="D632" s="20">
        <v>0.81819531595225814</v>
      </c>
      <c r="E632" s="20">
        <v>0.12</v>
      </c>
      <c r="F632" s="8" t="s">
        <v>436</v>
      </c>
      <c r="G632" s="24">
        <v>1.0082696882260391</v>
      </c>
      <c r="H632" s="24">
        <v>1.0141073123528741</v>
      </c>
      <c r="I632" s="25">
        <v>1.0318426651526351</v>
      </c>
      <c r="L632" s="15">
        <v>630</v>
      </c>
      <c r="M632" s="16">
        <v>0</v>
      </c>
      <c r="N632" s="16">
        <v>2</v>
      </c>
      <c r="O632" s="16">
        <v>6</v>
      </c>
      <c r="P632" s="16">
        <v>112</v>
      </c>
      <c r="Q632" s="29">
        <v>39</v>
      </c>
      <c r="R632" s="20">
        <v>0.63719999999999999</v>
      </c>
      <c r="S632" s="32">
        <v>24.8508</v>
      </c>
      <c r="T632" s="35">
        <v>2.3200000000000003</v>
      </c>
      <c r="U632" s="35">
        <v>1.79</v>
      </c>
      <c r="V632" s="35">
        <v>5.9487179487179492E-2</v>
      </c>
      <c r="W632" s="9" t="s">
        <v>154</v>
      </c>
      <c r="X632" s="15">
        <v>631</v>
      </c>
      <c r="Y632" s="39">
        <v>0.47405645321525314</v>
      </c>
      <c r="Z632" s="39">
        <v>0.48795113537741702</v>
      </c>
      <c r="AA632" s="39">
        <v>0.49204187920068049</v>
      </c>
      <c r="AB632" s="39">
        <v>0.49299086395378683</v>
      </c>
      <c r="AC632" s="39">
        <v>0.46839759871793663</v>
      </c>
      <c r="AD632" s="39">
        <v>0.48267811562790502</v>
      </c>
      <c r="AE632" s="39">
        <v>0.48625361515652832</v>
      </c>
      <c r="AF632" s="40">
        <v>0.48799427290583752</v>
      </c>
    </row>
    <row r="633" spans="1:32">
      <c r="A633" s="15">
        <v>631</v>
      </c>
      <c r="B633" s="16">
        <v>0</v>
      </c>
      <c r="C633" s="20">
        <v>0.38</v>
      </c>
      <c r="D633" s="20">
        <v>0.60769374342250215</v>
      </c>
      <c r="E633" s="20">
        <v>7.0000000000000007E-2</v>
      </c>
      <c r="F633" s="8" t="s">
        <v>436</v>
      </c>
      <c r="G633" s="24">
        <v>0.7513017505523516</v>
      </c>
      <c r="H633" s="24">
        <v>0.75565159591294573</v>
      </c>
      <c r="I633" s="25">
        <v>0.7688669109826346</v>
      </c>
      <c r="L633" s="15">
        <v>631</v>
      </c>
      <c r="M633" s="16">
        <v>0</v>
      </c>
      <c r="N633" s="16">
        <v>2</v>
      </c>
      <c r="O633" s="16">
        <v>6</v>
      </c>
      <c r="P633" s="16">
        <v>113</v>
      </c>
      <c r="Q633" s="29">
        <v>41</v>
      </c>
      <c r="R633" s="20">
        <v>0.63719999999999999</v>
      </c>
      <c r="S633" s="32">
        <v>26.1252</v>
      </c>
      <c r="T633" s="35">
        <v>1.78</v>
      </c>
      <c r="U633" s="35">
        <v>1.25</v>
      </c>
      <c r="V633" s="35">
        <v>4.3414634146341467E-2</v>
      </c>
      <c r="W633" s="9" t="s">
        <v>153</v>
      </c>
      <c r="X633" s="15">
        <v>632</v>
      </c>
      <c r="Y633" s="39">
        <v>0.49293899111950956</v>
      </c>
      <c r="Z633" s="39">
        <v>0.49700194267259012</v>
      </c>
      <c r="AA633" s="39">
        <v>0.49618489373949126</v>
      </c>
      <c r="AB633" s="39">
        <v>0.48501359649287223</v>
      </c>
      <c r="AC633" s="39">
        <v>0.48438065387333645</v>
      </c>
      <c r="AD633" s="39">
        <v>0.4881038535785609</v>
      </c>
      <c r="AE633" s="39">
        <v>0.48696448406727966</v>
      </c>
      <c r="AF633" s="40">
        <v>0.48003052731730567</v>
      </c>
    </row>
    <row r="634" spans="1:32">
      <c r="A634" s="15">
        <v>632</v>
      </c>
      <c r="B634" s="16">
        <v>1</v>
      </c>
      <c r="C634" s="20">
        <v>0.02</v>
      </c>
      <c r="D634" s="20">
        <v>0.99917029198757767</v>
      </c>
      <c r="E634" s="20">
        <v>1</v>
      </c>
      <c r="F634" s="8" t="s">
        <v>436</v>
      </c>
      <c r="G634" s="24">
        <v>1.7150863675270132</v>
      </c>
      <c r="H634" s="24">
        <v>1.7250162798070268</v>
      </c>
      <c r="I634" s="25">
        <v>1.6578926537592125</v>
      </c>
      <c r="L634" s="15">
        <v>632</v>
      </c>
      <c r="M634" s="16">
        <v>0</v>
      </c>
      <c r="N634" s="16">
        <v>2</v>
      </c>
      <c r="O634" s="16">
        <v>6</v>
      </c>
      <c r="P634" s="16">
        <v>114</v>
      </c>
      <c r="Q634" s="29">
        <v>51</v>
      </c>
      <c r="R634" s="20">
        <v>0.63719999999999999</v>
      </c>
      <c r="S634" s="32">
        <v>32.497199999999999</v>
      </c>
      <c r="T634" s="35">
        <v>1.9500000000000002</v>
      </c>
      <c r="U634" s="35">
        <v>1.1499999999999999</v>
      </c>
      <c r="V634" s="35">
        <v>3.8235294117647062E-2</v>
      </c>
      <c r="W634" s="9" t="s">
        <v>153</v>
      </c>
      <c r="X634" s="15">
        <v>633</v>
      </c>
      <c r="Y634" s="39">
        <v>0.47373114993046644</v>
      </c>
      <c r="Z634" s="39">
        <v>0.47170254606066636</v>
      </c>
      <c r="AA634" s="39">
        <v>0.48935227980737717</v>
      </c>
      <c r="AB634" s="39">
        <v>0.49304165765628122</v>
      </c>
      <c r="AC634" s="39">
        <v>0.46787022498067515</v>
      </c>
      <c r="AD634" s="39">
        <v>0.46749660825471001</v>
      </c>
      <c r="AE634" s="39">
        <v>0.48227323716212933</v>
      </c>
      <c r="AF634" s="40">
        <v>0.48785939277438711</v>
      </c>
    </row>
    <row r="635" spans="1:32">
      <c r="A635" s="15">
        <v>633</v>
      </c>
      <c r="B635" s="16">
        <v>1</v>
      </c>
      <c r="C635" s="20">
        <v>0.02</v>
      </c>
      <c r="D635" s="20">
        <v>0.99917029198757767</v>
      </c>
      <c r="E635" s="20">
        <v>1</v>
      </c>
      <c r="F635" s="8" t="s">
        <v>436</v>
      </c>
      <c r="G635" s="24">
        <v>1.0897512994790202</v>
      </c>
      <c r="H635" s="24">
        <v>1.0960606813362503</v>
      </c>
      <c r="I635" s="25">
        <v>1.11522928670637</v>
      </c>
      <c r="L635" s="15">
        <v>633</v>
      </c>
      <c r="M635" s="16">
        <v>0</v>
      </c>
      <c r="N635" s="16">
        <v>2</v>
      </c>
      <c r="O635" s="16">
        <v>6</v>
      </c>
      <c r="P635" s="16">
        <v>115</v>
      </c>
      <c r="Q635" s="29">
        <v>45</v>
      </c>
      <c r="R635" s="20">
        <v>0.63719999999999999</v>
      </c>
      <c r="S635" s="32">
        <v>28.673999999999999</v>
      </c>
      <c r="T635" s="35">
        <v>3.96</v>
      </c>
      <c r="U635" s="35">
        <v>3.37</v>
      </c>
      <c r="V635" s="35">
        <v>8.7999999999999995E-2</v>
      </c>
      <c r="W635" s="9" t="s">
        <v>155</v>
      </c>
      <c r="X635" s="15">
        <v>634</v>
      </c>
      <c r="Y635" s="39">
        <v>0.4877385452164959</v>
      </c>
      <c r="Z635" s="39">
        <v>0.49103730950250196</v>
      </c>
      <c r="AA635" s="39">
        <v>0.49472319438189605</v>
      </c>
      <c r="AB635" s="39">
        <v>0.48719975453500852</v>
      </c>
      <c r="AC635" s="39">
        <v>0.48130229655880025</v>
      </c>
      <c r="AD635" s="39">
        <v>0.48502334023807131</v>
      </c>
      <c r="AE635" s="39">
        <v>0.48696073367099074</v>
      </c>
      <c r="AF635" s="40">
        <v>0.48283042165043794</v>
      </c>
    </row>
    <row r="636" spans="1:32">
      <c r="A636" s="15">
        <v>634</v>
      </c>
      <c r="B636" s="16">
        <v>1</v>
      </c>
      <c r="C636" s="20">
        <v>0.02</v>
      </c>
      <c r="D636" s="20">
        <v>0.99835916395484214</v>
      </c>
      <c r="E636" s="20">
        <v>1</v>
      </c>
      <c r="F636" s="8" t="s">
        <v>436</v>
      </c>
      <c r="G636" s="24">
        <v>0.95304029230660314</v>
      </c>
      <c r="H636" s="24">
        <v>0.95855815232875974</v>
      </c>
      <c r="I636" s="25">
        <v>0.97532202613536356</v>
      </c>
      <c r="L636" s="15">
        <v>634</v>
      </c>
      <c r="M636" s="16">
        <v>0</v>
      </c>
      <c r="N636" s="16">
        <v>2</v>
      </c>
      <c r="O636" s="16">
        <v>6</v>
      </c>
      <c r="P636" s="16">
        <v>116</v>
      </c>
      <c r="Q636" s="29">
        <v>37</v>
      </c>
      <c r="R636" s="20">
        <v>0.63719999999999999</v>
      </c>
      <c r="S636" s="32">
        <v>23.5764</v>
      </c>
      <c r="T636" s="35">
        <v>2.2799999999999998</v>
      </c>
      <c r="U636" s="35">
        <v>1.82</v>
      </c>
      <c r="V636" s="35">
        <v>6.1621621621621617E-2</v>
      </c>
      <c r="W636" s="9" t="s">
        <v>154</v>
      </c>
      <c r="X636" s="15">
        <v>635</v>
      </c>
      <c r="Y636" s="39">
        <v>0.50240336291075627</v>
      </c>
      <c r="Z636" s="39">
        <v>0.48473337589386106</v>
      </c>
      <c r="AA636" s="39">
        <v>0.48750051701571889</v>
      </c>
      <c r="AB636" s="39">
        <v>0.50942113252399968</v>
      </c>
      <c r="AC636" s="39">
        <v>0.49440524860549051</v>
      </c>
      <c r="AD636" s="39">
        <v>0.47959096676499741</v>
      </c>
      <c r="AE636" s="39">
        <v>0.48055031984593805</v>
      </c>
      <c r="AF636" s="40">
        <v>0.50654958870498323</v>
      </c>
    </row>
    <row r="637" spans="1:32">
      <c r="A637" s="15">
        <v>635</v>
      </c>
      <c r="B637" s="16">
        <v>0</v>
      </c>
      <c r="C637" s="20">
        <v>0.02</v>
      </c>
      <c r="D637" s="20">
        <v>0.99756714174924133</v>
      </c>
      <c r="E637" s="20">
        <v>1</v>
      </c>
      <c r="F637" s="8" t="s">
        <v>436</v>
      </c>
      <c r="G637" s="24">
        <v>1.0605878047098427</v>
      </c>
      <c r="H637" s="24">
        <v>1.0667283373765482</v>
      </c>
      <c r="I637" s="25">
        <v>1.0853839600847421</v>
      </c>
      <c r="L637" s="15">
        <v>635</v>
      </c>
      <c r="M637" s="16">
        <v>0</v>
      </c>
      <c r="N637" s="16">
        <v>2</v>
      </c>
      <c r="O637" s="16">
        <v>6</v>
      </c>
      <c r="P637" s="16">
        <v>117</v>
      </c>
      <c r="Q637" s="29">
        <v>35</v>
      </c>
      <c r="R637" s="20">
        <v>0.63719999999999999</v>
      </c>
      <c r="S637" s="32">
        <v>22.302</v>
      </c>
      <c r="T637" s="35">
        <v>0.61</v>
      </c>
      <c r="U637" s="35">
        <v>0.16</v>
      </c>
      <c r="V637" s="35">
        <v>1.7428571428571429E-2</v>
      </c>
      <c r="W637" s="9" t="s">
        <v>152</v>
      </c>
      <c r="X637" s="15">
        <v>636</v>
      </c>
      <c r="Y637" s="39">
        <v>0.46704397223868888</v>
      </c>
      <c r="Z637" s="39">
        <v>0.47693205049955889</v>
      </c>
      <c r="AA637" s="39">
        <v>0.48950796426969473</v>
      </c>
      <c r="AB637" s="39">
        <v>0.49071410679938571</v>
      </c>
      <c r="AC637" s="39">
        <v>0.46119856734753334</v>
      </c>
      <c r="AD637" s="39">
        <v>0.46921139316301913</v>
      </c>
      <c r="AE637" s="39">
        <v>0.48141868461977827</v>
      </c>
      <c r="AF637" s="40">
        <v>0.48585262154699038</v>
      </c>
    </row>
    <row r="638" spans="1:32">
      <c r="A638" s="15">
        <v>636</v>
      </c>
      <c r="B638" s="16">
        <v>1</v>
      </c>
      <c r="C638" s="20">
        <v>0.02</v>
      </c>
      <c r="D638" s="20">
        <v>0.99531127541355291</v>
      </c>
      <c r="E638" s="20">
        <v>1</v>
      </c>
      <c r="F638" s="8" t="s">
        <v>436</v>
      </c>
      <c r="G638" s="24">
        <v>1.1089886659853319</v>
      </c>
      <c r="H638" s="24">
        <v>1.115409427284159</v>
      </c>
      <c r="I638" s="25">
        <v>1.1349164158129832</v>
      </c>
      <c r="L638" s="15">
        <v>636</v>
      </c>
      <c r="M638" s="16">
        <v>0</v>
      </c>
      <c r="N638" s="16">
        <v>2</v>
      </c>
      <c r="O638" s="16">
        <v>6</v>
      </c>
      <c r="P638" s="16">
        <v>118</v>
      </c>
      <c r="Q638" s="29">
        <v>60</v>
      </c>
      <c r="R638" s="20">
        <v>0.63719999999999999</v>
      </c>
      <c r="S638" s="32">
        <v>38.231999999999999</v>
      </c>
      <c r="T638" s="35">
        <v>3.68</v>
      </c>
      <c r="U638" s="35">
        <v>2.81</v>
      </c>
      <c r="V638" s="35">
        <v>6.1333333333333337E-2</v>
      </c>
      <c r="W638" s="9" t="s">
        <v>155</v>
      </c>
      <c r="X638" s="15">
        <v>637</v>
      </c>
      <c r="Y638" s="39">
        <v>0.49978085258219329</v>
      </c>
      <c r="Z638" s="39">
        <v>0.5021510849717975</v>
      </c>
      <c r="AA638" s="39">
        <v>0.49264684714910151</v>
      </c>
      <c r="AB638" s="39">
        <v>0.50070215531738615</v>
      </c>
      <c r="AC638" s="39">
        <v>0.49331331621984514</v>
      </c>
      <c r="AD638" s="39">
        <v>0.49319024747385115</v>
      </c>
      <c r="AE638" s="39">
        <v>0.48423935729588652</v>
      </c>
      <c r="AF638" s="40">
        <v>0.49851003042043779</v>
      </c>
    </row>
    <row r="639" spans="1:32">
      <c r="A639" s="15">
        <v>637</v>
      </c>
      <c r="B639" s="16">
        <v>0</v>
      </c>
      <c r="C639" s="20">
        <v>0.9</v>
      </c>
      <c r="D639" s="20">
        <v>0.231595386583653</v>
      </c>
      <c r="E639" s="20">
        <v>0.1</v>
      </c>
      <c r="F639" s="8" t="s">
        <v>434</v>
      </c>
      <c r="G639" s="24">
        <v>0.68706418298449035</v>
      </c>
      <c r="H639" s="24">
        <v>0.69104210922596154</v>
      </c>
      <c r="I639" s="25">
        <v>0.70312749255504747</v>
      </c>
      <c r="L639" s="15">
        <v>637</v>
      </c>
      <c r="M639" s="16">
        <v>0</v>
      </c>
      <c r="N639" s="16">
        <v>2</v>
      </c>
      <c r="O639" s="16">
        <v>6</v>
      </c>
      <c r="P639" s="16">
        <v>119</v>
      </c>
      <c r="Q639" s="29">
        <v>47</v>
      </c>
      <c r="R639" s="20">
        <v>0.63719999999999999</v>
      </c>
      <c r="S639" s="32">
        <v>29.948399999999999</v>
      </c>
      <c r="T639" s="35">
        <v>1.28</v>
      </c>
      <c r="U639" s="35">
        <v>0.49</v>
      </c>
      <c r="V639" s="35">
        <v>2.7234042553191489E-2</v>
      </c>
      <c r="W639" s="9" t="s">
        <v>153</v>
      </c>
      <c r="X639" s="15">
        <v>638</v>
      </c>
      <c r="Y639" s="39">
        <v>0.49087448605745226</v>
      </c>
      <c r="Z639" s="39">
        <v>0.48343302153399237</v>
      </c>
      <c r="AA639" s="39">
        <v>0.49027666958405386</v>
      </c>
      <c r="AB639" s="39">
        <v>0.48761613257457875</v>
      </c>
      <c r="AC639" s="39">
        <v>0.48538138488726046</v>
      </c>
      <c r="AD639" s="39">
        <v>0.47354343384639985</v>
      </c>
      <c r="AE639" s="39">
        <v>0.4836705779589146</v>
      </c>
      <c r="AF639" s="40">
        <v>0.48366517066088005</v>
      </c>
    </row>
    <row r="640" spans="1:32">
      <c r="A640" s="15">
        <v>638</v>
      </c>
      <c r="B640" s="16">
        <v>0</v>
      </c>
      <c r="C640" s="20">
        <v>0.3</v>
      </c>
      <c r="D640" s="20">
        <v>0.70498368949815526</v>
      </c>
      <c r="E640" s="20">
        <v>0.06</v>
      </c>
      <c r="F640" s="8" t="s">
        <v>436</v>
      </c>
      <c r="G640" s="24">
        <v>0.74453810693761246</v>
      </c>
      <c r="H640" s="24">
        <v>0.74884879252814529</v>
      </c>
      <c r="I640" s="25">
        <v>0.76194513585136592</v>
      </c>
      <c r="L640" s="15">
        <v>638</v>
      </c>
      <c r="M640" s="16">
        <v>0</v>
      </c>
      <c r="N640" s="16">
        <v>2</v>
      </c>
      <c r="O640" s="16">
        <v>6</v>
      </c>
      <c r="P640" s="16">
        <v>120</v>
      </c>
      <c r="Q640" s="29">
        <v>31</v>
      </c>
      <c r="R640" s="20">
        <v>0.63719999999999999</v>
      </c>
      <c r="S640" s="32">
        <v>19.7532</v>
      </c>
      <c r="T640" s="35">
        <v>1.53</v>
      </c>
      <c r="U640" s="35">
        <v>1.04</v>
      </c>
      <c r="V640" s="35">
        <v>4.9354838709677419E-2</v>
      </c>
      <c r="W640" s="9" t="s">
        <v>153</v>
      </c>
      <c r="X640" s="15">
        <v>639</v>
      </c>
      <c r="Y640" s="39">
        <v>0.48541846516523957</v>
      </c>
      <c r="Z640" s="39">
        <v>0.48934501899273108</v>
      </c>
      <c r="AA640" s="39">
        <v>0.4884880174407652</v>
      </c>
      <c r="AB640" s="39">
        <v>0.49856301141421738</v>
      </c>
      <c r="AC640" s="39">
        <v>0.47814035643256347</v>
      </c>
      <c r="AD640" s="39">
        <v>0.48320403109392784</v>
      </c>
      <c r="AE640" s="39">
        <v>0.48071185286199652</v>
      </c>
      <c r="AF640" s="40">
        <v>0.49525900092972974</v>
      </c>
    </row>
    <row r="641" spans="1:32">
      <c r="A641" s="15">
        <v>639</v>
      </c>
      <c r="B641" s="16">
        <v>0</v>
      </c>
      <c r="C641" s="20">
        <v>0.03</v>
      </c>
      <c r="D641" s="20">
        <v>0.99642335770206691</v>
      </c>
      <c r="E641" s="20">
        <v>1</v>
      </c>
      <c r="F641" s="8" t="s">
        <v>436</v>
      </c>
      <c r="G641" s="24">
        <v>0.90111318334423907</v>
      </c>
      <c r="H641" s="24">
        <v>0.90633039866026677</v>
      </c>
      <c r="I641" s="25">
        <v>0.92218088033768786</v>
      </c>
      <c r="L641" s="15">
        <v>639</v>
      </c>
      <c r="M641" s="16">
        <v>0</v>
      </c>
      <c r="N641" s="16">
        <v>2</v>
      </c>
      <c r="O641" s="16">
        <v>6</v>
      </c>
      <c r="P641" s="16">
        <v>121</v>
      </c>
      <c r="Q641" s="29">
        <v>47</v>
      </c>
      <c r="R641" s="20">
        <v>0.63719999999999999</v>
      </c>
      <c r="S641" s="32">
        <v>29.948399999999999</v>
      </c>
      <c r="T641" s="35">
        <v>2.65</v>
      </c>
      <c r="U641" s="35">
        <v>1.99</v>
      </c>
      <c r="V641" s="35">
        <v>5.6382978723404253E-2</v>
      </c>
      <c r="W641" s="9" t="s">
        <v>154</v>
      </c>
      <c r="X641" s="15">
        <v>640</v>
      </c>
      <c r="Y641" s="39">
        <v>0.49969956553003309</v>
      </c>
      <c r="Z641" s="39">
        <v>0.48361445857826524</v>
      </c>
      <c r="AA641" s="39">
        <v>0.48784811427967134</v>
      </c>
      <c r="AB641" s="39">
        <v>0.50045198191754847</v>
      </c>
      <c r="AC641" s="39">
        <v>0.49124705865706741</v>
      </c>
      <c r="AD641" s="39">
        <v>0.47660326695790256</v>
      </c>
      <c r="AE641" s="39">
        <v>0.4806411439504682</v>
      </c>
      <c r="AF641" s="40">
        <v>0.49412499913956415</v>
      </c>
    </row>
    <row r="642" spans="1:32">
      <c r="A642" s="15">
        <v>640</v>
      </c>
      <c r="B642" s="16">
        <v>1</v>
      </c>
      <c r="C642" s="20">
        <v>0.5</v>
      </c>
      <c r="D642" s="20">
        <v>0.46961182037055549</v>
      </c>
      <c r="E642" s="20">
        <v>7.0000000000000007E-2</v>
      </c>
      <c r="F642" s="8" t="s">
        <v>438</v>
      </c>
      <c r="G642" s="24">
        <v>1.2528486557529019</v>
      </c>
      <c r="H642" s="24">
        <v>1.2601023296711999</v>
      </c>
      <c r="I642" s="25">
        <v>1.2821397995802457</v>
      </c>
      <c r="L642" s="15">
        <v>640</v>
      </c>
      <c r="M642" s="16">
        <v>0</v>
      </c>
      <c r="N642" s="16">
        <v>2</v>
      </c>
      <c r="O642" s="16">
        <v>6</v>
      </c>
      <c r="P642" s="16">
        <v>122</v>
      </c>
      <c r="Q642" s="29">
        <v>44</v>
      </c>
      <c r="R642" s="20">
        <v>0.63719999999999999</v>
      </c>
      <c r="S642" s="32">
        <v>28.036799999999999</v>
      </c>
      <c r="T642" s="35">
        <v>0.8</v>
      </c>
      <c r="U642" s="35">
        <v>0.17</v>
      </c>
      <c r="V642" s="35">
        <v>1.8181818181818184E-2</v>
      </c>
      <c r="W642" s="9" t="s">
        <v>152</v>
      </c>
      <c r="X642" s="15">
        <v>641</v>
      </c>
      <c r="Y642" s="39">
        <v>0.49823933761100087</v>
      </c>
      <c r="Z642" s="39">
        <v>0.4852194623331752</v>
      </c>
      <c r="AA642" s="39">
        <v>0.484089539765029</v>
      </c>
      <c r="AB642" s="39">
        <v>0.4805836437086769</v>
      </c>
      <c r="AC642" s="39">
        <v>0.49148714524790338</v>
      </c>
      <c r="AD642" s="39">
        <v>0.47800975960047026</v>
      </c>
      <c r="AE642" s="39">
        <v>0.47633098773023569</v>
      </c>
      <c r="AF642" s="40">
        <v>0.47383155279994887</v>
      </c>
    </row>
    <row r="643" spans="1:32">
      <c r="A643" s="15">
        <v>641</v>
      </c>
      <c r="B643" s="16">
        <v>1</v>
      </c>
      <c r="C643" s="20">
        <v>0.49</v>
      </c>
      <c r="D643" s="20">
        <v>0.47019991112713599</v>
      </c>
      <c r="E643" s="20">
        <v>7.0000000000000007E-2</v>
      </c>
      <c r="F643" s="8" t="s">
        <v>436</v>
      </c>
      <c r="G643" s="24">
        <v>0.76590943814498558</v>
      </c>
      <c r="H643" s="24">
        <v>0.7703438582880251</v>
      </c>
      <c r="I643" s="25">
        <v>0.78381612097408027</v>
      </c>
      <c r="L643" s="15">
        <v>641</v>
      </c>
      <c r="M643" s="16">
        <v>0</v>
      </c>
      <c r="N643" s="16">
        <v>2</v>
      </c>
      <c r="O643" s="16">
        <v>6</v>
      </c>
      <c r="P643" s="16">
        <v>123</v>
      </c>
      <c r="Q643" s="29">
        <v>44</v>
      </c>
      <c r="R643" s="20">
        <v>0.63719999999999999</v>
      </c>
      <c r="S643" s="32">
        <v>28.036799999999999</v>
      </c>
      <c r="T643" s="35">
        <v>1.83</v>
      </c>
      <c r="U643" s="35">
        <v>1.26</v>
      </c>
      <c r="V643" s="35">
        <v>4.1590909090909095E-2</v>
      </c>
      <c r="W643" s="9" t="s">
        <v>153</v>
      </c>
      <c r="X643" s="15">
        <v>642</v>
      </c>
      <c r="Y643" s="39">
        <v>0.48688259895514602</v>
      </c>
      <c r="Z643" s="39">
        <v>0.48224631062836049</v>
      </c>
      <c r="AA643" s="39">
        <v>0.49756253735838896</v>
      </c>
      <c r="AB643" s="39">
        <v>0.47439743737299955</v>
      </c>
      <c r="AC643" s="39">
        <v>0.48038770593933156</v>
      </c>
      <c r="AD643" s="39">
        <v>0.47135086022800443</v>
      </c>
      <c r="AE643" s="39">
        <v>0.49108730209931062</v>
      </c>
      <c r="AF643" s="40">
        <v>0.46883324744300653</v>
      </c>
    </row>
    <row r="644" spans="1:32">
      <c r="A644" s="15">
        <v>642</v>
      </c>
      <c r="B644" s="16">
        <v>0</v>
      </c>
      <c r="C644" s="20">
        <v>0.93</v>
      </c>
      <c r="D644" s="20">
        <v>0.18747949848141848</v>
      </c>
      <c r="E644" s="20">
        <v>7.0000000000000007E-2</v>
      </c>
      <c r="F644" s="8" t="s">
        <v>434</v>
      </c>
      <c r="G644" s="24">
        <v>0.5374669156532681</v>
      </c>
      <c r="H644" s="24">
        <v>0.54057871190265572</v>
      </c>
      <c r="I644" s="25">
        <v>0.55003269577088165</v>
      </c>
      <c r="L644" s="15">
        <v>642</v>
      </c>
      <c r="M644" s="16">
        <v>0</v>
      </c>
      <c r="N644" s="16">
        <v>2</v>
      </c>
      <c r="O644" s="16">
        <v>6</v>
      </c>
      <c r="P644" s="16">
        <v>124</v>
      </c>
      <c r="Q644" s="29">
        <v>40</v>
      </c>
      <c r="R644" s="20">
        <v>0.63719999999999999</v>
      </c>
      <c r="S644" s="32">
        <v>25.488</v>
      </c>
      <c r="T644" s="35">
        <v>2.25</v>
      </c>
      <c r="U644" s="35">
        <v>1.61</v>
      </c>
      <c r="V644" s="35">
        <v>5.6250000000000001E-2</v>
      </c>
      <c r="W644" s="9" t="s">
        <v>154</v>
      </c>
      <c r="X644" s="15">
        <v>643</v>
      </c>
      <c r="Y644" s="39">
        <v>0.48687214177040455</v>
      </c>
      <c r="Z644" s="39">
        <v>0.48140056133613524</v>
      </c>
      <c r="AA644" s="39">
        <v>0.4778187926007183</v>
      </c>
      <c r="AB644" s="39">
        <v>0.48219143673153797</v>
      </c>
      <c r="AC644" s="39">
        <v>0.47928206211321139</v>
      </c>
      <c r="AD644" s="39">
        <v>0.47425899547209582</v>
      </c>
      <c r="AE644" s="39">
        <v>0.47088601126628521</v>
      </c>
      <c r="AF644" s="40">
        <v>0.47467893398238004</v>
      </c>
    </row>
    <row r="645" spans="1:32">
      <c r="A645" s="15">
        <v>643</v>
      </c>
      <c r="B645" s="16">
        <v>1</v>
      </c>
      <c r="C645" s="20">
        <v>0.02</v>
      </c>
      <c r="D645" s="20">
        <v>0.99917029198757767</v>
      </c>
      <c r="E645" s="20">
        <v>1</v>
      </c>
      <c r="F645" s="8" t="s">
        <v>436</v>
      </c>
      <c r="G645" s="24">
        <v>1.043263982008986</v>
      </c>
      <c r="H645" s="24">
        <v>1.0493042141642823</v>
      </c>
      <c r="I645" s="25">
        <v>1.0676551127386178</v>
      </c>
      <c r="L645" s="15">
        <v>643</v>
      </c>
      <c r="M645" s="16">
        <v>0</v>
      </c>
      <c r="N645" s="16">
        <v>2</v>
      </c>
      <c r="O645" s="16">
        <v>6</v>
      </c>
      <c r="P645" s="16">
        <v>125</v>
      </c>
      <c r="Q645" s="29">
        <v>42</v>
      </c>
      <c r="R645" s="20">
        <v>0.63719999999999999</v>
      </c>
      <c r="S645" s="32">
        <v>26.7624</v>
      </c>
      <c r="T645" s="35">
        <v>2.08</v>
      </c>
      <c r="U645" s="35">
        <v>1.5</v>
      </c>
      <c r="V645" s="35">
        <v>4.9523809523809526E-2</v>
      </c>
      <c r="W645" s="9" t="s">
        <v>154</v>
      </c>
      <c r="X645" s="15">
        <v>644</v>
      </c>
      <c r="Y645" s="39">
        <v>0.49333525831077762</v>
      </c>
      <c r="Z645" s="39">
        <v>0.50177607589541839</v>
      </c>
      <c r="AA645" s="39">
        <v>0.49445522180737822</v>
      </c>
      <c r="AB645" s="39">
        <v>0.49108261214473398</v>
      </c>
      <c r="AC645" s="39">
        <v>0.48941082614837689</v>
      </c>
      <c r="AD645" s="39">
        <v>0.49386489633646158</v>
      </c>
      <c r="AE645" s="39">
        <v>0.48678680362854487</v>
      </c>
      <c r="AF645" s="40">
        <v>0.48600565692609715</v>
      </c>
    </row>
    <row r="646" spans="1:32">
      <c r="A646" s="15">
        <v>644</v>
      </c>
      <c r="B646" s="16">
        <v>0</v>
      </c>
      <c r="C646" s="20">
        <v>0.02</v>
      </c>
      <c r="D646" s="20">
        <v>0.99604261948721451</v>
      </c>
      <c r="E646" s="20">
        <v>1</v>
      </c>
      <c r="F646" s="8" t="s">
        <v>436</v>
      </c>
      <c r="G646" s="24">
        <v>1.0468820890962589</v>
      </c>
      <c r="H646" s="24">
        <v>1.0529432691680429</v>
      </c>
      <c r="I646" s="25">
        <v>1.0713578098476699</v>
      </c>
      <c r="L646" s="15">
        <v>644</v>
      </c>
      <c r="M646" s="16">
        <v>0</v>
      </c>
      <c r="N646" s="16">
        <v>2</v>
      </c>
      <c r="O646" s="16">
        <v>6</v>
      </c>
      <c r="P646" s="16">
        <v>126</v>
      </c>
      <c r="Q646" s="29">
        <v>48</v>
      </c>
      <c r="R646" s="20">
        <v>0.63719999999999999</v>
      </c>
      <c r="S646" s="32">
        <v>30.585599999999999</v>
      </c>
      <c r="T646" s="35">
        <v>1.6500000000000001</v>
      </c>
      <c r="U646" s="35">
        <v>1.08</v>
      </c>
      <c r="V646" s="35">
        <v>3.4375000000000003E-2</v>
      </c>
      <c r="W646" s="9" t="s">
        <v>153</v>
      </c>
      <c r="X646" s="15">
        <v>645</v>
      </c>
      <c r="Y646" s="39">
        <v>0.47424141657743418</v>
      </c>
      <c r="Z646" s="39">
        <v>0.49634478274133914</v>
      </c>
      <c r="AA646" s="39">
        <v>0.48051870342095371</v>
      </c>
      <c r="AB646" s="39">
        <v>0.47953444575762644</v>
      </c>
      <c r="AC646" s="39">
        <v>0.46788510559214702</v>
      </c>
      <c r="AD646" s="39">
        <v>0.48977233278270527</v>
      </c>
      <c r="AE646" s="39">
        <v>0.47218997355015002</v>
      </c>
      <c r="AF646" s="40">
        <v>0.47666515243037599</v>
      </c>
    </row>
    <row r="647" spans="1:32">
      <c r="A647" s="15">
        <v>645</v>
      </c>
      <c r="B647" s="16">
        <v>0</v>
      </c>
      <c r="C647" s="20">
        <v>0.25</v>
      </c>
      <c r="D647" s="20">
        <v>0.85153721212288813</v>
      </c>
      <c r="E647" s="20">
        <v>7.0000000000000007E-2</v>
      </c>
      <c r="F647" s="8" t="s">
        <v>436</v>
      </c>
      <c r="G647" s="24">
        <v>0.95579510699917847</v>
      </c>
      <c r="H647" s="24">
        <v>0.96132891669521914</v>
      </c>
      <c r="I647" s="25">
        <v>0.97814124738894481</v>
      </c>
      <c r="L647" s="15">
        <v>645</v>
      </c>
      <c r="M647" s="16">
        <v>0</v>
      </c>
      <c r="N647" s="16">
        <v>2</v>
      </c>
      <c r="O647" s="16">
        <v>6</v>
      </c>
      <c r="P647" s="16">
        <v>127</v>
      </c>
      <c r="Q647" s="29">
        <v>41</v>
      </c>
      <c r="R647" s="20">
        <v>0.63719999999999999</v>
      </c>
      <c r="S647" s="32">
        <v>26.1252</v>
      </c>
      <c r="T647" s="35">
        <v>3.5700000000000003</v>
      </c>
      <c r="U647" s="35">
        <v>2.99</v>
      </c>
      <c r="V647" s="35">
        <v>8.7073170731707325E-2</v>
      </c>
      <c r="W647" s="9" t="s">
        <v>155</v>
      </c>
      <c r="X647" s="15">
        <v>646</v>
      </c>
      <c r="Y647" s="39">
        <v>0.48840464345943768</v>
      </c>
      <c r="Z647" s="39">
        <v>0.4986881526505233</v>
      </c>
      <c r="AA647" s="39">
        <v>0.49235202345195472</v>
      </c>
      <c r="AB647" s="39">
        <v>0.49458093837358347</v>
      </c>
      <c r="AC647" s="39">
        <v>0.48244021364923995</v>
      </c>
      <c r="AD647" s="39">
        <v>0.49119244907160053</v>
      </c>
      <c r="AE647" s="39">
        <v>0.48599589759733841</v>
      </c>
      <c r="AF647" s="40">
        <v>0.49053452339964099</v>
      </c>
    </row>
    <row r="648" spans="1:32">
      <c r="A648" s="15">
        <v>646</v>
      </c>
      <c r="B648" s="16">
        <v>1</v>
      </c>
      <c r="C648" s="20">
        <v>0.22</v>
      </c>
      <c r="D648" s="20">
        <v>0.83029758626264616</v>
      </c>
      <c r="E648" s="20">
        <v>0.05</v>
      </c>
      <c r="F648" s="8" t="s">
        <v>436</v>
      </c>
      <c r="G648" s="24">
        <v>0.50469846684132535</v>
      </c>
      <c r="H648" s="24">
        <v>0.50762054213647101</v>
      </c>
      <c r="I648" s="25">
        <v>0.51649813259808441</v>
      </c>
      <c r="L648" s="15">
        <v>646</v>
      </c>
      <c r="M648" s="16">
        <v>0</v>
      </c>
      <c r="N648" s="16">
        <v>2</v>
      </c>
      <c r="O648" s="16">
        <v>6</v>
      </c>
      <c r="P648" s="16">
        <v>128</v>
      </c>
      <c r="Q648" s="29">
        <v>33</v>
      </c>
      <c r="R648" s="20">
        <v>0.63719999999999999</v>
      </c>
      <c r="S648" s="32">
        <v>21.0276</v>
      </c>
      <c r="T648" s="35">
        <v>0.97</v>
      </c>
      <c r="U648" s="35">
        <v>0.54</v>
      </c>
      <c r="V648" s="35">
        <v>2.9393939393939392E-2</v>
      </c>
      <c r="W648" s="9" t="s">
        <v>152</v>
      </c>
      <c r="X648" s="15">
        <v>647</v>
      </c>
      <c r="Y648" s="39">
        <v>0.4758896310084984</v>
      </c>
      <c r="Z648" s="39">
        <v>0.50117846577490488</v>
      </c>
      <c r="AA648" s="39">
        <v>0.48837828595746985</v>
      </c>
      <c r="AB648" s="39">
        <v>0.49034265033223307</v>
      </c>
      <c r="AC648" s="39">
        <v>0.47123711238959071</v>
      </c>
      <c r="AD648" s="39">
        <v>0.4928458625575185</v>
      </c>
      <c r="AE648" s="39">
        <v>0.48115060739089338</v>
      </c>
      <c r="AF648" s="40">
        <v>0.48361907812217736</v>
      </c>
    </row>
    <row r="649" spans="1:32">
      <c r="A649" s="15">
        <v>647</v>
      </c>
      <c r="B649" s="16">
        <v>1</v>
      </c>
      <c r="C649" s="20">
        <v>0.31</v>
      </c>
      <c r="D649" s="20">
        <v>0.60205641077639105</v>
      </c>
      <c r="E649" s="20">
        <v>0.12</v>
      </c>
      <c r="F649" s="8" t="s">
        <v>436</v>
      </c>
      <c r="G649" s="24">
        <v>0.93160918787794356</v>
      </c>
      <c r="H649" s="24">
        <v>0.93700296727589971</v>
      </c>
      <c r="I649" s="25">
        <v>0.95338987031528799</v>
      </c>
      <c r="L649" s="15">
        <v>647</v>
      </c>
      <c r="M649" s="16">
        <v>0</v>
      </c>
      <c r="N649" s="16">
        <v>2</v>
      </c>
      <c r="O649" s="16">
        <v>6</v>
      </c>
      <c r="P649" s="16">
        <v>129</v>
      </c>
      <c r="Q649" s="29">
        <v>43</v>
      </c>
      <c r="R649" s="20">
        <v>0.63719999999999999</v>
      </c>
      <c r="S649" s="32">
        <v>27.3996</v>
      </c>
      <c r="T649" s="35">
        <v>3.39</v>
      </c>
      <c r="U649" s="35">
        <v>2.84</v>
      </c>
      <c r="V649" s="35">
        <v>7.8837209302325587E-2</v>
      </c>
      <c r="W649" s="9" t="s">
        <v>155</v>
      </c>
      <c r="X649" s="15">
        <v>648</v>
      </c>
      <c r="Y649" s="39">
        <v>0.50038541036995277</v>
      </c>
      <c r="Z649" s="39">
        <v>0.47656366197345001</v>
      </c>
      <c r="AA649" s="39">
        <v>0.49132954395084866</v>
      </c>
      <c r="AB649" s="39">
        <v>0.48447516082547104</v>
      </c>
      <c r="AC649" s="39">
        <v>0.49161654979995756</v>
      </c>
      <c r="AD649" s="39">
        <v>0.47111817285705115</v>
      </c>
      <c r="AE649" s="39">
        <v>0.4854745231974496</v>
      </c>
      <c r="AF649" s="40">
        <v>0.47901138324801007</v>
      </c>
    </row>
    <row r="650" spans="1:32">
      <c r="A650" s="15">
        <v>648</v>
      </c>
      <c r="B650" s="16">
        <v>1</v>
      </c>
      <c r="C650" s="20">
        <v>0.01</v>
      </c>
      <c r="D650" s="20">
        <v>0.99999999999999978</v>
      </c>
      <c r="E650" s="20">
        <v>1</v>
      </c>
      <c r="F650" s="8" t="s">
        <v>436</v>
      </c>
      <c r="G650" s="24">
        <v>1.0641292303896273</v>
      </c>
      <c r="H650" s="24">
        <v>1.0702902670070447</v>
      </c>
      <c r="I650" s="25">
        <v>1.0890081830030152</v>
      </c>
      <c r="L650" s="15">
        <v>648</v>
      </c>
      <c r="M650" s="16">
        <v>0</v>
      </c>
      <c r="N650" s="16">
        <v>2</v>
      </c>
      <c r="O650" s="16">
        <v>6</v>
      </c>
      <c r="P650" s="16">
        <v>130</v>
      </c>
      <c r="Q650" s="29">
        <v>43</v>
      </c>
      <c r="R650" s="20">
        <v>0.63719999999999999</v>
      </c>
      <c r="S650" s="32">
        <v>27.3996</v>
      </c>
      <c r="T650" s="35">
        <v>1.9100000000000001</v>
      </c>
      <c r="U650" s="35">
        <v>1.22</v>
      </c>
      <c r="V650" s="35">
        <v>4.4418604651162791E-2</v>
      </c>
      <c r="W650" s="9" t="s">
        <v>153</v>
      </c>
      <c r="X650" s="15">
        <v>649</v>
      </c>
      <c r="Y650" s="39">
        <v>0.48823863840383847</v>
      </c>
      <c r="Z650" s="39">
        <v>0.48225575648497376</v>
      </c>
      <c r="AA650" s="39">
        <v>0.48839809526446903</v>
      </c>
      <c r="AB650" s="39">
        <v>0.48624576702327865</v>
      </c>
      <c r="AC650" s="39">
        <v>0.48162730000711246</v>
      </c>
      <c r="AD650" s="39">
        <v>0.47347896133539791</v>
      </c>
      <c r="AE650" s="39">
        <v>0.47977016933080124</v>
      </c>
      <c r="AF650" s="40">
        <v>0.48045630977353837</v>
      </c>
    </row>
    <row r="651" spans="1:32">
      <c r="A651" s="15">
        <v>649</v>
      </c>
      <c r="B651" s="16">
        <v>0</v>
      </c>
      <c r="C651" s="20">
        <v>0.02</v>
      </c>
      <c r="D651" s="20">
        <v>0.99756714174924133</v>
      </c>
      <c r="E651" s="20">
        <v>1</v>
      </c>
      <c r="F651" s="8" t="s">
        <v>436</v>
      </c>
      <c r="G651" s="24">
        <v>1.0683287946366546</v>
      </c>
      <c r="H651" s="24">
        <v>1.0745141456590939</v>
      </c>
      <c r="I651" s="25">
        <v>1.093305931527774</v>
      </c>
      <c r="L651" s="15">
        <v>649</v>
      </c>
      <c r="M651" s="16">
        <v>0</v>
      </c>
      <c r="N651" s="16">
        <v>2</v>
      </c>
      <c r="O651" s="16">
        <v>6</v>
      </c>
      <c r="P651" s="16">
        <v>131</v>
      </c>
      <c r="Q651" s="29">
        <v>40</v>
      </c>
      <c r="R651" s="20">
        <v>0.63719999999999999</v>
      </c>
      <c r="S651" s="32">
        <v>25.488</v>
      </c>
      <c r="T651" s="35">
        <v>1.6700000000000002</v>
      </c>
      <c r="U651" s="35">
        <v>0.96</v>
      </c>
      <c r="V651" s="35">
        <v>4.1750000000000002E-2</v>
      </c>
      <c r="W651" s="9" t="s">
        <v>153</v>
      </c>
      <c r="X651" s="15">
        <v>650</v>
      </c>
      <c r="Y651" s="39">
        <v>0.48658510980048075</v>
      </c>
      <c r="Z651" s="39">
        <v>0.46931130017297007</v>
      </c>
      <c r="AA651" s="39">
        <v>0.50445980209490504</v>
      </c>
      <c r="AB651" s="39">
        <v>0.48818707297571862</v>
      </c>
      <c r="AC651" s="39">
        <v>0.4790837262251737</v>
      </c>
      <c r="AD651" s="39">
        <v>0.46431784092671774</v>
      </c>
      <c r="AE651" s="39">
        <v>0.49943312160190745</v>
      </c>
      <c r="AF651" s="40">
        <v>0.48555954167900894</v>
      </c>
    </row>
    <row r="652" spans="1:32">
      <c r="A652" s="15">
        <v>650</v>
      </c>
      <c r="B652" s="16">
        <v>1</v>
      </c>
      <c r="C652" s="20">
        <v>0.02</v>
      </c>
      <c r="D652" s="20">
        <v>0.99756714174924133</v>
      </c>
      <c r="E652" s="20">
        <v>1</v>
      </c>
      <c r="F652" s="8" t="s">
        <v>436</v>
      </c>
      <c r="G652" s="24">
        <v>1.0047611838275849</v>
      </c>
      <c r="H652" s="24">
        <v>1.0105784946095233</v>
      </c>
      <c r="I652" s="25">
        <v>1.0282521332032217</v>
      </c>
      <c r="L652" s="15">
        <v>650</v>
      </c>
      <c r="M652" s="16">
        <v>0</v>
      </c>
      <c r="N652" s="16">
        <v>2</v>
      </c>
      <c r="O652" s="16">
        <v>6</v>
      </c>
      <c r="P652" s="16">
        <v>132</v>
      </c>
      <c r="Q652" s="29">
        <v>41</v>
      </c>
      <c r="R652" s="20">
        <v>0.63719999999999999</v>
      </c>
      <c r="S652" s="32">
        <v>26.1252</v>
      </c>
      <c r="T652" s="35">
        <v>2.42</v>
      </c>
      <c r="U652" s="35">
        <v>1.86</v>
      </c>
      <c r="V652" s="35">
        <v>5.9024390243902436E-2</v>
      </c>
      <c r="W652" s="9" t="s">
        <v>154</v>
      </c>
      <c r="X652" s="15">
        <v>651</v>
      </c>
      <c r="Y652" s="39">
        <v>0.48704618108551512</v>
      </c>
      <c r="Z652" s="39">
        <v>0.48696405862314179</v>
      </c>
      <c r="AA652" s="39">
        <v>0.50134598299125632</v>
      </c>
      <c r="AB652" s="39">
        <v>0.49345247830550504</v>
      </c>
      <c r="AC652" s="39">
        <v>0.48060568521395131</v>
      </c>
      <c r="AD652" s="39">
        <v>0.47989833934017534</v>
      </c>
      <c r="AE652" s="39">
        <v>0.49199722318314776</v>
      </c>
      <c r="AF652" s="40">
        <v>0.49048866658382428</v>
      </c>
    </row>
    <row r="653" spans="1:32">
      <c r="A653" s="15">
        <v>651</v>
      </c>
      <c r="B653" s="16">
        <v>0</v>
      </c>
      <c r="C653" s="20">
        <v>0.14000000000000001</v>
      </c>
      <c r="D653" s="20">
        <v>0.85719293651341844</v>
      </c>
      <c r="E653" s="20">
        <v>0.11</v>
      </c>
      <c r="F653" s="8" t="s">
        <v>436</v>
      </c>
      <c r="G653" s="24">
        <v>1.1898249458128496</v>
      </c>
      <c r="H653" s="24">
        <v>1.196713728537844</v>
      </c>
      <c r="I653" s="25">
        <v>1.2176426183283073</v>
      </c>
      <c r="L653" s="15">
        <v>651</v>
      </c>
      <c r="M653" s="16">
        <v>0</v>
      </c>
      <c r="N653" s="16">
        <v>2</v>
      </c>
      <c r="O653" s="16">
        <v>6</v>
      </c>
      <c r="P653" s="16">
        <v>133</v>
      </c>
      <c r="Q653" s="29">
        <v>44</v>
      </c>
      <c r="R653" s="20">
        <v>0.63719999999999999</v>
      </c>
      <c r="S653" s="32">
        <v>28.036799999999999</v>
      </c>
      <c r="T653" s="35">
        <v>2.92</v>
      </c>
      <c r="U653" s="35">
        <v>2.27</v>
      </c>
      <c r="V653" s="35">
        <v>6.6363636363636361E-2</v>
      </c>
      <c r="W653" s="9" t="s">
        <v>154</v>
      </c>
      <c r="X653" s="15">
        <v>652</v>
      </c>
      <c r="Y653" s="39">
        <v>0.48906893763411652</v>
      </c>
      <c r="Z653" s="39">
        <v>0.48085440302633509</v>
      </c>
      <c r="AA653" s="39">
        <v>0.48876798512698683</v>
      </c>
      <c r="AB653" s="39">
        <v>0.49066353907156957</v>
      </c>
      <c r="AC653" s="39">
        <v>0.48377176605493483</v>
      </c>
      <c r="AD653" s="39">
        <v>0.472838775008254</v>
      </c>
      <c r="AE653" s="39">
        <v>0.48312519516129443</v>
      </c>
      <c r="AF653" s="40">
        <v>0.4861152223366349</v>
      </c>
    </row>
    <row r="654" spans="1:32">
      <c r="A654" s="15">
        <v>652</v>
      </c>
      <c r="B654" s="16">
        <v>1</v>
      </c>
      <c r="C654" s="20">
        <v>0.46</v>
      </c>
      <c r="D654" s="20">
        <v>0.48796384783284408</v>
      </c>
      <c r="E654" s="20">
        <v>0.13</v>
      </c>
      <c r="F654" s="8" t="s">
        <v>436</v>
      </c>
      <c r="G654" s="24">
        <v>1.0556363266367301</v>
      </c>
      <c r="H654" s="24">
        <v>1.0617481915092923</v>
      </c>
      <c r="I654" s="25">
        <v>1.0803167182633655</v>
      </c>
      <c r="L654" s="15">
        <v>652</v>
      </c>
      <c r="M654" s="16">
        <v>0</v>
      </c>
      <c r="N654" s="16">
        <v>2</v>
      </c>
      <c r="O654" s="16">
        <v>6</v>
      </c>
      <c r="P654" s="16">
        <v>134</v>
      </c>
      <c r="Q654" s="29">
        <v>47</v>
      </c>
      <c r="R654" s="20">
        <v>0.63719999999999999</v>
      </c>
      <c r="S654" s="32">
        <v>29.948399999999999</v>
      </c>
      <c r="T654" s="35">
        <v>4.21</v>
      </c>
      <c r="U654" s="35">
        <v>3.46</v>
      </c>
      <c r="V654" s="35">
        <v>8.9574468085106385E-2</v>
      </c>
      <c r="W654" s="9" t="s">
        <v>155</v>
      </c>
      <c r="X654" s="15">
        <v>653</v>
      </c>
      <c r="Y654" s="39">
        <v>0.49369407332368942</v>
      </c>
      <c r="Z654" s="39">
        <v>0.49048040950274913</v>
      </c>
      <c r="AA654" s="39">
        <v>0.47975544833416095</v>
      </c>
      <c r="AB654" s="39">
        <v>0.47316663401894121</v>
      </c>
      <c r="AC654" s="39">
        <v>0.48638156470432248</v>
      </c>
      <c r="AD654" s="39">
        <v>0.48204482411238048</v>
      </c>
      <c r="AE654" s="39">
        <v>0.47124553236721584</v>
      </c>
      <c r="AF654" s="40">
        <v>0.46836069280911607</v>
      </c>
    </row>
    <row r="655" spans="1:32">
      <c r="A655" s="15">
        <v>653</v>
      </c>
      <c r="B655" s="16">
        <v>0</v>
      </c>
      <c r="C655" s="20">
        <v>0.56000000000000005</v>
      </c>
      <c r="D655" s="20">
        <v>0.46584165943796801</v>
      </c>
      <c r="E655" s="20">
        <v>0.06</v>
      </c>
      <c r="F655" s="8" t="s">
        <v>438</v>
      </c>
      <c r="G655" s="24">
        <v>0.61730298195895705</v>
      </c>
      <c r="H655" s="24">
        <v>0.62087700865353213</v>
      </c>
      <c r="I655" s="25">
        <v>0.63173530013767742</v>
      </c>
      <c r="L655" s="15">
        <v>653</v>
      </c>
      <c r="M655" s="16">
        <v>0</v>
      </c>
      <c r="N655" s="16">
        <v>2</v>
      </c>
      <c r="O655" s="16">
        <v>6</v>
      </c>
      <c r="P655" s="16">
        <v>135</v>
      </c>
      <c r="Q655" s="29">
        <v>43</v>
      </c>
      <c r="R655" s="20">
        <v>0.63719999999999999</v>
      </c>
      <c r="S655" s="32">
        <v>27.3996</v>
      </c>
      <c r="T655" s="35">
        <v>1.03</v>
      </c>
      <c r="U655" s="35">
        <v>0.4</v>
      </c>
      <c r="V655" s="35">
        <v>2.3953488372093025E-2</v>
      </c>
      <c r="W655" s="9" t="s">
        <v>153</v>
      </c>
      <c r="X655" s="15">
        <v>654</v>
      </c>
      <c r="Y655" s="39">
        <v>0.47106815829678256</v>
      </c>
      <c r="Z655" s="39">
        <v>0.49293320235248517</v>
      </c>
      <c r="AA655" s="39">
        <v>0.49382332959027758</v>
      </c>
      <c r="AB655" s="39">
        <v>0.48208169646642335</v>
      </c>
      <c r="AC655" s="39">
        <v>0.46347929386810971</v>
      </c>
      <c r="AD655" s="39">
        <v>0.48519039590953289</v>
      </c>
      <c r="AE655" s="39">
        <v>0.48597891594251308</v>
      </c>
      <c r="AF655" s="40">
        <v>0.47746899639304546</v>
      </c>
    </row>
    <row r="656" spans="1:32">
      <c r="A656" s="15">
        <v>654</v>
      </c>
      <c r="B656" s="16">
        <v>1</v>
      </c>
      <c r="C656" s="20">
        <v>0.02</v>
      </c>
      <c r="D656" s="20">
        <v>0.99679477127711513</v>
      </c>
      <c r="E656" s="20">
        <v>1</v>
      </c>
      <c r="F656" s="8" t="s">
        <v>436</v>
      </c>
      <c r="G656" s="24">
        <v>1.0832802162112101</v>
      </c>
      <c r="H656" s="24">
        <v>1.0895521321481094</v>
      </c>
      <c r="I656" s="25">
        <v>1.1086069118760509</v>
      </c>
      <c r="L656" s="15">
        <v>654</v>
      </c>
      <c r="M656" s="16">
        <v>0</v>
      </c>
      <c r="N656" s="16">
        <v>2</v>
      </c>
      <c r="O656" s="16">
        <v>6</v>
      </c>
      <c r="P656" s="16">
        <v>136</v>
      </c>
      <c r="Q656" s="29">
        <v>46</v>
      </c>
      <c r="R656" s="20">
        <v>0.63719999999999999</v>
      </c>
      <c r="S656" s="32">
        <v>29.311199999999999</v>
      </c>
      <c r="T656" s="35">
        <v>1.36</v>
      </c>
      <c r="U656" s="35">
        <v>0.6</v>
      </c>
      <c r="V656" s="35">
        <v>2.9565217391304351E-2</v>
      </c>
      <c r="W656" s="9" t="s">
        <v>153</v>
      </c>
      <c r="X656" s="15">
        <v>655</v>
      </c>
      <c r="Y656" s="39">
        <v>0.48502861585269696</v>
      </c>
      <c r="Z656" s="39">
        <v>0.49050355114861366</v>
      </c>
      <c r="AA656" s="39">
        <v>0.49076771858340013</v>
      </c>
      <c r="AB656" s="39">
        <v>0.48781635987441907</v>
      </c>
      <c r="AC656" s="39">
        <v>0.47700392637818578</v>
      </c>
      <c r="AD656" s="39">
        <v>0.48308381251789018</v>
      </c>
      <c r="AE656" s="39">
        <v>0.48313372292398626</v>
      </c>
      <c r="AF656" s="40">
        <v>0.48441080927733904</v>
      </c>
    </row>
    <row r="657" spans="1:32">
      <c r="A657" s="15">
        <v>655</v>
      </c>
      <c r="B657" s="16">
        <v>1</v>
      </c>
      <c r="C657" s="20">
        <v>0.02</v>
      </c>
      <c r="D657" s="20">
        <v>0.99756714174924133</v>
      </c>
      <c r="E657" s="20">
        <v>1</v>
      </c>
      <c r="F657" s="8" t="s">
        <v>436</v>
      </c>
      <c r="G657" s="24">
        <v>1.0820103702743786</v>
      </c>
      <c r="H657" s="24">
        <v>1.0882749341274409</v>
      </c>
      <c r="I657" s="25">
        <v>1.1073073774051707</v>
      </c>
      <c r="L657" s="15">
        <v>655</v>
      </c>
      <c r="M657" s="16">
        <v>0</v>
      </c>
      <c r="N657" s="16">
        <v>2</v>
      </c>
      <c r="O657" s="16">
        <v>6</v>
      </c>
      <c r="P657" s="16">
        <v>137</v>
      </c>
      <c r="Q657" s="29">
        <v>37</v>
      </c>
      <c r="R657" s="20">
        <v>0.63719999999999999</v>
      </c>
      <c r="S657" s="32">
        <v>23.5764</v>
      </c>
      <c r="T657" s="35">
        <v>1.17</v>
      </c>
      <c r="U657" s="35">
        <v>0.53</v>
      </c>
      <c r="V657" s="35">
        <v>3.1621621621621618E-2</v>
      </c>
      <c r="W657" s="9" t="s">
        <v>153</v>
      </c>
      <c r="X657" s="15">
        <v>656</v>
      </c>
      <c r="Y657" s="39">
        <v>0.48337194037843545</v>
      </c>
      <c r="Z657" s="39">
        <v>0.49778472811333335</v>
      </c>
      <c r="AA657" s="39">
        <v>0.47461493956643558</v>
      </c>
      <c r="AB657" s="39">
        <v>0.48446997908378597</v>
      </c>
      <c r="AC657" s="39">
        <v>0.47484743438788407</v>
      </c>
      <c r="AD657" s="39">
        <v>0.49031812147901277</v>
      </c>
      <c r="AE657" s="39">
        <v>0.4671418566718965</v>
      </c>
      <c r="AF657" s="40">
        <v>0.47861925316068038</v>
      </c>
    </row>
    <row r="658" spans="1:32">
      <c r="A658" s="15">
        <v>656</v>
      </c>
      <c r="B658" s="16">
        <v>1</v>
      </c>
      <c r="C658" s="20">
        <v>0.82</v>
      </c>
      <c r="D658" s="20">
        <v>0.33679095075427212</v>
      </c>
      <c r="E658" s="20">
        <v>0.18</v>
      </c>
      <c r="F658" s="8" t="s">
        <v>434</v>
      </c>
      <c r="G658" s="24">
        <v>0.76596719378617606</v>
      </c>
      <c r="H658" s="24">
        <v>0.77040194831963549</v>
      </c>
      <c r="I658" s="25">
        <v>0.78387522692106004</v>
      </c>
      <c r="L658" s="15">
        <v>656</v>
      </c>
      <c r="M658" s="16">
        <v>0</v>
      </c>
      <c r="N658" s="16">
        <v>2</v>
      </c>
      <c r="O658" s="16">
        <v>6</v>
      </c>
      <c r="P658" s="16">
        <v>138</v>
      </c>
      <c r="Q658" s="29">
        <v>48</v>
      </c>
      <c r="R658" s="20">
        <v>0.63719999999999999</v>
      </c>
      <c r="S658" s="32">
        <v>30.585599999999999</v>
      </c>
      <c r="T658" s="35">
        <v>4.17</v>
      </c>
      <c r="U658" s="35">
        <v>3.46</v>
      </c>
      <c r="V658" s="35">
        <v>8.6874999999999994E-2</v>
      </c>
      <c r="W658" s="9" t="s">
        <v>155</v>
      </c>
      <c r="X658" s="15">
        <v>657</v>
      </c>
      <c r="Y658" s="39">
        <v>0.47487042179493577</v>
      </c>
      <c r="Z658" s="39">
        <v>0.48901028729650409</v>
      </c>
      <c r="AA658" s="39">
        <v>0.48850308376727408</v>
      </c>
      <c r="AB658" s="39">
        <v>0.47807881754814013</v>
      </c>
      <c r="AC658" s="39">
        <v>0.46978951283169462</v>
      </c>
      <c r="AD658" s="39">
        <v>0.48290442834731911</v>
      </c>
      <c r="AE658" s="39">
        <v>0.47871039779713154</v>
      </c>
      <c r="AF658" s="40">
        <v>0.47408833989031679</v>
      </c>
    </row>
    <row r="659" spans="1:32">
      <c r="A659" s="15">
        <v>657</v>
      </c>
      <c r="B659" s="16">
        <v>1</v>
      </c>
      <c r="C659" s="20">
        <v>0.93</v>
      </c>
      <c r="D659" s="20">
        <v>0.18747949848141848</v>
      </c>
      <c r="E659" s="20">
        <v>7.0000000000000007E-2</v>
      </c>
      <c r="F659" s="8" t="s">
        <v>434</v>
      </c>
      <c r="G659" s="24">
        <v>0.70874799766123331</v>
      </c>
      <c r="H659" s="24">
        <v>0.71285146765473528</v>
      </c>
      <c r="I659" s="25">
        <v>0.72531826689647572</v>
      </c>
      <c r="L659" s="15">
        <v>657</v>
      </c>
      <c r="M659" s="16">
        <v>0</v>
      </c>
      <c r="N659" s="16">
        <v>2</v>
      </c>
      <c r="O659" s="16">
        <v>6</v>
      </c>
      <c r="P659" s="16">
        <v>139</v>
      </c>
      <c r="Q659" s="29">
        <v>57</v>
      </c>
      <c r="R659" s="20">
        <v>0.63719999999999999</v>
      </c>
      <c r="S659" s="32">
        <v>36.320399999999999</v>
      </c>
      <c r="T659" s="35">
        <v>2.6</v>
      </c>
      <c r="U659" s="35">
        <v>1.84</v>
      </c>
      <c r="V659" s="35">
        <v>4.5614035087719301E-2</v>
      </c>
      <c r="W659" s="9" t="s">
        <v>154</v>
      </c>
      <c r="X659" s="15">
        <v>658</v>
      </c>
      <c r="Y659" s="39">
        <v>0.49860230927501897</v>
      </c>
      <c r="Z659" s="39">
        <v>0.47443498550966834</v>
      </c>
      <c r="AA659" s="39">
        <v>0.48617781660990678</v>
      </c>
      <c r="AB659" s="39">
        <v>0.49852114052097624</v>
      </c>
      <c r="AC659" s="39">
        <v>0.48897181497320491</v>
      </c>
      <c r="AD659" s="39">
        <v>0.46993133546732818</v>
      </c>
      <c r="AE659" s="39">
        <v>0.48111805346684633</v>
      </c>
      <c r="AF659" s="40">
        <v>0.4935739376922762</v>
      </c>
    </row>
    <row r="660" spans="1:32">
      <c r="A660" s="15">
        <v>658</v>
      </c>
      <c r="B660" s="16">
        <v>0</v>
      </c>
      <c r="C660" s="20">
        <v>0.92</v>
      </c>
      <c r="D660" s="20">
        <v>0.20258497911151899</v>
      </c>
      <c r="E660" s="20">
        <v>0.08</v>
      </c>
      <c r="F660" s="8" t="s">
        <v>434</v>
      </c>
      <c r="G660" s="24">
        <v>0.81371278872853259</v>
      </c>
      <c r="H660" s="24">
        <v>0.81842397806930633</v>
      </c>
      <c r="I660" s="25">
        <v>0.83273709642870963</v>
      </c>
      <c r="L660" s="15">
        <v>658</v>
      </c>
      <c r="M660" s="16">
        <v>0</v>
      </c>
      <c r="N660" s="16">
        <v>2</v>
      </c>
      <c r="O660" s="16">
        <v>6</v>
      </c>
      <c r="P660" s="16">
        <v>140</v>
      </c>
      <c r="Q660" s="29">
        <v>47</v>
      </c>
      <c r="R660" s="20">
        <v>0.63719999999999999</v>
      </c>
      <c r="S660" s="32">
        <v>29.948399999999999</v>
      </c>
      <c r="T660" s="35">
        <v>1.26</v>
      </c>
      <c r="U660" s="35">
        <v>0.65</v>
      </c>
      <c r="V660" s="35">
        <v>2.6808510638297874E-2</v>
      </c>
      <c r="W660" s="9" t="s">
        <v>153</v>
      </c>
      <c r="X660" s="15">
        <v>659</v>
      </c>
      <c r="Y660" s="39">
        <v>0.49271001550189963</v>
      </c>
      <c r="Z660" s="39">
        <v>0.48586868016225215</v>
      </c>
      <c r="AA660" s="39">
        <v>0.49150939251889825</v>
      </c>
      <c r="AB660" s="39">
        <v>0.49812832951525243</v>
      </c>
      <c r="AC660" s="39">
        <v>0.48768636883638561</v>
      </c>
      <c r="AD660" s="39">
        <v>0.47892835954666824</v>
      </c>
      <c r="AE660" s="39">
        <v>0.48185466255003889</v>
      </c>
      <c r="AF660" s="40">
        <v>0.4931851714680755</v>
      </c>
    </row>
    <row r="661" spans="1:32">
      <c r="A661" s="15">
        <v>659</v>
      </c>
      <c r="B661" s="16">
        <v>0</v>
      </c>
      <c r="C661" s="20">
        <v>0.42</v>
      </c>
      <c r="D661" s="20">
        <v>0.58849751401025763</v>
      </c>
      <c r="E661" s="20">
        <v>0.11</v>
      </c>
      <c r="F661" s="8" t="s">
        <v>436</v>
      </c>
      <c r="G661" s="24">
        <v>1.6207212627969596</v>
      </c>
      <c r="H661" s="24">
        <v>1.6301048252079489</v>
      </c>
      <c r="I661" s="25">
        <v>1.6578926537592125</v>
      </c>
      <c r="L661" s="15">
        <v>659</v>
      </c>
      <c r="M661" s="16">
        <v>0</v>
      </c>
      <c r="N661" s="16">
        <v>2</v>
      </c>
      <c r="O661" s="16">
        <v>6</v>
      </c>
      <c r="P661" s="16">
        <v>141</v>
      </c>
      <c r="Q661" s="29">
        <v>39</v>
      </c>
      <c r="R661" s="20">
        <v>0.63719999999999999</v>
      </c>
      <c r="S661" s="32">
        <v>24.8508</v>
      </c>
      <c r="T661" s="35">
        <v>0.6</v>
      </c>
      <c r="U661" s="35">
        <v>0.09</v>
      </c>
      <c r="V661" s="35">
        <v>1.5384615384615384E-2</v>
      </c>
      <c r="W661" s="9" t="s">
        <v>152</v>
      </c>
      <c r="X661" s="15">
        <v>660</v>
      </c>
      <c r="Y661" s="39">
        <v>0.47329926523733612</v>
      </c>
      <c r="Z661" s="39">
        <v>0.48193760190829871</v>
      </c>
      <c r="AA661" s="39">
        <v>0.48073941058072389</v>
      </c>
      <c r="AB661" s="39">
        <v>0.48482052056869046</v>
      </c>
      <c r="AC661" s="39">
        <v>0.46652301441132188</v>
      </c>
      <c r="AD661" s="39">
        <v>0.47497500143824328</v>
      </c>
      <c r="AE661" s="39">
        <v>0.47636071279865516</v>
      </c>
      <c r="AF661" s="40">
        <v>0.48104136730950331</v>
      </c>
    </row>
    <row r="662" spans="1:32">
      <c r="A662" s="15">
        <v>660</v>
      </c>
      <c r="B662" s="16">
        <v>0</v>
      </c>
      <c r="C662" s="20">
        <v>0.02</v>
      </c>
      <c r="D662" s="20">
        <v>0.99604261948721451</v>
      </c>
      <c r="E662" s="20">
        <v>1</v>
      </c>
      <c r="F662" s="8" t="s">
        <v>436</v>
      </c>
      <c r="G662" s="24">
        <v>0.99148180288954502</v>
      </c>
      <c r="H662" s="24">
        <v>0.99722222944550842</v>
      </c>
      <c r="I662" s="25">
        <v>1.0146622851906408</v>
      </c>
      <c r="L662" s="15">
        <v>660</v>
      </c>
      <c r="M662" s="16">
        <v>0</v>
      </c>
      <c r="N662" s="16">
        <v>2</v>
      </c>
      <c r="O662" s="16">
        <v>6</v>
      </c>
      <c r="P662" s="16">
        <v>142</v>
      </c>
      <c r="Q662" s="29">
        <v>46</v>
      </c>
      <c r="R662" s="20">
        <v>0.63719999999999999</v>
      </c>
      <c r="S662" s="32">
        <v>29.311199999999999</v>
      </c>
      <c r="T662" s="35">
        <v>2.67</v>
      </c>
      <c r="U662" s="35">
        <v>1.91</v>
      </c>
      <c r="V662" s="35">
        <v>5.8043478260869565E-2</v>
      </c>
      <c r="W662" s="9" t="s">
        <v>154</v>
      </c>
      <c r="X662" s="15">
        <v>661</v>
      </c>
      <c r="Y662" s="39">
        <v>0.47774932555554056</v>
      </c>
      <c r="Z662" s="39">
        <v>0.49207748027445197</v>
      </c>
      <c r="AA662" s="39">
        <v>0.48362567748553653</v>
      </c>
      <c r="AB662" s="39">
        <v>0.49918751682557061</v>
      </c>
      <c r="AC662" s="39">
        <v>0.46918950877772053</v>
      </c>
      <c r="AD662" s="39">
        <v>0.48334038889354086</v>
      </c>
      <c r="AE662" s="39">
        <v>0.47354760860188111</v>
      </c>
      <c r="AF662" s="40">
        <v>0.49657080022597661</v>
      </c>
    </row>
    <row r="663" spans="1:32">
      <c r="A663" s="15">
        <v>661</v>
      </c>
      <c r="B663" s="16">
        <v>1</v>
      </c>
      <c r="C663" s="20">
        <v>0.35</v>
      </c>
      <c r="D663" s="20">
        <v>0.59682534344442539</v>
      </c>
      <c r="E663" s="20">
        <v>0.12</v>
      </c>
      <c r="F663" s="8" t="s">
        <v>436</v>
      </c>
      <c r="G663" s="24">
        <v>1.2351706138264689</v>
      </c>
      <c r="H663" s="24">
        <v>1.2423219363944586</v>
      </c>
      <c r="I663" s="25">
        <v>1.2640484514924697</v>
      </c>
      <c r="L663" s="15">
        <v>661</v>
      </c>
      <c r="M663" s="16">
        <v>0</v>
      </c>
      <c r="N663" s="16">
        <v>2</v>
      </c>
      <c r="O663" s="16">
        <v>7</v>
      </c>
      <c r="P663" s="16">
        <v>188</v>
      </c>
      <c r="Q663" s="29">
        <v>53</v>
      </c>
      <c r="R663" s="20">
        <v>0.63719999999999999</v>
      </c>
      <c r="S663" s="32">
        <v>33.771599999999999</v>
      </c>
      <c r="T663" s="35">
        <v>1.28</v>
      </c>
      <c r="U663" s="35">
        <v>0.53</v>
      </c>
      <c r="V663" s="35">
        <v>2.4150943396226414E-2</v>
      </c>
      <c r="W663" s="9" t="s">
        <v>153</v>
      </c>
      <c r="X663" s="15">
        <v>662</v>
      </c>
      <c r="Y663" s="39">
        <v>0.4827770896196813</v>
      </c>
      <c r="Z663" s="39">
        <v>0.47766020174420198</v>
      </c>
      <c r="AA663" s="39">
        <v>0.48016727195715658</v>
      </c>
      <c r="AB663" s="39">
        <v>0.48614420347206461</v>
      </c>
      <c r="AC663" s="39">
        <v>0.47480878940183385</v>
      </c>
      <c r="AD663" s="39">
        <v>0.47209302402372677</v>
      </c>
      <c r="AE663" s="39">
        <v>0.47245497670799547</v>
      </c>
      <c r="AF663" s="40">
        <v>0.48153909232588954</v>
      </c>
    </row>
    <row r="664" spans="1:32">
      <c r="A664" s="15">
        <v>662</v>
      </c>
      <c r="B664" s="16">
        <v>1</v>
      </c>
      <c r="C664" s="20">
        <v>0.03</v>
      </c>
      <c r="D664" s="20">
        <v>0.99415958227269285</v>
      </c>
      <c r="E664" s="20">
        <v>1</v>
      </c>
      <c r="F664" s="8" t="s">
        <v>436</v>
      </c>
      <c r="G664" s="24">
        <v>1.1412568115585007</v>
      </c>
      <c r="H664" s="24">
        <v>1.1478643971835234</v>
      </c>
      <c r="I664" s="25">
        <v>1.167938978840076</v>
      </c>
      <c r="L664" s="15">
        <v>662</v>
      </c>
      <c r="M664" s="16">
        <v>0</v>
      </c>
      <c r="N664" s="16">
        <v>2</v>
      </c>
      <c r="O664" s="16">
        <v>7</v>
      </c>
      <c r="P664" s="16">
        <v>189</v>
      </c>
      <c r="Q664" s="29">
        <v>45</v>
      </c>
      <c r="R664" s="20">
        <v>0.63719999999999999</v>
      </c>
      <c r="S664" s="32">
        <v>28.673999999999999</v>
      </c>
      <c r="T664" s="35">
        <v>2.16</v>
      </c>
      <c r="U664" s="35">
        <v>1.54</v>
      </c>
      <c r="V664" s="35">
        <v>4.8000000000000001E-2</v>
      </c>
      <c r="W664" s="9" t="s">
        <v>154</v>
      </c>
      <c r="X664" s="15">
        <v>663</v>
      </c>
      <c r="Y664" s="39">
        <v>0.48989116874100602</v>
      </c>
      <c r="Z664" s="39">
        <v>0.48852677148040036</v>
      </c>
      <c r="AA664" s="39">
        <v>0.49646702436153328</v>
      </c>
      <c r="AB664" s="39">
        <v>0.48245333943875185</v>
      </c>
      <c r="AC664" s="39">
        <v>0.48399516290645905</v>
      </c>
      <c r="AD664" s="39">
        <v>0.47976760181130923</v>
      </c>
      <c r="AE664" s="39">
        <v>0.48966320456392165</v>
      </c>
      <c r="AF664" s="40">
        <v>0.47861471433943725</v>
      </c>
    </row>
    <row r="665" spans="1:32">
      <c r="A665" s="15">
        <v>663</v>
      </c>
      <c r="B665" s="16">
        <v>1</v>
      </c>
      <c r="C665" s="20">
        <v>0.9</v>
      </c>
      <c r="D665" s="20">
        <v>0.231595386583653</v>
      </c>
      <c r="E665" s="20">
        <v>0.1</v>
      </c>
      <c r="F665" s="8" t="s">
        <v>434</v>
      </c>
      <c r="G665" s="24">
        <v>0.39940459065193262</v>
      </c>
      <c r="H665" s="24">
        <v>0.40171704128095087</v>
      </c>
      <c r="I665" s="25">
        <v>0.40874252405383787</v>
      </c>
      <c r="L665" s="15">
        <v>663</v>
      </c>
      <c r="M665" s="16">
        <v>0</v>
      </c>
      <c r="N665" s="16">
        <v>2</v>
      </c>
      <c r="O665" s="16">
        <v>7</v>
      </c>
      <c r="P665" s="16">
        <v>190</v>
      </c>
      <c r="Q665" s="29">
        <v>49</v>
      </c>
      <c r="R665" s="20">
        <v>0.63719999999999999</v>
      </c>
      <c r="S665" s="32">
        <v>31.222799999999999</v>
      </c>
      <c r="T665" s="35">
        <v>1.3</v>
      </c>
      <c r="U665" s="35">
        <v>0.68</v>
      </c>
      <c r="V665" s="35">
        <v>2.6530612244897962E-2</v>
      </c>
      <c r="W665" s="9" t="s">
        <v>153</v>
      </c>
      <c r="X665" s="15">
        <v>664</v>
      </c>
      <c r="Y665" s="39">
        <v>0.49110388363998975</v>
      </c>
      <c r="Z665" s="39">
        <v>0.4815745736687545</v>
      </c>
      <c r="AA665" s="39">
        <v>0.47211197117859949</v>
      </c>
      <c r="AB665" s="39">
        <v>0.47817252955301764</v>
      </c>
      <c r="AC665" s="39">
        <v>0.47962089403538327</v>
      </c>
      <c r="AD665" s="39">
        <v>0.47462014274944647</v>
      </c>
      <c r="AE665" s="39">
        <v>0.46642875810940598</v>
      </c>
      <c r="AF665" s="40">
        <v>0.47579880044873113</v>
      </c>
    </row>
    <row r="666" spans="1:32">
      <c r="A666" s="15">
        <v>664</v>
      </c>
      <c r="B666" s="16">
        <v>1</v>
      </c>
      <c r="C666" s="20">
        <v>0.02</v>
      </c>
      <c r="D666" s="20">
        <v>0.99917029198757767</v>
      </c>
      <c r="E666" s="20">
        <v>1</v>
      </c>
      <c r="F666" s="8" t="s">
        <v>436</v>
      </c>
      <c r="G666" s="24">
        <v>0.98710868185593514</v>
      </c>
      <c r="H666" s="24">
        <v>0.99282378915738423</v>
      </c>
      <c r="I666" s="25">
        <v>1.0101869221850404</v>
      </c>
      <c r="L666" s="15">
        <v>664</v>
      </c>
      <c r="M666" s="16">
        <v>0</v>
      </c>
      <c r="N666" s="16">
        <v>2</v>
      </c>
      <c r="O666" s="16">
        <v>7</v>
      </c>
      <c r="P666" s="16">
        <v>191</v>
      </c>
      <c r="Q666" s="29">
        <v>43</v>
      </c>
      <c r="R666" s="20">
        <v>0.63719999999999999</v>
      </c>
      <c r="S666" s="32">
        <v>27.3996</v>
      </c>
      <c r="T666" s="35">
        <v>1.61</v>
      </c>
      <c r="U666" s="35">
        <v>1.02</v>
      </c>
      <c r="V666" s="35">
        <v>3.7441860465116279E-2</v>
      </c>
      <c r="W666" s="9" t="s">
        <v>153</v>
      </c>
      <c r="X666" s="15">
        <v>665</v>
      </c>
      <c r="Y666" s="39">
        <v>0.49480251478246579</v>
      </c>
      <c r="Z666" s="39">
        <v>0.48718823142083562</v>
      </c>
      <c r="AA666" s="39">
        <v>0.48159134696424455</v>
      </c>
      <c r="AB666" s="39">
        <v>0.49366149317643016</v>
      </c>
      <c r="AC666" s="39">
        <v>0.48847859896850526</v>
      </c>
      <c r="AD666" s="39">
        <v>0.47591945262631102</v>
      </c>
      <c r="AE666" s="39">
        <v>0.47541981174690356</v>
      </c>
      <c r="AF666" s="40">
        <v>0.488430125207585</v>
      </c>
    </row>
    <row r="667" spans="1:32">
      <c r="A667" s="15">
        <v>665</v>
      </c>
      <c r="B667" s="16">
        <v>0</v>
      </c>
      <c r="C667" s="20">
        <v>0.95</v>
      </c>
      <c r="D667" s="20">
        <v>0.15570568692893463</v>
      </c>
      <c r="E667" s="20">
        <v>0.05</v>
      </c>
      <c r="F667" s="8" t="s">
        <v>434</v>
      </c>
      <c r="G667" s="24">
        <v>1.1948085943690101</v>
      </c>
      <c r="H667" s="24">
        <v>1.2017262311470331</v>
      </c>
      <c r="I667" s="25">
        <v>1.2227427827668715</v>
      </c>
      <c r="L667" s="15">
        <v>665</v>
      </c>
      <c r="M667" s="16">
        <v>0</v>
      </c>
      <c r="N667" s="16">
        <v>2</v>
      </c>
      <c r="O667" s="16">
        <v>7</v>
      </c>
      <c r="P667" s="16">
        <v>192</v>
      </c>
      <c r="Q667" s="29">
        <v>55</v>
      </c>
      <c r="R667" s="20">
        <v>0.63719999999999999</v>
      </c>
      <c r="S667" s="32">
        <v>35.045999999999999</v>
      </c>
      <c r="T667" s="35">
        <v>1.07</v>
      </c>
      <c r="U667" s="35">
        <v>0.3</v>
      </c>
      <c r="V667" s="35">
        <v>1.9454545454545457E-2</v>
      </c>
      <c r="W667" s="9" t="s">
        <v>153</v>
      </c>
      <c r="X667" s="15">
        <v>666</v>
      </c>
      <c r="Y667" s="39">
        <v>0.48403198146637744</v>
      </c>
      <c r="Z667" s="39">
        <v>0.50113058194137117</v>
      </c>
      <c r="AA667" s="39">
        <v>0.47985527322555005</v>
      </c>
      <c r="AB667" s="39">
        <v>0.48368515209415119</v>
      </c>
      <c r="AC667" s="39">
        <v>0.47672614016051845</v>
      </c>
      <c r="AD667" s="39">
        <v>0.49338491139065754</v>
      </c>
      <c r="AE667" s="39">
        <v>0.4766797185189719</v>
      </c>
      <c r="AF667" s="40">
        <v>0.48012902522181772</v>
      </c>
    </row>
    <row r="668" spans="1:32">
      <c r="A668" s="15">
        <v>666</v>
      </c>
      <c r="B668" s="16">
        <v>0</v>
      </c>
      <c r="C668" s="20">
        <v>0.92</v>
      </c>
      <c r="D668" s="20">
        <v>0.20258497911151899</v>
      </c>
      <c r="E668" s="20">
        <v>0.08</v>
      </c>
      <c r="F668" s="8" t="s">
        <v>434</v>
      </c>
      <c r="G668" s="24">
        <v>0.9090979836136337</v>
      </c>
      <c r="H668" s="24">
        <v>0.91436142888504424</v>
      </c>
      <c r="I668" s="25">
        <v>0.93035236232003271</v>
      </c>
      <c r="L668" s="15">
        <v>666</v>
      </c>
      <c r="M668" s="16">
        <v>0</v>
      </c>
      <c r="N668" s="16">
        <v>2</v>
      </c>
      <c r="O668" s="16">
        <v>7</v>
      </c>
      <c r="P668" s="16">
        <v>193</v>
      </c>
      <c r="Q668" s="29">
        <v>45</v>
      </c>
      <c r="R668" s="20">
        <v>0.63719999999999999</v>
      </c>
      <c r="S668" s="32">
        <v>28.673999999999999</v>
      </c>
      <c r="T668" s="35">
        <v>0.67</v>
      </c>
      <c r="U668" s="35">
        <v>0.09</v>
      </c>
      <c r="V668" s="35">
        <v>1.4888888888888889E-2</v>
      </c>
      <c r="W668" s="9" t="s">
        <v>152</v>
      </c>
      <c r="X668" s="15">
        <v>667</v>
      </c>
      <c r="Y668" s="39">
        <v>0.48045173312896361</v>
      </c>
      <c r="Z668" s="39">
        <v>0.50102288727462274</v>
      </c>
      <c r="AA668" s="39">
        <v>0.49485584742571642</v>
      </c>
      <c r="AB668" s="39">
        <v>0.48616269726185124</v>
      </c>
      <c r="AC668" s="39">
        <v>0.47367633570299644</v>
      </c>
      <c r="AD668" s="39">
        <v>0.49326560217512933</v>
      </c>
      <c r="AE668" s="39">
        <v>0.48654290480856011</v>
      </c>
      <c r="AF668" s="40">
        <v>0.48157883648427019</v>
      </c>
    </row>
    <row r="669" spans="1:32">
      <c r="A669" s="15">
        <v>667</v>
      </c>
      <c r="B669" s="16">
        <v>0</v>
      </c>
      <c r="C669" s="20">
        <v>0.17</v>
      </c>
      <c r="D669" s="20">
        <v>0.821182701739681</v>
      </c>
      <c r="E669" s="20">
        <v>0.44</v>
      </c>
      <c r="F669" s="8" t="s">
        <v>436</v>
      </c>
      <c r="G669" s="24">
        <v>0.83677933307894758</v>
      </c>
      <c r="H669" s="24">
        <v>0.8416240718236111</v>
      </c>
      <c r="I669" s="25">
        <v>0.85634292815838264</v>
      </c>
      <c r="L669" s="15">
        <v>667</v>
      </c>
      <c r="M669" s="16">
        <v>0</v>
      </c>
      <c r="N669" s="16">
        <v>2</v>
      </c>
      <c r="O669" s="16">
        <v>7</v>
      </c>
      <c r="P669" s="16">
        <v>194</v>
      </c>
      <c r="Q669" s="29">
        <v>51</v>
      </c>
      <c r="R669" s="20">
        <v>0.63719999999999999</v>
      </c>
      <c r="S669" s="32">
        <v>32.497199999999999</v>
      </c>
      <c r="T669" s="35">
        <v>1.9100000000000001</v>
      </c>
      <c r="U669" s="35">
        <v>1.17</v>
      </c>
      <c r="V669" s="35">
        <v>3.7450980392156864E-2</v>
      </c>
      <c r="W669" s="9" t="s">
        <v>153</v>
      </c>
      <c r="X669" s="15">
        <v>668</v>
      </c>
      <c r="Y669" s="39">
        <v>0.49026077427471276</v>
      </c>
      <c r="Z669" s="39">
        <v>0.48222651482408074</v>
      </c>
      <c r="AA669" s="39">
        <v>0.48176664949518355</v>
      </c>
      <c r="AB669" s="39">
        <v>0.47344992893286469</v>
      </c>
      <c r="AC669" s="39">
        <v>0.48526585405058875</v>
      </c>
      <c r="AD669" s="39">
        <v>0.4769050032250296</v>
      </c>
      <c r="AE669" s="39">
        <v>0.47572842914221092</v>
      </c>
      <c r="AF669" s="40">
        <v>0.46876254075765195</v>
      </c>
    </row>
    <row r="670" spans="1:32">
      <c r="A670" s="15">
        <v>668</v>
      </c>
      <c r="B670" s="16">
        <v>0</v>
      </c>
      <c r="C670" s="20">
        <v>0.59</v>
      </c>
      <c r="D670" s="20">
        <v>0.4695526646799868</v>
      </c>
      <c r="E670" s="20">
        <v>0.08</v>
      </c>
      <c r="F670" s="8" t="s">
        <v>438</v>
      </c>
      <c r="G670" s="24">
        <v>0.61820374140937662</v>
      </c>
      <c r="H670" s="24">
        <v>0.62178298327124437</v>
      </c>
      <c r="I670" s="25">
        <v>0.63265711901494392</v>
      </c>
      <c r="L670" s="15">
        <v>668</v>
      </c>
      <c r="M670" s="16">
        <v>0</v>
      </c>
      <c r="N670" s="16">
        <v>2</v>
      </c>
      <c r="O670" s="16">
        <v>7</v>
      </c>
      <c r="P670" s="16">
        <v>195</v>
      </c>
      <c r="Q670" s="29">
        <v>51</v>
      </c>
      <c r="R670" s="20">
        <v>0.63719999999999999</v>
      </c>
      <c r="S670" s="32">
        <v>32.497199999999999</v>
      </c>
      <c r="T670" s="35">
        <v>1.94</v>
      </c>
      <c r="U670" s="35">
        <v>1.1200000000000001</v>
      </c>
      <c r="V670" s="35">
        <v>3.8039215686274511E-2</v>
      </c>
      <c r="W670" s="9" t="s">
        <v>153</v>
      </c>
      <c r="X670" s="15">
        <v>669</v>
      </c>
      <c r="Y670" s="39">
        <v>0.48135693411576719</v>
      </c>
      <c r="Z670" s="39">
        <v>0.47502210662898392</v>
      </c>
      <c r="AA670" s="39">
        <v>0.4854293277677989</v>
      </c>
      <c r="AB670" s="39">
        <v>0.49291781949330443</v>
      </c>
      <c r="AC670" s="39">
        <v>0.47529814811289234</v>
      </c>
      <c r="AD670" s="39">
        <v>0.47064483992504702</v>
      </c>
      <c r="AE670" s="39">
        <v>0.47817883455987598</v>
      </c>
      <c r="AF670" s="40">
        <v>0.48616483237257402</v>
      </c>
    </row>
    <row r="671" spans="1:32">
      <c r="A671" s="15">
        <v>669</v>
      </c>
      <c r="B671" s="16">
        <v>1</v>
      </c>
      <c r="C671" s="20">
        <v>7.0000000000000007E-2</v>
      </c>
      <c r="D671" s="20">
        <v>0.92698709735476958</v>
      </c>
      <c r="E671" s="20">
        <v>0.15</v>
      </c>
      <c r="F671" s="8" t="s">
        <v>436</v>
      </c>
      <c r="G671" s="24">
        <v>1.1699696038248335</v>
      </c>
      <c r="H671" s="24">
        <v>1.1767434291879344</v>
      </c>
      <c r="I671" s="25">
        <v>1.1973230656990126</v>
      </c>
      <c r="L671" s="15">
        <v>669</v>
      </c>
      <c r="M671" s="16">
        <v>0</v>
      </c>
      <c r="N671" s="16">
        <v>2</v>
      </c>
      <c r="O671" s="16">
        <v>8</v>
      </c>
      <c r="P671" s="16">
        <v>143</v>
      </c>
      <c r="Q671" s="29">
        <v>33</v>
      </c>
      <c r="R671" s="20">
        <v>0.63719999999999999</v>
      </c>
      <c r="S671" s="32">
        <v>21.0276</v>
      </c>
      <c r="T671" s="35">
        <v>0.91999999999999993</v>
      </c>
      <c r="U671" s="35">
        <v>0.47</v>
      </c>
      <c r="V671" s="35">
        <v>2.7878787878787878E-2</v>
      </c>
      <c r="W671" s="9" t="s">
        <v>152</v>
      </c>
      <c r="X671" s="15">
        <v>670</v>
      </c>
      <c r="Y671" s="39">
        <v>0.47067242119039554</v>
      </c>
      <c r="Z671" s="39">
        <v>0.48080727901712972</v>
      </c>
      <c r="AA671" s="39">
        <v>0.49019707811163105</v>
      </c>
      <c r="AB671" s="39">
        <v>0.49235769432019566</v>
      </c>
      <c r="AC671" s="39">
        <v>0.46687760138809703</v>
      </c>
      <c r="AD671" s="39">
        <v>0.47370715713196143</v>
      </c>
      <c r="AE671" s="39">
        <v>0.48165253960401261</v>
      </c>
      <c r="AF671" s="40">
        <v>0.48747952442422993</v>
      </c>
    </row>
    <row r="672" spans="1:32">
      <c r="A672" s="15">
        <v>670</v>
      </c>
      <c r="B672" s="16">
        <v>1</v>
      </c>
      <c r="C672" s="20">
        <v>0.9</v>
      </c>
      <c r="D672" s="20">
        <v>0.231595386583653</v>
      </c>
      <c r="E672" s="20">
        <v>0.1</v>
      </c>
      <c r="F672" s="8" t="s">
        <v>434</v>
      </c>
      <c r="G672" s="24">
        <v>0.75534012703680953</v>
      </c>
      <c r="H672" s="24">
        <v>0.75971335356642433</v>
      </c>
      <c r="I672" s="25">
        <v>0.77299970323382705</v>
      </c>
      <c r="L672" s="15">
        <v>670</v>
      </c>
      <c r="M672" s="16">
        <v>0</v>
      </c>
      <c r="N672" s="16">
        <v>2</v>
      </c>
      <c r="O672" s="16">
        <v>8</v>
      </c>
      <c r="P672" s="16">
        <v>144</v>
      </c>
      <c r="Q672" s="29">
        <v>30</v>
      </c>
      <c r="R672" s="20">
        <v>0.63719999999999999</v>
      </c>
      <c r="S672" s="32">
        <v>19.116</v>
      </c>
      <c r="T672" s="35">
        <v>0.77</v>
      </c>
      <c r="U672" s="35">
        <v>0.4</v>
      </c>
      <c r="V672" s="35">
        <v>2.5666666666666667E-2</v>
      </c>
      <c r="W672" s="9" t="s">
        <v>152</v>
      </c>
      <c r="X672" s="15">
        <v>671</v>
      </c>
      <c r="Y672" s="39">
        <v>0.49555112793097672</v>
      </c>
      <c r="Z672" s="39">
        <v>0.47626544428154971</v>
      </c>
      <c r="AA672" s="39">
        <v>0.48698106136818003</v>
      </c>
      <c r="AB672" s="39">
        <v>0.48819740993404681</v>
      </c>
      <c r="AC672" s="39">
        <v>0.4864134510862303</v>
      </c>
      <c r="AD672" s="39">
        <v>0.47243772936943679</v>
      </c>
      <c r="AE672" s="39">
        <v>0.48019545173570144</v>
      </c>
      <c r="AF672" s="40">
        <v>0.48320956819362398</v>
      </c>
    </row>
    <row r="673" spans="1:32">
      <c r="A673" s="15">
        <v>671</v>
      </c>
      <c r="B673" s="16">
        <v>0</v>
      </c>
      <c r="C673" s="20">
        <v>0.02</v>
      </c>
      <c r="D673" s="20">
        <v>0.99531127541355291</v>
      </c>
      <c r="E673" s="20">
        <v>1</v>
      </c>
      <c r="F673" s="8" t="s">
        <v>436</v>
      </c>
      <c r="G673" s="24">
        <v>1.240804090086725</v>
      </c>
      <c r="H673" s="24">
        <v>1.2479880290442769</v>
      </c>
      <c r="I673" s="25">
        <v>1.2698136363694286</v>
      </c>
      <c r="L673" s="15">
        <v>671</v>
      </c>
      <c r="M673" s="16">
        <v>0</v>
      </c>
      <c r="N673" s="16">
        <v>2</v>
      </c>
      <c r="O673" s="16">
        <v>8</v>
      </c>
      <c r="P673" s="16">
        <v>145</v>
      </c>
      <c r="Q673" s="29">
        <v>43</v>
      </c>
      <c r="R673" s="20">
        <v>0.63719999999999999</v>
      </c>
      <c r="S673" s="32">
        <v>27.3996</v>
      </c>
      <c r="T673" s="35">
        <v>1.9200000000000002</v>
      </c>
      <c r="U673" s="35">
        <v>1.24</v>
      </c>
      <c r="V673" s="35">
        <v>4.4651162790697675E-2</v>
      </c>
      <c r="W673" s="9" t="s">
        <v>153</v>
      </c>
      <c r="X673" s="15">
        <v>672</v>
      </c>
      <c r="Y673" s="39">
        <v>0.48535037807197529</v>
      </c>
      <c r="Z673" s="39">
        <v>0.49547812598636348</v>
      </c>
      <c r="AA673" s="39">
        <v>0.49142383318232813</v>
      </c>
      <c r="AB673" s="39">
        <v>0.4920234336089398</v>
      </c>
      <c r="AC673" s="39">
        <v>0.47861383428493143</v>
      </c>
      <c r="AD673" s="39">
        <v>0.4875017809394227</v>
      </c>
      <c r="AE673" s="39">
        <v>0.48713721747595529</v>
      </c>
      <c r="AF673" s="40">
        <v>0.48732211843202911</v>
      </c>
    </row>
    <row r="674" spans="1:32">
      <c r="A674" s="15">
        <v>672</v>
      </c>
      <c r="B674" s="16">
        <v>1</v>
      </c>
      <c r="C674" s="20">
        <v>0.88</v>
      </c>
      <c r="D674" s="20">
        <v>0.25930874124763043</v>
      </c>
      <c r="E674" s="20">
        <v>0.12</v>
      </c>
      <c r="F674" s="8" t="s">
        <v>434</v>
      </c>
      <c r="G674" s="24">
        <v>0.62149942223280286</v>
      </c>
      <c r="H674" s="24">
        <v>0.6250977452453923</v>
      </c>
      <c r="I674" s="25">
        <v>0.63602985165190307</v>
      </c>
      <c r="L674" s="15">
        <v>672</v>
      </c>
      <c r="M674" s="16">
        <v>0</v>
      </c>
      <c r="N674" s="16">
        <v>2</v>
      </c>
      <c r="O674" s="16">
        <v>8</v>
      </c>
      <c r="P674" s="16">
        <v>146</v>
      </c>
      <c r="Q674" s="29">
        <v>46</v>
      </c>
      <c r="R674" s="20">
        <v>0.63719999999999999</v>
      </c>
      <c r="S674" s="32">
        <v>29.311199999999999</v>
      </c>
      <c r="T674" s="35">
        <v>2.64</v>
      </c>
      <c r="U674" s="35">
        <v>2.08</v>
      </c>
      <c r="V674" s="35">
        <v>5.7391304347826091E-2</v>
      </c>
      <c r="W674" s="9" t="s">
        <v>154</v>
      </c>
      <c r="X674" s="15">
        <v>673</v>
      </c>
      <c r="Y674" s="39">
        <v>0.4810416316454692</v>
      </c>
      <c r="Z674" s="39">
        <v>0.48510574166362957</v>
      </c>
      <c r="AA674" s="39">
        <v>0.49473623690749197</v>
      </c>
      <c r="AB674" s="39">
        <v>0.48945875226244073</v>
      </c>
      <c r="AC674" s="39">
        <v>0.47384576402994705</v>
      </c>
      <c r="AD674" s="39">
        <v>0.4765359442793991</v>
      </c>
      <c r="AE674" s="39">
        <v>0.49176840945376826</v>
      </c>
      <c r="AF674" s="40">
        <v>0.485302781842544</v>
      </c>
    </row>
    <row r="675" spans="1:32">
      <c r="A675" s="15">
        <v>673</v>
      </c>
      <c r="B675" s="16">
        <v>1</v>
      </c>
      <c r="C675" s="20">
        <v>0.59</v>
      </c>
      <c r="D675" s="20">
        <v>0.58164061871230011</v>
      </c>
      <c r="E675" s="20">
        <v>0.06</v>
      </c>
      <c r="F675" s="8" t="s">
        <v>438</v>
      </c>
      <c r="G675" s="24">
        <v>1.3505283454787493</v>
      </c>
      <c r="H675" s="24">
        <v>1.358347559867126</v>
      </c>
      <c r="I675" s="25">
        <v>1.382103204763369</v>
      </c>
      <c r="L675" s="15">
        <v>673</v>
      </c>
      <c r="M675" s="16">
        <v>0</v>
      </c>
      <c r="N675" s="16">
        <v>2</v>
      </c>
      <c r="O675" s="16">
        <v>8</v>
      </c>
      <c r="P675" s="16">
        <v>147</v>
      </c>
      <c r="Q675" s="29">
        <v>41</v>
      </c>
      <c r="R675" s="20">
        <v>0.63719999999999999</v>
      </c>
      <c r="S675" s="32">
        <v>26.1252</v>
      </c>
      <c r="T675" s="35">
        <v>1.1300000000000001</v>
      </c>
      <c r="U675" s="35">
        <v>0.48</v>
      </c>
      <c r="V675" s="35">
        <v>2.7560975609756101E-2</v>
      </c>
      <c r="W675" s="9" t="s">
        <v>153</v>
      </c>
      <c r="X675" s="15">
        <v>674</v>
      </c>
      <c r="Y675" s="39">
        <v>0.47531379072405755</v>
      </c>
      <c r="Z675" s="39">
        <v>0.48197180920297761</v>
      </c>
      <c r="AA675" s="39">
        <v>0.48983238599691914</v>
      </c>
      <c r="AB675" s="39">
        <v>0.47974265590358045</v>
      </c>
      <c r="AC675" s="39">
        <v>0.46853900267502996</v>
      </c>
      <c r="AD675" s="39">
        <v>0.47485012418574019</v>
      </c>
      <c r="AE675" s="39">
        <v>0.48315852069429016</v>
      </c>
      <c r="AF675" s="40">
        <v>0.47367855735569264</v>
      </c>
    </row>
    <row r="676" spans="1:32">
      <c r="A676" s="15">
        <v>674</v>
      </c>
      <c r="B676" s="16">
        <v>0</v>
      </c>
      <c r="C676" s="20">
        <v>0.89</v>
      </c>
      <c r="D676" s="20">
        <v>0.24559627500636821</v>
      </c>
      <c r="E676" s="20">
        <v>0.11</v>
      </c>
      <c r="F676" s="8" t="s">
        <v>434</v>
      </c>
      <c r="G676" s="24">
        <v>0.55943249829516595</v>
      </c>
      <c r="H676" s="24">
        <v>0.56267146966117931</v>
      </c>
      <c r="I676" s="25">
        <v>0.57251182570954262</v>
      </c>
      <c r="L676" s="15">
        <v>674</v>
      </c>
      <c r="M676" s="16">
        <v>0</v>
      </c>
      <c r="N676" s="16">
        <v>2</v>
      </c>
      <c r="O676" s="16">
        <v>8</v>
      </c>
      <c r="P676" s="16">
        <v>148</v>
      </c>
      <c r="Q676" s="29">
        <v>37</v>
      </c>
      <c r="R676" s="20">
        <v>0.63719999999999999</v>
      </c>
      <c r="S676" s="32">
        <v>23.5764</v>
      </c>
      <c r="T676" s="35">
        <v>1.23</v>
      </c>
      <c r="U676" s="35">
        <v>0.8</v>
      </c>
      <c r="V676" s="35">
        <v>3.3243243243243244E-2</v>
      </c>
      <c r="W676" s="9" t="s">
        <v>153</v>
      </c>
      <c r="X676" s="15">
        <v>675</v>
      </c>
      <c r="Y676" s="39">
        <v>0.49346842143690389</v>
      </c>
      <c r="Z676" s="39">
        <v>0.49210184309424343</v>
      </c>
      <c r="AA676" s="39">
        <v>0.49083003229395217</v>
      </c>
      <c r="AB676" s="39">
        <v>0.48708570902736859</v>
      </c>
      <c r="AC676" s="39">
        <v>0.48364517360862708</v>
      </c>
      <c r="AD676" s="39">
        <v>0.4848196723182554</v>
      </c>
      <c r="AE676" s="39">
        <v>0.48111036489554942</v>
      </c>
      <c r="AF676" s="40">
        <v>0.48457461590734796</v>
      </c>
    </row>
    <row r="677" spans="1:32">
      <c r="A677" s="15">
        <v>675</v>
      </c>
      <c r="B677" s="16">
        <v>0</v>
      </c>
      <c r="C677" s="20">
        <v>0.02</v>
      </c>
      <c r="D677" s="20">
        <v>0.99756714174924133</v>
      </c>
      <c r="E677" s="20">
        <v>1</v>
      </c>
      <c r="F677" s="8" t="s">
        <v>436</v>
      </c>
      <c r="G677" s="24">
        <v>1.0627460793278893</v>
      </c>
      <c r="H677" s="24">
        <v>1.0688991078537184</v>
      </c>
      <c r="I677" s="25">
        <v>1.0875926943748055</v>
      </c>
      <c r="L677" s="15">
        <v>675</v>
      </c>
      <c r="M677" s="16">
        <v>0</v>
      </c>
      <c r="N677" s="16">
        <v>2</v>
      </c>
      <c r="O677" s="16">
        <v>8</v>
      </c>
      <c r="P677" s="16">
        <v>149</v>
      </c>
      <c r="Q677" s="29">
        <v>48</v>
      </c>
      <c r="R677" s="20">
        <v>0.63719999999999999</v>
      </c>
      <c r="S677" s="32">
        <v>30.585599999999999</v>
      </c>
      <c r="T677" s="35">
        <v>1.35</v>
      </c>
      <c r="U677" s="35">
        <v>0.71</v>
      </c>
      <c r="V677" s="35">
        <v>2.8125000000000001E-2</v>
      </c>
      <c r="W677" s="9" t="s">
        <v>153</v>
      </c>
      <c r="X677" s="15">
        <v>676</v>
      </c>
      <c r="Y677" s="39">
        <v>0.47794352043812249</v>
      </c>
      <c r="Z677" s="39">
        <v>0.48912056116626029</v>
      </c>
      <c r="AA677" s="39">
        <v>0.48677083525471038</v>
      </c>
      <c r="AB677" s="39">
        <v>0.49261771056363268</v>
      </c>
      <c r="AC677" s="39">
        <v>0.47270013006087158</v>
      </c>
      <c r="AD677" s="39">
        <v>0.48496629404619873</v>
      </c>
      <c r="AE677" s="39">
        <v>0.47755094545887733</v>
      </c>
      <c r="AF677" s="40">
        <v>0.48593674142435678</v>
      </c>
    </row>
    <row r="678" spans="1:32">
      <c r="A678" s="15">
        <v>676</v>
      </c>
      <c r="B678" s="16">
        <v>0</v>
      </c>
      <c r="C678" s="20">
        <v>0.18</v>
      </c>
      <c r="D678" s="20">
        <v>0.78890440390396666</v>
      </c>
      <c r="E678" s="20">
        <v>0.13</v>
      </c>
      <c r="F678" s="8" t="s">
        <v>436</v>
      </c>
      <c r="G678" s="24">
        <v>0.94954299177830359</v>
      </c>
      <c r="H678" s="24">
        <v>0.95504060332311214</v>
      </c>
      <c r="I678" s="25">
        <v>0.97174295999849547</v>
      </c>
      <c r="L678" s="15">
        <v>676</v>
      </c>
      <c r="M678" s="16">
        <v>0</v>
      </c>
      <c r="N678" s="16">
        <v>2</v>
      </c>
      <c r="O678" s="16">
        <v>8</v>
      </c>
      <c r="P678" s="16">
        <v>150</v>
      </c>
      <c r="Q678" s="29">
        <v>40</v>
      </c>
      <c r="R678" s="20">
        <v>0.63719999999999999</v>
      </c>
      <c r="S678" s="32">
        <v>25.488</v>
      </c>
      <c r="T678" s="35">
        <v>1.58</v>
      </c>
      <c r="U678" s="35">
        <v>1.04</v>
      </c>
      <c r="V678" s="35">
        <v>3.95E-2</v>
      </c>
      <c r="W678" s="9" t="s">
        <v>153</v>
      </c>
      <c r="X678" s="15">
        <v>677</v>
      </c>
      <c r="Y678" s="39">
        <v>0.47744507212509862</v>
      </c>
      <c r="Z678" s="39">
        <v>0.47188233924835021</v>
      </c>
      <c r="AA678" s="39">
        <v>0.47532862216843791</v>
      </c>
      <c r="AB678" s="39">
        <v>0.48895552292791661</v>
      </c>
      <c r="AC678" s="39">
        <v>0.4691695282522198</v>
      </c>
      <c r="AD678" s="39">
        <v>0.46689113246565273</v>
      </c>
      <c r="AE678" s="39">
        <v>0.47120931126825899</v>
      </c>
      <c r="AF678" s="40">
        <v>0.48203018806468972</v>
      </c>
    </row>
    <row r="679" spans="1:32">
      <c r="A679" s="15">
        <v>677</v>
      </c>
      <c r="B679" s="16">
        <v>1</v>
      </c>
      <c r="C679" s="20">
        <v>0.93</v>
      </c>
      <c r="D679" s="20">
        <v>0.18747949848141848</v>
      </c>
      <c r="E679" s="20">
        <v>7.0000000000000007E-2</v>
      </c>
      <c r="F679" s="8" t="s">
        <v>434</v>
      </c>
      <c r="G679" s="24">
        <v>1.3547852403557379</v>
      </c>
      <c r="H679" s="24">
        <v>1.3626291010788498</v>
      </c>
      <c r="I679" s="25">
        <v>1.3864596242872709</v>
      </c>
      <c r="L679" s="15">
        <v>677</v>
      </c>
      <c r="M679" s="16">
        <v>0</v>
      </c>
      <c r="N679" s="16">
        <v>2</v>
      </c>
      <c r="O679" s="16">
        <v>8</v>
      </c>
      <c r="P679" s="16">
        <v>151</v>
      </c>
      <c r="Q679" s="29">
        <v>29</v>
      </c>
      <c r="R679" s="20">
        <v>0.63719999999999999</v>
      </c>
      <c r="S679" s="32">
        <v>18.4788</v>
      </c>
      <c r="T679" s="35">
        <v>0.5</v>
      </c>
      <c r="U679" s="35">
        <v>0.05</v>
      </c>
      <c r="V679" s="35">
        <v>1.7241379310344827E-2</v>
      </c>
      <c r="W679" s="9" t="s">
        <v>152</v>
      </c>
      <c r="X679" s="15">
        <v>678</v>
      </c>
      <c r="Y679" s="39">
        <v>0.47398302997182978</v>
      </c>
      <c r="Z679" s="39">
        <v>0.47837534757696482</v>
      </c>
      <c r="AA679" s="39">
        <v>0.4838525168863218</v>
      </c>
      <c r="AB679" s="39">
        <v>0.47609167411759273</v>
      </c>
      <c r="AC679" s="39">
        <v>0.46790147441613472</v>
      </c>
      <c r="AD679" s="39">
        <v>0.47306175883851648</v>
      </c>
      <c r="AE679" s="39">
        <v>0.47456166507713127</v>
      </c>
      <c r="AF679" s="40">
        <v>0.47361747745882582</v>
      </c>
    </row>
    <row r="680" spans="1:32">
      <c r="A680" s="15">
        <v>678</v>
      </c>
      <c r="B680" s="16">
        <v>0</v>
      </c>
      <c r="C680" s="20">
        <v>0.02</v>
      </c>
      <c r="D680" s="20">
        <v>0.99756714174924133</v>
      </c>
      <c r="E680" s="20">
        <v>1</v>
      </c>
      <c r="F680" s="8" t="s">
        <v>436</v>
      </c>
      <c r="G680" s="24">
        <v>1.0063308392884469</v>
      </c>
      <c r="H680" s="24">
        <v>1.012157237974838</v>
      </c>
      <c r="I680" s="25">
        <v>1.0298584866352651</v>
      </c>
      <c r="L680" s="15">
        <v>678</v>
      </c>
      <c r="M680" s="16">
        <v>0</v>
      </c>
      <c r="N680" s="16">
        <v>2</v>
      </c>
      <c r="O680" s="16">
        <v>8</v>
      </c>
      <c r="P680" s="16">
        <v>152</v>
      </c>
      <c r="Q680" s="29">
        <v>36</v>
      </c>
      <c r="R680" s="20">
        <v>0.63719999999999999</v>
      </c>
      <c r="S680" s="32">
        <v>22.9392</v>
      </c>
      <c r="T680" s="35">
        <v>1.2</v>
      </c>
      <c r="U680" s="35">
        <v>0.68</v>
      </c>
      <c r="V680" s="35">
        <v>3.3333333333333333E-2</v>
      </c>
      <c r="W680" s="9" t="s">
        <v>153</v>
      </c>
      <c r="X680" s="15">
        <v>679</v>
      </c>
      <c r="Y680" s="39">
        <v>0.47443902944176169</v>
      </c>
      <c r="Z680" s="39">
        <v>0.47922969503718138</v>
      </c>
      <c r="AA680" s="39">
        <v>0.47773551746721643</v>
      </c>
      <c r="AB680" s="39">
        <v>0.51043684183055849</v>
      </c>
      <c r="AC680" s="39">
        <v>0.46907091421938868</v>
      </c>
      <c r="AD680" s="39">
        <v>0.4698154155443664</v>
      </c>
      <c r="AE680" s="39">
        <v>0.4735191332196742</v>
      </c>
      <c r="AF680" s="40">
        <v>0.50355709383995917</v>
      </c>
    </row>
    <row r="681" spans="1:32">
      <c r="A681" s="15">
        <v>679</v>
      </c>
      <c r="B681" s="16">
        <v>0</v>
      </c>
      <c r="C681" s="20">
        <v>0.92</v>
      </c>
      <c r="D681" s="20">
        <v>0.20258497911151899</v>
      </c>
      <c r="E681" s="20">
        <v>0.08</v>
      </c>
      <c r="F681" s="8" t="s">
        <v>434</v>
      </c>
      <c r="G681" s="24">
        <v>1.0910122746742212</v>
      </c>
      <c r="H681" s="24">
        <v>1.0973289572559586</v>
      </c>
      <c r="I681" s="25">
        <v>1.1165197430409215</v>
      </c>
      <c r="L681" s="15">
        <v>679</v>
      </c>
      <c r="M681" s="16">
        <v>0</v>
      </c>
      <c r="N681" s="16">
        <v>2</v>
      </c>
      <c r="O681" s="16">
        <v>9</v>
      </c>
      <c r="P681" s="16">
        <v>153</v>
      </c>
      <c r="Q681" s="29">
        <v>38</v>
      </c>
      <c r="R681" s="20">
        <v>0.63719999999999999</v>
      </c>
      <c r="S681" s="32">
        <v>24.2136</v>
      </c>
      <c r="T681" s="35">
        <v>1.76</v>
      </c>
      <c r="U681" s="35">
        <v>1.24</v>
      </c>
      <c r="V681" s="35">
        <v>4.6315789473684213E-2</v>
      </c>
      <c r="W681" s="9" t="s">
        <v>153</v>
      </c>
      <c r="X681" s="15">
        <v>680</v>
      </c>
      <c r="Y681" s="39">
        <v>0.4723888307610809</v>
      </c>
      <c r="Z681" s="39">
        <v>0.48807124203814861</v>
      </c>
      <c r="AA681" s="39">
        <v>0.4906490817482837</v>
      </c>
      <c r="AB681" s="39">
        <v>0.49851435904935826</v>
      </c>
      <c r="AC681" s="39">
        <v>0.46778921648889038</v>
      </c>
      <c r="AD681" s="39">
        <v>0.47892370982742427</v>
      </c>
      <c r="AE681" s="39">
        <v>0.48159334959689659</v>
      </c>
      <c r="AF681" s="40">
        <v>0.49452795584444603</v>
      </c>
    </row>
    <row r="682" spans="1:32">
      <c r="A682" s="15">
        <v>680</v>
      </c>
      <c r="B682" s="16">
        <v>1</v>
      </c>
      <c r="C682" s="20">
        <v>0.77</v>
      </c>
      <c r="D682" s="20">
        <v>0.39660750838281328</v>
      </c>
      <c r="E682" s="20">
        <v>0.23</v>
      </c>
      <c r="F682" s="8" t="s">
        <v>438</v>
      </c>
      <c r="G682" s="24">
        <v>0.58155607285990474</v>
      </c>
      <c r="H682" s="24">
        <v>0.58492313407544849</v>
      </c>
      <c r="I682" s="25">
        <v>0.59515264136447632</v>
      </c>
      <c r="L682" s="15">
        <v>680</v>
      </c>
      <c r="M682" s="16">
        <v>0</v>
      </c>
      <c r="N682" s="16">
        <v>2</v>
      </c>
      <c r="O682" s="16">
        <v>9</v>
      </c>
      <c r="P682" s="16">
        <v>154</v>
      </c>
      <c r="Q682" s="29">
        <v>40</v>
      </c>
      <c r="R682" s="20">
        <v>0.63719999999999999</v>
      </c>
      <c r="S682" s="32">
        <v>25.488</v>
      </c>
      <c r="T682" s="35">
        <v>0.82000000000000006</v>
      </c>
      <c r="U682" s="35">
        <v>0.33</v>
      </c>
      <c r="V682" s="35">
        <v>2.0500000000000001E-2</v>
      </c>
      <c r="W682" s="9" t="s">
        <v>152</v>
      </c>
      <c r="X682" s="15">
        <v>681</v>
      </c>
      <c r="Y682" s="39">
        <v>0.49051068399041792</v>
      </c>
      <c r="Z682" s="39">
        <v>0.48614663991833101</v>
      </c>
      <c r="AA682" s="39">
        <v>0.47269633973410141</v>
      </c>
      <c r="AB682" s="39">
        <v>0.4969150102878882</v>
      </c>
      <c r="AC682" s="39">
        <v>0.48544574150320535</v>
      </c>
      <c r="AD682" s="39">
        <v>0.47970519656988331</v>
      </c>
      <c r="AE682" s="39">
        <v>0.46759283395475953</v>
      </c>
      <c r="AF682" s="40">
        <v>0.49239814307987262</v>
      </c>
    </row>
    <row r="683" spans="1:32">
      <c r="A683" s="15">
        <v>681</v>
      </c>
      <c r="B683" s="16">
        <v>1</v>
      </c>
      <c r="C683" s="20">
        <v>0.02</v>
      </c>
      <c r="D683" s="20">
        <v>0.99531127541355291</v>
      </c>
      <c r="E683" s="20">
        <v>1</v>
      </c>
      <c r="F683" s="8" t="s">
        <v>436</v>
      </c>
      <c r="G683" s="24">
        <v>1.0630020175171846</v>
      </c>
      <c r="H683" s="24">
        <v>1.0691565278597996</v>
      </c>
      <c r="I683" s="25">
        <v>1.0878546163054563</v>
      </c>
      <c r="L683" s="15">
        <v>681</v>
      </c>
      <c r="M683" s="16">
        <v>0</v>
      </c>
      <c r="N683" s="16">
        <v>2</v>
      </c>
      <c r="O683" s="16">
        <v>9</v>
      </c>
      <c r="P683" s="16">
        <v>155</v>
      </c>
      <c r="Q683" s="29">
        <v>42</v>
      </c>
      <c r="R683" s="20">
        <v>0.63719999999999999</v>
      </c>
      <c r="S683" s="32">
        <v>26.7624</v>
      </c>
      <c r="T683" s="35">
        <v>2.57</v>
      </c>
      <c r="U683" s="35">
        <v>2.09</v>
      </c>
      <c r="V683" s="35">
        <v>6.1190476190476184E-2</v>
      </c>
      <c r="W683" s="9" t="s">
        <v>154</v>
      </c>
      <c r="X683" s="15">
        <v>682</v>
      </c>
      <c r="Y683" s="39">
        <v>0.47381687836291503</v>
      </c>
      <c r="Z683" s="39">
        <v>0.48701925720283551</v>
      </c>
      <c r="AA683" s="39">
        <v>0.48109785802592525</v>
      </c>
      <c r="AB683" s="39">
        <v>0.4785218982861939</v>
      </c>
      <c r="AC683" s="39">
        <v>0.46646077798386032</v>
      </c>
      <c r="AD683" s="39">
        <v>0.48006142737479657</v>
      </c>
      <c r="AE683" s="39">
        <v>0.47161030850882396</v>
      </c>
      <c r="AF683" s="40">
        <v>0.47501834471795934</v>
      </c>
    </row>
    <row r="684" spans="1:32">
      <c r="A684" s="15">
        <v>682</v>
      </c>
      <c r="B684" s="16">
        <v>1</v>
      </c>
      <c r="C684" s="20">
        <v>0.09</v>
      </c>
      <c r="D684" s="20">
        <v>0.93873085772139131</v>
      </c>
      <c r="E684" s="20">
        <v>0.41</v>
      </c>
      <c r="F684" s="8" t="s">
        <v>436</v>
      </c>
      <c r="G684" s="24">
        <v>0.91690141874451658</v>
      </c>
      <c r="H684" s="24">
        <v>0.92221004391345274</v>
      </c>
      <c r="I684" s="25">
        <v>0.93833823891319157</v>
      </c>
      <c r="L684" s="15">
        <v>682</v>
      </c>
      <c r="M684" s="16">
        <v>0</v>
      </c>
      <c r="N684" s="16">
        <v>2</v>
      </c>
      <c r="O684" s="16">
        <v>9</v>
      </c>
      <c r="P684" s="16">
        <v>156</v>
      </c>
      <c r="Q684" s="29">
        <v>34</v>
      </c>
      <c r="R684" s="20">
        <v>0.63719999999999999</v>
      </c>
      <c r="S684" s="32">
        <v>21.6648</v>
      </c>
      <c r="T684" s="35">
        <v>1.6500000000000001</v>
      </c>
      <c r="U684" s="35">
        <v>1.22</v>
      </c>
      <c r="V684" s="35">
        <v>4.8529411764705883E-2</v>
      </c>
      <c r="W684" s="9" t="s">
        <v>153</v>
      </c>
      <c r="X684" s="15">
        <v>683</v>
      </c>
      <c r="Y684" s="39">
        <v>0.49379832225717257</v>
      </c>
      <c r="Z684" s="39">
        <v>0.48091684737151863</v>
      </c>
      <c r="AA684" s="39">
        <v>0.4809069774143816</v>
      </c>
      <c r="AB684" s="39">
        <v>0.49102828724486491</v>
      </c>
      <c r="AC684" s="39">
        <v>0.48884015743275439</v>
      </c>
      <c r="AD684" s="39">
        <v>0.47161553406086926</v>
      </c>
      <c r="AE684" s="39">
        <v>0.47329896524363041</v>
      </c>
      <c r="AF684" s="40">
        <v>0.48674234236296204</v>
      </c>
    </row>
    <row r="685" spans="1:32">
      <c r="A685" s="15">
        <v>683</v>
      </c>
      <c r="B685" s="16">
        <v>0</v>
      </c>
      <c r="C685" s="20">
        <v>0.15</v>
      </c>
      <c r="D685" s="20">
        <v>0.86025457265454353</v>
      </c>
      <c r="E685" s="20">
        <v>0.08</v>
      </c>
      <c r="F685" s="8" t="s">
        <v>436</v>
      </c>
      <c r="G685" s="24">
        <v>0.9009698542232778</v>
      </c>
      <c r="H685" s="24">
        <v>0.90618623970028089</v>
      </c>
      <c r="I685" s="25">
        <v>0.92203420023424554</v>
      </c>
      <c r="L685" s="15">
        <v>683</v>
      </c>
      <c r="M685" s="16">
        <v>0</v>
      </c>
      <c r="N685" s="16">
        <v>2</v>
      </c>
      <c r="O685" s="16">
        <v>9</v>
      </c>
      <c r="P685" s="16">
        <v>157</v>
      </c>
      <c r="Q685" s="29">
        <v>27</v>
      </c>
      <c r="R685" s="20">
        <v>0.63719999999999999</v>
      </c>
      <c r="S685" s="32">
        <v>17.2044</v>
      </c>
      <c r="T685" s="35">
        <v>0.79</v>
      </c>
      <c r="U685" s="35">
        <v>0.39</v>
      </c>
      <c r="V685" s="35">
        <v>2.9259259259259259E-2</v>
      </c>
      <c r="W685" s="9" t="s">
        <v>152</v>
      </c>
      <c r="X685" s="15">
        <v>684</v>
      </c>
      <c r="Y685" s="39">
        <v>0.47875453032659299</v>
      </c>
      <c r="Z685" s="39">
        <v>0.48404225664870637</v>
      </c>
      <c r="AA685" s="39">
        <v>0.48901521933900216</v>
      </c>
      <c r="AB685" s="39">
        <v>0.47755365385887527</v>
      </c>
      <c r="AC685" s="39">
        <v>0.47467048048086802</v>
      </c>
      <c r="AD685" s="39">
        <v>0.47893072572144996</v>
      </c>
      <c r="AE685" s="39">
        <v>0.47976106418051467</v>
      </c>
      <c r="AF685" s="40">
        <v>0.47417137741263443</v>
      </c>
    </row>
    <row r="686" spans="1:32">
      <c r="A686" s="15">
        <v>684</v>
      </c>
      <c r="B686" s="16">
        <v>1</v>
      </c>
      <c r="C686" s="20">
        <v>0.02</v>
      </c>
      <c r="D686" s="20">
        <v>0.99756714174924133</v>
      </c>
      <c r="E686" s="20">
        <v>1</v>
      </c>
      <c r="F686" s="8" t="s">
        <v>436</v>
      </c>
      <c r="G686" s="24">
        <v>0.97023059229953867</v>
      </c>
      <c r="H686" s="24">
        <v>0.97584797977070836</v>
      </c>
      <c r="I686" s="25">
        <v>0.99291422906143967</v>
      </c>
      <c r="L686" s="15">
        <v>684</v>
      </c>
      <c r="M686" s="16">
        <v>0</v>
      </c>
      <c r="N686" s="16">
        <v>2</v>
      </c>
      <c r="O686" s="16">
        <v>9</v>
      </c>
      <c r="P686" s="16">
        <v>158</v>
      </c>
      <c r="Q686" s="29">
        <v>34</v>
      </c>
      <c r="R686" s="20">
        <v>0.63719999999999999</v>
      </c>
      <c r="S686" s="32">
        <v>21.6648</v>
      </c>
      <c r="T686" s="35">
        <v>0.56000000000000005</v>
      </c>
      <c r="U686" s="35">
        <v>0.1</v>
      </c>
      <c r="V686" s="35">
        <v>1.6470588235294119E-2</v>
      </c>
      <c r="W686" s="9" t="s">
        <v>152</v>
      </c>
      <c r="X686" s="15">
        <v>685</v>
      </c>
      <c r="Y686" s="39">
        <v>0.49557854843459742</v>
      </c>
      <c r="Z686" s="39">
        <v>0.49283554259298173</v>
      </c>
      <c r="AA686" s="39">
        <v>0.48627636085017828</v>
      </c>
      <c r="AB686" s="39">
        <v>0.49391475946929148</v>
      </c>
      <c r="AC686" s="39">
        <v>0.48812391701022245</v>
      </c>
      <c r="AD686" s="39">
        <v>0.48478696573971036</v>
      </c>
      <c r="AE686" s="39">
        <v>0.48118112731494611</v>
      </c>
      <c r="AF686" s="40">
        <v>0.4873197455229063</v>
      </c>
    </row>
    <row r="687" spans="1:32">
      <c r="A687" s="15">
        <v>685</v>
      </c>
      <c r="B687" s="16">
        <v>0</v>
      </c>
      <c r="C687" s="20">
        <v>0.95</v>
      </c>
      <c r="D687" s="20">
        <v>0.15570568692893463</v>
      </c>
      <c r="E687" s="20">
        <v>0.05</v>
      </c>
      <c r="F687" s="8" t="s">
        <v>434</v>
      </c>
      <c r="G687" s="24">
        <v>0.66276954313151737</v>
      </c>
      <c r="H687" s="24">
        <v>0.66660680960961916</v>
      </c>
      <c r="I687" s="25">
        <v>0.678264852898667</v>
      </c>
      <c r="L687" s="15">
        <v>685</v>
      </c>
      <c r="M687" s="16">
        <v>0</v>
      </c>
      <c r="N687" s="16">
        <v>2</v>
      </c>
      <c r="O687" s="16">
        <v>9</v>
      </c>
      <c r="P687" s="16">
        <v>159</v>
      </c>
      <c r="Q687" s="29">
        <v>46</v>
      </c>
      <c r="R687" s="20">
        <v>0.63719999999999999</v>
      </c>
      <c r="S687" s="32">
        <v>29.311199999999999</v>
      </c>
      <c r="T687" s="35">
        <v>0.96000000000000008</v>
      </c>
      <c r="U687" s="35">
        <v>0.19</v>
      </c>
      <c r="V687" s="35">
        <v>2.0869565217391306E-2</v>
      </c>
      <c r="W687" s="9" t="s">
        <v>152</v>
      </c>
      <c r="X687" s="15">
        <v>686</v>
      </c>
      <c r="Y687" s="39">
        <v>0.50583535914255529</v>
      </c>
      <c r="Z687" s="39">
        <v>0.48543433958227505</v>
      </c>
      <c r="AA687" s="39">
        <v>0.47587650941074827</v>
      </c>
      <c r="AB687" s="39">
        <v>0.49572334720874628</v>
      </c>
      <c r="AC687" s="39">
        <v>0.49641809055378278</v>
      </c>
      <c r="AD687" s="39">
        <v>0.47762001763372075</v>
      </c>
      <c r="AE687" s="39">
        <v>0.46846342170788879</v>
      </c>
      <c r="AF687" s="40">
        <v>0.49206699711300417</v>
      </c>
    </row>
    <row r="688" spans="1:32">
      <c r="A688" s="15">
        <v>686</v>
      </c>
      <c r="B688" s="16">
        <v>0</v>
      </c>
      <c r="C688" s="20">
        <v>0.02</v>
      </c>
      <c r="D688" s="20">
        <v>0.99835916395484214</v>
      </c>
      <c r="E688" s="20">
        <v>1</v>
      </c>
      <c r="F688" s="8" t="s">
        <v>436</v>
      </c>
      <c r="G688" s="24">
        <v>0.98825268009432821</v>
      </c>
      <c r="H688" s="24">
        <v>0.99397441085356386</v>
      </c>
      <c r="I688" s="25">
        <v>1.0113576666842727</v>
      </c>
      <c r="L688" s="15">
        <v>686</v>
      </c>
      <c r="M688" s="16">
        <v>0</v>
      </c>
      <c r="N688" s="16">
        <v>2</v>
      </c>
      <c r="O688" s="16">
        <v>9</v>
      </c>
      <c r="P688" s="16">
        <v>160</v>
      </c>
      <c r="Q688" s="29">
        <v>35</v>
      </c>
      <c r="R688" s="20">
        <v>0.63719999999999999</v>
      </c>
      <c r="S688" s="32">
        <v>22.302</v>
      </c>
      <c r="T688" s="35">
        <v>1.44</v>
      </c>
      <c r="U688" s="35">
        <v>0.99</v>
      </c>
      <c r="V688" s="35">
        <v>4.1142857142857141E-2</v>
      </c>
      <c r="W688" s="9" t="s">
        <v>153</v>
      </c>
      <c r="X688" s="15">
        <v>687</v>
      </c>
      <c r="Y688" s="39">
        <v>0.47311729061675101</v>
      </c>
      <c r="Z688" s="39">
        <v>0.49479326270974755</v>
      </c>
      <c r="AA688" s="39">
        <v>0.48769420192281038</v>
      </c>
      <c r="AB688" s="39">
        <v>0.47635626887085591</v>
      </c>
      <c r="AC688" s="39">
        <v>0.46724879092209565</v>
      </c>
      <c r="AD688" s="39">
        <v>0.48705267626938276</v>
      </c>
      <c r="AE688" s="39">
        <v>0.47717667455664919</v>
      </c>
      <c r="AF688" s="40">
        <v>0.47229047719140604</v>
      </c>
    </row>
    <row r="689" spans="1:32">
      <c r="A689" s="15">
        <v>687</v>
      </c>
      <c r="B689" s="16">
        <v>0</v>
      </c>
      <c r="C689" s="20">
        <v>0.84</v>
      </c>
      <c r="D689" s="20">
        <v>0.31176052336924964</v>
      </c>
      <c r="E689" s="20">
        <v>0.16</v>
      </c>
      <c r="F689" s="8" t="s">
        <v>434</v>
      </c>
      <c r="G689" s="24">
        <v>1.7434625324304902</v>
      </c>
      <c r="H689" s="24">
        <v>1.7535567354620776</v>
      </c>
      <c r="I689" s="25">
        <v>1.6578926537592125</v>
      </c>
      <c r="L689" s="15">
        <v>687</v>
      </c>
      <c r="M689" s="16">
        <v>0</v>
      </c>
      <c r="N689" s="16">
        <v>2</v>
      </c>
      <c r="O689" s="16">
        <v>9</v>
      </c>
      <c r="P689" s="16">
        <v>161</v>
      </c>
      <c r="Q689" s="29">
        <v>49</v>
      </c>
      <c r="R689" s="20">
        <v>0.63719999999999999</v>
      </c>
      <c r="S689" s="32">
        <v>31.222799999999999</v>
      </c>
      <c r="T689" s="35">
        <v>2.52</v>
      </c>
      <c r="U689" s="35">
        <v>1.89</v>
      </c>
      <c r="V689" s="35">
        <v>5.1428571428571428E-2</v>
      </c>
      <c r="W689" s="9" t="s">
        <v>154</v>
      </c>
      <c r="X689" s="15">
        <v>688</v>
      </c>
      <c r="Y689" s="39">
        <v>0.48988647442267008</v>
      </c>
      <c r="Z689" s="39">
        <v>0.48924380243176641</v>
      </c>
      <c r="AA689" s="39">
        <v>0.48699847146914799</v>
      </c>
      <c r="AB689" s="39">
        <v>0.47624473281297586</v>
      </c>
      <c r="AC689" s="39">
        <v>0.48063284059187844</v>
      </c>
      <c r="AD689" s="39">
        <v>0.48123717628469398</v>
      </c>
      <c r="AE689" s="39">
        <v>0.48029944947780934</v>
      </c>
      <c r="AF689" s="40">
        <v>0.47001986907602505</v>
      </c>
    </row>
    <row r="690" spans="1:32">
      <c r="A690" s="15">
        <v>688</v>
      </c>
      <c r="B690" s="16">
        <v>0</v>
      </c>
      <c r="C690" s="20">
        <v>0.96</v>
      </c>
      <c r="D690" s="20">
        <v>0.13880369068795359</v>
      </c>
      <c r="E690" s="20">
        <v>0.04</v>
      </c>
      <c r="F690" s="8" t="s">
        <v>434</v>
      </c>
      <c r="G690" s="24">
        <v>1.8030048763211712</v>
      </c>
      <c r="H690" s="24">
        <v>1.8134438143252798</v>
      </c>
      <c r="I690" s="25">
        <v>1.6578926537592125</v>
      </c>
      <c r="L690" s="15">
        <v>688</v>
      </c>
      <c r="M690" s="16">
        <v>0</v>
      </c>
      <c r="N690" s="16">
        <v>2</v>
      </c>
      <c r="O690" s="16">
        <v>9</v>
      </c>
      <c r="P690" s="16">
        <v>162</v>
      </c>
      <c r="Q690" s="29">
        <v>35</v>
      </c>
      <c r="R690" s="20">
        <v>0.63719999999999999</v>
      </c>
      <c r="S690" s="32">
        <v>22.302</v>
      </c>
      <c r="T690" s="35">
        <v>0.64</v>
      </c>
      <c r="U690" s="35">
        <v>0.17</v>
      </c>
      <c r="V690" s="35">
        <v>1.8285714285714287E-2</v>
      </c>
      <c r="W690" s="9" t="s">
        <v>152</v>
      </c>
      <c r="X690" s="15">
        <v>689</v>
      </c>
      <c r="Y690" s="39">
        <v>0.48683422680104438</v>
      </c>
      <c r="Z690" s="39">
        <v>0.49460233290673528</v>
      </c>
      <c r="AA690" s="39">
        <v>0.49378869868264086</v>
      </c>
      <c r="AB690" s="39">
        <v>0.48971878671440444</v>
      </c>
      <c r="AC690" s="39">
        <v>0.47643267260171268</v>
      </c>
      <c r="AD690" s="39">
        <v>0.48468960216673479</v>
      </c>
      <c r="AE690" s="39">
        <v>0.48564352655487697</v>
      </c>
      <c r="AF690" s="40">
        <v>0.48499403336033947</v>
      </c>
    </row>
    <row r="691" spans="1:32">
      <c r="A691" s="15">
        <v>689</v>
      </c>
      <c r="B691" s="16">
        <v>1</v>
      </c>
      <c r="C691" s="20">
        <v>0.88</v>
      </c>
      <c r="D691" s="20">
        <v>0.25930874124763043</v>
      </c>
      <c r="E691" s="20">
        <v>0.12</v>
      </c>
      <c r="F691" s="8" t="s">
        <v>434</v>
      </c>
      <c r="G691" s="24">
        <v>0.62683857252730446</v>
      </c>
      <c r="H691" s="24">
        <v>0.6304678078572431</v>
      </c>
      <c r="I691" s="25">
        <v>0.64149382932956378</v>
      </c>
      <c r="L691" s="15">
        <v>689</v>
      </c>
      <c r="M691" s="16">
        <v>0</v>
      </c>
      <c r="N691" s="16">
        <v>2</v>
      </c>
      <c r="O691" s="16">
        <v>9</v>
      </c>
      <c r="P691" s="16">
        <v>163</v>
      </c>
      <c r="Q691" s="29">
        <v>31</v>
      </c>
      <c r="R691" s="20">
        <v>0.63719999999999999</v>
      </c>
      <c r="S691" s="32">
        <v>19.7532</v>
      </c>
      <c r="T691" s="35">
        <v>0.95000000000000007</v>
      </c>
      <c r="U691" s="35">
        <v>0.4</v>
      </c>
      <c r="V691" s="35">
        <v>3.0645161290322583E-2</v>
      </c>
      <c r="W691" s="9" t="s">
        <v>152</v>
      </c>
      <c r="X691" s="15">
        <v>690</v>
      </c>
      <c r="Y691" s="39">
        <v>0.49225567928121333</v>
      </c>
      <c r="Z691" s="39">
        <v>0.47922633313446211</v>
      </c>
      <c r="AA691" s="39">
        <v>0.48379129614830985</v>
      </c>
      <c r="AB691" s="39">
        <v>0.49820829632286073</v>
      </c>
      <c r="AC691" s="39">
        <v>0.48888310255810336</v>
      </c>
      <c r="AD691" s="39">
        <v>0.47094119830856929</v>
      </c>
      <c r="AE691" s="39">
        <v>0.47632795250405979</v>
      </c>
      <c r="AF691" s="40">
        <v>0.49222472360168779</v>
      </c>
    </row>
    <row r="692" spans="1:32">
      <c r="A692" s="15">
        <v>690</v>
      </c>
      <c r="B692" s="16">
        <v>0</v>
      </c>
      <c r="C692" s="20">
        <v>0.93</v>
      </c>
      <c r="D692" s="20">
        <v>0.18747949848141848</v>
      </c>
      <c r="E692" s="20">
        <v>7.0000000000000007E-2</v>
      </c>
      <c r="F692" s="8" t="s">
        <v>434</v>
      </c>
      <c r="G692" s="24">
        <v>0.50972203003712269</v>
      </c>
      <c r="H692" s="24">
        <v>0.51267319048087179</v>
      </c>
      <c r="I692" s="25">
        <v>0.52163914486597696</v>
      </c>
      <c r="L692" s="15">
        <v>690</v>
      </c>
      <c r="M692" s="16">
        <v>0</v>
      </c>
      <c r="N692" s="16">
        <v>2</v>
      </c>
      <c r="O692" s="16">
        <v>9</v>
      </c>
      <c r="P692" s="16">
        <v>164</v>
      </c>
      <c r="Q692" s="29">
        <v>36</v>
      </c>
      <c r="R692" s="20">
        <v>0.63719999999999999</v>
      </c>
      <c r="S692" s="32">
        <v>22.9392</v>
      </c>
      <c r="T692" s="35">
        <v>3.1999999999999997</v>
      </c>
      <c r="U692" s="35">
        <v>2.63</v>
      </c>
      <c r="V692" s="35">
        <v>8.8888888888888878E-2</v>
      </c>
      <c r="W692" s="9" t="s">
        <v>155</v>
      </c>
      <c r="X692" s="15">
        <v>691</v>
      </c>
      <c r="Y692" s="39">
        <v>0.47242623047046434</v>
      </c>
      <c r="Z692" s="39">
        <v>0.48329226706900441</v>
      </c>
      <c r="AA692" s="39">
        <v>0.47561331127083595</v>
      </c>
      <c r="AB692" s="39">
        <v>0.48872438853098965</v>
      </c>
      <c r="AC692" s="39">
        <v>0.46730118470795268</v>
      </c>
      <c r="AD692" s="39">
        <v>0.47455981250372165</v>
      </c>
      <c r="AE692" s="39">
        <v>0.46882892241612745</v>
      </c>
      <c r="AF692" s="40">
        <v>0.48456988439891246</v>
      </c>
    </row>
    <row r="693" spans="1:32">
      <c r="A693" s="15">
        <v>691</v>
      </c>
      <c r="B693" s="16">
        <v>0</v>
      </c>
      <c r="C693" s="20">
        <v>0.34</v>
      </c>
      <c r="D693" s="20">
        <v>0.63446979539506354</v>
      </c>
      <c r="E693" s="20">
        <v>0.05</v>
      </c>
      <c r="F693" s="8" t="s">
        <v>436</v>
      </c>
      <c r="G693" s="24">
        <v>0.88166740739528948</v>
      </c>
      <c r="H693" s="24">
        <v>0.88677203663224502</v>
      </c>
      <c r="I693" s="25">
        <v>0.90228046925181282</v>
      </c>
      <c r="L693" s="15">
        <v>691</v>
      </c>
      <c r="M693" s="16">
        <v>0</v>
      </c>
      <c r="N693" s="16">
        <v>2</v>
      </c>
      <c r="O693" s="16">
        <v>9</v>
      </c>
      <c r="P693" s="16">
        <v>165</v>
      </c>
      <c r="Q693" s="29">
        <v>35</v>
      </c>
      <c r="R693" s="20">
        <v>0.63719999999999999</v>
      </c>
      <c r="S693" s="32">
        <v>22.302</v>
      </c>
      <c r="T693" s="35">
        <v>0.70000000000000007</v>
      </c>
      <c r="U693" s="35">
        <v>0.19</v>
      </c>
      <c r="V693" s="35">
        <v>0.02</v>
      </c>
      <c r="W693" s="9" t="s">
        <v>152</v>
      </c>
      <c r="X693" s="15">
        <v>692</v>
      </c>
      <c r="Y693" s="39">
        <v>0.47256886362509509</v>
      </c>
      <c r="Z693" s="39">
        <v>0.50254388763577118</v>
      </c>
      <c r="AA693" s="39">
        <v>0.48277129234775451</v>
      </c>
      <c r="AB693" s="39">
        <v>0.48871460739057537</v>
      </c>
      <c r="AC693" s="39">
        <v>0.46677249032147333</v>
      </c>
      <c r="AD693" s="39">
        <v>0.49716448619905662</v>
      </c>
      <c r="AE693" s="39">
        <v>0.47530619557102799</v>
      </c>
      <c r="AF693" s="40">
        <v>0.48549323462994992</v>
      </c>
    </row>
    <row r="694" spans="1:32">
      <c r="A694" s="15">
        <v>692</v>
      </c>
      <c r="B694" s="16">
        <v>0</v>
      </c>
      <c r="C694" s="20">
        <v>0.95</v>
      </c>
      <c r="D694" s="20">
        <v>0.15570568692893463</v>
      </c>
      <c r="E694" s="20">
        <v>0.05</v>
      </c>
      <c r="F694" s="8" t="s">
        <v>434</v>
      </c>
      <c r="G694" s="24">
        <v>0.67747190831572324</v>
      </c>
      <c r="H694" s="24">
        <v>0.68139429773535842</v>
      </c>
      <c r="I694" s="25">
        <v>0.69331095400918386</v>
      </c>
      <c r="L694" s="15">
        <v>692</v>
      </c>
      <c r="M694" s="16">
        <v>0</v>
      </c>
      <c r="N694" s="16">
        <v>2</v>
      </c>
      <c r="O694" s="16">
        <v>9</v>
      </c>
      <c r="P694" s="16">
        <v>166</v>
      </c>
      <c r="Q694" s="29">
        <v>31</v>
      </c>
      <c r="R694" s="20">
        <v>0.63719999999999999</v>
      </c>
      <c r="S694" s="32">
        <v>19.7532</v>
      </c>
      <c r="T694" s="35">
        <v>0.97</v>
      </c>
      <c r="U694" s="35">
        <v>0.45</v>
      </c>
      <c r="V694" s="35">
        <v>3.1290322580645159E-2</v>
      </c>
      <c r="W694" s="9" t="s">
        <v>152</v>
      </c>
      <c r="X694" s="15">
        <v>693</v>
      </c>
      <c r="Y694" s="39">
        <v>0.48792079609944922</v>
      </c>
      <c r="Z694" s="39">
        <v>0.49777754750418723</v>
      </c>
      <c r="AA694" s="39">
        <v>0.48470053774327326</v>
      </c>
      <c r="AB694" s="39">
        <v>0.4886827159650044</v>
      </c>
      <c r="AC694" s="39">
        <v>0.48222550592508734</v>
      </c>
      <c r="AD694" s="39">
        <v>0.48888026186683015</v>
      </c>
      <c r="AE694" s="39">
        <v>0.47687504918447665</v>
      </c>
      <c r="AF694" s="40">
        <v>0.48464115715605349</v>
      </c>
    </row>
    <row r="695" spans="1:32">
      <c r="A695" s="15">
        <v>693</v>
      </c>
      <c r="B695" s="16">
        <v>1</v>
      </c>
      <c r="C695" s="20">
        <v>0.32</v>
      </c>
      <c r="D695" s="20">
        <v>0.68253313905010526</v>
      </c>
      <c r="E695" s="20">
        <v>7.0000000000000007E-2</v>
      </c>
      <c r="F695" s="8" t="s">
        <v>436</v>
      </c>
      <c r="G695" s="24">
        <v>1.2938544163551231</v>
      </c>
      <c r="H695" s="24">
        <v>1.3013455031602967</v>
      </c>
      <c r="I695" s="25">
        <v>1.3241042598833717</v>
      </c>
      <c r="L695" s="15">
        <v>693</v>
      </c>
      <c r="M695" s="16">
        <v>0</v>
      </c>
      <c r="N695" s="16">
        <v>2</v>
      </c>
      <c r="O695" s="16">
        <v>9</v>
      </c>
      <c r="P695" s="16">
        <v>167</v>
      </c>
      <c r="Q695" s="29">
        <v>40</v>
      </c>
      <c r="R695" s="20">
        <v>0.63719999999999999</v>
      </c>
      <c r="S695" s="32">
        <v>25.488</v>
      </c>
      <c r="T695" s="35">
        <v>1.01</v>
      </c>
      <c r="U695" s="35">
        <v>0.38</v>
      </c>
      <c r="V695" s="35">
        <v>2.5250000000000002E-2</v>
      </c>
      <c r="W695" s="9" t="s">
        <v>153</v>
      </c>
      <c r="X695" s="15">
        <v>694</v>
      </c>
      <c r="Y695" s="39">
        <v>0.49311493234188292</v>
      </c>
      <c r="Z695" s="39">
        <v>0.48543980456866614</v>
      </c>
      <c r="AA695" s="39">
        <v>0.48237277856229643</v>
      </c>
      <c r="AB695" s="39">
        <v>0.49271269307516102</v>
      </c>
      <c r="AC695" s="39">
        <v>0.48513457364534002</v>
      </c>
      <c r="AD695" s="39">
        <v>0.47650718643254625</v>
      </c>
      <c r="AE695" s="39">
        <v>0.47376130233792768</v>
      </c>
      <c r="AF695" s="40">
        <v>0.48728959395727611</v>
      </c>
    </row>
    <row r="696" spans="1:32">
      <c r="A696" s="15">
        <v>694</v>
      </c>
      <c r="B696" s="16">
        <v>1</v>
      </c>
      <c r="C696" s="20">
        <v>0.06</v>
      </c>
      <c r="D696" s="20">
        <v>0.96256281420274592</v>
      </c>
      <c r="E696" s="20">
        <v>0.51</v>
      </c>
      <c r="F696" s="8" t="s">
        <v>436</v>
      </c>
      <c r="G696" s="24">
        <v>0.91632531359689096</v>
      </c>
      <c r="H696" s="24">
        <v>0.9216306032640772</v>
      </c>
      <c r="I696" s="25">
        <v>0.93774866463770179</v>
      </c>
      <c r="L696" s="15">
        <v>694</v>
      </c>
      <c r="M696" s="16">
        <v>0</v>
      </c>
      <c r="N696" s="16">
        <v>2</v>
      </c>
      <c r="O696" s="16">
        <v>9</v>
      </c>
      <c r="P696" s="16">
        <v>168</v>
      </c>
      <c r="Q696" s="29">
        <v>43</v>
      </c>
      <c r="R696" s="20">
        <v>0.63719999999999999</v>
      </c>
      <c r="S696" s="32">
        <v>27.3996</v>
      </c>
      <c r="T696" s="35">
        <v>1.6400000000000001</v>
      </c>
      <c r="U696" s="35">
        <v>1.01</v>
      </c>
      <c r="V696" s="35">
        <v>3.8139534883720932E-2</v>
      </c>
      <c r="W696" s="9" t="s">
        <v>153</v>
      </c>
      <c r="X696" s="15">
        <v>695</v>
      </c>
      <c r="Y696" s="39">
        <v>0.48678147107373909</v>
      </c>
      <c r="Z696" s="39">
        <v>0.49361816627853972</v>
      </c>
      <c r="AA696" s="39">
        <v>0.48368174966308219</v>
      </c>
      <c r="AB696" s="39">
        <v>0.48624212126141264</v>
      </c>
      <c r="AC696" s="39">
        <v>0.47958873645389999</v>
      </c>
      <c r="AD696" s="39">
        <v>0.48669446029510222</v>
      </c>
      <c r="AE696" s="39">
        <v>0.47842263548369374</v>
      </c>
      <c r="AF696" s="40">
        <v>0.48366630627135315</v>
      </c>
    </row>
    <row r="697" spans="1:32">
      <c r="A697" s="15">
        <v>695</v>
      </c>
      <c r="B697" s="16">
        <v>0</v>
      </c>
      <c r="C697" s="20">
        <v>0.02</v>
      </c>
      <c r="D697" s="20">
        <v>0.99835916395484214</v>
      </c>
      <c r="E697" s="20">
        <v>1</v>
      </c>
      <c r="F697" s="8" t="s">
        <v>436</v>
      </c>
      <c r="G697" s="24">
        <v>1.0437511653040075</v>
      </c>
      <c r="H697" s="24">
        <v>1.049794218126225</v>
      </c>
      <c r="I697" s="25">
        <v>1.0681536862010783</v>
      </c>
      <c r="L697" s="15">
        <v>695</v>
      </c>
      <c r="M697" s="16">
        <v>0</v>
      </c>
      <c r="N697" s="16">
        <v>2</v>
      </c>
      <c r="O697" s="16">
        <v>9</v>
      </c>
      <c r="P697" s="16">
        <v>169</v>
      </c>
      <c r="Q697" s="29">
        <v>36</v>
      </c>
      <c r="R697" s="20">
        <v>0.63719999999999999</v>
      </c>
      <c r="S697" s="32">
        <v>22.9392</v>
      </c>
      <c r="T697" s="35">
        <v>1.1500000000000001</v>
      </c>
      <c r="U697" s="35">
        <v>0.67</v>
      </c>
      <c r="V697" s="35">
        <v>3.1944444444444449E-2</v>
      </c>
      <c r="W697" s="9" t="s">
        <v>153</v>
      </c>
      <c r="X697" s="15">
        <v>696</v>
      </c>
      <c r="Y697" s="39">
        <v>0.48128701173148286</v>
      </c>
      <c r="Z697" s="39">
        <v>0.48316369766794159</v>
      </c>
      <c r="AA697" s="39">
        <v>0.477652442244693</v>
      </c>
      <c r="AB697" s="39">
        <v>0.4888906578994559</v>
      </c>
      <c r="AC697" s="39">
        <v>0.47273862355609031</v>
      </c>
      <c r="AD697" s="39">
        <v>0.47479674696980989</v>
      </c>
      <c r="AE697" s="39">
        <v>0.47200827229750381</v>
      </c>
      <c r="AF697" s="40">
        <v>0.48454791836086991</v>
      </c>
    </row>
    <row r="698" spans="1:32">
      <c r="A698" s="15">
        <v>696</v>
      </c>
      <c r="B698" s="16">
        <v>1</v>
      </c>
      <c r="C698" s="20">
        <v>0.09</v>
      </c>
      <c r="D698" s="20">
        <v>0.93184453493770292</v>
      </c>
      <c r="E698" s="20">
        <v>0.43</v>
      </c>
      <c r="F698" s="8" t="s">
        <v>436</v>
      </c>
      <c r="G698" s="24">
        <v>1.1311044181968759</v>
      </c>
      <c r="H698" s="24">
        <v>1.1376532240558053</v>
      </c>
      <c r="I698" s="25">
        <v>1.1575492262309623</v>
      </c>
      <c r="L698" s="15">
        <v>696</v>
      </c>
      <c r="M698" s="16">
        <v>0</v>
      </c>
      <c r="N698" s="16">
        <v>2</v>
      </c>
      <c r="O698" s="16">
        <v>9</v>
      </c>
      <c r="P698" s="16">
        <v>170</v>
      </c>
      <c r="Q698" s="29">
        <v>31</v>
      </c>
      <c r="R698" s="20">
        <v>0.63719999999999999</v>
      </c>
      <c r="S698" s="32">
        <v>19.7532</v>
      </c>
      <c r="T698" s="35">
        <v>3.37</v>
      </c>
      <c r="U698" s="35">
        <v>2.88</v>
      </c>
      <c r="V698" s="35">
        <v>0.10870967741935485</v>
      </c>
      <c r="W698" s="9" t="s">
        <v>155</v>
      </c>
      <c r="X698" s="15">
        <v>697</v>
      </c>
      <c r="Y698" s="39">
        <v>0.48959026335934924</v>
      </c>
      <c r="Z698" s="39">
        <v>0.49621923662343065</v>
      </c>
      <c r="AA698" s="39">
        <v>0.48405621665383458</v>
      </c>
      <c r="AB698" s="39">
        <v>0.48938191711486639</v>
      </c>
      <c r="AC698" s="39">
        <v>0.48067403162027844</v>
      </c>
      <c r="AD698" s="39">
        <v>0.48919374570508406</v>
      </c>
      <c r="AE698" s="39">
        <v>0.4783186676615952</v>
      </c>
      <c r="AF698" s="40">
        <v>0.48399229233633456</v>
      </c>
    </row>
    <row r="699" spans="1:32">
      <c r="A699" s="15">
        <v>697</v>
      </c>
      <c r="B699" s="16">
        <v>0</v>
      </c>
      <c r="C699" s="20">
        <v>0.9</v>
      </c>
      <c r="D699" s="20">
        <v>0.231595386583653</v>
      </c>
      <c r="E699" s="20">
        <v>0.1</v>
      </c>
      <c r="F699" s="8" t="s">
        <v>434</v>
      </c>
      <c r="G699" s="24">
        <v>0.82926474396364791</v>
      </c>
      <c r="H699" s="24">
        <v>0.83406597515548597</v>
      </c>
      <c r="I699" s="25">
        <v>0.84865265069511775</v>
      </c>
      <c r="L699" s="15">
        <v>697</v>
      </c>
      <c r="M699" s="16">
        <v>0</v>
      </c>
      <c r="N699" s="16">
        <v>2</v>
      </c>
      <c r="O699" s="16">
        <v>9</v>
      </c>
      <c r="P699" s="16">
        <v>171</v>
      </c>
      <c r="Q699" s="29">
        <v>32</v>
      </c>
      <c r="R699" s="20">
        <v>0.63719999999999999</v>
      </c>
      <c r="S699" s="32">
        <v>20.3904</v>
      </c>
      <c r="T699" s="35">
        <v>0.83000000000000007</v>
      </c>
      <c r="U699" s="35">
        <v>0.43</v>
      </c>
      <c r="V699" s="35">
        <v>2.5937500000000002E-2</v>
      </c>
      <c r="W699" s="9" t="s">
        <v>152</v>
      </c>
      <c r="X699" s="15">
        <v>698</v>
      </c>
      <c r="Y699" s="39">
        <v>0.49966208647188676</v>
      </c>
      <c r="Z699" s="39">
        <v>0.48043252147663523</v>
      </c>
      <c r="AA699" s="39">
        <v>0.48900504624805541</v>
      </c>
      <c r="AB699" s="39">
        <v>0.4967105236459356</v>
      </c>
      <c r="AC699" s="39">
        <v>0.49071220096296458</v>
      </c>
      <c r="AD699" s="39">
        <v>0.47116388934685849</v>
      </c>
      <c r="AE699" s="39">
        <v>0.48166556302116437</v>
      </c>
      <c r="AF699" s="40">
        <v>0.48982217326547878</v>
      </c>
    </row>
    <row r="700" spans="1:32">
      <c r="A700" s="15">
        <v>698</v>
      </c>
      <c r="B700" s="16">
        <v>0</v>
      </c>
      <c r="C700" s="20">
        <v>7.0000000000000007E-2</v>
      </c>
      <c r="D700" s="20">
        <v>0.90958452726749339</v>
      </c>
      <c r="E700" s="20">
        <v>0.46</v>
      </c>
      <c r="F700" s="8" t="s">
        <v>436</v>
      </c>
      <c r="G700" s="24">
        <v>1.0008396258628696</v>
      </c>
      <c r="H700" s="24">
        <v>1.0066342318251977</v>
      </c>
      <c r="I700" s="25">
        <v>1.0242388906460822</v>
      </c>
      <c r="L700" s="15">
        <v>698</v>
      </c>
      <c r="M700" s="16">
        <v>0</v>
      </c>
      <c r="N700" s="16">
        <v>2</v>
      </c>
      <c r="O700" s="16">
        <v>9</v>
      </c>
      <c r="P700" s="16">
        <v>172</v>
      </c>
      <c r="Q700" s="29">
        <v>38</v>
      </c>
      <c r="R700" s="20">
        <v>0.63719999999999999</v>
      </c>
      <c r="S700" s="32">
        <v>24.2136</v>
      </c>
      <c r="T700" s="35">
        <v>1.67</v>
      </c>
      <c r="U700" s="35">
        <v>1.24</v>
      </c>
      <c r="V700" s="35">
        <v>4.3947368421052631E-2</v>
      </c>
      <c r="W700" s="9" t="s">
        <v>153</v>
      </c>
      <c r="X700" s="15">
        <v>699</v>
      </c>
      <c r="Y700" s="39">
        <v>0.50349204305272077</v>
      </c>
      <c r="Z700" s="39">
        <v>0.49567992642233299</v>
      </c>
      <c r="AA700" s="39">
        <v>0.49314567119480479</v>
      </c>
      <c r="AB700" s="39">
        <v>0.48938058533975054</v>
      </c>
      <c r="AC700" s="39">
        <v>0.49746238676814741</v>
      </c>
      <c r="AD700" s="39">
        <v>0.48722122397979123</v>
      </c>
      <c r="AE700" s="39">
        <v>0.48383138017918803</v>
      </c>
      <c r="AF700" s="40">
        <v>0.48503406546332867</v>
      </c>
    </row>
    <row r="701" spans="1:32">
      <c r="A701" s="15">
        <v>699</v>
      </c>
      <c r="B701" s="16">
        <v>0</v>
      </c>
      <c r="C701" s="20">
        <v>0.23</v>
      </c>
      <c r="D701" s="20">
        <v>0.73273975119722456</v>
      </c>
      <c r="E701" s="20">
        <v>0.3</v>
      </c>
      <c r="F701" s="8" t="s">
        <v>436</v>
      </c>
      <c r="G701" s="24">
        <v>1.2957944475136705</v>
      </c>
      <c r="H701" s="24">
        <v>1.3032967666040454</v>
      </c>
      <c r="I701" s="25">
        <v>1.3260896482615909</v>
      </c>
      <c r="L701" s="15">
        <v>699</v>
      </c>
      <c r="M701" s="16">
        <v>0</v>
      </c>
      <c r="N701" s="16">
        <v>2</v>
      </c>
      <c r="O701" s="16">
        <v>9</v>
      </c>
      <c r="P701" s="16">
        <v>173</v>
      </c>
      <c r="Q701" s="29">
        <v>36</v>
      </c>
      <c r="R701" s="20">
        <v>0.63719999999999999</v>
      </c>
      <c r="S701" s="32">
        <v>22.9392</v>
      </c>
      <c r="T701" s="35">
        <v>1.8</v>
      </c>
      <c r="U701" s="35">
        <v>1.38</v>
      </c>
      <c r="V701" s="35">
        <v>0.05</v>
      </c>
      <c r="W701" s="9" t="s">
        <v>153</v>
      </c>
      <c r="X701" s="15">
        <v>700</v>
      </c>
      <c r="Y701" s="39">
        <v>0.48423443150045509</v>
      </c>
      <c r="Z701" s="39">
        <v>0.48779346597736278</v>
      </c>
      <c r="AA701" s="39">
        <v>0.48237683683990984</v>
      </c>
      <c r="AB701" s="39">
        <v>0.49201589628665504</v>
      </c>
      <c r="AC701" s="39">
        <v>0.47744917097619299</v>
      </c>
      <c r="AD701" s="39">
        <v>0.48384197184152805</v>
      </c>
      <c r="AE701" s="39">
        <v>0.47786325600235946</v>
      </c>
      <c r="AF701" s="40">
        <v>0.48895699150742084</v>
      </c>
    </row>
    <row r="702" spans="1:32">
      <c r="A702" s="15">
        <v>700</v>
      </c>
      <c r="B702" s="16">
        <v>1</v>
      </c>
      <c r="C702" s="20">
        <v>0.02</v>
      </c>
      <c r="D702" s="20">
        <v>0.99756714174924133</v>
      </c>
      <c r="E702" s="20">
        <v>1</v>
      </c>
      <c r="F702" s="8" t="s">
        <v>436</v>
      </c>
      <c r="G702" s="24">
        <v>1.0540428048812769</v>
      </c>
      <c r="H702" s="24">
        <v>1.0601454436696327</v>
      </c>
      <c r="I702" s="25">
        <v>1.0786859405514833</v>
      </c>
      <c r="L702" s="15">
        <v>700</v>
      </c>
      <c r="M702" s="16">
        <v>0</v>
      </c>
      <c r="N702" s="16">
        <v>2</v>
      </c>
      <c r="O702" s="16">
        <v>9</v>
      </c>
      <c r="P702" s="16">
        <v>174</v>
      </c>
      <c r="Q702" s="29">
        <v>43</v>
      </c>
      <c r="R702" s="20">
        <v>0.63719999999999999</v>
      </c>
      <c r="S702" s="32">
        <v>27.3996</v>
      </c>
      <c r="T702" s="35">
        <v>3.2</v>
      </c>
      <c r="U702" s="35">
        <v>2.57</v>
      </c>
      <c r="V702" s="35">
        <v>7.441860465116279E-2</v>
      </c>
      <c r="W702" s="9" t="s">
        <v>155</v>
      </c>
      <c r="X702" s="15">
        <v>701</v>
      </c>
      <c r="Y702" s="39">
        <v>0.4896396088946724</v>
      </c>
      <c r="Z702" s="39">
        <v>0.50241510337604811</v>
      </c>
      <c r="AA702" s="39">
        <v>0.4872988955641554</v>
      </c>
      <c r="AB702" s="39">
        <v>0.49282231090610573</v>
      </c>
      <c r="AC702" s="39">
        <v>0.48413532360475281</v>
      </c>
      <c r="AD702" s="39">
        <v>0.49642319551118619</v>
      </c>
      <c r="AE702" s="39">
        <v>0.48168298360974776</v>
      </c>
      <c r="AF702" s="40">
        <v>0.48741028500981265</v>
      </c>
    </row>
    <row r="703" spans="1:32">
      <c r="A703" s="15">
        <v>701</v>
      </c>
      <c r="B703" s="16">
        <v>1</v>
      </c>
      <c r="C703" s="20">
        <v>0.68</v>
      </c>
      <c r="D703" s="20">
        <v>0.42317998134272977</v>
      </c>
      <c r="E703" s="20">
        <v>0.09</v>
      </c>
      <c r="F703" s="8" t="s">
        <v>438</v>
      </c>
      <c r="G703" s="24">
        <v>0.77749110488972251</v>
      </c>
      <c r="H703" s="24">
        <v>0.7819925799269114</v>
      </c>
      <c r="I703" s="25">
        <v>0.79566856285580023</v>
      </c>
      <c r="L703" s="15">
        <v>701</v>
      </c>
      <c r="M703" s="16">
        <v>0</v>
      </c>
      <c r="N703" s="16">
        <v>2</v>
      </c>
      <c r="O703" s="16">
        <v>9</v>
      </c>
      <c r="P703" s="16">
        <v>175</v>
      </c>
      <c r="Q703" s="29">
        <v>42</v>
      </c>
      <c r="R703" s="20">
        <v>0.63719999999999999</v>
      </c>
      <c r="S703" s="32">
        <v>26.7624</v>
      </c>
      <c r="T703" s="35">
        <v>3.44</v>
      </c>
      <c r="U703" s="35">
        <v>2.83</v>
      </c>
      <c r="V703" s="35">
        <v>8.1904761904761897E-2</v>
      </c>
      <c r="W703" s="9" t="s">
        <v>155</v>
      </c>
      <c r="X703" s="15">
        <v>702</v>
      </c>
      <c r="Y703" s="39">
        <v>0.47424257099325157</v>
      </c>
      <c r="Z703" s="39">
        <v>0.48751088560002115</v>
      </c>
      <c r="AA703" s="39">
        <v>0.48469863478728559</v>
      </c>
      <c r="AB703" s="39">
        <v>0.49224184303898511</v>
      </c>
      <c r="AC703" s="39">
        <v>0.4674769334615439</v>
      </c>
      <c r="AD703" s="39">
        <v>0.47981879016665485</v>
      </c>
      <c r="AE703" s="39">
        <v>0.47730090558225841</v>
      </c>
      <c r="AF703" s="40">
        <v>0.48903632286149412</v>
      </c>
    </row>
    <row r="704" spans="1:32">
      <c r="A704" s="15">
        <v>702</v>
      </c>
      <c r="B704" s="16">
        <v>0</v>
      </c>
      <c r="C704" s="20">
        <v>0.03</v>
      </c>
      <c r="D704" s="20">
        <v>0.99415958227269285</v>
      </c>
      <c r="E704" s="20">
        <v>1</v>
      </c>
      <c r="F704" s="8" t="s">
        <v>436</v>
      </c>
      <c r="G704" s="24">
        <v>1.0116842047755406</v>
      </c>
      <c r="H704" s="24">
        <v>1.0175415980816174</v>
      </c>
      <c r="I704" s="25">
        <v>1.035337011851527</v>
      </c>
      <c r="L704" s="15">
        <v>702</v>
      </c>
      <c r="M704" s="16">
        <v>0</v>
      </c>
      <c r="N704" s="16">
        <v>2</v>
      </c>
      <c r="O704" s="16">
        <v>9</v>
      </c>
      <c r="P704" s="16">
        <v>176</v>
      </c>
      <c r="Q704" s="29">
        <v>38</v>
      </c>
      <c r="R704" s="20">
        <v>0.63719999999999999</v>
      </c>
      <c r="S704" s="32">
        <v>24.2136</v>
      </c>
      <c r="T704" s="35">
        <v>0.74</v>
      </c>
      <c r="U704" s="35">
        <v>0.21</v>
      </c>
      <c r="V704" s="35">
        <v>1.9473684210526317E-2</v>
      </c>
      <c r="W704" s="9" t="s">
        <v>152</v>
      </c>
      <c r="X704" s="15">
        <v>703</v>
      </c>
      <c r="Y704" s="39">
        <v>0.49535554773316837</v>
      </c>
      <c r="Z704" s="39">
        <v>0.4731655872602028</v>
      </c>
      <c r="AA704" s="39">
        <v>0.48533504800678479</v>
      </c>
      <c r="AB704" s="39">
        <v>0.48118677505041541</v>
      </c>
      <c r="AC704" s="39">
        <v>0.48631575307730329</v>
      </c>
      <c r="AD704" s="39">
        <v>0.465708301379408</v>
      </c>
      <c r="AE704" s="39">
        <v>0.47737909886879887</v>
      </c>
      <c r="AF704" s="40">
        <v>0.47820805688257217</v>
      </c>
    </row>
    <row r="705" spans="1:32">
      <c r="A705" s="15">
        <v>703</v>
      </c>
      <c r="B705" s="16">
        <v>0</v>
      </c>
      <c r="C705" s="20">
        <v>0.94</v>
      </c>
      <c r="D705" s="20">
        <v>0.17188516685452584</v>
      </c>
      <c r="E705" s="20">
        <v>0.06</v>
      </c>
      <c r="F705" s="8" t="s">
        <v>434</v>
      </c>
      <c r="G705" s="24">
        <v>1.3272323823822991</v>
      </c>
      <c r="H705" s="24">
        <v>1.3349167190908073</v>
      </c>
      <c r="I705" s="25">
        <v>1.3582625905611996</v>
      </c>
      <c r="L705" s="15">
        <v>703</v>
      </c>
      <c r="M705" s="16">
        <v>0</v>
      </c>
      <c r="N705" s="16">
        <v>2</v>
      </c>
      <c r="O705" s="16">
        <v>9</v>
      </c>
      <c r="P705" s="16">
        <v>177</v>
      </c>
      <c r="Q705" s="29">
        <v>44</v>
      </c>
      <c r="R705" s="20">
        <v>0.63719999999999999</v>
      </c>
      <c r="S705" s="32">
        <v>28.036799999999999</v>
      </c>
      <c r="T705" s="35">
        <v>1.76</v>
      </c>
      <c r="U705" s="35">
        <v>0.91</v>
      </c>
      <c r="V705" s="35">
        <v>0.04</v>
      </c>
      <c r="W705" s="9" t="s">
        <v>153</v>
      </c>
      <c r="X705" s="15">
        <v>704</v>
      </c>
      <c r="Y705" s="39">
        <v>0.48365349048710238</v>
      </c>
      <c r="Z705" s="39">
        <v>0.47752607163365313</v>
      </c>
      <c r="AA705" s="39">
        <v>0.48347784521906156</v>
      </c>
      <c r="AB705" s="39">
        <v>0.48201382914093949</v>
      </c>
      <c r="AC705" s="39">
        <v>0.47756286959393901</v>
      </c>
      <c r="AD705" s="39">
        <v>0.46979959531008914</v>
      </c>
      <c r="AE705" s="39">
        <v>0.47784021940333055</v>
      </c>
      <c r="AF705" s="40">
        <v>0.47676303158766847</v>
      </c>
    </row>
    <row r="706" spans="1:32">
      <c r="A706" s="15">
        <v>704</v>
      </c>
      <c r="B706" s="16">
        <v>0</v>
      </c>
      <c r="C706" s="20">
        <v>0.93</v>
      </c>
      <c r="D706" s="20">
        <v>0.18747949848141848</v>
      </c>
      <c r="E706" s="20">
        <v>7.0000000000000007E-2</v>
      </c>
      <c r="F706" s="8" t="s">
        <v>434</v>
      </c>
      <c r="G706" s="24">
        <v>0.64079398176815316</v>
      </c>
      <c r="H706" s="24">
        <v>0.64450401535537905</v>
      </c>
      <c r="I706" s="25">
        <v>0.65577551093967756</v>
      </c>
      <c r="L706" s="15">
        <v>704</v>
      </c>
      <c r="M706" s="16">
        <v>0</v>
      </c>
      <c r="N706" s="16">
        <v>2</v>
      </c>
      <c r="O706" s="16">
        <v>10</v>
      </c>
      <c r="P706" s="16">
        <v>178</v>
      </c>
      <c r="Q706" s="29">
        <v>44</v>
      </c>
      <c r="R706" s="20">
        <v>0.63719999999999999</v>
      </c>
      <c r="S706" s="32">
        <v>28.036799999999999</v>
      </c>
      <c r="T706" s="35">
        <v>1.2</v>
      </c>
      <c r="U706" s="35">
        <v>0.47</v>
      </c>
      <c r="V706" s="35">
        <v>2.7272727272727271E-2</v>
      </c>
      <c r="W706" s="9" t="s">
        <v>153</v>
      </c>
      <c r="X706" s="15">
        <v>705</v>
      </c>
      <c r="Y706" s="39">
        <v>0.49663929427423853</v>
      </c>
      <c r="Z706" s="39">
        <v>0.48184457560146038</v>
      </c>
      <c r="AA706" s="39">
        <v>0.49517688782288954</v>
      </c>
      <c r="AB706" s="39">
        <v>0.49653501963239133</v>
      </c>
      <c r="AC706" s="39">
        <v>0.48834801362588659</v>
      </c>
      <c r="AD706" s="39">
        <v>0.47608777504867078</v>
      </c>
      <c r="AE706" s="39">
        <v>0.48863976405680259</v>
      </c>
      <c r="AF706" s="40">
        <v>0.49147995275971967</v>
      </c>
    </row>
    <row r="707" spans="1:32">
      <c r="A707" s="15">
        <v>705</v>
      </c>
      <c r="B707" s="16">
        <v>0</v>
      </c>
      <c r="C707" s="20">
        <v>0.91</v>
      </c>
      <c r="D707" s="20">
        <v>0.21727233298780477</v>
      </c>
      <c r="E707" s="20">
        <v>0.09</v>
      </c>
      <c r="F707" s="8" t="s">
        <v>434</v>
      </c>
      <c r="G707" s="24">
        <v>0.36135875938791384</v>
      </c>
      <c r="H707" s="24">
        <v>0.36345093436538184</v>
      </c>
      <c r="I707" s="25">
        <v>0.36980719515539373</v>
      </c>
      <c r="L707" s="15">
        <v>705</v>
      </c>
      <c r="M707" s="16">
        <v>0</v>
      </c>
      <c r="N707" s="16">
        <v>2</v>
      </c>
      <c r="O707" s="16">
        <v>10</v>
      </c>
      <c r="P707" s="16">
        <v>179</v>
      </c>
      <c r="Q707" s="29">
        <v>20</v>
      </c>
      <c r="R707" s="20">
        <v>0.63719999999999999</v>
      </c>
      <c r="S707" s="32">
        <v>12.744</v>
      </c>
      <c r="T707" s="35">
        <v>0.24</v>
      </c>
      <c r="U707" s="35">
        <v>0.04</v>
      </c>
      <c r="V707" s="35">
        <v>1.2E-2</v>
      </c>
      <c r="W707" s="9" t="s">
        <v>152</v>
      </c>
      <c r="X707" s="15">
        <v>706</v>
      </c>
      <c r="Y707" s="39">
        <v>0.48951720070641347</v>
      </c>
      <c r="Z707" s="39">
        <v>0.48660344126498978</v>
      </c>
      <c r="AA707" s="39">
        <v>0.50171385100484245</v>
      </c>
      <c r="AB707" s="39">
        <v>0.49870055334485514</v>
      </c>
      <c r="AC707" s="39">
        <v>0.48440822747389939</v>
      </c>
      <c r="AD707" s="39">
        <v>0.47812238850759647</v>
      </c>
      <c r="AE707" s="39">
        <v>0.49478525978520016</v>
      </c>
      <c r="AF707" s="40">
        <v>0.49353978172515089</v>
      </c>
    </row>
    <row r="708" spans="1:32">
      <c r="A708" s="15">
        <v>706</v>
      </c>
      <c r="B708" s="16">
        <v>0</v>
      </c>
      <c r="C708" s="20">
        <v>0.02</v>
      </c>
      <c r="D708" s="20">
        <v>0.99917029198757767</v>
      </c>
      <c r="E708" s="20">
        <v>1</v>
      </c>
      <c r="F708" s="8" t="s">
        <v>436</v>
      </c>
      <c r="G708" s="24">
        <v>1.0427076365748615</v>
      </c>
      <c r="H708" s="24">
        <v>1.0487446476321054</v>
      </c>
      <c r="I708" s="25">
        <v>1.0670857601515114</v>
      </c>
      <c r="L708" s="15">
        <v>706</v>
      </c>
      <c r="M708" s="16">
        <v>0</v>
      </c>
      <c r="N708" s="16">
        <v>2</v>
      </c>
      <c r="O708" s="16">
        <v>10</v>
      </c>
      <c r="P708" s="16">
        <v>180</v>
      </c>
      <c r="Q708" s="29">
        <v>34</v>
      </c>
      <c r="R708" s="20">
        <v>0.63719999999999999</v>
      </c>
      <c r="S708" s="32">
        <v>21.6648</v>
      </c>
      <c r="T708" s="35">
        <v>0.44</v>
      </c>
      <c r="U708" s="35">
        <v>0.06</v>
      </c>
      <c r="V708" s="35">
        <v>1.2941176470588235E-2</v>
      </c>
      <c r="W708" s="9" t="s">
        <v>152</v>
      </c>
      <c r="X708" s="15">
        <v>707</v>
      </c>
      <c r="Y708" s="39">
        <v>0.49396966895144373</v>
      </c>
      <c r="Z708" s="39">
        <v>0.49261747587598625</v>
      </c>
      <c r="AA708" s="39">
        <v>0.47056790494098333</v>
      </c>
      <c r="AB708" s="39">
        <v>0.49676130916217098</v>
      </c>
      <c r="AC708" s="39">
        <v>0.48801245382089992</v>
      </c>
      <c r="AD708" s="39">
        <v>0.48359653235195854</v>
      </c>
      <c r="AE708" s="39">
        <v>0.46432367022072563</v>
      </c>
      <c r="AF708" s="40">
        <v>0.49155663827374962</v>
      </c>
    </row>
    <row r="709" spans="1:32">
      <c r="A709" s="15">
        <v>707</v>
      </c>
      <c r="B709" s="16">
        <v>1</v>
      </c>
      <c r="C709" s="20">
        <v>0.02</v>
      </c>
      <c r="D709" s="20">
        <v>0.99835916395484214</v>
      </c>
      <c r="E709" s="20">
        <v>1</v>
      </c>
      <c r="F709" s="8" t="s">
        <v>436</v>
      </c>
      <c r="G709" s="24">
        <v>1.0453830772975636</v>
      </c>
      <c r="H709" s="24">
        <v>1.0514355784736666</v>
      </c>
      <c r="I709" s="25">
        <v>1.069823751700804</v>
      </c>
      <c r="L709" s="15">
        <v>707</v>
      </c>
      <c r="M709" s="16">
        <v>0</v>
      </c>
      <c r="N709" s="16">
        <v>2</v>
      </c>
      <c r="O709" s="16">
        <v>10</v>
      </c>
      <c r="P709" s="16">
        <v>181</v>
      </c>
      <c r="Q709" s="29">
        <v>34</v>
      </c>
      <c r="R709" s="20">
        <v>0.63719999999999999</v>
      </c>
      <c r="S709" s="32">
        <v>21.6648</v>
      </c>
      <c r="T709" s="35">
        <v>0.94000000000000006</v>
      </c>
      <c r="U709" s="35">
        <v>0.57999999999999996</v>
      </c>
      <c r="V709" s="35">
        <v>2.7647058823529413E-2</v>
      </c>
      <c r="W709" s="9" t="s">
        <v>152</v>
      </c>
      <c r="X709" s="15">
        <v>708</v>
      </c>
      <c r="Y709" s="39">
        <v>0.49049281561473734</v>
      </c>
      <c r="Z709" s="39">
        <v>0.48887784855192234</v>
      </c>
      <c r="AA709" s="39">
        <v>0.49931963767568027</v>
      </c>
      <c r="AB709" s="39">
        <v>0.47803409034899441</v>
      </c>
      <c r="AC709" s="39">
        <v>0.4824082926565616</v>
      </c>
      <c r="AD709" s="39">
        <v>0.48293324372386026</v>
      </c>
      <c r="AE709" s="39">
        <v>0.49253161768127485</v>
      </c>
      <c r="AF709" s="40">
        <v>0.47342306642912491</v>
      </c>
    </row>
    <row r="710" spans="1:32">
      <c r="A710" s="15">
        <v>708</v>
      </c>
      <c r="B710" s="16">
        <v>0</v>
      </c>
      <c r="C710" s="20">
        <v>0.62</v>
      </c>
      <c r="D710" s="20">
        <v>0.55856760849704512</v>
      </c>
      <c r="E710" s="20">
        <v>0.38</v>
      </c>
      <c r="F710" s="8" t="s">
        <v>438</v>
      </c>
      <c r="G710" s="24">
        <v>1.0215299128412718</v>
      </c>
      <c r="H710" s="24">
        <v>1.0274443102838624</v>
      </c>
      <c r="I710" s="25">
        <v>1.0454129089745805</v>
      </c>
      <c r="L710" s="15">
        <v>708</v>
      </c>
      <c r="M710" s="16">
        <v>0</v>
      </c>
      <c r="N710" s="16">
        <v>2</v>
      </c>
      <c r="O710" s="16">
        <v>10</v>
      </c>
      <c r="P710" s="16">
        <v>182</v>
      </c>
      <c r="Q710" s="29">
        <v>47</v>
      </c>
      <c r="R710" s="20">
        <v>0.63719999999999999</v>
      </c>
      <c r="S710" s="32">
        <v>29.948399999999999</v>
      </c>
      <c r="T710" s="35">
        <v>1.23</v>
      </c>
      <c r="U710" s="35">
        <v>0.49</v>
      </c>
      <c r="V710" s="35">
        <v>2.6170212765957445E-2</v>
      </c>
      <c r="W710" s="9" t="s">
        <v>153</v>
      </c>
      <c r="X710" s="15">
        <v>709</v>
      </c>
      <c r="Y710" s="39">
        <v>0.48048599259910019</v>
      </c>
      <c r="Z710" s="39">
        <v>0.48607278265396159</v>
      </c>
      <c r="AA710" s="39">
        <v>0.49525214096178199</v>
      </c>
      <c r="AB710" s="39">
        <v>0.49375653694830207</v>
      </c>
      <c r="AC710" s="39">
        <v>0.47318000107266789</v>
      </c>
      <c r="AD710" s="39">
        <v>0.47796085479195449</v>
      </c>
      <c r="AE710" s="39">
        <v>0.48937510035908643</v>
      </c>
      <c r="AF710" s="40">
        <v>0.48881863402399056</v>
      </c>
    </row>
    <row r="711" spans="1:32">
      <c r="A711" s="15">
        <v>709</v>
      </c>
      <c r="B711" s="16">
        <v>1</v>
      </c>
      <c r="C711" s="20">
        <v>0.91</v>
      </c>
      <c r="D711" s="20">
        <v>0.21727233298780477</v>
      </c>
      <c r="E711" s="20">
        <v>0.09</v>
      </c>
      <c r="F711" s="8" t="s">
        <v>434</v>
      </c>
      <c r="G711" s="24">
        <v>0.50468414106066861</v>
      </c>
      <c r="H711" s="24">
        <v>0.50760613341320104</v>
      </c>
      <c r="I711" s="25">
        <v>0.51648347188591004</v>
      </c>
      <c r="L711" s="15">
        <v>709</v>
      </c>
      <c r="M711" s="16">
        <v>0</v>
      </c>
      <c r="N711" s="16">
        <v>2</v>
      </c>
      <c r="O711" s="16">
        <v>10</v>
      </c>
      <c r="P711" s="16">
        <v>183</v>
      </c>
      <c r="Q711" s="29">
        <v>36</v>
      </c>
      <c r="R711" s="20">
        <v>0.63719999999999999</v>
      </c>
      <c r="S711" s="32">
        <v>22.9392</v>
      </c>
      <c r="T711" s="35">
        <v>0.75</v>
      </c>
      <c r="U711" s="35">
        <v>0.21</v>
      </c>
      <c r="V711" s="35">
        <v>2.0833333333333332E-2</v>
      </c>
      <c r="W711" s="9" t="s">
        <v>152</v>
      </c>
      <c r="X711" s="15">
        <v>710</v>
      </c>
      <c r="Y711" s="39">
        <v>0.48800496205981531</v>
      </c>
      <c r="Z711" s="39">
        <v>0.50194797637897948</v>
      </c>
      <c r="AA711" s="39">
        <v>0.46810845610576751</v>
      </c>
      <c r="AB711" s="39">
        <v>0.50110815555713484</v>
      </c>
      <c r="AC711" s="39">
        <v>0.48202599468471863</v>
      </c>
      <c r="AD711" s="39">
        <v>0.49461767381166905</v>
      </c>
      <c r="AE711" s="39">
        <v>0.46178640281114713</v>
      </c>
      <c r="AF711" s="40">
        <v>0.49883205825480992</v>
      </c>
    </row>
    <row r="712" spans="1:32">
      <c r="A712" s="15">
        <v>710</v>
      </c>
      <c r="B712" s="16">
        <v>1</v>
      </c>
      <c r="C712" s="20">
        <v>0.94</v>
      </c>
      <c r="D712" s="20">
        <v>0.17188516685452584</v>
      </c>
      <c r="E712" s="20">
        <v>0.06</v>
      </c>
      <c r="F712" s="8" t="s">
        <v>434</v>
      </c>
      <c r="G712" s="24">
        <v>1.0707344150569564</v>
      </c>
      <c r="H712" s="24">
        <v>1.0769336940075775</v>
      </c>
      <c r="I712" s="25">
        <v>1.0957677944745785</v>
      </c>
      <c r="L712" s="15">
        <v>710</v>
      </c>
      <c r="M712" s="16">
        <v>0</v>
      </c>
      <c r="N712" s="16">
        <v>2</v>
      </c>
      <c r="O712" s="16">
        <v>10</v>
      </c>
      <c r="P712" s="16">
        <v>184</v>
      </c>
      <c r="Q712" s="29">
        <v>33</v>
      </c>
      <c r="R712" s="20">
        <v>0.63719999999999999</v>
      </c>
      <c r="S712" s="32">
        <v>21.0276</v>
      </c>
      <c r="T712" s="35">
        <v>0.54</v>
      </c>
      <c r="U712" s="35">
        <v>0.06</v>
      </c>
      <c r="V712" s="35">
        <v>1.6363636363636365E-2</v>
      </c>
      <c r="W712" s="9" t="s">
        <v>152</v>
      </c>
      <c r="X712" s="15">
        <v>711</v>
      </c>
      <c r="Y712" s="39">
        <v>0.48526785198382588</v>
      </c>
      <c r="Z712" s="39">
        <v>0.48945500037667172</v>
      </c>
      <c r="AA712" s="39">
        <v>0.49473131451960722</v>
      </c>
      <c r="AB712" s="39">
        <v>0.48665403695126169</v>
      </c>
      <c r="AC712" s="39">
        <v>0.47983530505016858</v>
      </c>
      <c r="AD712" s="39">
        <v>0.48676308101952692</v>
      </c>
      <c r="AE712" s="39">
        <v>0.48866123314455356</v>
      </c>
      <c r="AF712" s="40">
        <v>0.48457759643166404</v>
      </c>
    </row>
    <row r="713" spans="1:32">
      <c r="A713" s="15">
        <v>711</v>
      </c>
      <c r="B713" s="16">
        <v>0</v>
      </c>
      <c r="C713" s="20">
        <v>0.12</v>
      </c>
      <c r="D713" s="20">
        <v>0.89778865821647691</v>
      </c>
      <c r="E713" s="20">
        <v>0.08</v>
      </c>
      <c r="F713" s="8" t="s">
        <v>436</v>
      </c>
      <c r="G713" s="24">
        <v>0.96637791956540886</v>
      </c>
      <c r="H713" s="24">
        <v>0.97197300104486994</v>
      </c>
      <c r="I713" s="25">
        <v>0.98897148224640874</v>
      </c>
      <c r="L713" s="15">
        <v>711</v>
      </c>
      <c r="M713" s="16">
        <v>0</v>
      </c>
      <c r="N713" s="16">
        <v>2</v>
      </c>
      <c r="O713" s="16">
        <v>10</v>
      </c>
      <c r="P713" s="16">
        <v>185</v>
      </c>
      <c r="Q713" s="29">
        <v>45</v>
      </c>
      <c r="R713" s="20">
        <v>0.63719999999999999</v>
      </c>
      <c r="S713" s="32">
        <v>28.673999999999999</v>
      </c>
      <c r="T713" s="35">
        <v>0.87</v>
      </c>
      <c r="U713" s="35">
        <v>0.3</v>
      </c>
      <c r="V713" s="35">
        <v>1.9333333333333334E-2</v>
      </c>
      <c r="W713" s="9" t="s">
        <v>152</v>
      </c>
      <c r="X713" s="15">
        <v>712</v>
      </c>
      <c r="Y713" s="39">
        <v>0.50643476481967298</v>
      </c>
      <c r="Z713" s="39">
        <v>0.47714706225914472</v>
      </c>
      <c r="AA713" s="39">
        <v>0.47958452748960417</v>
      </c>
      <c r="AB713" s="39">
        <v>0.49302145284214954</v>
      </c>
      <c r="AC713" s="39">
        <v>0.4998224915127103</v>
      </c>
      <c r="AD713" s="39">
        <v>0.4716627828613606</v>
      </c>
      <c r="AE713" s="39">
        <v>0.47161926789585779</v>
      </c>
      <c r="AF713" s="40">
        <v>0.48963960919564598</v>
      </c>
    </row>
    <row r="714" spans="1:32">
      <c r="A714" s="15">
        <v>712</v>
      </c>
      <c r="B714" s="16">
        <v>1</v>
      </c>
      <c r="C714" s="20">
        <v>0.08</v>
      </c>
      <c r="D714" s="20">
        <v>0.9459987110537682</v>
      </c>
      <c r="E714" s="20">
        <v>0.42</v>
      </c>
      <c r="F714" s="8" t="s">
        <v>436</v>
      </c>
      <c r="G714" s="24">
        <v>1.1152517562690645</v>
      </c>
      <c r="H714" s="24">
        <v>1.1217087792619362</v>
      </c>
      <c r="I714" s="25">
        <v>1.1413259348592499</v>
      </c>
      <c r="L714" s="15">
        <v>712</v>
      </c>
      <c r="M714" s="16">
        <v>0</v>
      </c>
      <c r="N714" s="16">
        <v>2</v>
      </c>
      <c r="O714" s="16">
        <v>10</v>
      </c>
      <c r="P714" s="16">
        <v>186</v>
      </c>
      <c r="Q714" s="29">
        <v>37</v>
      </c>
      <c r="R714" s="20">
        <v>0.63719999999999999</v>
      </c>
      <c r="S714" s="32">
        <v>23.5764</v>
      </c>
      <c r="T714" s="35">
        <v>1.72</v>
      </c>
      <c r="U714" s="35">
        <v>1.1200000000000001</v>
      </c>
      <c r="V714" s="35">
        <v>4.6486486486486484E-2</v>
      </c>
      <c r="W714" s="9" t="s">
        <v>153</v>
      </c>
      <c r="X714" s="15">
        <v>713</v>
      </c>
      <c r="Y714" s="39">
        <v>0.48584807849895517</v>
      </c>
      <c r="Z714" s="39">
        <v>0.47863808112929423</v>
      </c>
      <c r="AA714" s="39">
        <v>0.49039178495566554</v>
      </c>
      <c r="AB714" s="39">
        <v>0.48224445053437642</v>
      </c>
      <c r="AC714" s="39">
        <v>0.4799734924988312</v>
      </c>
      <c r="AD714" s="39">
        <v>0.47287335237913386</v>
      </c>
      <c r="AE714" s="39">
        <v>0.48292223106208571</v>
      </c>
      <c r="AF714" s="40">
        <v>0.47826212705771709</v>
      </c>
    </row>
    <row r="715" spans="1:32">
      <c r="A715" s="15">
        <v>713</v>
      </c>
      <c r="B715" s="16">
        <v>1</v>
      </c>
      <c r="C715" s="20">
        <v>0.11</v>
      </c>
      <c r="D715" s="20">
        <v>0.92305568271525562</v>
      </c>
      <c r="E715" s="20">
        <v>0.41</v>
      </c>
      <c r="F715" s="8" t="s">
        <v>436</v>
      </c>
      <c r="G715" s="24">
        <v>1.0243790995070696</v>
      </c>
      <c r="H715" s="24">
        <v>1.03030999301318</v>
      </c>
      <c r="I715" s="25">
        <v>1.0483287085836381</v>
      </c>
      <c r="L715" s="15">
        <v>713</v>
      </c>
      <c r="M715" s="16">
        <v>0</v>
      </c>
      <c r="N715" s="16">
        <v>2</v>
      </c>
      <c r="O715" s="16">
        <v>10</v>
      </c>
      <c r="P715" s="16">
        <v>187</v>
      </c>
      <c r="Q715" s="29">
        <v>38</v>
      </c>
      <c r="R715" s="20">
        <v>0.63719999999999999</v>
      </c>
      <c r="S715" s="32">
        <v>24.2136</v>
      </c>
      <c r="T715" s="35">
        <v>0.64</v>
      </c>
      <c r="U715" s="35">
        <v>7.0000000000000007E-2</v>
      </c>
      <c r="V715" s="35">
        <v>1.6842105263157894E-2</v>
      </c>
      <c r="W715" s="9" t="s">
        <v>152</v>
      </c>
      <c r="X715" s="15">
        <v>714</v>
      </c>
      <c r="Y715" s="39">
        <v>0.4739385094807046</v>
      </c>
      <c r="Z715" s="39">
        <v>0.49106110402786735</v>
      </c>
      <c r="AA715" s="39">
        <v>0.48520558790064061</v>
      </c>
      <c r="AB715" s="39">
        <v>0.49073092871941987</v>
      </c>
      <c r="AC715" s="39">
        <v>0.46787960454184285</v>
      </c>
      <c r="AD715" s="39">
        <v>0.48324426722712133</v>
      </c>
      <c r="AE715" s="39">
        <v>0.47636601110567345</v>
      </c>
      <c r="AF715" s="40">
        <v>0.48513789088973874</v>
      </c>
    </row>
    <row r="716" spans="1:32">
      <c r="A716" s="15">
        <v>714</v>
      </c>
      <c r="B716" s="16">
        <v>1</v>
      </c>
      <c r="C716" s="20">
        <v>0.91</v>
      </c>
      <c r="D716" s="20">
        <v>0.21727233298780477</v>
      </c>
      <c r="E716" s="20">
        <v>0.09</v>
      </c>
      <c r="F716" s="8" t="s">
        <v>434</v>
      </c>
      <c r="G716" s="24">
        <v>0.50052114117514646</v>
      </c>
      <c r="H716" s="24">
        <v>0.50341903082097694</v>
      </c>
      <c r="I716" s="25">
        <v>0.5122231425840692</v>
      </c>
      <c r="L716" s="15">
        <v>714</v>
      </c>
      <c r="M716" s="16">
        <v>0</v>
      </c>
      <c r="N716" s="16">
        <v>2</v>
      </c>
      <c r="O716" s="16">
        <v>11</v>
      </c>
      <c r="P716" s="16">
        <v>196</v>
      </c>
      <c r="Q716" s="29">
        <v>66</v>
      </c>
      <c r="R716" s="20">
        <v>0.63719999999999999</v>
      </c>
      <c r="S716" s="32">
        <v>42.055199999999999</v>
      </c>
      <c r="T716" s="35">
        <v>1.85</v>
      </c>
      <c r="U716" s="35">
        <v>0.8</v>
      </c>
      <c r="V716" s="35">
        <v>2.803030303030303E-2</v>
      </c>
      <c r="W716" s="9" t="s">
        <v>153</v>
      </c>
      <c r="X716" s="15">
        <v>715</v>
      </c>
      <c r="Y716" s="39">
        <v>0.48680887817495272</v>
      </c>
      <c r="Z716" s="39">
        <v>0.47269873262412604</v>
      </c>
      <c r="AA716" s="39">
        <v>0.48610932131732026</v>
      </c>
      <c r="AB716" s="39">
        <v>0.4793970324931589</v>
      </c>
      <c r="AC716" s="39">
        <v>0.48065095582635531</v>
      </c>
      <c r="AD716" s="39">
        <v>0.46539557532577808</v>
      </c>
      <c r="AE716" s="39">
        <v>0.47904336032015127</v>
      </c>
      <c r="AF716" s="40">
        <v>0.47153249292538479</v>
      </c>
    </row>
    <row r="717" spans="1:32">
      <c r="A717" s="15">
        <v>715</v>
      </c>
      <c r="B717" s="16">
        <v>1</v>
      </c>
      <c r="C717" s="20">
        <v>0.02</v>
      </c>
      <c r="D717" s="20">
        <v>0.99835916395484214</v>
      </c>
      <c r="E717" s="20">
        <v>1</v>
      </c>
      <c r="F717" s="8" t="s">
        <v>436</v>
      </c>
      <c r="G717" s="24">
        <v>0.9703323427242706</v>
      </c>
      <c r="H717" s="24">
        <v>0.97595031930442688</v>
      </c>
      <c r="I717" s="25">
        <v>0.99301835837392605</v>
      </c>
      <c r="L717" s="15">
        <v>715</v>
      </c>
      <c r="M717" s="16">
        <v>0</v>
      </c>
      <c r="N717" s="16">
        <v>2</v>
      </c>
      <c r="O717" s="16">
        <v>11</v>
      </c>
      <c r="P717" s="16">
        <v>197</v>
      </c>
      <c r="Q717" s="29">
        <v>27</v>
      </c>
      <c r="R717" s="20">
        <v>0.63719999999999999</v>
      </c>
      <c r="S717" s="32">
        <v>17.2044</v>
      </c>
      <c r="T717" s="35">
        <v>1.02</v>
      </c>
      <c r="U717" s="35">
        <v>0.62</v>
      </c>
      <c r="V717" s="35">
        <v>3.7777777777777778E-2</v>
      </c>
      <c r="W717" s="9" t="s">
        <v>153</v>
      </c>
      <c r="X717" s="15">
        <v>716</v>
      </c>
      <c r="Y717" s="39">
        <v>0.49050788730041489</v>
      </c>
      <c r="Z717" s="39">
        <v>0.47456670183072264</v>
      </c>
      <c r="AA717" s="39">
        <v>0.48952898768498493</v>
      </c>
      <c r="AB717" s="39">
        <v>0.48151165851261607</v>
      </c>
      <c r="AC717" s="39">
        <v>0.48581845842365856</v>
      </c>
      <c r="AD717" s="39">
        <v>0.46674691488941367</v>
      </c>
      <c r="AE717" s="39">
        <v>0.48345375609988056</v>
      </c>
      <c r="AF717" s="40">
        <v>0.48010601387877772</v>
      </c>
    </row>
    <row r="718" spans="1:32">
      <c r="A718" s="15">
        <v>716</v>
      </c>
      <c r="B718" s="16">
        <v>0</v>
      </c>
      <c r="C718" s="20">
        <v>0.92</v>
      </c>
      <c r="D718" s="20">
        <v>0.20258497911151899</v>
      </c>
      <c r="E718" s="20">
        <v>0.08</v>
      </c>
      <c r="F718" s="8" t="s">
        <v>434</v>
      </c>
      <c r="G718" s="24">
        <v>0.44237937601106408</v>
      </c>
      <c r="H718" s="24">
        <v>0.44494063967769271</v>
      </c>
      <c r="I718" s="25">
        <v>0.45272204419328249</v>
      </c>
      <c r="L718" s="15">
        <v>716</v>
      </c>
      <c r="M718" s="16">
        <v>0</v>
      </c>
      <c r="N718" s="16">
        <v>2</v>
      </c>
      <c r="O718" s="16">
        <v>11</v>
      </c>
      <c r="P718" s="16">
        <v>198</v>
      </c>
      <c r="Q718" s="29">
        <v>47</v>
      </c>
      <c r="R718" s="20">
        <v>0.63719999999999999</v>
      </c>
      <c r="S718" s="32">
        <v>29.948399999999999</v>
      </c>
      <c r="T718" s="35">
        <v>2.2000000000000002</v>
      </c>
      <c r="U718" s="35">
        <v>1.5</v>
      </c>
      <c r="V718" s="35">
        <v>4.6808510638297877E-2</v>
      </c>
      <c r="W718" s="9" t="s">
        <v>154</v>
      </c>
      <c r="X718" s="15">
        <v>717</v>
      </c>
      <c r="Y718" s="39">
        <v>0.47354686197473256</v>
      </c>
      <c r="Z718" s="39">
        <v>0.48810502190066207</v>
      </c>
      <c r="AA718" s="39">
        <v>0.48299467430024617</v>
      </c>
      <c r="AB718" s="39">
        <v>0.48471596778607695</v>
      </c>
      <c r="AC718" s="39">
        <v>0.46750624707537064</v>
      </c>
      <c r="AD718" s="39">
        <v>0.48059962966226116</v>
      </c>
      <c r="AE718" s="39">
        <v>0.47506069440138882</v>
      </c>
      <c r="AF718" s="40">
        <v>0.48193170007869751</v>
      </c>
    </row>
    <row r="719" spans="1:32">
      <c r="A719" s="15">
        <v>717</v>
      </c>
      <c r="B719" s="16">
        <v>0</v>
      </c>
      <c r="C719" s="20">
        <v>0.21</v>
      </c>
      <c r="D719" s="20">
        <v>0.81028210882506757</v>
      </c>
      <c r="E719" s="20">
        <v>0.08</v>
      </c>
      <c r="F719" s="8" t="s">
        <v>436</v>
      </c>
      <c r="G719" s="24">
        <v>0.75552510138208828</v>
      </c>
      <c r="H719" s="24">
        <v>0.75989939886594626</v>
      </c>
      <c r="I719" s="25">
        <v>0.77318900221171571</v>
      </c>
      <c r="L719" s="15">
        <v>717</v>
      </c>
      <c r="M719" s="16">
        <v>0</v>
      </c>
      <c r="N719" s="16">
        <v>2</v>
      </c>
      <c r="O719" s="16">
        <v>11</v>
      </c>
      <c r="P719" s="16">
        <v>199</v>
      </c>
      <c r="Q719" s="29">
        <v>64</v>
      </c>
      <c r="R719" s="20">
        <v>0.63719999999999999</v>
      </c>
      <c r="S719" s="32">
        <v>40.780799999999999</v>
      </c>
      <c r="T719" s="35">
        <v>4.53</v>
      </c>
      <c r="U719" s="35">
        <v>3.57</v>
      </c>
      <c r="V719" s="35">
        <v>7.0781250000000004E-2</v>
      </c>
      <c r="W719" s="9" t="s">
        <v>155</v>
      </c>
      <c r="X719" s="15">
        <v>718</v>
      </c>
      <c r="Y719" s="39">
        <v>0.49165822524477193</v>
      </c>
      <c r="Z719" s="39">
        <v>0.47496716564569247</v>
      </c>
      <c r="AA719" s="39">
        <v>0.49574534487052296</v>
      </c>
      <c r="AB719" s="39">
        <v>0.4950459382937607</v>
      </c>
      <c r="AC719" s="39">
        <v>0.484289403734742</v>
      </c>
      <c r="AD719" s="39">
        <v>0.4683868667421156</v>
      </c>
      <c r="AE719" s="39">
        <v>0.48876048006922207</v>
      </c>
      <c r="AF719" s="40">
        <v>0.48904522475146744</v>
      </c>
    </row>
    <row r="720" spans="1:32">
      <c r="A720" s="15">
        <v>718</v>
      </c>
      <c r="B720" s="16">
        <v>1</v>
      </c>
      <c r="C720" s="20">
        <v>0.03</v>
      </c>
      <c r="D720" s="20">
        <v>0.99275631294341449</v>
      </c>
      <c r="E720" s="20">
        <v>1</v>
      </c>
      <c r="F720" s="8" t="s">
        <v>436</v>
      </c>
      <c r="G720" s="24">
        <v>0.90333896031064675</v>
      </c>
      <c r="H720" s="24">
        <v>0.9085690623071645</v>
      </c>
      <c r="I720" s="25">
        <v>0.92445869515635426</v>
      </c>
      <c r="L720" s="15">
        <v>718</v>
      </c>
      <c r="M720" s="16">
        <v>0</v>
      </c>
      <c r="N720" s="16">
        <v>2</v>
      </c>
      <c r="O720" s="16">
        <v>11</v>
      </c>
      <c r="P720" s="16">
        <v>200</v>
      </c>
      <c r="Q720" s="29">
        <v>66</v>
      </c>
      <c r="R720" s="20">
        <v>0.63719999999999999</v>
      </c>
      <c r="S720" s="32">
        <v>42.055199999999999</v>
      </c>
      <c r="T720" s="35">
        <v>2.96</v>
      </c>
      <c r="U720" s="35">
        <v>2.0099999999999998</v>
      </c>
      <c r="V720" s="35">
        <v>4.4848484848484846E-2</v>
      </c>
      <c r="W720" s="9" t="s">
        <v>154</v>
      </c>
      <c r="X720" s="15">
        <v>719</v>
      </c>
      <c r="Y720" s="39">
        <v>0.48225249924886132</v>
      </c>
      <c r="Z720" s="39">
        <v>0.48608870797245463</v>
      </c>
      <c r="AA720" s="39">
        <v>0.48515895268323217</v>
      </c>
      <c r="AB720" s="39">
        <v>0.48578304736501215</v>
      </c>
      <c r="AC720" s="39">
        <v>0.47498014296857188</v>
      </c>
      <c r="AD720" s="39">
        <v>0.47916227179869519</v>
      </c>
      <c r="AE720" s="39">
        <v>0.47795322100385235</v>
      </c>
      <c r="AF720" s="40">
        <v>0.47974350727624521</v>
      </c>
    </row>
    <row r="721" spans="1:32">
      <c r="A721" s="15">
        <v>719</v>
      </c>
      <c r="B721" s="16">
        <v>1</v>
      </c>
      <c r="C721" s="20">
        <v>0.02</v>
      </c>
      <c r="D721" s="20">
        <v>0.99679477127711513</v>
      </c>
      <c r="E721" s="20">
        <v>1</v>
      </c>
      <c r="F721" s="8" t="s">
        <v>436</v>
      </c>
      <c r="G721" s="24">
        <v>1.1347594782107118</v>
      </c>
      <c r="H721" s="24">
        <v>1.1413294459341412</v>
      </c>
      <c r="I721" s="25">
        <v>1.1612897402124991</v>
      </c>
      <c r="L721" s="15">
        <v>719</v>
      </c>
      <c r="M721" s="16">
        <v>0</v>
      </c>
      <c r="N721" s="16">
        <v>2</v>
      </c>
      <c r="O721" s="16">
        <v>11</v>
      </c>
      <c r="P721" s="16">
        <v>201</v>
      </c>
      <c r="Q721" s="29">
        <v>48</v>
      </c>
      <c r="R721" s="20">
        <v>0.63719999999999999</v>
      </c>
      <c r="S721" s="32">
        <v>30.585599999999999</v>
      </c>
      <c r="T721" s="35">
        <v>1.1400000000000001</v>
      </c>
      <c r="U721" s="35">
        <v>0.49</v>
      </c>
      <c r="V721" s="35">
        <v>2.3750000000000004E-2</v>
      </c>
      <c r="W721" s="9" t="s">
        <v>153</v>
      </c>
      <c r="X721" s="15">
        <v>720</v>
      </c>
      <c r="Y721" s="39">
        <v>0.46471168223996984</v>
      </c>
      <c r="Z721" s="39">
        <v>0.48522537853499365</v>
      </c>
      <c r="AA721" s="39">
        <v>0.47950940472361991</v>
      </c>
      <c r="AB721" s="39">
        <v>0.48169497962245733</v>
      </c>
      <c r="AC721" s="39">
        <v>0.4606663035465296</v>
      </c>
      <c r="AD721" s="39">
        <v>0.47848407677629062</v>
      </c>
      <c r="AE721" s="39">
        <v>0.47171678155717001</v>
      </c>
      <c r="AF721" s="40">
        <v>0.47667630043136505</v>
      </c>
    </row>
    <row r="722" spans="1:32">
      <c r="A722" s="15">
        <v>720</v>
      </c>
      <c r="B722" s="16">
        <v>0</v>
      </c>
      <c r="C722" s="20">
        <v>0.02</v>
      </c>
      <c r="D722" s="20">
        <v>0.99679477127711513</v>
      </c>
      <c r="E722" s="20">
        <v>1</v>
      </c>
      <c r="F722" s="8" t="s">
        <v>436</v>
      </c>
      <c r="G722" s="24">
        <v>0.96116343085249412</v>
      </c>
      <c r="H722" s="24">
        <v>0.96672832177334267</v>
      </c>
      <c r="I722" s="25">
        <v>0.98363508069256567</v>
      </c>
      <c r="L722" s="15">
        <v>720</v>
      </c>
      <c r="M722" s="16">
        <v>0</v>
      </c>
      <c r="N722" s="16">
        <v>2</v>
      </c>
      <c r="O722" s="16">
        <v>11</v>
      </c>
      <c r="P722" s="16">
        <v>202</v>
      </c>
      <c r="Q722" s="29">
        <v>62</v>
      </c>
      <c r="R722" s="20">
        <v>0.63719999999999999</v>
      </c>
      <c r="S722" s="32">
        <v>39.506399999999999</v>
      </c>
      <c r="T722" s="35">
        <v>1.32</v>
      </c>
      <c r="U722" s="35">
        <v>0.45</v>
      </c>
      <c r="V722" s="35">
        <v>2.1290322580645161E-2</v>
      </c>
      <c r="W722" s="9" t="s">
        <v>153</v>
      </c>
      <c r="X722" s="15">
        <v>721</v>
      </c>
      <c r="Y722" s="39">
        <v>0.49454856734397407</v>
      </c>
      <c r="Z722" s="39">
        <v>0.4776968497133337</v>
      </c>
      <c r="AA722" s="39">
        <v>0.49509026202615414</v>
      </c>
      <c r="AB722" s="39">
        <v>0.48441921804403043</v>
      </c>
      <c r="AC722" s="39">
        <v>0.48844421342376254</v>
      </c>
      <c r="AD722" s="39">
        <v>0.47136920107446717</v>
      </c>
      <c r="AE722" s="39">
        <v>0.48957113897835364</v>
      </c>
      <c r="AF722" s="40">
        <v>0.4802381886364297</v>
      </c>
    </row>
    <row r="723" spans="1:32">
      <c r="A723" s="15">
        <v>721</v>
      </c>
      <c r="B723" s="16">
        <v>1</v>
      </c>
      <c r="C723" s="20">
        <v>0.36</v>
      </c>
      <c r="D723" s="20">
        <v>0.59844495601596592</v>
      </c>
      <c r="E723" s="20">
        <v>0.1</v>
      </c>
      <c r="F723" s="8" t="s">
        <v>436</v>
      </c>
      <c r="G723" s="24">
        <v>1.3208221615382085</v>
      </c>
      <c r="H723" s="24">
        <v>1.3284693847042839</v>
      </c>
      <c r="I723" s="25">
        <v>1.3517025010958297</v>
      </c>
      <c r="L723" s="15">
        <v>721</v>
      </c>
      <c r="M723" s="16">
        <v>0</v>
      </c>
      <c r="N723" s="16">
        <v>2</v>
      </c>
      <c r="O723" s="16">
        <v>11</v>
      </c>
      <c r="P723" s="16">
        <v>203</v>
      </c>
      <c r="Q723" s="29">
        <v>58</v>
      </c>
      <c r="R723" s="20">
        <v>0.63719999999999999</v>
      </c>
      <c r="S723" s="32">
        <v>36.957599999999999</v>
      </c>
      <c r="T723" s="35">
        <v>1.84</v>
      </c>
      <c r="U723" s="35">
        <v>1.02</v>
      </c>
      <c r="V723" s="35">
        <v>3.1724137931034485E-2</v>
      </c>
      <c r="W723" s="9" t="s">
        <v>153</v>
      </c>
      <c r="X723" s="15">
        <v>722</v>
      </c>
      <c r="Y723" s="39">
        <v>0.49369347001206842</v>
      </c>
      <c r="Z723" s="39">
        <v>0.49722170588508058</v>
      </c>
      <c r="AA723" s="39">
        <v>0.49194874387262966</v>
      </c>
      <c r="AB723" s="39">
        <v>0.48532581652269796</v>
      </c>
      <c r="AC723" s="39">
        <v>0.48703553808344158</v>
      </c>
      <c r="AD723" s="39">
        <v>0.48958563233254626</v>
      </c>
      <c r="AE723" s="39">
        <v>0.48405931275731995</v>
      </c>
      <c r="AF723" s="40">
        <v>0.48344958934576115</v>
      </c>
    </row>
    <row r="724" spans="1:32">
      <c r="A724" s="15">
        <v>722</v>
      </c>
      <c r="B724" s="16">
        <v>1</v>
      </c>
      <c r="C724" s="20">
        <v>0.02</v>
      </c>
      <c r="D724" s="20">
        <v>0.99917029198757767</v>
      </c>
      <c r="E724" s="20">
        <v>1</v>
      </c>
      <c r="F724" s="8" t="s">
        <v>436</v>
      </c>
      <c r="G724" s="24">
        <v>1.1113491308393533</v>
      </c>
      <c r="H724" s="24">
        <v>1.1177835586271598</v>
      </c>
      <c r="I724" s="25">
        <v>1.1373320674728657</v>
      </c>
      <c r="L724" s="15">
        <v>722</v>
      </c>
      <c r="M724" s="16">
        <v>0</v>
      </c>
      <c r="N724" s="16">
        <v>2</v>
      </c>
      <c r="O724" s="16">
        <v>11</v>
      </c>
      <c r="P724" s="16">
        <v>204</v>
      </c>
      <c r="Q724" s="29">
        <v>63</v>
      </c>
      <c r="R724" s="20">
        <v>0.63719999999999999</v>
      </c>
      <c r="S724" s="32">
        <v>40.143599999999999</v>
      </c>
      <c r="T724" s="35">
        <v>1.59</v>
      </c>
      <c r="U724" s="35">
        <v>0.52</v>
      </c>
      <c r="V724" s="35">
        <v>2.523809523809524E-2</v>
      </c>
      <c r="W724" s="9" t="s">
        <v>153</v>
      </c>
      <c r="X724" s="15">
        <v>723</v>
      </c>
      <c r="Y724" s="39">
        <v>0.49604097193656604</v>
      </c>
      <c r="Z724" s="39">
        <v>0.48987527722807589</v>
      </c>
      <c r="AA724" s="39">
        <v>0.50166377905888071</v>
      </c>
      <c r="AB724" s="39">
        <v>0.48438396988054294</v>
      </c>
      <c r="AC724" s="39">
        <v>0.48997733907551594</v>
      </c>
      <c r="AD724" s="39">
        <v>0.48564859674770083</v>
      </c>
      <c r="AE724" s="39">
        <v>0.49351092721458178</v>
      </c>
      <c r="AF724" s="40">
        <v>0.47979362529709163</v>
      </c>
    </row>
    <row r="725" spans="1:32">
      <c r="A725" s="15">
        <v>723</v>
      </c>
      <c r="B725" s="16">
        <v>0</v>
      </c>
      <c r="C725" s="20">
        <v>0.01</v>
      </c>
      <c r="D725" s="20">
        <v>0.99999999999999978</v>
      </c>
      <c r="E725" s="20">
        <v>1</v>
      </c>
      <c r="F725" s="8" t="s">
        <v>436</v>
      </c>
      <c r="G725" s="24">
        <v>1.0241093036842293</v>
      </c>
      <c r="H725" s="24">
        <v>1.0300386351413928</v>
      </c>
      <c r="I725" s="25">
        <v>1.0480526050330332</v>
      </c>
      <c r="L725" s="15">
        <v>723</v>
      </c>
      <c r="M725" s="16">
        <v>0</v>
      </c>
      <c r="N725" s="16">
        <v>2</v>
      </c>
      <c r="O725" s="16">
        <v>11</v>
      </c>
      <c r="P725" s="16">
        <v>205</v>
      </c>
      <c r="Q725" s="29">
        <v>68</v>
      </c>
      <c r="R725" s="20">
        <v>0.63719999999999999</v>
      </c>
      <c r="S725" s="32">
        <v>43.329599999999999</v>
      </c>
      <c r="T725" s="35">
        <v>3.02</v>
      </c>
      <c r="U725" s="35">
        <v>1.96</v>
      </c>
      <c r="V725" s="35">
        <v>4.4411764705882352E-2</v>
      </c>
      <c r="W725" s="9" t="s">
        <v>155</v>
      </c>
      <c r="X725" s="15">
        <v>724</v>
      </c>
      <c r="Y725" s="39">
        <v>0.48476100069413436</v>
      </c>
      <c r="Z725" s="39">
        <v>0.4875578576027858</v>
      </c>
      <c r="AA725" s="39">
        <v>0.47364780250311322</v>
      </c>
      <c r="AB725" s="39">
        <v>0.47163034051867575</v>
      </c>
      <c r="AC725" s="39">
        <v>0.47720769447757544</v>
      </c>
      <c r="AD725" s="39">
        <v>0.47928567910236181</v>
      </c>
      <c r="AE725" s="39">
        <v>0.46780742235215106</v>
      </c>
      <c r="AF725" s="40">
        <v>0.4673165096961065</v>
      </c>
    </row>
    <row r="726" spans="1:32">
      <c r="A726" s="15">
        <v>724</v>
      </c>
      <c r="B726" s="16">
        <v>1</v>
      </c>
      <c r="C726" s="20">
        <v>0.96</v>
      </c>
      <c r="D726" s="20">
        <v>0.13880369068795359</v>
      </c>
      <c r="E726" s="20">
        <v>0.04</v>
      </c>
      <c r="F726" s="8" t="s">
        <v>434</v>
      </c>
      <c r="G726" s="24">
        <v>1.5163146312070872</v>
      </c>
      <c r="H726" s="24">
        <v>1.5250937058717049</v>
      </c>
      <c r="I726" s="25">
        <v>1.5517655132799115</v>
      </c>
      <c r="L726" s="15">
        <v>724</v>
      </c>
      <c r="M726" s="16">
        <v>0</v>
      </c>
      <c r="N726" s="16">
        <v>2</v>
      </c>
      <c r="O726" s="16">
        <v>12</v>
      </c>
      <c r="P726" s="16">
        <v>206</v>
      </c>
      <c r="Q726" s="29">
        <v>42</v>
      </c>
      <c r="R726" s="20">
        <v>0.63719999999999999</v>
      </c>
      <c r="S726" s="32">
        <v>26.7624</v>
      </c>
      <c r="T726" s="35">
        <v>0.72</v>
      </c>
      <c r="U726" s="35">
        <v>0.06</v>
      </c>
      <c r="V726" s="35">
        <v>1.7142857142857144E-2</v>
      </c>
      <c r="W726" s="9" t="s">
        <v>152</v>
      </c>
      <c r="X726" s="15">
        <v>725</v>
      </c>
      <c r="Y726" s="39">
        <v>0.46519124368194392</v>
      </c>
      <c r="Z726" s="39">
        <v>0.47477239290347756</v>
      </c>
      <c r="AA726" s="39">
        <v>0.48060375988691145</v>
      </c>
      <c r="AB726" s="39">
        <v>0.48912430995117273</v>
      </c>
      <c r="AC726" s="39">
        <v>0.45838309731993782</v>
      </c>
      <c r="AD726" s="39">
        <v>0.46775346223710773</v>
      </c>
      <c r="AE726" s="39">
        <v>0.47418476525104708</v>
      </c>
      <c r="AF726" s="40">
        <v>0.48865330401803203</v>
      </c>
    </row>
    <row r="727" spans="1:32">
      <c r="A727" s="15">
        <v>725</v>
      </c>
      <c r="B727" s="16">
        <v>0</v>
      </c>
      <c r="C727" s="20">
        <v>0.47</v>
      </c>
      <c r="D727" s="20">
        <v>0.47147904543010166</v>
      </c>
      <c r="E727" s="20">
        <v>0.09</v>
      </c>
      <c r="F727" s="8" t="s">
        <v>436</v>
      </c>
      <c r="G727" s="24">
        <v>0.86771378109883945</v>
      </c>
      <c r="H727" s="24">
        <v>0.87273762240130071</v>
      </c>
      <c r="I727" s="25">
        <v>0.88800061227068627</v>
      </c>
      <c r="L727" s="15">
        <v>725</v>
      </c>
      <c r="M727" s="16">
        <v>0</v>
      </c>
      <c r="N727" s="16">
        <v>2</v>
      </c>
      <c r="O727" s="16">
        <v>12</v>
      </c>
      <c r="P727" s="16">
        <v>207</v>
      </c>
      <c r="Q727" s="29">
        <v>47</v>
      </c>
      <c r="R727" s="20">
        <v>0.63719999999999999</v>
      </c>
      <c r="S727" s="32">
        <v>29.948399999999999</v>
      </c>
      <c r="T727" s="35">
        <v>1.2</v>
      </c>
      <c r="U727" s="35">
        <v>0.35</v>
      </c>
      <c r="V727" s="35">
        <v>2.553191489361702E-2</v>
      </c>
      <c r="W727" s="9" t="s">
        <v>153</v>
      </c>
      <c r="X727" s="15">
        <v>726</v>
      </c>
      <c r="Y727" s="39">
        <v>0.48976274006676473</v>
      </c>
      <c r="Z727" s="39">
        <v>0.47780984161278428</v>
      </c>
      <c r="AA727" s="39">
        <v>0.47089855662655378</v>
      </c>
      <c r="AB727" s="39">
        <v>0.50433311916235568</v>
      </c>
      <c r="AC727" s="39">
        <v>0.48444243870823395</v>
      </c>
      <c r="AD727" s="39">
        <v>0.4689874783913856</v>
      </c>
      <c r="AE727" s="39">
        <v>0.46317159454247397</v>
      </c>
      <c r="AF727" s="40">
        <v>0.4985929834810463</v>
      </c>
    </row>
    <row r="728" spans="1:32">
      <c r="A728" s="15">
        <v>726</v>
      </c>
      <c r="B728" s="16">
        <v>0</v>
      </c>
      <c r="C728" s="20">
        <v>0.2</v>
      </c>
      <c r="D728" s="20">
        <v>0.72907640581977795</v>
      </c>
      <c r="E728" s="20">
        <v>0.13</v>
      </c>
      <c r="F728" s="8" t="s">
        <v>436</v>
      </c>
      <c r="G728" s="24">
        <v>1.0835191428644555</v>
      </c>
      <c r="H728" s="24">
        <v>1.0897924421256895</v>
      </c>
      <c r="I728" s="25">
        <v>1.1088514245471544</v>
      </c>
      <c r="L728" s="15">
        <v>726</v>
      </c>
      <c r="M728" s="16">
        <v>0</v>
      </c>
      <c r="N728" s="16">
        <v>2</v>
      </c>
      <c r="O728" s="16">
        <v>12</v>
      </c>
      <c r="P728" s="16">
        <v>208</v>
      </c>
      <c r="Q728" s="29">
        <v>47</v>
      </c>
      <c r="R728" s="20">
        <v>0.63719999999999999</v>
      </c>
      <c r="S728" s="32">
        <v>29.948399999999999</v>
      </c>
      <c r="T728" s="35">
        <v>1.49</v>
      </c>
      <c r="U728" s="35">
        <v>0.75</v>
      </c>
      <c r="V728" s="35">
        <v>3.1702127659574468E-2</v>
      </c>
      <c r="W728" s="9" t="s">
        <v>153</v>
      </c>
      <c r="X728" s="15">
        <v>727</v>
      </c>
      <c r="Y728" s="39">
        <v>0.49202400544574765</v>
      </c>
      <c r="Z728" s="39">
        <v>0.4895641328600504</v>
      </c>
      <c r="AA728" s="39">
        <v>0.47608652381623473</v>
      </c>
      <c r="AB728" s="39">
        <v>0.47244756023983059</v>
      </c>
      <c r="AC728" s="39">
        <v>0.48801212839466868</v>
      </c>
      <c r="AD728" s="39">
        <v>0.47841715463195561</v>
      </c>
      <c r="AE728" s="39">
        <v>0.46699830208944415</v>
      </c>
      <c r="AF728" s="40">
        <v>0.46681978980355276</v>
      </c>
    </row>
    <row r="729" spans="1:32">
      <c r="A729" s="15">
        <v>727</v>
      </c>
      <c r="B729" s="16">
        <v>0</v>
      </c>
      <c r="C729" s="20">
        <v>0.02</v>
      </c>
      <c r="D729" s="20">
        <v>0.99604261948721451</v>
      </c>
      <c r="E729" s="20">
        <v>1</v>
      </c>
      <c r="F729" s="8" t="s">
        <v>436</v>
      </c>
      <c r="G729" s="24">
        <v>1.0610664277232797</v>
      </c>
      <c r="H729" s="24">
        <v>1.0672097314950613</v>
      </c>
      <c r="I729" s="25">
        <v>1.0858737731293624</v>
      </c>
      <c r="L729" s="15">
        <v>727</v>
      </c>
      <c r="M729" s="16">
        <v>0</v>
      </c>
      <c r="N729" s="16">
        <v>2</v>
      </c>
      <c r="O729" s="16">
        <v>12</v>
      </c>
      <c r="P729" s="16">
        <v>209</v>
      </c>
      <c r="Q729" s="29">
        <v>65</v>
      </c>
      <c r="R729" s="20">
        <v>0.63719999999999999</v>
      </c>
      <c r="S729" s="32">
        <v>41.417999999999999</v>
      </c>
      <c r="T729" s="35">
        <v>4.2299999999999995</v>
      </c>
      <c r="U729" s="35">
        <v>3.24</v>
      </c>
      <c r="V729" s="35">
        <v>6.5076923076923074E-2</v>
      </c>
      <c r="W729" s="9" t="s">
        <v>155</v>
      </c>
      <c r="X729" s="15">
        <v>728</v>
      </c>
      <c r="Y729" s="39">
        <v>0.48716327890060457</v>
      </c>
      <c r="Z729" s="39">
        <v>0.48248883449146274</v>
      </c>
      <c r="AA729" s="39">
        <v>0.4987357343365747</v>
      </c>
      <c r="AB729" s="39">
        <v>0.49390687884332446</v>
      </c>
      <c r="AC729" s="39">
        <v>0.4810986488608644</v>
      </c>
      <c r="AD729" s="39">
        <v>0.47549767753029631</v>
      </c>
      <c r="AE729" s="39">
        <v>0.49303784562458991</v>
      </c>
      <c r="AF729" s="40">
        <v>0.48921500777846055</v>
      </c>
    </row>
    <row r="730" spans="1:32">
      <c r="A730" s="15">
        <v>728</v>
      </c>
      <c r="B730" s="16">
        <v>0</v>
      </c>
      <c r="C730" s="20">
        <v>0.92</v>
      </c>
      <c r="D730" s="20">
        <v>0.20258497911151899</v>
      </c>
      <c r="E730" s="20">
        <v>0.08</v>
      </c>
      <c r="F730" s="8" t="s">
        <v>434</v>
      </c>
      <c r="G730" s="24">
        <v>0.69250220307581756</v>
      </c>
      <c r="H730" s="24">
        <v>0.69651161406552431</v>
      </c>
      <c r="I730" s="25">
        <v>0.7086926515692602</v>
      </c>
      <c r="L730" s="15">
        <v>728</v>
      </c>
      <c r="M730" s="16">
        <v>0</v>
      </c>
      <c r="N730" s="16">
        <v>2</v>
      </c>
      <c r="O730" s="16">
        <v>12</v>
      </c>
      <c r="P730" s="16">
        <v>210</v>
      </c>
      <c r="Q730" s="29">
        <v>43</v>
      </c>
      <c r="R730" s="20">
        <v>0.63719999999999999</v>
      </c>
      <c r="S730" s="32">
        <v>27.3996</v>
      </c>
      <c r="T730" s="35">
        <v>1.49</v>
      </c>
      <c r="U730" s="35">
        <v>0.78</v>
      </c>
      <c r="V730" s="35">
        <v>3.4651162790697673E-2</v>
      </c>
      <c r="W730" s="9" t="s">
        <v>153</v>
      </c>
      <c r="X730" s="15">
        <v>729</v>
      </c>
      <c r="Y730" s="39">
        <v>0.47815501711814334</v>
      </c>
      <c r="Z730" s="39">
        <v>0.47977999710902486</v>
      </c>
      <c r="AA730" s="39">
        <v>0.48710516281464539</v>
      </c>
      <c r="AB730" s="39">
        <v>0.49924169179300637</v>
      </c>
      <c r="AC730" s="39">
        <v>0.4707749783728622</v>
      </c>
      <c r="AD730" s="39">
        <v>0.47521559583464851</v>
      </c>
      <c r="AE730" s="39">
        <v>0.48314228209139465</v>
      </c>
      <c r="AF730" s="40">
        <v>0.49571465505761275</v>
      </c>
    </row>
    <row r="731" spans="1:32">
      <c r="A731" s="15">
        <v>729</v>
      </c>
      <c r="B731" s="16">
        <v>0</v>
      </c>
      <c r="C731" s="20">
        <v>0.95</v>
      </c>
      <c r="D731" s="20">
        <v>0.15570568692893463</v>
      </c>
      <c r="E731" s="20">
        <v>0.05</v>
      </c>
      <c r="F731" s="8" t="s">
        <v>434</v>
      </c>
      <c r="G731" s="24">
        <v>0.48663596164104178</v>
      </c>
      <c r="H731" s="24">
        <v>0.48945345964166043</v>
      </c>
      <c r="I731" s="25">
        <v>0.49801333262558378</v>
      </c>
      <c r="L731" s="15">
        <v>729</v>
      </c>
      <c r="M731" s="16">
        <v>0</v>
      </c>
      <c r="N731" s="16">
        <v>2</v>
      </c>
      <c r="O731" s="16">
        <v>12</v>
      </c>
      <c r="P731" s="16">
        <v>211</v>
      </c>
      <c r="Q731" s="29">
        <v>48</v>
      </c>
      <c r="R731" s="20">
        <v>0.63719999999999999</v>
      </c>
      <c r="S731" s="32">
        <v>30.585599999999999</v>
      </c>
      <c r="T731" s="35">
        <v>2.02</v>
      </c>
      <c r="U731" s="35">
        <v>1.28</v>
      </c>
      <c r="V731" s="35">
        <v>4.2083333333333334E-2</v>
      </c>
      <c r="W731" s="9" t="s">
        <v>154</v>
      </c>
      <c r="X731" s="15">
        <v>730</v>
      </c>
      <c r="Y731" s="39">
        <v>0.48371606537707917</v>
      </c>
      <c r="Z731" s="39">
        <v>0.48501900801456926</v>
      </c>
      <c r="AA731" s="39">
        <v>0.47342901245090202</v>
      </c>
      <c r="AB731" s="39">
        <v>0.49778324151232317</v>
      </c>
      <c r="AC731" s="39">
        <v>0.47632049298183027</v>
      </c>
      <c r="AD731" s="39">
        <v>0.47875642670137269</v>
      </c>
      <c r="AE731" s="39">
        <v>0.4669227322915947</v>
      </c>
      <c r="AF731" s="40">
        <v>0.493789717542645</v>
      </c>
    </row>
    <row r="732" spans="1:32">
      <c r="A732" s="15">
        <v>730</v>
      </c>
      <c r="B732" s="16">
        <v>0</v>
      </c>
      <c r="C732" s="20">
        <v>0.94</v>
      </c>
      <c r="D732" s="20">
        <v>0.17188516685452584</v>
      </c>
      <c r="E732" s="20">
        <v>0.06</v>
      </c>
      <c r="F732" s="8" t="s">
        <v>434</v>
      </c>
      <c r="G732" s="24">
        <v>1.5740034789122321</v>
      </c>
      <c r="H732" s="24">
        <v>1.5831165572795749</v>
      </c>
      <c r="I732" s="25">
        <v>1.6108031051670499</v>
      </c>
      <c r="L732" s="15">
        <v>730</v>
      </c>
      <c r="M732" s="16">
        <v>0</v>
      </c>
      <c r="N732" s="16">
        <v>2</v>
      </c>
      <c r="O732" s="16">
        <v>12</v>
      </c>
      <c r="P732" s="16">
        <v>212</v>
      </c>
      <c r="Q732" s="29">
        <v>14</v>
      </c>
      <c r="R732" s="20">
        <v>0.63719999999999999</v>
      </c>
      <c r="S732" s="32">
        <v>8.9207999999999998</v>
      </c>
      <c r="T732" s="35">
        <v>1.22</v>
      </c>
      <c r="U732" s="35">
        <v>0.97</v>
      </c>
      <c r="V732" s="35">
        <v>8.7142857142857147E-2</v>
      </c>
      <c r="W732" s="9" t="s">
        <v>153</v>
      </c>
      <c r="X732" s="15">
        <v>731</v>
      </c>
      <c r="Y732" s="39">
        <v>0.48779262685008956</v>
      </c>
      <c r="Z732" s="39">
        <v>0.49267138702065605</v>
      </c>
      <c r="AA732" s="39">
        <v>0.48207824983710529</v>
      </c>
      <c r="AB732" s="39">
        <v>0.48666821814295158</v>
      </c>
      <c r="AC732" s="39">
        <v>0.47971557008818166</v>
      </c>
      <c r="AD732" s="39">
        <v>0.48297547880911684</v>
      </c>
      <c r="AE732" s="39">
        <v>0.47375282033648936</v>
      </c>
      <c r="AF732" s="40">
        <v>0.48329686579981379</v>
      </c>
    </row>
    <row r="733" spans="1:32">
      <c r="A733" s="15">
        <v>731</v>
      </c>
      <c r="B733" s="16">
        <v>0</v>
      </c>
      <c r="C733" s="20">
        <v>0.1</v>
      </c>
      <c r="D733" s="20">
        <v>0.92725812052838386</v>
      </c>
      <c r="E733" s="20">
        <v>0.46</v>
      </c>
      <c r="F733" s="8" t="s">
        <v>436</v>
      </c>
      <c r="G733" s="24">
        <v>1.0589771693955594</v>
      </c>
      <c r="H733" s="24">
        <v>1.0651083768949214</v>
      </c>
      <c r="I733" s="25">
        <v>1.0837356687052768</v>
      </c>
      <c r="L733" s="15">
        <v>731</v>
      </c>
      <c r="M733" s="16">
        <v>0</v>
      </c>
      <c r="N733" s="16">
        <v>2</v>
      </c>
      <c r="O733" s="16">
        <v>12</v>
      </c>
      <c r="P733" s="16">
        <v>213</v>
      </c>
      <c r="Q733" s="29">
        <v>45</v>
      </c>
      <c r="R733" s="20">
        <v>0.63719999999999999</v>
      </c>
      <c r="S733" s="32">
        <v>28.673999999999999</v>
      </c>
      <c r="T733" s="35">
        <v>0.76</v>
      </c>
      <c r="U733" s="35">
        <v>0.21</v>
      </c>
      <c r="V733" s="35">
        <v>1.6888888888888891E-2</v>
      </c>
      <c r="W733" s="9" t="s">
        <v>152</v>
      </c>
      <c r="X733" s="15">
        <v>732</v>
      </c>
      <c r="Y733" s="39">
        <v>0.49348351713409999</v>
      </c>
      <c r="Z733" s="39">
        <v>0.48266960052763341</v>
      </c>
      <c r="AA733" s="39">
        <v>0.48557596529278285</v>
      </c>
      <c r="AB733" s="39">
        <v>0.48348367796621061</v>
      </c>
      <c r="AC733" s="39">
        <v>0.48511154566257264</v>
      </c>
      <c r="AD733" s="39">
        <v>0.47691576884916065</v>
      </c>
      <c r="AE733" s="39">
        <v>0.47738678569097098</v>
      </c>
      <c r="AF733" s="40">
        <v>0.48022618520981258</v>
      </c>
    </row>
    <row r="734" spans="1:32">
      <c r="A734" s="15">
        <v>732</v>
      </c>
      <c r="B734" s="16">
        <v>1</v>
      </c>
      <c r="C734" s="20">
        <v>0.93</v>
      </c>
      <c r="D734" s="20">
        <v>0.18747949848141848</v>
      </c>
      <c r="E734" s="20">
        <v>7.0000000000000007E-2</v>
      </c>
      <c r="F734" s="8" t="s">
        <v>434</v>
      </c>
      <c r="G734" s="24">
        <v>0.54432852487048466</v>
      </c>
      <c r="H734" s="24">
        <v>0.54748004808576556</v>
      </c>
      <c r="I734" s="25">
        <v>0.55705472690462077</v>
      </c>
      <c r="L734" s="15">
        <v>732</v>
      </c>
      <c r="M734" s="16">
        <v>0</v>
      </c>
      <c r="N734" s="16">
        <v>2</v>
      </c>
      <c r="O734" s="16">
        <v>12</v>
      </c>
      <c r="P734" s="16">
        <v>214</v>
      </c>
      <c r="Q734" s="29">
        <v>34</v>
      </c>
      <c r="R734" s="20">
        <v>0.63719999999999999</v>
      </c>
      <c r="S734" s="32">
        <v>21.6648</v>
      </c>
      <c r="T734" s="35">
        <v>0.97</v>
      </c>
      <c r="U734" s="35">
        <v>0.47</v>
      </c>
      <c r="V734" s="35">
        <v>2.8529411764705883E-2</v>
      </c>
      <c r="W734" s="9" t="s">
        <v>152</v>
      </c>
      <c r="X734" s="15">
        <v>733</v>
      </c>
      <c r="Y734" s="39">
        <v>0.48412300253773699</v>
      </c>
      <c r="Z734" s="39">
        <v>0.47969826861531623</v>
      </c>
      <c r="AA734" s="39">
        <v>0.47841251354093178</v>
      </c>
      <c r="AB734" s="39">
        <v>0.49072128197284048</v>
      </c>
      <c r="AC734" s="39">
        <v>0.48072480201671747</v>
      </c>
      <c r="AD734" s="39">
        <v>0.47234336245171876</v>
      </c>
      <c r="AE734" s="39">
        <v>0.47279206064853346</v>
      </c>
      <c r="AF734" s="40">
        <v>0.48506953172342721</v>
      </c>
    </row>
    <row r="735" spans="1:32">
      <c r="A735" s="15">
        <v>733</v>
      </c>
      <c r="B735" s="16">
        <v>0</v>
      </c>
      <c r="C735" s="20">
        <v>0.2</v>
      </c>
      <c r="D735" s="20">
        <v>0.88849324405457408</v>
      </c>
      <c r="E735" s="20">
        <v>0.4</v>
      </c>
      <c r="F735" s="8" t="s">
        <v>436</v>
      </c>
      <c r="G735" s="24">
        <v>0.94422781715716608</v>
      </c>
      <c r="H735" s="24">
        <v>0.94969465519765428</v>
      </c>
      <c r="I735" s="25">
        <v>0.96630351853668228</v>
      </c>
      <c r="L735" s="15">
        <v>733</v>
      </c>
      <c r="M735" s="16">
        <v>0</v>
      </c>
      <c r="N735" s="16">
        <v>2</v>
      </c>
      <c r="O735" s="16">
        <v>12</v>
      </c>
      <c r="P735" s="16">
        <v>215</v>
      </c>
      <c r="Q735" s="29">
        <v>39</v>
      </c>
      <c r="R735" s="20">
        <v>0.63719999999999999</v>
      </c>
      <c r="S735" s="32">
        <v>24.8508</v>
      </c>
      <c r="T735" s="35">
        <v>2.0700000000000003</v>
      </c>
      <c r="U735" s="35">
        <v>1.4</v>
      </c>
      <c r="V735" s="35">
        <v>5.3076923076923084E-2</v>
      </c>
      <c r="W735" s="9" t="s">
        <v>154</v>
      </c>
      <c r="X735" s="15">
        <v>734</v>
      </c>
      <c r="Y735" s="39">
        <v>0.49814870101877978</v>
      </c>
      <c r="Z735" s="39">
        <v>0.48841681106633361</v>
      </c>
      <c r="AA735" s="39">
        <v>0.49387474206799842</v>
      </c>
      <c r="AB735" s="39">
        <v>0.48719643603699747</v>
      </c>
      <c r="AC735" s="39">
        <v>0.4901992580386193</v>
      </c>
      <c r="AD735" s="39">
        <v>0.48166595651216004</v>
      </c>
      <c r="AE735" s="39">
        <v>0.4868589523933487</v>
      </c>
      <c r="AF735" s="40">
        <v>0.48280897246239296</v>
      </c>
    </row>
    <row r="736" spans="1:32">
      <c r="A736" s="15">
        <v>734</v>
      </c>
      <c r="B736" s="16">
        <v>0</v>
      </c>
      <c r="C736" s="20">
        <v>0.02</v>
      </c>
      <c r="D736" s="20">
        <v>0.99917029198757767</v>
      </c>
      <c r="E736" s="20">
        <v>1</v>
      </c>
      <c r="F736" s="8" t="s">
        <v>436</v>
      </c>
      <c r="G736" s="24">
        <v>1.0176741649959737</v>
      </c>
      <c r="H736" s="24">
        <v>1.0235662386427471</v>
      </c>
      <c r="I736" s="25">
        <v>1.0414670151534058</v>
      </c>
      <c r="L736" s="15">
        <v>734</v>
      </c>
      <c r="M736" s="16">
        <v>0</v>
      </c>
      <c r="N736" s="16">
        <v>2</v>
      </c>
      <c r="O736" s="16">
        <v>12</v>
      </c>
      <c r="P736" s="16">
        <v>216</v>
      </c>
      <c r="Q736" s="29">
        <v>43</v>
      </c>
      <c r="R736" s="20">
        <v>0.63719999999999999</v>
      </c>
      <c r="S736" s="32">
        <v>27.3996</v>
      </c>
      <c r="T736" s="35">
        <v>3.81</v>
      </c>
      <c r="U736" s="35">
        <v>3.15</v>
      </c>
      <c r="V736" s="35">
        <v>8.8604651162790704E-2</v>
      </c>
      <c r="W736" s="9" t="s">
        <v>155</v>
      </c>
      <c r="X736" s="15">
        <v>735</v>
      </c>
      <c r="Y736" s="39">
        <v>0.49255598362377734</v>
      </c>
      <c r="Z736" s="39">
        <v>0.47802444158944452</v>
      </c>
      <c r="AA736" s="39">
        <v>0.47774982532908883</v>
      </c>
      <c r="AB736" s="39">
        <v>0.47877252846033252</v>
      </c>
      <c r="AC736" s="39">
        <v>0.48192101593833775</v>
      </c>
      <c r="AD736" s="39">
        <v>0.47180133693451487</v>
      </c>
      <c r="AE736" s="39">
        <v>0.4694188475118235</v>
      </c>
      <c r="AF736" s="40">
        <v>0.47154547836397787</v>
      </c>
    </row>
    <row r="737" spans="1:32">
      <c r="A737" s="15">
        <v>735</v>
      </c>
      <c r="B737" s="16">
        <v>0</v>
      </c>
      <c r="C737" s="20">
        <v>0.02</v>
      </c>
      <c r="D737" s="20">
        <v>0.99756714174924133</v>
      </c>
      <c r="E737" s="20">
        <v>1</v>
      </c>
      <c r="F737" s="8" t="s">
        <v>436</v>
      </c>
      <c r="G737" s="24">
        <v>1.0404515136657699</v>
      </c>
      <c r="H737" s="24">
        <v>1.0464754623472614</v>
      </c>
      <c r="I737" s="25">
        <v>1.0647768899131085</v>
      </c>
      <c r="L737" s="15">
        <v>735</v>
      </c>
      <c r="M737" s="16">
        <v>0</v>
      </c>
      <c r="N737" s="16">
        <v>2</v>
      </c>
      <c r="O737" s="16">
        <v>12</v>
      </c>
      <c r="P737" s="16">
        <v>217</v>
      </c>
      <c r="Q737" s="29">
        <v>32</v>
      </c>
      <c r="R737" s="20">
        <v>0.63719999999999999</v>
      </c>
      <c r="S737" s="32">
        <v>20.3904</v>
      </c>
      <c r="T737" s="35">
        <v>1.36</v>
      </c>
      <c r="U737" s="35">
        <v>0.82</v>
      </c>
      <c r="V737" s="35">
        <v>4.2500000000000003E-2</v>
      </c>
      <c r="W737" s="9" t="s">
        <v>153</v>
      </c>
      <c r="X737" s="15">
        <v>736</v>
      </c>
      <c r="Y737" s="39">
        <v>0.49745029998494866</v>
      </c>
      <c r="Z737" s="39">
        <v>0.48573477976041673</v>
      </c>
      <c r="AA737" s="39">
        <v>0.48378363663270341</v>
      </c>
      <c r="AB737" s="39">
        <v>0.49146728807006013</v>
      </c>
      <c r="AC737" s="39">
        <v>0.49052675163566456</v>
      </c>
      <c r="AD737" s="39">
        <v>0.47983278342869379</v>
      </c>
      <c r="AE737" s="39">
        <v>0.47644191133550073</v>
      </c>
      <c r="AF737" s="40">
        <v>0.48540617263335767</v>
      </c>
    </row>
    <row r="738" spans="1:32">
      <c r="A738" s="15">
        <v>736</v>
      </c>
      <c r="B738" s="16">
        <v>1</v>
      </c>
      <c r="C738" s="20">
        <v>0.9</v>
      </c>
      <c r="D738" s="20">
        <v>0.231595386583653</v>
      </c>
      <c r="E738" s="20">
        <v>0.1</v>
      </c>
      <c r="F738" s="8" t="s">
        <v>434</v>
      </c>
      <c r="G738" s="24">
        <v>0.51976040421819003</v>
      </c>
      <c r="H738" s="24">
        <v>0.52276968428608128</v>
      </c>
      <c r="I738" s="25">
        <v>0.53191221256775023</v>
      </c>
      <c r="L738" s="15">
        <v>736</v>
      </c>
      <c r="M738" s="16">
        <v>0</v>
      </c>
      <c r="N738" s="16">
        <v>2</v>
      </c>
      <c r="O738" s="16">
        <v>12</v>
      </c>
      <c r="P738" s="16">
        <v>218</v>
      </c>
      <c r="Q738" s="29">
        <v>50</v>
      </c>
      <c r="R738" s="20">
        <v>0.63719999999999999</v>
      </c>
      <c r="S738" s="32">
        <v>31.86</v>
      </c>
      <c r="T738" s="35">
        <v>1.1400000000000001</v>
      </c>
      <c r="U738" s="35">
        <v>0.3</v>
      </c>
      <c r="V738" s="35">
        <v>2.2800000000000001E-2</v>
      </c>
      <c r="W738" s="9" t="s">
        <v>153</v>
      </c>
      <c r="X738" s="15">
        <v>737</v>
      </c>
      <c r="Y738" s="39">
        <v>0.48638437348493407</v>
      </c>
      <c r="Z738" s="39">
        <v>0.49219102259982533</v>
      </c>
      <c r="AA738" s="39">
        <v>0.50933005996995206</v>
      </c>
      <c r="AB738" s="39">
        <v>0.48666233701046369</v>
      </c>
      <c r="AC738" s="39">
        <v>0.47732608633051993</v>
      </c>
      <c r="AD738" s="39">
        <v>0.48447272732224639</v>
      </c>
      <c r="AE738" s="39">
        <v>0.50117370705511843</v>
      </c>
      <c r="AF738" s="40">
        <v>0.48358997809020488</v>
      </c>
    </row>
    <row r="739" spans="1:32">
      <c r="A739" s="15">
        <v>737</v>
      </c>
      <c r="B739" s="16">
        <v>1</v>
      </c>
      <c r="C739" s="20">
        <v>0.02</v>
      </c>
      <c r="D739" s="20">
        <v>0.99835916395484214</v>
      </c>
      <c r="E739" s="20">
        <v>1</v>
      </c>
      <c r="F739" s="8" t="s">
        <v>436</v>
      </c>
      <c r="G739" s="24">
        <v>1.0673533878889712</v>
      </c>
      <c r="H739" s="24">
        <v>1.0735330915553207</v>
      </c>
      <c r="I739" s="25">
        <v>1.0923077201267068</v>
      </c>
      <c r="L739" s="15">
        <v>737</v>
      </c>
      <c r="M739" s="16">
        <v>0</v>
      </c>
      <c r="N739" s="16">
        <v>2</v>
      </c>
      <c r="O739" s="16">
        <v>12</v>
      </c>
      <c r="P739" s="16">
        <v>219</v>
      </c>
      <c r="Q739" s="29">
        <v>44</v>
      </c>
      <c r="R739" s="20">
        <v>0.63719999999999999</v>
      </c>
      <c r="S739" s="32">
        <v>28.036799999999999</v>
      </c>
      <c r="T739" s="35">
        <v>1.28</v>
      </c>
      <c r="U739" s="35">
        <v>0.55000000000000004</v>
      </c>
      <c r="V739" s="35">
        <v>2.9090909090909091E-2</v>
      </c>
      <c r="W739" s="9" t="s">
        <v>153</v>
      </c>
      <c r="X739" s="15">
        <v>738</v>
      </c>
      <c r="Y739" s="39">
        <v>0.49454393113688588</v>
      </c>
      <c r="Z739" s="39">
        <v>0.47797615183724396</v>
      </c>
      <c r="AA739" s="39">
        <v>0.47551839580006516</v>
      </c>
      <c r="AB739" s="39">
        <v>0.49266541306204403</v>
      </c>
      <c r="AC739" s="39">
        <v>0.48657984093952622</v>
      </c>
      <c r="AD739" s="39">
        <v>0.47190375573045346</v>
      </c>
      <c r="AE739" s="39">
        <v>0.46835949954773609</v>
      </c>
      <c r="AF739" s="40">
        <v>0.49061191891513944</v>
      </c>
    </row>
    <row r="740" spans="1:32">
      <c r="A740" s="15">
        <v>738</v>
      </c>
      <c r="B740" s="16">
        <v>1</v>
      </c>
      <c r="C740" s="20">
        <v>0.92</v>
      </c>
      <c r="D740" s="20">
        <v>0.20258497911151899</v>
      </c>
      <c r="E740" s="20">
        <v>0.08</v>
      </c>
      <c r="F740" s="8" t="s">
        <v>434</v>
      </c>
      <c r="G740" s="24">
        <v>0.97668324876115442</v>
      </c>
      <c r="H740" s="24">
        <v>0.98233799546615042</v>
      </c>
      <c r="I740" s="25">
        <v>0.99951774627356804</v>
      </c>
      <c r="L740" s="15">
        <v>738</v>
      </c>
      <c r="M740" s="16">
        <v>0</v>
      </c>
      <c r="N740" s="16">
        <v>2</v>
      </c>
      <c r="O740" s="16">
        <v>12</v>
      </c>
      <c r="P740" s="16">
        <v>220</v>
      </c>
      <c r="Q740" s="29">
        <v>44</v>
      </c>
      <c r="R740" s="20">
        <v>0.63719999999999999</v>
      </c>
      <c r="S740" s="32">
        <v>28.036799999999999</v>
      </c>
      <c r="T740" s="35">
        <v>1.08</v>
      </c>
      <c r="U740" s="35">
        <v>0.42</v>
      </c>
      <c r="V740" s="35">
        <v>2.4545454545454547E-2</v>
      </c>
      <c r="W740" s="9" t="s">
        <v>153</v>
      </c>
      <c r="X740" s="15">
        <v>739</v>
      </c>
      <c r="Y740" s="39">
        <v>0.49483796603874391</v>
      </c>
      <c r="Z740" s="39">
        <v>0.48705087884845671</v>
      </c>
      <c r="AA740" s="39">
        <v>0.47268205973275662</v>
      </c>
      <c r="AB740" s="39">
        <v>0.49068392268585381</v>
      </c>
      <c r="AC740" s="39">
        <v>0.48928900203106562</v>
      </c>
      <c r="AD740" s="39">
        <v>0.48033615647130457</v>
      </c>
      <c r="AE740" s="39">
        <v>0.46553719020671108</v>
      </c>
      <c r="AF740" s="40">
        <v>0.48660841290300449</v>
      </c>
    </row>
    <row r="741" spans="1:32">
      <c r="A741" s="15">
        <v>739</v>
      </c>
      <c r="B741" s="16">
        <v>0</v>
      </c>
      <c r="C741" s="20">
        <v>0.49</v>
      </c>
      <c r="D741" s="20">
        <v>0.65657402542988175</v>
      </c>
      <c r="E741" s="20">
        <v>0.41</v>
      </c>
      <c r="F741" s="8" t="s">
        <v>436</v>
      </c>
      <c r="G741" s="24">
        <v>0.79903688680490492</v>
      </c>
      <c r="H741" s="24">
        <v>0.80366310641966898</v>
      </c>
      <c r="I741" s="25">
        <v>0.81771807728013468</v>
      </c>
      <c r="L741" s="15">
        <v>739</v>
      </c>
      <c r="M741" s="16">
        <v>0</v>
      </c>
      <c r="N741" s="16">
        <v>2</v>
      </c>
      <c r="O741" s="16">
        <v>13</v>
      </c>
      <c r="P741" s="16">
        <v>221</v>
      </c>
      <c r="Q741" s="29">
        <v>34</v>
      </c>
      <c r="R741" s="20">
        <v>0.63719999999999999</v>
      </c>
      <c r="S741" s="32">
        <v>21.6648</v>
      </c>
      <c r="T741" s="35">
        <v>1.7</v>
      </c>
      <c r="U741" s="35">
        <v>1.18</v>
      </c>
      <c r="V741" s="35">
        <v>4.9999999999999996E-2</v>
      </c>
      <c r="W741" s="9" t="s">
        <v>153</v>
      </c>
      <c r="X741" s="15">
        <v>740</v>
      </c>
      <c r="Y741" s="39">
        <v>0.48698824660102136</v>
      </c>
      <c r="Z741" s="39">
        <v>0.48993401533215158</v>
      </c>
      <c r="AA741" s="39">
        <v>0.49923221502848353</v>
      </c>
      <c r="AB741" s="39">
        <v>0.50074970325642987</v>
      </c>
      <c r="AC741" s="39">
        <v>0.47816958908466356</v>
      </c>
      <c r="AD741" s="39">
        <v>0.48516109812238106</v>
      </c>
      <c r="AE741" s="39">
        <v>0.49237380215531867</v>
      </c>
      <c r="AF741" s="40">
        <v>0.49815659624070513</v>
      </c>
    </row>
    <row r="742" spans="1:32">
      <c r="A742" s="15">
        <v>740</v>
      </c>
      <c r="B742" s="16">
        <v>1</v>
      </c>
      <c r="C742" s="20">
        <v>0.02</v>
      </c>
      <c r="D742" s="20">
        <v>0.99835916395484214</v>
      </c>
      <c r="E742" s="20">
        <v>1</v>
      </c>
      <c r="F742" s="8" t="s">
        <v>436</v>
      </c>
      <c r="G742" s="24">
        <v>1.0081401836188939</v>
      </c>
      <c r="H742" s="24">
        <v>1.0139770579471103</v>
      </c>
      <c r="I742" s="25">
        <v>1.031710132775091</v>
      </c>
      <c r="L742" s="15">
        <v>740</v>
      </c>
      <c r="M742" s="16">
        <v>0</v>
      </c>
      <c r="N742" s="16">
        <v>2</v>
      </c>
      <c r="O742" s="16">
        <v>13</v>
      </c>
      <c r="P742" s="16">
        <v>222</v>
      </c>
      <c r="Q742" s="29">
        <v>38</v>
      </c>
      <c r="R742" s="20">
        <v>0.63719999999999999</v>
      </c>
      <c r="S742" s="32">
        <v>24.2136</v>
      </c>
      <c r="T742" s="35">
        <v>2.96</v>
      </c>
      <c r="U742" s="35">
        <v>2.34</v>
      </c>
      <c r="V742" s="35">
        <v>7.7894736842105267E-2</v>
      </c>
      <c r="W742" s="9" t="s">
        <v>154</v>
      </c>
      <c r="X742" s="15">
        <v>741</v>
      </c>
      <c r="Y742" s="39">
        <v>0.4797966307709165</v>
      </c>
      <c r="Z742" s="39">
        <v>0.48952298467642741</v>
      </c>
      <c r="AA742" s="39">
        <v>0.48944903614297186</v>
      </c>
      <c r="AB742" s="39">
        <v>0.48918712574478385</v>
      </c>
      <c r="AC742" s="39">
        <v>0.47351581596694325</v>
      </c>
      <c r="AD742" s="39">
        <v>0.48337165522378489</v>
      </c>
      <c r="AE742" s="39">
        <v>0.48112167517199739</v>
      </c>
      <c r="AF742" s="40">
        <v>0.48637840751937561</v>
      </c>
    </row>
    <row r="743" spans="1:32">
      <c r="A743" s="15">
        <v>741</v>
      </c>
      <c r="B743" s="16">
        <v>0</v>
      </c>
      <c r="C743" s="20">
        <v>0.89</v>
      </c>
      <c r="D743" s="20">
        <v>0.24559627500636821</v>
      </c>
      <c r="E743" s="20">
        <v>0.11</v>
      </c>
      <c r="F743" s="8" t="s">
        <v>434</v>
      </c>
      <c r="G743" s="24">
        <v>0.35446001487357021</v>
      </c>
      <c r="H743" s="24">
        <v>0.35651224788125369</v>
      </c>
      <c r="I743" s="25">
        <v>0.36274716051484862</v>
      </c>
      <c r="L743" s="15">
        <v>741</v>
      </c>
      <c r="M743" s="16">
        <v>0</v>
      </c>
      <c r="N743" s="16">
        <v>2</v>
      </c>
      <c r="O743" s="16">
        <v>13</v>
      </c>
      <c r="P743" s="16">
        <v>223</v>
      </c>
      <c r="Q743" s="29">
        <v>54</v>
      </c>
      <c r="R743" s="20">
        <v>0.63719999999999999</v>
      </c>
      <c r="S743" s="32">
        <v>34.408799999999999</v>
      </c>
      <c r="T743" s="35">
        <v>2.19</v>
      </c>
      <c r="U743" s="35">
        <v>1.6</v>
      </c>
      <c r="V743" s="35">
        <v>4.0555555555555553E-2</v>
      </c>
      <c r="W743" s="9" t="s">
        <v>154</v>
      </c>
      <c r="X743" s="15">
        <v>742</v>
      </c>
      <c r="Y743" s="39">
        <v>0.47631669861604747</v>
      </c>
      <c r="Z743" s="39">
        <v>0.49039612345502709</v>
      </c>
      <c r="AA743" s="39">
        <v>0.49457189880385355</v>
      </c>
      <c r="AB743" s="39">
        <v>0.48735181999068111</v>
      </c>
      <c r="AC743" s="39">
        <v>0.47138060318257852</v>
      </c>
      <c r="AD743" s="39">
        <v>0.48332315828730665</v>
      </c>
      <c r="AE743" s="39">
        <v>0.48900477026816519</v>
      </c>
      <c r="AF743" s="40">
        <v>0.48428012993962061</v>
      </c>
    </row>
    <row r="744" spans="1:32">
      <c r="A744" s="15">
        <v>742</v>
      </c>
      <c r="B744" s="16">
        <v>1</v>
      </c>
      <c r="C744" s="20">
        <v>0.93</v>
      </c>
      <c r="D744" s="20">
        <v>0.18747949848141848</v>
      </c>
      <c r="E744" s="20">
        <v>7.0000000000000007E-2</v>
      </c>
      <c r="F744" s="8" t="s">
        <v>434</v>
      </c>
      <c r="G744" s="24">
        <v>0.66374794555291239</v>
      </c>
      <c r="H744" s="24">
        <v>0.66759087673128981</v>
      </c>
      <c r="I744" s="25">
        <v>0.67926613001120251</v>
      </c>
      <c r="L744" s="15">
        <v>742</v>
      </c>
      <c r="M744" s="16">
        <v>0</v>
      </c>
      <c r="N744" s="16">
        <v>2</v>
      </c>
      <c r="O744" s="16">
        <v>13</v>
      </c>
      <c r="P744" s="16">
        <v>224</v>
      </c>
      <c r="Q744" s="29">
        <v>37</v>
      </c>
      <c r="R744" s="20">
        <v>0.63719999999999999</v>
      </c>
      <c r="S744" s="32">
        <v>23.5764</v>
      </c>
      <c r="T744" s="35">
        <v>1.1300000000000001</v>
      </c>
      <c r="U744" s="35">
        <v>0.5</v>
      </c>
      <c r="V744" s="35">
        <v>3.0540540540540544E-2</v>
      </c>
      <c r="W744" s="9" t="s">
        <v>153</v>
      </c>
      <c r="X744" s="15">
        <v>743</v>
      </c>
      <c r="Y744" s="39">
        <v>0.50832430786543192</v>
      </c>
      <c r="Z744" s="39">
        <v>0.47253736544606695</v>
      </c>
      <c r="AA744" s="39">
        <v>0.4831267340214353</v>
      </c>
      <c r="AB744" s="39">
        <v>0.48286322204514315</v>
      </c>
      <c r="AC744" s="39">
        <v>0.49970220243540453</v>
      </c>
      <c r="AD744" s="39">
        <v>0.46675084936038985</v>
      </c>
      <c r="AE744" s="39">
        <v>0.47601713695620734</v>
      </c>
      <c r="AF744" s="40">
        <v>0.47913901083005295</v>
      </c>
    </row>
    <row r="745" spans="1:32">
      <c r="A745" s="15">
        <v>743</v>
      </c>
      <c r="B745" s="16">
        <v>0</v>
      </c>
      <c r="C745" s="20">
        <v>0.27</v>
      </c>
      <c r="D745" s="20">
        <v>0.82722214758610935</v>
      </c>
      <c r="E745" s="20">
        <v>0.09</v>
      </c>
      <c r="F745" s="8" t="s">
        <v>436</v>
      </c>
      <c r="G745" s="24">
        <v>1.412350422214534</v>
      </c>
      <c r="H745" s="24">
        <v>1.4205275706466871</v>
      </c>
      <c r="I745" s="25">
        <v>1.4453706590657558</v>
      </c>
      <c r="L745" s="15">
        <v>743</v>
      </c>
      <c r="M745" s="16">
        <v>0</v>
      </c>
      <c r="N745" s="16">
        <v>2</v>
      </c>
      <c r="O745" s="16">
        <v>13</v>
      </c>
      <c r="P745" s="16">
        <v>225</v>
      </c>
      <c r="Q745" s="29">
        <v>46</v>
      </c>
      <c r="R745" s="20">
        <v>0.63719999999999999</v>
      </c>
      <c r="S745" s="32">
        <v>29.311199999999999</v>
      </c>
      <c r="T745" s="35">
        <v>1.08</v>
      </c>
      <c r="U745" s="35">
        <v>0.34</v>
      </c>
      <c r="V745" s="35">
        <v>2.3478260869565219E-2</v>
      </c>
      <c r="W745" s="9" t="s">
        <v>153</v>
      </c>
      <c r="X745" s="15">
        <v>744</v>
      </c>
      <c r="Y745" s="39">
        <v>0.4954607200120153</v>
      </c>
      <c r="Z745" s="39">
        <v>0.48772119963009208</v>
      </c>
      <c r="AA745" s="39">
        <v>0.49664150575824284</v>
      </c>
      <c r="AB745" s="39">
        <v>0.48986002961505293</v>
      </c>
      <c r="AC745" s="39">
        <v>0.48964143639886881</v>
      </c>
      <c r="AD745" s="39">
        <v>0.48146675042262516</v>
      </c>
      <c r="AE745" s="39">
        <v>0.48924517914106391</v>
      </c>
      <c r="AF745" s="40">
        <v>0.48856987932098755</v>
      </c>
    </row>
    <row r="746" spans="1:32">
      <c r="A746" s="15">
        <v>744</v>
      </c>
      <c r="B746" s="16">
        <v>1</v>
      </c>
      <c r="C746" s="20">
        <v>0.01</v>
      </c>
      <c r="D746" s="20">
        <v>0.99999999999999978</v>
      </c>
      <c r="E746" s="20">
        <v>1</v>
      </c>
      <c r="F746" s="8" t="s">
        <v>436</v>
      </c>
      <c r="G746" s="24">
        <v>1.6318703997818276</v>
      </c>
      <c r="H746" s="24">
        <v>1.6413185128500629</v>
      </c>
      <c r="I746" s="25">
        <v>1.6578926537592125</v>
      </c>
      <c r="L746" s="15">
        <v>744</v>
      </c>
      <c r="M746" s="16">
        <v>0</v>
      </c>
      <c r="N746" s="16">
        <v>2</v>
      </c>
      <c r="O746" s="16">
        <v>13</v>
      </c>
      <c r="P746" s="16">
        <v>226</v>
      </c>
      <c r="Q746" s="29">
        <v>47</v>
      </c>
      <c r="R746" s="20">
        <v>0.63719999999999999</v>
      </c>
      <c r="S746" s="32">
        <v>29.948399999999999</v>
      </c>
      <c r="T746" s="35">
        <v>1.6600000000000001</v>
      </c>
      <c r="U746" s="35">
        <v>1</v>
      </c>
      <c r="V746" s="35">
        <v>3.5319148936170212E-2</v>
      </c>
      <c r="W746" s="9" t="s">
        <v>153</v>
      </c>
      <c r="X746" s="15">
        <v>745</v>
      </c>
      <c r="Y746" s="39">
        <v>0.50355514920364808</v>
      </c>
      <c r="Z746" s="39">
        <v>0.48246813776358244</v>
      </c>
      <c r="AA746" s="39">
        <v>0.47404561304722487</v>
      </c>
      <c r="AB746" s="39">
        <v>0.4977474714061112</v>
      </c>
      <c r="AC746" s="39">
        <v>0.49567871741837494</v>
      </c>
      <c r="AD746" s="39">
        <v>0.47988136494425321</v>
      </c>
      <c r="AE746" s="39">
        <v>0.46859424123541948</v>
      </c>
      <c r="AF746" s="40">
        <v>0.4923077855701069</v>
      </c>
    </row>
    <row r="747" spans="1:32">
      <c r="A747" s="15">
        <v>745</v>
      </c>
      <c r="B747" s="16">
        <v>0</v>
      </c>
      <c r="C747" s="20">
        <v>0.47</v>
      </c>
      <c r="D747" s="20">
        <v>0.47418088973258188</v>
      </c>
      <c r="E747" s="20">
        <v>0.06</v>
      </c>
      <c r="F747" s="8" t="s">
        <v>436</v>
      </c>
      <c r="G747" s="24">
        <v>0.87354959407355293</v>
      </c>
      <c r="H747" s="24">
        <v>0.87860722324350504</v>
      </c>
      <c r="I747" s="25">
        <v>0.89397286442056023</v>
      </c>
      <c r="L747" s="15">
        <v>745</v>
      </c>
      <c r="M747" s="16">
        <v>0</v>
      </c>
      <c r="N747" s="16">
        <v>2</v>
      </c>
      <c r="O747" s="16">
        <v>13</v>
      </c>
      <c r="P747" s="16">
        <v>227</v>
      </c>
      <c r="Q747" s="29">
        <v>51</v>
      </c>
      <c r="R747" s="20">
        <v>0.63719999999999999</v>
      </c>
      <c r="S747" s="32">
        <v>32.497199999999999</v>
      </c>
      <c r="T747" s="35">
        <v>2.41</v>
      </c>
      <c r="U747" s="35">
        <v>1.52</v>
      </c>
      <c r="V747" s="35">
        <v>4.7254901960784315E-2</v>
      </c>
      <c r="W747" s="9" t="s">
        <v>154</v>
      </c>
      <c r="X747" s="15">
        <v>746</v>
      </c>
      <c r="Y747" s="39">
        <v>0.47378856490324961</v>
      </c>
      <c r="Z747" s="39">
        <v>0.50067965748927978</v>
      </c>
      <c r="AA747" s="39">
        <v>0.49446645878700773</v>
      </c>
      <c r="AB747" s="39">
        <v>0.50295903101739625</v>
      </c>
      <c r="AC747" s="39">
        <v>0.46747383280287519</v>
      </c>
      <c r="AD747" s="39">
        <v>0.49162332186935653</v>
      </c>
      <c r="AE747" s="39">
        <v>0.48803133914983776</v>
      </c>
      <c r="AF747" s="40">
        <v>0.49890818675644744</v>
      </c>
    </row>
    <row r="748" spans="1:32">
      <c r="A748" s="15">
        <v>746</v>
      </c>
      <c r="B748" s="16">
        <v>1</v>
      </c>
      <c r="C748" s="20">
        <v>0.92</v>
      </c>
      <c r="D748" s="20">
        <v>0.20258497911151899</v>
      </c>
      <c r="E748" s="20">
        <v>0.08</v>
      </c>
      <c r="F748" s="8" t="s">
        <v>434</v>
      </c>
      <c r="G748" s="24">
        <v>1.2550927095386195</v>
      </c>
      <c r="H748" s="24">
        <v>1.2623593759555263</v>
      </c>
      <c r="I748" s="25">
        <v>1.2844363185235799</v>
      </c>
      <c r="L748" s="15">
        <v>746</v>
      </c>
      <c r="M748" s="16">
        <v>0</v>
      </c>
      <c r="N748" s="16">
        <v>2</v>
      </c>
      <c r="O748" s="16">
        <v>13</v>
      </c>
      <c r="P748" s="16">
        <v>228</v>
      </c>
      <c r="Q748" s="29">
        <v>36</v>
      </c>
      <c r="R748" s="20">
        <v>0.63719999999999999</v>
      </c>
      <c r="S748" s="32">
        <v>22.9392</v>
      </c>
      <c r="T748" s="35">
        <v>0.92</v>
      </c>
      <c r="U748" s="35">
        <v>0.33</v>
      </c>
      <c r="V748" s="35">
        <v>2.5555555555555557E-2</v>
      </c>
      <c r="W748" s="9" t="s">
        <v>152</v>
      </c>
      <c r="X748" s="15">
        <v>747</v>
      </c>
      <c r="Y748" s="39">
        <v>0.48436059546325733</v>
      </c>
      <c r="Z748" s="39">
        <v>0.47453159689210361</v>
      </c>
      <c r="AA748" s="39">
        <v>0.48284405884790516</v>
      </c>
      <c r="AB748" s="39">
        <v>0.4966239381016801</v>
      </c>
      <c r="AC748" s="39">
        <v>0.47679929801790105</v>
      </c>
      <c r="AD748" s="39">
        <v>0.46649655544640445</v>
      </c>
      <c r="AE748" s="39">
        <v>0.47442262977384253</v>
      </c>
      <c r="AF748" s="40">
        <v>0.49185253349178393</v>
      </c>
    </row>
    <row r="749" spans="1:32">
      <c r="A749" s="15">
        <v>747</v>
      </c>
      <c r="B749" s="16">
        <v>0</v>
      </c>
      <c r="C749" s="20">
        <v>0.86</v>
      </c>
      <c r="D749" s="20">
        <v>0.28597383862931031</v>
      </c>
      <c r="E749" s="20">
        <v>0.14000000000000001</v>
      </c>
      <c r="F749" s="8" t="s">
        <v>434</v>
      </c>
      <c r="G749" s="24">
        <v>0.70638851188399765</v>
      </c>
      <c r="H749" s="24">
        <v>0.71047832105712494</v>
      </c>
      <c r="I749" s="25">
        <v>0.72290361720383634</v>
      </c>
      <c r="L749" s="15">
        <v>747</v>
      </c>
      <c r="M749" s="16">
        <v>0</v>
      </c>
      <c r="N749" s="16">
        <v>2</v>
      </c>
      <c r="O749" s="16">
        <v>13</v>
      </c>
      <c r="P749" s="16">
        <v>229</v>
      </c>
      <c r="Q749" s="29">
        <v>44</v>
      </c>
      <c r="R749" s="20">
        <v>0.63719999999999999</v>
      </c>
      <c r="S749" s="32">
        <v>28.036799999999999</v>
      </c>
      <c r="T749" s="35">
        <v>3.87</v>
      </c>
      <c r="U749" s="35">
        <v>3.21</v>
      </c>
      <c r="V749" s="35">
        <v>8.7954545454545452E-2</v>
      </c>
      <c r="W749" s="9" t="s">
        <v>155</v>
      </c>
      <c r="X749" s="15">
        <v>748</v>
      </c>
      <c r="Y749" s="39">
        <v>0.48163943833276407</v>
      </c>
      <c r="Z749" s="39">
        <v>0.49293021022896533</v>
      </c>
      <c r="AA749" s="39">
        <v>0.46400087562189879</v>
      </c>
      <c r="AB749" s="39">
        <v>0.48856497239929253</v>
      </c>
      <c r="AC749" s="39">
        <v>0.4752481719209028</v>
      </c>
      <c r="AD749" s="39">
        <v>0.48622922182402001</v>
      </c>
      <c r="AE749" s="39">
        <v>0.45994429800446712</v>
      </c>
      <c r="AF749" s="40">
        <v>0.48418717965897501</v>
      </c>
    </row>
    <row r="750" spans="1:32">
      <c r="A750" s="15">
        <v>748</v>
      </c>
      <c r="B750" s="16">
        <v>1</v>
      </c>
      <c r="C750" s="20">
        <v>0.84</v>
      </c>
      <c r="D750" s="20">
        <v>0.31176052336924964</v>
      </c>
      <c r="E750" s="20">
        <v>0.16</v>
      </c>
      <c r="F750" s="8" t="s">
        <v>434</v>
      </c>
      <c r="G750" s="24">
        <v>0.9712726780456501</v>
      </c>
      <c r="H750" s="24">
        <v>0.9768960989272899</v>
      </c>
      <c r="I750" s="25">
        <v>0.99398067839155591</v>
      </c>
      <c r="L750" s="15">
        <v>748</v>
      </c>
      <c r="M750" s="16">
        <v>0</v>
      </c>
      <c r="N750" s="16">
        <v>2</v>
      </c>
      <c r="O750" s="16">
        <v>13</v>
      </c>
      <c r="P750" s="16">
        <v>230</v>
      </c>
      <c r="Q750" s="29">
        <v>43</v>
      </c>
      <c r="R750" s="20">
        <v>0.63719999999999999</v>
      </c>
      <c r="S750" s="32">
        <v>27.3996</v>
      </c>
      <c r="T750" s="35">
        <v>3.47</v>
      </c>
      <c r="U750" s="35">
        <v>2.88</v>
      </c>
      <c r="V750" s="35">
        <v>8.0697674418604662E-2</v>
      </c>
      <c r="W750" s="9" t="s">
        <v>155</v>
      </c>
      <c r="X750" s="15">
        <v>749</v>
      </c>
      <c r="Y750" s="39">
        <v>0.48321626303746168</v>
      </c>
      <c r="Z750" s="39">
        <v>0.47528157716143249</v>
      </c>
      <c r="AA750" s="39">
        <v>0.46559065972446451</v>
      </c>
      <c r="AB750" s="39">
        <v>0.49295931098999046</v>
      </c>
      <c r="AC750" s="39">
        <v>0.47799826578901849</v>
      </c>
      <c r="AD750" s="39">
        <v>0.46810320742709743</v>
      </c>
      <c r="AE750" s="39">
        <v>0.45746089324368672</v>
      </c>
      <c r="AF750" s="40">
        <v>0.48807941047862347</v>
      </c>
    </row>
    <row r="751" spans="1:32">
      <c r="A751" s="15">
        <v>749</v>
      </c>
      <c r="B751" s="16">
        <v>1</v>
      </c>
      <c r="C751" s="20">
        <v>0.16</v>
      </c>
      <c r="D751" s="20">
        <v>0.91928892083223634</v>
      </c>
      <c r="E751" s="20">
        <v>0.06</v>
      </c>
      <c r="F751" s="8" t="s">
        <v>436</v>
      </c>
      <c r="G751" s="24">
        <v>1.1273290857685867</v>
      </c>
      <c r="H751" s="24">
        <v>1.1338560334164367</v>
      </c>
      <c r="I751" s="25">
        <v>1.1536856279098653</v>
      </c>
      <c r="L751" s="15">
        <v>749</v>
      </c>
      <c r="M751" s="16">
        <v>0</v>
      </c>
      <c r="N751" s="16">
        <v>2</v>
      </c>
      <c r="O751" s="16">
        <v>13</v>
      </c>
      <c r="P751" s="16">
        <v>231</v>
      </c>
      <c r="Q751" s="29">
        <v>56</v>
      </c>
      <c r="R751" s="20">
        <v>0.63719999999999999</v>
      </c>
      <c r="S751" s="32">
        <v>35.683199999999999</v>
      </c>
      <c r="T751" s="35">
        <v>2.35</v>
      </c>
      <c r="U751" s="35">
        <v>1.62</v>
      </c>
      <c r="V751" s="35">
        <v>4.1964285714285718E-2</v>
      </c>
      <c r="W751" s="9" t="s">
        <v>154</v>
      </c>
      <c r="X751" s="15">
        <v>750</v>
      </c>
      <c r="Y751" s="39">
        <v>0.48913943237308599</v>
      </c>
      <c r="Z751" s="39">
        <v>0.49223055957173317</v>
      </c>
      <c r="AA751" s="39">
        <v>0.50653854648443042</v>
      </c>
      <c r="AB751" s="39">
        <v>0.47613293444932153</v>
      </c>
      <c r="AC751" s="39">
        <v>0.48285013673083749</v>
      </c>
      <c r="AD751" s="39">
        <v>0.48356204116633067</v>
      </c>
      <c r="AE751" s="39">
        <v>0.49760782394899145</v>
      </c>
      <c r="AF751" s="40">
        <v>0.4721652541793141</v>
      </c>
    </row>
    <row r="752" spans="1:32">
      <c r="A752" s="15">
        <v>750</v>
      </c>
      <c r="B752" s="16">
        <v>1</v>
      </c>
      <c r="C752" s="20">
        <v>0.9</v>
      </c>
      <c r="D752" s="20">
        <v>0.23159538658365303</v>
      </c>
      <c r="E752" s="20">
        <v>0.1</v>
      </c>
      <c r="F752" s="8" t="s">
        <v>434</v>
      </c>
      <c r="G752" s="24">
        <v>0.56759370920467334</v>
      </c>
      <c r="H752" s="24">
        <v>0.57087993189864572</v>
      </c>
      <c r="I752" s="25">
        <v>0.58086384274831238</v>
      </c>
      <c r="L752" s="15">
        <v>750</v>
      </c>
      <c r="M752" s="16">
        <v>0</v>
      </c>
      <c r="N752" s="16">
        <v>2</v>
      </c>
      <c r="O752" s="16">
        <v>13</v>
      </c>
      <c r="P752" s="16">
        <v>232</v>
      </c>
      <c r="Q752" s="29">
        <v>49</v>
      </c>
      <c r="R752" s="20">
        <v>0.63719999999999999</v>
      </c>
      <c r="S752" s="32">
        <v>31.222799999999999</v>
      </c>
      <c r="T752" s="35">
        <v>2.85</v>
      </c>
      <c r="U752" s="35">
        <v>2</v>
      </c>
      <c r="V752" s="35">
        <v>5.8163265306122452E-2</v>
      </c>
      <c r="W752" s="9" t="s">
        <v>154</v>
      </c>
      <c r="X752" s="15">
        <v>751</v>
      </c>
      <c r="Y752" s="39">
        <v>0.48833802561401002</v>
      </c>
      <c r="Z752" s="39">
        <v>0.48900719228789347</v>
      </c>
      <c r="AA752" s="39">
        <v>0.48637706489781829</v>
      </c>
      <c r="AB752" s="39">
        <v>0.48622037461822076</v>
      </c>
      <c r="AC752" s="39">
        <v>0.48226271900851958</v>
      </c>
      <c r="AD752" s="39">
        <v>0.48264054511676169</v>
      </c>
      <c r="AE752" s="39">
        <v>0.48111557052248954</v>
      </c>
      <c r="AF752" s="40">
        <v>0.48291428234603984</v>
      </c>
    </row>
    <row r="753" spans="1:32">
      <c r="A753" s="15">
        <v>751</v>
      </c>
      <c r="B753" s="16">
        <v>0</v>
      </c>
      <c r="C753" s="20">
        <v>0.93</v>
      </c>
      <c r="D753" s="20">
        <v>0.18747949848141848</v>
      </c>
      <c r="E753" s="20">
        <v>7.0000000000000007E-2</v>
      </c>
      <c r="F753" s="8" t="s">
        <v>434</v>
      </c>
      <c r="G753" s="24">
        <v>0.54720278602520345</v>
      </c>
      <c r="H753" s="24">
        <v>0.55037095047889462</v>
      </c>
      <c r="I753" s="25">
        <v>0.55999618723498912</v>
      </c>
      <c r="L753" s="15">
        <v>751</v>
      </c>
      <c r="M753" s="16">
        <v>0</v>
      </c>
      <c r="N753" s="16">
        <v>2</v>
      </c>
      <c r="O753" s="16">
        <v>13</v>
      </c>
      <c r="P753" s="16">
        <v>233</v>
      </c>
      <c r="Q753" s="29">
        <v>60</v>
      </c>
      <c r="R753" s="20">
        <v>0.63719999999999999</v>
      </c>
      <c r="S753" s="32">
        <v>38.231999999999999</v>
      </c>
      <c r="T753" s="35">
        <v>3.0300000000000002</v>
      </c>
      <c r="U753" s="35">
        <v>2.15</v>
      </c>
      <c r="V753" s="35">
        <v>5.0500000000000003E-2</v>
      </c>
      <c r="W753" s="9" t="s">
        <v>155</v>
      </c>
      <c r="X753" s="15">
        <v>752</v>
      </c>
      <c r="Y753" s="39">
        <v>0.48843641781307173</v>
      </c>
      <c r="Z753" s="39">
        <v>0.49292102771198348</v>
      </c>
      <c r="AA753" s="39">
        <v>0.49499165198567918</v>
      </c>
      <c r="AB753" s="39">
        <v>0.49230784723563414</v>
      </c>
      <c r="AC753" s="39">
        <v>0.48553228577813079</v>
      </c>
      <c r="AD753" s="39">
        <v>0.48494780973854956</v>
      </c>
      <c r="AE753" s="39">
        <v>0.48748232279381426</v>
      </c>
      <c r="AF753" s="40">
        <v>0.48835867907614305</v>
      </c>
    </row>
    <row r="754" spans="1:32">
      <c r="A754" s="15">
        <v>752</v>
      </c>
      <c r="B754" s="16">
        <v>1</v>
      </c>
      <c r="C754" s="20">
        <v>0.76</v>
      </c>
      <c r="D754" s="20">
        <v>0.43799255367271972</v>
      </c>
      <c r="E754" s="20">
        <v>0.04</v>
      </c>
      <c r="F754" s="8" t="s">
        <v>438</v>
      </c>
      <c r="G754" s="24">
        <v>1.7108311060784316</v>
      </c>
      <c r="H754" s="24">
        <v>1.7207363814808436</v>
      </c>
      <c r="I754" s="25">
        <v>1.6578926537592125</v>
      </c>
      <c r="L754" s="15">
        <v>752</v>
      </c>
      <c r="M754" s="16">
        <v>0</v>
      </c>
      <c r="N754" s="16">
        <v>2</v>
      </c>
      <c r="O754" s="16">
        <v>13</v>
      </c>
      <c r="P754" s="16">
        <v>234</v>
      </c>
      <c r="Q754" s="29">
        <v>43</v>
      </c>
      <c r="R754" s="20">
        <v>0.63719999999999999</v>
      </c>
      <c r="S754" s="32">
        <v>27.3996</v>
      </c>
      <c r="T754" s="35">
        <v>5.76</v>
      </c>
      <c r="U754" s="35">
        <v>5.29</v>
      </c>
      <c r="V754" s="35">
        <v>0.133953488372093</v>
      </c>
      <c r="W754" s="9" t="s">
        <v>156</v>
      </c>
      <c r="X754" s="15">
        <v>753</v>
      </c>
      <c r="Y754" s="39">
        <v>0.49208845259618511</v>
      </c>
      <c r="Z754" s="39">
        <v>0.49308347226599419</v>
      </c>
      <c r="AA754" s="39">
        <v>0.48214166083725107</v>
      </c>
      <c r="AB754" s="39">
        <v>0.48512683208440693</v>
      </c>
      <c r="AC754" s="39">
        <v>0.4832511294122081</v>
      </c>
      <c r="AD754" s="39">
        <v>0.48381374875812483</v>
      </c>
      <c r="AE754" s="39">
        <v>0.4738184463502661</v>
      </c>
      <c r="AF754" s="40">
        <v>0.48086356743031122</v>
      </c>
    </row>
    <row r="755" spans="1:32">
      <c r="A755" s="15">
        <v>753</v>
      </c>
      <c r="B755" s="16">
        <v>1</v>
      </c>
      <c r="C755" s="20">
        <v>0.2</v>
      </c>
      <c r="D755" s="20">
        <v>0.76895611539446163</v>
      </c>
      <c r="E755" s="20">
        <v>0.11</v>
      </c>
      <c r="F755" s="8" t="s">
        <v>436</v>
      </c>
      <c r="G755" s="24">
        <v>0.8681346607348791</v>
      </c>
      <c r="H755" s="24">
        <v>0.8731609388230005</v>
      </c>
      <c r="I755" s="25">
        <v>0.88843133191884283</v>
      </c>
      <c r="L755" s="15">
        <v>753</v>
      </c>
      <c r="M755" s="16">
        <v>0</v>
      </c>
      <c r="N755" s="16">
        <v>2</v>
      </c>
      <c r="O755" s="16">
        <v>13</v>
      </c>
      <c r="P755" s="16">
        <v>235</v>
      </c>
      <c r="Q755" s="29">
        <v>42</v>
      </c>
      <c r="R755" s="20">
        <v>0.63719999999999999</v>
      </c>
      <c r="S755" s="32">
        <v>26.7624</v>
      </c>
      <c r="T755" s="35">
        <v>2.77</v>
      </c>
      <c r="U755" s="35">
        <v>2.15</v>
      </c>
      <c r="V755" s="35">
        <v>6.5952380952380957E-2</v>
      </c>
      <c r="W755" s="9" t="s">
        <v>154</v>
      </c>
      <c r="X755" s="15">
        <v>754</v>
      </c>
      <c r="Y755" s="39">
        <v>0.48624266444782965</v>
      </c>
      <c r="Z755" s="39">
        <v>0.48621226332064249</v>
      </c>
      <c r="AA755" s="39">
        <v>0.47609675637516519</v>
      </c>
      <c r="AB755" s="39">
        <v>0.49435877793770316</v>
      </c>
      <c r="AC755" s="39">
        <v>0.47828376540292428</v>
      </c>
      <c r="AD755" s="39">
        <v>0.47749254629555826</v>
      </c>
      <c r="AE755" s="39">
        <v>0.47076473461512969</v>
      </c>
      <c r="AF755" s="40">
        <v>0.49059709718368999</v>
      </c>
    </row>
    <row r="756" spans="1:32">
      <c r="A756" s="15">
        <v>754</v>
      </c>
      <c r="B756" s="16">
        <v>0</v>
      </c>
      <c r="C756" s="20">
        <v>0.02</v>
      </c>
      <c r="D756" s="20">
        <v>0.99756714174924133</v>
      </c>
      <c r="E756" s="20">
        <v>1</v>
      </c>
      <c r="F756" s="8" t="s">
        <v>436</v>
      </c>
      <c r="G756" s="24">
        <v>1.0062059737152789</v>
      </c>
      <c r="H756" s="24">
        <v>1.0120316494618742</v>
      </c>
      <c r="I756" s="25">
        <v>1.0297307017506176</v>
      </c>
      <c r="L756" s="15">
        <v>754</v>
      </c>
      <c r="M756" s="16">
        <v>0</v>
      </c>
      <c r="N756" s="16">
        <v>2</v>
      </c>
      <c r="O756" s="16">
        <v>13</v>
      </c>
      <c r="P756" s="16">
        <v>236</v>
      </c>
      <c r="Q756" s="29">
        <v>45</v>
      </c>
      <c r="R756" s="20">
        <v>0.63719999999999999</v>
      </c>
      <c r="S756" s="32">
        <v>28.673999999999999</v>
      </c>
      <c r="T756" s="35">
        <v>2.37</v>
      </c>
      <c r="U756" s="35">
        <v>1.68</v>
      </c>
      <c r="V756" s="35">
        <v>5.2666666666666667E-2</v>
      </c>
      <c r="W756" s="9" t="s">
        <v>154</v>
      </c>
      <c r="X756" s="15">
        <v>755</v>
      </c>
      <c r="Y756" s="39">
        <v>0.48799493879887706</v>
      </c>
      <c r="Z756" s="39">
        <v>0.47874259358170768</v>
      </c>
      <c r="AA756" s="39">
        <v>0.49895402492899177</v>
      </c>
      <c r="AB756" s="39">
        <v>0.49446171576762626</v>
      </c>
      <c r="AC756" s="39">
        <v>0.47886264297038056</v>
      </c>
      <c r="AD756" s="39">
        <v>0.47384953448308287</v>
      </c>
      <c r="AE756" s="39">
        <v>0.49193926619271872</v>
      </c>
      <c r="AF756" s="40">
        <v>0.49058226129380772</v>
      </c>
    </row>
    <row r="757" spans="1:32">
      <c r="A757" s="15">
        <v>755</v>
      </c>
      <c r="B757" s="16">
        <v>0</v>
      </c>
      <c r="C757" s="20">
        <v>0.14000000000000001</v>
      </c>
      <c r="D757" s="20">
        <v>0.8328123237898476</v>
      </c>
      <c r="E757" s="20">
        <v>0.4</v>
      </c>
      <c r="F757" s="8" t="s">
        <v>436</v>
      </c>
      <c r="G757" s="24">
        <v>0.96553894313435817</v>
      </c>
      <c r="H757" s="24">
        <v>0.9711291671544382</v>
      </c>
      <c r="I757" s="25">
        <v>0.98811289085293075</v>
      </c>
      <c r="L757" s="15">
        <v>755</v>
      </c>
      <c r="M757" s="16">
        <v>0</v>
      </c>
      <c r="N757" s="16">
        <v>2</v>
      </c>
      <c r="O757" s="16">
        <v>13</v>
      </c>
      <c r="P757" s="16">
        <v>237</v>
      </c>
      <c r="Q757" s="29">
        <v>41</v>
      </c>
      <c r="R757" s="20">
        <v>0.63719999999999999</v>
      </c>
      <c r="S757" s="32">
        <v>26.1252</v>
      </c>
      <c r="T757" s="35">
        <v>3.5300000000000002</v>
      </c>
      <c r="U757" s="35">
        <v>2.82</v>
      </c>
      <c r="V757" s="35">
        <v>8.6097560975609763E-2</v>
      </c>
      <c r="W757" s="9" t="s">
        <v>155</v>
      </c>
      <c r="X757" s="15">
        <v>756</v>
      </c>
      <c r="Y757" s="39">
        <v>0.49291498647014487</v>
      </c>
      <c r="Z757" s="39">
        <v>0.48362962097503143</v>
      </c>
      <c r="AA757" s="39">
        <v>0.48715514499287477</v>
      </c>
      <c r="AB757" s="39">
        <v>0.47887933060184029</v>
      </c>
      <c r="AC757" s="39">
        <v>0.48262867208411164</v>
      </c>
      <c r="AD757" s="39">
        <v>0.47647826346229871</v>
      </c>
      <c r="AE757" s="39">
        <v>0.47923711861632179</v>
      </c>
      <c r="AF757" s="40">
        <v>0.47375290760301042</v>
      </c>
    </row>
    <row r="758" spans="1:32">
      <c r="A758" s="15">
        <v>756</v>
      </c>
      <c r="B758" s="16">
        <v>1</v>
      </c>
      <c r="C758" s="20">
        <v>0.93</v>
      </c>
      <c r="D758" s="20">
        <v>0.18747949848141848</v>
      </c>
      <c r="E758" s="20">
        <v>7.0000000000000007E-2</v>
      </c>
      <c r="F758" s="8" t="s">
        <v>434</v>
      </c>
      <c r="G758" s="24">
        <v>4.5991985181358652</v>
      </c>
      <c r="H758" s="24">
        <v>2.3557193791407478</v>
      </c>
      <c r="I758" s="25">
        <v>1.6578926537592125</v>
      </c>
      <c r="L758" s="15">
        <v>756</v>
      </c>
      <c r="M758" s="16">
        <v>0</v>
      </c>
      <c r="N758" s="16">
        <v>2</v>
      </c>
      <c r="O758" s="16">
        <v>13</v>
      </c>
      <c r="P758" s="16">
        <v>238</v>
      </c>
      <c r="Q758" s="29">
        <v>51</v>
      </c>
      <c r="R758" s="20">
        <v>0.63719999999999999</v>
      </c>
      <c r="S758" s="32">
        <v>32.497199999999999</v>
      </c>
      <c r="T758" s="35">
        <v>2.94</v>
      </c>
      <c r="U758" s="35">
        <v>2.14</v>
      </c>
      <c r="V758" s="35">
        <v>5.7647058823529412E-2</v>
      </c>
      <c r="W758" s="9" t="s">
        <v>154</v>
      </c>
      <c r="X758" s="15">
        <v>757</v>
      </c>
      <c r="Y758" s="39">
        <v>0.49238355699855751</v>
      </c>
      <c r="Z758" s="39">
        <v>0.46065602730778504</v>
      </c>
      <c r="AA758" s="39">
        <v>0.48079319315144625</v>
      </c>
      <c r="AB758" s="39">
        <v>0.49124614276969647</v>
      </c>
      <c r="AC758" s="39">
        <v>0.48927244388135371</v>
      </c>
      <c r="AD758" s="39">
        <v>0.45607975290248587</v>
      </c>
      <c r="AE758" s="39">
        <v>0.47541879240501328</v>
      </c>
      <c r="AF758" s="40">
        <v>0.48470647764251057</v>
      </c>
    </row>
    <row r="759" spans="1:32">
      <c r="A759" s="15">
        <v>757</v>
      </c>
      <c r="B759" s="16">
        <v>0</v>
      </c>
      <c r="C759" s="20">
        <v>0.67</v>
      </c>
      <c r="D759" s="20">
        <v>0.47961983413649151</v>
      </c>
      <c r="E759" s="20">
        <v>0.21</v>
      </c>
      <c r="F759" s="8" t="s">
        <v>438</v>
      </c>
      <c r="G759" s="24">
        <v>0.83206598626077666</v>
      </c>
      <c r="H759" s="24">
        <v>0.8368834359304782</v>
      </c>
      <c r="I759" s="25">
        <v>0.85151938501368396</v>
      </c>
      <c r="L759" s="15">
        <v>757</v>
      </c>
      <c r="M759" s="16">
        <v>0</v>
      </c>
      <c r="N759" s="16">
        <v>2</v>
      </c>
      <c r="O759" s="16">
        <v>13</v>
      </c>
      <c r="P759" s="16">
        <v>239</v>
      </c>
      <c r="Q759" s="29">
        <v>50</v>
      </c>
      <c r="R759" s="20">
        <v>0.63719999999999999</v>
      </c>
      <c r="S759" s="32">
        <v>31.86</v>
      </c>
      <c r="T759" s="35">
        <v>2.56</v>
      </c>
      <c r="U759" s="35">
        <v>1.74</v>
      </c>
      <c r="V759" s="35">
        <v>5.1200000000000002E-2</v>
      </c>
      <c r="W759" s="9" t="s">
        <v>154</v>
      </c>
      <c r="X759" s="15">
        <v>758</v>
      </c>
      <c r="Y759" s="39">
        <v>0.48469535638194666</v>
      </c>
      <c r="Z759" s="39">
        <v>0.48713049252781182</v>
      </c>
      <c r="AA759" s="39">
        <v>0.48204584064367595</v>
      </c>
      <c r="AB759" s="39">
        <v>0.48106748411183964</v>
      </c>
      <c r="AC759" s="39">
        <v>0.47574788741239377</v>
      </c>
      <c r="AD759" s="39">
        <v>0.48153329131288347</v>
      </c>
      <c r="AE759" s="39">
        <v>0.47571236919647225</v>
      </c>
      <c r="AF759" s="40">
        <v>0.47752113001660917</v>
      </c>
    </row>
    <row r="760" spans="1:32">
      <c r="A760" s="15">
        <v>758</v>
      </c>
      <c r="B760" s="16">
        <v>0</v>
      </c>
      <c r="C760" s="20">
        <v>0.47</v>
      </c>
      <c r="D760" s="20">
        <v>0.61652855371937609</v>
      </c>
      <c r="E760" s="20">
        <v>0.08</v>
      </c>
      <c r="F760" s="8" t="s">
        <v>436</v>
      </c>
      <c r="G760" s="24">
        <v>0.55253729121878326</v>
      </c>
      <c r="H760" s="24">
        <v>0.55573634109587489</v>
      </c>
      <c r="I760" s="25">
        <v>0.56545541121096554</v>
      </c>
      <c r="L760" s="15">
        <v>758</v>
      </c>
      <c r="M760" s="16">
        <v>0</v>
      </c>
      <c r="N760" s="16">
        <v>2</v>
      </c>
      <c r="O760" s="16">
        <v>13</v>
      </c>
      <c r="P760" s="16">
        <v>240</v>
      </c>
      <c r="Q760" s="29">
        <v>36</v>
      </c>
      <c r="R760" s="20">
        <v>0.63719999999999999</v>
      </c>
      <c r="S760" s="32">
        <v>22.9392</v>
      </c>
      <c r="T760" s="35">
        <v>1.08</v>
      </c>
      <c r="U760" s="35">
        <v>0.5</v>
      </c>
      <c r="V760" s="35">
        <v>3.0000000000000002E-2</v>
      </c>
      <c r="W760" s="9" t="s">
        <v>153</v>
      </c>
      <c r="X760" s="15">
        <v>759</v>
      </c>
      <c r="Y760" s="39">
        <v>0.4764632364769168</v>
      </c>
      <c r="Z760" s="39">
        <v>0.47860188433738848</v>
      </c>
      <c r="AA760" s="39">
        <v>0.49545212344240253</v>
      </c>
      <c r="AB760" s="39">
        <v>0.47862762836592171</v>
      </c>
      <c r="AC760" s="39">
        <v>0.46561358995269736</v>
      </c>
      <c r="AD760" s="39">
        <v>0.47387191472651563</v>
      </c>
      <c r="AE760" s="39">
        <v>0.48635606747574894</v>
      </c>
      <c r="AF760" s="40">
        <v>0.4739185239240899</v>
      </c>
    </row>
    <row r="761" spans="1:32">
      <c r="A761" s="15">
        <v>759</v>
      </c>
      <c r="B761" s="16">
        <v>1</v>
      </c>
      <c r="C761" s="20">
        <v>0.95</v>
      </c>
      <c r="D761" s="20">
        <v>0.15570568692893463</v>
      </c>
      <c r="E761" s="20">
        <v>0.05</v>
      </c>
      <c r="F761" s="8" t="s">
        <v>434</v>
      </c>
      <c r="G761" s="24">
        <v>2.4102299204658726</v>
      </c>
      <c r="H761" s="24">
        <v>2.3557193791407478</v>
      </c>
      <c r="I761" s="25">
        <v>1.6578926537592125</v>
      </c>
      <c r="L761" s="15">
        <v>759</v>
      </c>
      <c r="M761" s="16">
        <v>0</v>
      </c>
      <c r="N761" s="16">
        <v>2</v>
      </c>
      <c r="O761" s="16">
        <v>13</v>
      </c>
      <c r="P761" s="16">
        <v>241</v>
      </c>
      <c r="Q761" s="29">
        <v>46</v>
      </c>
      <c r="R761" s="20">
        <v>0.63719999999999999</v>
      </c>
      <c r="S761" s="32">
        <v>29.311199999999999</v>
      </c>
      <c r="T761" s="35">
        <v>1.87</v>
      </c>
      <c r="U761" s="35">
        <v>1.26</v>
      </c>
      <c r="V761" s="35">
        <v>4.0652173913043481E-2</v>
      </c>
      <c r="W761" s="9" t="s">
        <v>153</v>
      </c>
      <c r="X761" s="15">
        <v>760</v>
      </c>
      <c r="Y761" s="39">
        <v>0.48610049703344571</v>
      </c>
      <c r="Z761" s="39">
        <v>0.483014692385694</v>
      </c>
      <c r="AA761" s="39">
        <v>0.49163971098815207</v>
      </c>
      <c r="AB761" s="39">
        <v>0.48932578058993603</v>
      </c>
      <c r="AC761" s="39">
        <v>0.47910204400739981</v>
      </c>
      <c r="AD761" s="39">
        <v>0.47815395136020139</v>
      </c>
      <c r="AE761" s="39">
        <v>0.48559913945382277</v>
      </c>
      <c r="AF761" s="40">
        <v>0.48483285627574352</v>
      </c>
    </row>
    <row r="762" spans="1:32">
      <c r="A762" s="15">
        <v>760</v>
      </c>
      <c r="B762" s="16">
        <v>0</v>
      </c>
      <c r="C762" s="20">
        <v>0.94</v>
      </c>
      <c r="D762" s="20">
        <v>0.17188516685452584</v>
      </c>
      <c r="E762" s="20">
        <v>0.06</v>
      </c>
      <c r="F762" s="8" t="s">
        <v>434</v>
      </c>
      <c r="G762" s="24">
        <v>0.59377085987474509</v>
      </c>
      <c r="H762" s="24">
        <v>0.59720864158919373</v>
      </c>
      <c r="I762" s="25">
        <v>0.60765300563689606</v>
      </c>
      <c r="L762" s="15">
        <v>760</v>
      </c>
      <c r="M762" s="16">
        <v>0</v>
      </c>
      <c r="N762" s="16">
        <v>2</v>
      </c>
      <c r="O762" s="16">
        <v>13</v>
      </c>
      <c r="P762" s="16">
        <v>242</v>
      </c>
      <c r="Q762" s="29">
        <v>50</v>
      </c>
      <c r="R762" s="20">
        <v>0.63719999999999999</v>
      </c>
      <c r="S762" s="32">
        <v>31.86</v>
      </c>
      <c r="T762" s="35">
        <v>1.68</v>
      </c>
      <c r="U762" s="35">
        <v>0.93</v>
      </c>
      <c r="V762" s="35">
        <v>3.3599999999999998E-2</v>
      </c>
      <c r="W762" s="9" t="s">
        <v>153</v>
      </c>
      <c r="X762" s="15">
        <v>761</v>
      </c>
      <c r="Y762" s="39">
        <v>0.49534824527743054</v>
      </c>
      <c r="Z762" s="39">
        <v>0.48566075449651847</v>
      </c>
      <c r="AA762" s="39">
        <v>0.48283033900847139</v>
      </c>
      <c r="AB762" s="39">
        <v>0.50147767432242052</v>
      </c>
      <c r="AC762" s="39">
        <v>0.48787901154587965</v>
      </c>
      <c r="AD762" s="39">
        <v>0.48169679305328511</v>
      </c>
      <c r="AE762" s="39">
        <v>0.4783130751553753</v>
      </c>
      <c r="AF762" s="40">
        <v>0.49496817216157468</v>
      </c>
    </row>
    <row r="763" spans="1:32">
      <c r="A763" s="15">
        <v>761</v>
      </c>
      <c r="B763" s="16">
        <v>1</v>
      </c>
      <c r="C763" s="20">
        <v>0.93</v>
      </c>
      <c r="D763" s="20">
        <v>0.18747949848141848</v>
      </c>
      <c r="E763" s="20">
        <v>7.0000000000000007E-2</v>
      </c>
      <c r="F763" s="8" t="s">
        <v>434</v>
      </c>
      <c r="G763" s="24">
        <v>1.2308107763856526</v>
      </c>
      <c r="H763" s="24">
        <v>1.2379368566077396</v>
      </c>
      <c r="I763" s="25">
        <v>1.2595866826452091</v>
      </c>
      <c r="L763" s="15">
        <v>761</v>
      </c>
      <c r="M763" s="16">
        <v>0</v>
      </c>
      <c r="N763" s="16">
        <v>2</v>
      </c>
      <c r="O763" s="16">
        <v>13</v>
      </c>
      <c r="P763" s="16">
        <v>243</v>
      </c>
      <c r="Q763" s="29">
        <v>37</v>
      </c>
      <c r="R763" s="20">
        <v>0.63719999999999999</v>
      </c>
      <c r="S763" s="32">
        <v>23.5764</v>
      </c>
      <c r="T763" s="35">
        <v>1.1100000000000001</v>
      </c>
      <c r="U763" s="35">
        <v>0.54</v>
      </c>
      <c r="V763" s="35">
        <v>3.0000000000000002E-2</v>
      </c>
      <c r="W763" s="9" t="s">
        <v>153</v>
      </c>
      <c r="X763" s="15">
        <v>762</v>
      </c>
      <c r="Y763" s="39">
        <v>0.47672650417214613</v>
      </c>
      <c r="Z763" s="39">
        <v>0.49523965117504931</v>
      </c>
      <c r="AA763" s="39">
        <v>0.47324360801110804</v>
      </c>
      <c r="AB763" s="39">
        <v>0.49336257299430158</v>
      </c>
      <c r="AC763" s="39">
        <v>0.47048166132545383</v>
      </c>
      <c r="AD763" s="39">
        <v>0.48781997098771629</v>
      </c>
      <c r="AE763" s="39">
        <v>0.46689076018058184</v>
      </c>
      <c r="AF763" s="40">
        <v>0.48913847502602958</v>
      </c>
    </row>
    <row r="764" spans="1:32">
      <c r="A764" s="15">
        <v>762</v>
      </c>
      <c r="B764" s="16">
        <v>0</v>
      </c>
      <c r="C764" s="20">
        <v>0.86</v>
      </c>
      <c r="D764" s="20">
        <v>0.28597383862931031</v>
      </c>
      <c r="E764" s="20">
        <v>0.14000000000000001</v>
      </c>
      <c r="F764" s="8" t="s">
        <v>434</v>
      </c>
      <c r="G764" s="24">
        <v>1.7415751281662897</v>
      </c>
      <c r="H764" s="24">
        <v>1.7516584036089606</v>
      </c>
      <c r="I764" s="25">
        <v>1.6578926537592125</v>
      </c>
      <c r="L764" s="15">
        <v>762</v>
      </c>
      <c r="M764" s="16">
        <v>0</v>
      </c>
      <c r="N764" s="16">
        <v>2</v>
      </c>
      <c r="O764" s="16">
        <v>13</v>
      </c>
      <c r="P764" s="16">
        <v>244</v>
      </c>
      <c r="Q764" s="29">
        <v>42</v>
      </c>
      <c r="R764" s="20">
        <v>0.63719999999999999</v>
      </c>
      <c r="S764" s="32">
        <v>26.7624</v>
      </c>
      <c r="T764" s="35">
        <v>1.81</v>
      </c>
      <c r="U764" s="35">
        <v>1.21</v>
      </c>
      <c r="V764" s="35">
        <v>4.3095238095238096E-2</v>
      </c>
      <c r="W764" s="9" t="s">
        <v>153</v>
      </c>
      <c r="X764" s="15">
        <v>763</v>
      </c>
      <c r="Y764" s="39">
        <v>0.47525967876591685</v>
      </c>
      <c r="Z764" s="39">
        <v>0.47386866218838464</v>
      </c>
      <c r="AA764" s="39">
        <v>0.47719390677373702</v>
      </c>
      <c r="AB764" s="39">
        <v>0.48341944875609083</v>
      </c>
      <c r="AC764" s="39">
        <v>0.47052429096913112</v>
      </c>
      <c r="AD764" s="39">
        <v>0.46965376785983159</v>
      </c>
      <c r="AE764" s="39">
        <v>0.46984752072451597</v>
      </c>
      <c r="AF764" s="40">
        <v>0.47893702270968008</v>
      </c>
    </row>
    <row r="765" spans="1:32">
      <c r="A765" s="15">
        <v>763</v>
      </c>
      <c r="B765" s="16">
        <v>1</v>
      </c>
      <c r="C765" s="20">
        <v>0.21</v>
      </c>
      <c r="D765" s="20">
        <v>0.8148060469300441</v>
      </c>
      <c r="E765" s="20">
        <v>0.09</v>
      </c>
      <c r="F765" s="8" t="s">
        <v>436</v>
      </c>
      <c r="G765" s="24">
        <v>1.3346382114562794</v>
      </c>
      <c r="H765" s="24">
        <v>1.3423654260247355</v>
      </c>
      <c r="I765" s="25">
        <v>1.3658415652131157</v>
      </c>
      <c r="L765" s="15">
        <v>763</v>
      </c>
      <c r="M765" s="16">
        <v>0</v>
      </c>
      <c r="N765" s="16">
        <v>2</v>
      </c>
      <c r="O765" s="16">
        <v>13</v>
      </c>
      <c r="P765" s="16">
        <v>245</v>
      </c>
      <c r="Q765" s="29">
        <v>45</v>
      </c>
      <c r="R765" s="20">
        <v>0.63719999999999999</v>
      </c>
      <c r="S765" s="32">
        <v>28.673999999999999</v>
      </c>
      <c r="T765" s="35">
        <v>1.96</v>
      </c>
      <c r="U765" s="35">
        <v>1.32</v>
      </c>
      <c r="V765" s="35">
        <v>4.3555555555555556E-2</v>
      </c>
      <c r="W765" s="9" t="s">
        <v>153</v>
      </c>
      <c r="X765" s="15">
        <v>764</v>
      </c>
      <c r="Y765" s="39">
        <v>0.48435928413197649</v>
      </c>
      <c r="Z765" s="39">
        <v>0.49179429722023477</v>
      </c>
      <c r="AA765" s="39">
        <v>0.47267676868390934</v>
      </c>
      <c r="AB765" s="39">
        <v>0.48742862572310303</v>
      </c>
      <c r="AC765" s="39">
        <v>0.47723504261114935</v>
      </c>
      <c r="AD765" s="39">
        <v>0.48806548257502125</v>
      </c>
      <c r="AE765" s="39">
        <v>0.46784259192261285</v>
      </c>
      <c r="AF765" s="40">
        <v>0.48114158846003774</v>
      </c>
    </row>
    <row r="766" spans="1:32">
      <c r="A766" s="15">
        <v>764</v>
      </c>
      <c r="B766" s="16">
        <v>1</v>
      </c>
      <c r="C766" s="20">
        <v>0.02</v>
      </c>
      <c r="D766" s="20">
        <v>0.99835916395484214</v>
      </c>
      <c r="E766" s="20">
        <v>1</v>
      </c>
      <c r="F766" s="8" t="s">
        <v>436</v>
      </c>
      <c r="G766" s="24">
        <v>0.99301688781219066</v>
      </c>
      <c r="H766" s="24">
        <v>0.99876620211801492</v>
      </c>
      <c r="I766" s="25">
        <v>1.0162332598379151</v>
      </c>
      <c r="L766" s="15">
        <v>764</v>
      </c>
      <c r="M766" s="16">
        <v>0</v>
      </c>
      <c r="N766" s="16">
        <v>2</v>
      </c>
      <c r="O766" s="16">
        <v>13</v>
      </c>
      <c r="P766" s="16">
        <v>246</v>
      </c>
      <c r="Q766" s="29">
        <v>41</v>
      </c>
      <c r="R766" s="20">
        <v>0.63719999999999999</v>
      </c>
      <c r="S766" s="32">
        <v>26.1252</v>
      </c>
      <c r="T766" s="35">
        <v>4.4800000000000004</v>
      </c>
      <c r="U766" s="35">
        <v>3.9</v>
      </c>
      <c r="V766" s="35">
        <v>0.10926829268292684</v>
      </c>
      <c r="W766" s="9" t="s">
        <v>155</v>
      </c>
      <c r="X766" s="15">
        <v>765</v>
      </c>
      <c r="Y766" s="39">
        <v>0.48808996103589386</v>
      </c>
      <c r="Z766" s="39">
        <v>0.4985525303670279</v>
      </c>
      <c r="AA766" s="39">
        <v>0.49073645199268617</v>
      </c>
      <c r="AB766" s="39">
        <v>0.48296376136509628</v>
      </c>
      <c r="AC766" s="39">
        <v>0.47942415486375661</v>
      </c>
      <c r="AD766" s="39">
        <v>0.49032243091397626</v>
      </c>
      <c r="AE766" s="39">
        <v>0.48124261212304187</v>
      </c>
      <c r="AF766" s="40">
        <v>0.48066466540945418</v>
      </c>
    </row>
    <row r="767" spans="1:32">
      <c r="A767" s="15">
        <v>765</v>
      </c>
      <c r="B767" s="16">
        <v>0</v>
      </c>
      <c r="C767" s="20">
        <v>0.18</v>
      </c>
      <c r="D767" s="20">
        <v>0.86923771995313903</v>
      </c>
      <c r="E767" s="20">
        <v>0.06</v>
      </c>
      <c r="F767" s="8" t="s">
        <v>436</v>
      </c>
      <c r="G767" s="24">
        <v>0.89737738376929443</v>
      </c>
      <c r="H767" s="24">
        <v>0.90257296975937251</v>
      </c>
      <c r="I767" s="25">
        <v>0.91835773913360275</v>
      </c>
      <c r="L767" s="15">
        <v>765</v>
      </c>
      <c r="M767" s="16">
        <v>0</v>
      </c>
      <c r="N767" s="16">
        <v>2</v>
      </c>
      <c r="O767" s="16">
        <v>14</v>
      </c>
      <c r="P767" s="16">
        <v>247</v>
      </c>
      <c r="Q767" s="29">
        <v>39</v>
      </c>
      <c r="R767" s="20">
        <v>0.63719999999999999</v>
      </c>
      <c r="S767" s="32">
        <v>24.8508</v>
      </c>
      <c r="T767" s="35">
        <v>0.85</v>
      </c>
      <c r="U767" s="35">
        <v>0.3</v>
      </c>
      <c r="V767" s="35">
        <v>2.1794871794871794E-2</v>
      </c>
      <c r="W767" s="9" t="s">
        <v>152</v>
      </c>
      <c r="X767" s="15">
        <v>766</v>
      </c>
      <c r="Y767" s="39">
        <v>0.4778426673605396</v>
      </c>
      <c r="Z767" s="39">
        <v>0.4783366182649596</v>
      </c>
      <c r="AA767" s="39">
        <v>0.49199737738119526</v>
      </c>
      <c r="AB767" s="39">
        <v>0.49561370667761712</v>
      </c>
      <c r="AC767" s="39">
        <v>0.47495104758828077</v>
      </c>
      <c r="AD767" s="39">
        <v>0.47386696014446633</v>
      </c>
      <c r="AE767" s="39">
        <v>0.48514540843580167</v>
      </c>
      <c r="AF767" s="40">
        <v>0.49197119237269787</v>
      </c>
    </row>
    <row r="768" spans="1:32">
      <c r="A768" s="15">
        <v>766</v>
      </c>
      <c r="B768" s="16">
        <v>0</v>
      </c>
      <c r="C768" s="20">
        <v>0.93</v>
      </c>
      <c r="D768" s="20">
        <v>0.18747949848141848</v>
      </c>
      <c r="E768" s="20">
        <v>7.0000000000000007E-2</v>
      </c>
      <c r="F768" s="8" t="s">
        <v>434</v>
      </c>
      <c r="G768" s="24">
        <v>1.6369370675726598</v>
      </c>
      <c r="H768" s="24">
        <v>1.6464145153541012</v>
      </c>
      <c r="I768" s="25">
        <v>1.6578926537592125</v>
      </c>
      <c r="L768" s="15">
        <v>766</v>
      </c>
      <c r="M768" s="16">
        <v>0</v>
      </c>
      <c r="N768" s="16">
        <v>2</v>
      </c>
      <c r="O768" s="16">
        <v>14</v>
      </c>
      <c r="P768" s="16">
        <v>248</v>
      </c>
      <c r="Q768" s="29">
        <v>36</v>
      </c>
      <c r="R768" s="20">
        <v>0.63719999999999999</v>
      </c>
      <c r="S768" s="32">
        <v>22.9392</v>
      </c>
      <c r="T768" s="35">
        <v>1.56</v>
      </c>
      <c r="U768" s="35">
        <v>0.97</v>
      </c>
      <c r="V768" s="35">
        <v>4.3333333333333335E-2</v>
      </c>
      <c r="W768" s="9" t="s">
        <v>153</v>
      </c>
      <c r="X768" s="15">
        <v>767</v>
      </c>
      <c r="Y768" s="39">
        <v>0.47212968012402301</v>
      </c>
      <c r="Z768" s="39">
        <v>0.48023590005625233</v>
      </c>
      <c r="AA768" s="39">
        <v>0.50805802853129323</v>
      </c>
      <c r="AB768" s="39">
        <v>0.49241598757797705</v>
      </c>
      <c r="AC768" s="39">
        <v>0.4676691066373968</v>
      </c>
      <c r="AD768" s="39">
        <v>0.4700936650482565</v>
      </c>
      <c r="AE768" s="39">
        <v>0.50178889597741483</v>
      </c>
      <c r="AF768" s="40">
        <v>0.48783583449706852</v>
      </c>
    </row>
    <row r="769" spans="1:32">
      <c r="A769" s="15">
        <v>767</v>
      </c>
      <c r="B769" s="16">
        <v>1</v>
      </c>
      <c r="C769" s="20">
        <v>0.47</v>
      </c>
      <c r="D769" s="20">
        <v>0.66201011972957446</v>
      </c>
      <c r="E769" s="20">
        <v>0.03</v>
      </c>
      <c r="F769" s="8" t="s">
        <v>436</v>
      </c>
      <c r="G769" s="24">
        <v>0.94831604037932227</v>
      </c>
      <c r="H769" s="24">
        <v>0.95380654818871879</v>
      </c>
      <c r="I769" s="25">
        <v>0.97048732292408824</v>
      </c>
      <c r="L769" s="15">
        <v>767</v>
      </c>
      <c r="M769" s="16">
        <v>0</v>
      </c>
      <c r="N769" s="16">
        <v>2</v>
      </c>
      <c r="O769" s="16">
        <v>14</v>
      </c>
      <c r="P769" s="16">
        <v>249</v>
      </c>
      <c r="Q769" s="29">
        <v>38</v>
      </c>
      <c r="R769" s="20">
        <v>0.63719999999999999</v>
      </c>
      <c r="S769" s="32">
        <v>24.2136</v>
      </c>
      <c r="T769" s="35">
        <v>2.0100000000000002</v>
      </c>
      <c r="U769" s="35">
        <v>1.5</v>
      </c>
      <c r="V769" s="35">
        <v>5.2894736842105272E-2</v>
      </c>
      <c r="W769" s="9" t="s">
        <v>154</v>
      </c>
      <c r="X769" s="15">
        <v>768</v>
      </c>
      <c r="Y769" s="39">
        <v>0.48863104573075072</v>
      </c>
      <c r="Z769" s="39">
        <v>0.48366110432210735</v>
      </c>
      <c r="AA769" s="39">
        <v>0.47726465207471924</v>
      </c>
      <c r="AB769" s="39">
        <v>0.50002410676331743</v>
      </c>
      <c r="AC769" s="39">
        <v>0.48396406421023647</v>
      </c>
      <c r="AD769" s="39">
        <v>0.47686792557077051</v>
      </c>
      <c r="AE769" s="39">
        <v>0.4720302091184605</v>
      </c>
      <c r="AF769" s="40">
        <v>0.49565774545977331</v>
      </c>
    </row>
    <row r="770" spans="1:32">
      <c r="A770" s="15">
        <v>768</v>
      </c>
      <c r="B770" s="16">
        <v>0</v>
      </c>
      <c r="C770" s="20">
        <v>0.89</v>
      </c>
      <c r="D770" s="20">
        <v>0.24559627500636821</v>
      </c>
      <c r="E770" s="20">
        <v>0.11</v>
      </c>
      <c r="F770" s="8" t="s">
        <v>434</v>
      </c>
      <c r="G770" s="24">
        <v>0.55534849094714878</v>
      </c>
      <c r="H770" s="24">
        <v>0.55856381695308899</v>
      </c>
      <c r="I770" s="25">
        <v>0.56833233576187281</v>
      </c>
      <c r="L770" s="15">
        <v>768</v>
      </c>
      <c r="M770" s="16">
        <v>0</v>
      </c>
      <c r="N770" s="16">
        <v>2</v>
      </c>
      <c r="O770" s="16">
        <v>14</v>
      </c>
      <c r="P770" s="16">
        <v>250</v>
      </c>
      <c r="Q770" s="29">
        <v>42</v>
      </c>
      <c r="R770" s="20">
        <v>0.63719999999999999</v>
      </c>
      <c r="S770" s="32">
        <v>26.7624</v>
      </c>
      <c r="T770" s="35">
        <v>1.05</v>
      </c>
      <c r="U770" s="35">
        <v>0.38</v>
      </c>
      <c r="V770" s="35">
        <v>2.5000000000000001E-2</v>
      </c>
      <c r="W770" s="9" t="s">
        <v>153</v>
      </c>
      <c r="X770" s="15">
        <v>769</v>
      </c>
      <c r="Y770" s="39">
        <v>0.48526004355047675</v>
      </c>
      <c r="Z770" s="39">
        <v>0.48333117309030305</v>
      </c>
      <c r="AA770" s="39">
        <v>0.48636064510058685</v>
      </c>
      <c r="AB770" s="39">
        <v>0.49565464619770888</v>
      </c>
      <c r="AC770" s="39">
        <v>0.47855610854895103</v>
      </c>
      <c r="AD770" s="39">
        <v>0.47276040963667471</v>
      </c>
      <c r="AE770" s="39">
        <v>0.47703768281875197</v>
      </c>
      <c r="AF770" s="40">
        <v>0.49186183610254197</v>
      </c>
    </row>
    <row r="771" spans="1:32">
      <c r="A771" s="15">
        <v>769</v>
      </c>
      <c r="B771" s="16">
        <v>0</v>
      </c>
      <c r="C771" s="20">
        <v>0.37</v>
      </c>
      <c r="D771" s="20">
        <v>0.70081705171519981</v>
      </c>
      <c r="E771" s="20">
        <v>0.08</v>
      </c>
      <c r="F771" s="8" t="s">
        <v>436</v>
      </c>
      <c r="G771" s="24">
        <v>0.64313875757558991</v>
      </c>
      <c r="H771" s="24">
        <v>0.64686236681622022</v>
      </c>
      <c r="I771" s="25">
        <v>0.65817510674879864</v>
      </c>
      <c r="L771" s="15">
        <v>769</v>
      </c>
      <c r="M771" s="16">
        <v>0</v>
      </c>
      <c r="N771" s="16">
        <v>2</v>
      </c>
      <c r="O771" s="16">
        <v>14</v>
      </c>
      <c r="P771" s="16">
        <v>251</v>
      </c>
      <c r="Q771" s="29">
        <v>35</v>
      </c>
      <c r="R771" s="20">
        <v>0.63719999999999999</v>
      </c>
      <c r="S771" s="32">
        <v>22.302</v>
      </c>
      <c r="T771" s="35">
        <v>0.57000000000000006</v>
      </c>
      <c r="U771" s="35">
        <v>0.05</v>
      </c>
      <c r="V771" s="35">
        <v>1.6285714285714289E-2</v>
      </c>
      <c r="W771" s="9" t="s">
        <v>152</v>
      </c>
      <c r="X771" s="15">
        <v>770</v>
      </c>
      <c r="Y771" s="39">
        <v>0.48341074860804062</v>
      </c>
      <c r="Z771" s="39">
        <v>0.50390308494233105</v>
      </c>
      <c r="AA771" s="39">
        <v>0.49304482888661438</v>
      </c>
      <c r="AB771" s="39">
        <v>0.47199662157147532</v>
      </c>
      <c r="AC771" s="39">
        <v>0.47443790293562871</v>
      </c>
      <c r="AD771" s="39">
        <v>0.49489465134335192</v>
      </c>
      <c r="AE771" s="39">
        <v>0.48679775674965575</v>
      </c>
      <c r="AF771" s="40">
        <v>0.46828877909813388</v>
      </c>
    </row>
    <row r="772" spans="1:32">
      <c r="A772" s="15">
        <v>770</v>
      </c>
      <c r="B772" s="16">
        <v>0</v>
      </c>
      <c r="C772" s="20">
        <v>0.7</v>
      </c>
      <c r="D772" s="20">
        <v>0.41309838220913481</v>
      </c>
      <c r="E772" s="20">
        <v>0.08</v>
      </c>
      <c r="F772" s="8" t="s">
        <v>438</v>
      </c>
      <c r="G772" s="24">
        <v>0.64361343411126293</v>
      </c>
      <c r="H772" s="24">
        <v>0.64733979160787014</v>
      </c>
      <c r="I772" s="25">
        <v>0.65866088104844656</v>
      </c>
      <c r="L772" s="15">
        <v>770</v>
      </c>
      <c r="M772" s="16">
        <v>0</v>
      </c>
      <c r="N772" s="16">
        <v>2</v>
      </c>
      <c r="O772" s="16">
        <v>14</v>
      </c>
      <c r="P772" s="16">
        <v>252</v>
      </c>
      <c r="Q772" s="29">
        <v>34</v>
      </c>
      <c r="R772" s="20">
        <v>0.63719999999999999</v>
      </c>
      <c r="S772" s="32">
        <v>21.6648</v>
      </c>
      <c r="T772" s="35">
        <v>1.03</v>
      </c>
      <c r="U772" s="35">
        <v>0.64</v>
      </c>
      <c r="V772" s="35">
        <v>3.0294117647058826E-2</v>
      </c>
      <c r="W772" s="9" t="s">
        <v>153</v>
      </c>
      <c r="X772" s="15">
        <v>771</v>
      </c>
      <c r="Y772" s="39">
        <v>0.48388983415009962</v>
      </c>
      <c r="Z772" s="39">
        <v>0.48502703122728952</v>
      </c>
      <c r="AA772" s="39">
        <v>0.48789876000143839</v>
      </c>
      <c r="AB772" s="39">
        <v>0.49511323341619329</v>
      </c>
      <c r="AC772" s="39">
        <v>0.47669806047170038</v>
      </c>
      <c r="AD772" s="39">
        <v>0.47883940519305435</v>
      </c>
      <c r="AE772" s="39">
        <v>0.48171174410334522</v>
      </c>
      <c r="AF772" s="40">
        <v>0.49288893487281737</v>
      </c>
    </row>
    <row r="773" spans="1:32">
      <c r="A773" s="15">
        <v>771</v>
      </c>
      <c r="B773" s="16">
        <v>0</v>
      </c>
      <c r="C773" s="20">
        <v>0.92</v>
      </c>
      <c r="D773" s="20">
        <v>0.20258497911151899</v>
      </c>
      <c r="E773" s="20">
        <v>0.08</v>
      </c>
      <c r="F773" s="8" t="s">
        <v>434</v>
      </c>
      <c r="G773" s="24">
        <v>0.62254180228111355</v>
      </c>
      <c r="H773" s="24">
        <v>0.62614616040810778</v>
      </c>
      <c r="I773" s="25">
        <v>0.6370966021648965</v>
      </c>
      <c r="L773" s="15">
        <v>771</v>
      </c>
      <c r="M773" s="16">
        <v>0</v>
      </c>
      <c r="N773" s="16">
        <v>2</v>
      </c>
      <c r="O773" s="16">
        <v>14</v>
      </c>
      <c r="P773" s="16">
        <v>253</v>
      </c>
      <c r="Q773" s="29">
        <v>51</v>
      </c>
      <c r="R773" s="20">
        <v>0.63719999999999999</v>
      </c>
      <c r="S773" s="32">
        <v>32.497199999999999</v>
      </c>
      <c r="T773" s="35">
        <v>1.6400000000000001</v>
      </c>
      <c r="U773" s="35">
        <v>0.78</v>
      </c>
      <c r="V773" s="35">
        <v>3.215686274509804E-2</v>
      </c>
      <c r="W773" s="9" t="s">
        <v>153</v>
      </c>
      <c r="X773" s="15">
        <v>772</v>
      </c>
      <c r="Y773" s="39">
        <v>0.46163788483437546</v>
      </c>
      <c r="Z773" s="39">
        <v>0.48482858385824301</v>
      </c>
      <c r="AA773" s="39">
        <v>0.48311947177457004</v>
      </c>
      <c r="AB773" s="39">
        <v>0.48972711991797763</v>
      </c>
      <c r="AC773" s="39">
        <v>0.45448690175006212</v>
      </c>
      <c r="AD773" s="39">
        <v>0.4800979383565514</v>
      </c>
      <c r="AE773" s="39">
        <v>0.47541992111255704</v>
      </c>
      <c r="AF773" s="40">
        <v>0.48408720854814785</v>
      </c>
    </row>
    <row r="774" spans="1:32">
      <c r="A774" s="15">
        <v>772</v>
      </c>
      <c r="B774" s="16">
        <v>0</v>
      </c>
      <c r="C774" s="20">
        <v>0.02</v>
      </c>
      <c r="D774" s="20">
        <v>0.99835916395484214</v>
      </c>
      <c r="E774" s="20">
        <v>1</v>
      </c>
      <c r="F774" s="8" t="s">
        <v>436</v>
      </c>
      <c r="G774" s="24">
        <v>0.9946501794440884</v>
      </c>
      <c r="H774" s="24">
        <v>1.0004089500915521</v>
      </c>
      <c r="I774" s="25">
        <v>1.0179047372314227</v>
      </c>
      <c r="L774" s="15">
        <v>772</v>
      </c>
      <c r="M774" s="16">
        <v>0</v>
      </c>
      <c r="N774" s="16">
        <v>2</v>
      </c>
      <c r="O774" s="16">
        <v>14</v>
      </c>
      <c r="P774" s="16">
        <v>254</v>
      </c>
      <c r="Q774" s="29">
        <v>34</v>
      </c>
      <c r="R774" s="20">
        <v>0.63719999999999999</v>
      </c>
      <c r="S774" s="32">
        <v>21.6648</v>
      </c>
      <c r="T774" s="35">
        <v>0.58000000000000007</v>
      </c>
      <c r="U774" s="35">
        <v>0.04</v>
      </c>
      <c r="V774" s="35">
        <v>1.7058823529411765E-2</v>
      </c>
      <c r="W774" s="9" t="s">
        <v>152</v>
      </c>
      <c r="X774" s="15">
        <v>773</v>
      </c>
      <c r="Y774" s="39">
        <v>0.48617482769229631</v>
      </c>
      <c r="Z774" s="39">
        <v>0.4753282118416926</v>
      </c>
      <c r="AA774" s="39">
        <v>0.48806203104456747</v>
      </c>
      <c r="AB774" s="39">
        <v>0.49940011688701158</v>
      </c>
      <c r="AC774" s="39">
        <v>0.48009426808399308</v>
      </c>
      <c r="AD774" s="39">
        <v>0.46975908264560218</v>
      </c>
      <c r="AE774" s="39">
        <v>0.48066028258558857</v>
      </c>
      <c r="AF774" s="40">
        <v>0.49532552928602502</v>
      </c>
    </row>
    <row r="775" spans="1:32">
      <c r="A775" s="15">
        <v>773</v>
      </c>
      <c r="B775" s="16">
        <v>0</v>
      </c>
      <c r="C775" s="20">
        <v>0.89</v>
      </c>
      <c r="D775" s="20">
        <v>0.24559627500636821</v>
      </c>
      <c r="E775" s="20">
        <v>0.11</v>
      </c>
      <c r="F775" s="8" t="s">
        <v>434</v>
      </c>
      <c r="G775" s="24">
        <v>0.41225510620695438</v>
      </c>
      <c r="H775" s="24">
        <v>0.41464195804085091</v>
      </c>
      <c r="I775" s="25">
        <v>0.42189347996743709</v>
      </c>
      <c r="L775" s="15">
        <v>773</v>
      </c>
      <c r="M775" s="16">
        <v>0</v>
      </c>
      <c r="N775" s="16">
        <v>2</v>
      </c>
      <c r="O775" s="16">
        <v>14</v>
      </c>
      <c r="P775" s="16">
        <v>255</v>
      </c>
      <c r="Q775" s="29">
        <v>19</v>
      </c>
      <c r="R775" s="20">
        <v>0.63719999999999999</v>
      </c>
      <c r="S775" s="32">
        <v>12.1068</v>
      </c>
      <c r="T775" s="35">
        <v>0.28000000000000003</v>
      </c>
      <c r="U775" s="35">
        <v>0.02</v>
      </c>
      <c r="V775" s="35">
        <v>1.4736842105263159E-2</v>
      </c>
      <c r="W775" s="9" t="s">
        <v>152</v>
      </c>
      <c r="X775" s="15">
        <v>774</v>
      </c>
      <c r="Y775" s="39">
        <v>0.49097310159504748</v>
      </c>
      <c r="Z775" s="39">
        <v>0.4853239970889307</v>
      </c>
      <c r="AA775" s="39">
        <v>0.48529951785961889</v>
      </c>
      <c r="AB775" s="39">
        <v>0.48278364109305527</v>
      </c>
      <c r="AC775" s="39">
        <v>0.48611278462782054</v>
      </c>
      <c r="AD775" s="39">
        <v>0.48142182169069309</v>
      </c>
      <c r="AE775" s="39">
        <v>0.47774544800124047</v>
      </c>
      <c r="AF775" s="40">
        <v>0.47687787526819292</v>
      </c>
    </row>
    <row r="776" spans="1:32">
      <c r="A776" s="15">
        <v>774</v>
      </c>
      <c r="B776" s="16">
        <v>1</v>
      </c>
      <c r="C776" s="20">
        <v>0.02</v>
      </c>
      <c r="D776" s="20">
        <v>0.99756714174924133</v>
      </c>
      <c r="E776" s="20">
        <v>1</v>
      </c>
      <c r="F776" s="8" t="s">
        <v>436</v>
      </c>
      <c r="G776" s="24">
        <v>1.0634855248619626</v>
      </c>
      <c r="H776" s="24">
        <v>1.0696428345886853</v>
      </c>
      <c r="I776" s="25">
        <v>1.0883494278752996</v>
      </c>
      <c r="L776" s="15">
        <v>774</v>
      </c>
      <c r="M776" s="16">
        <v>0</v>
      </c>
      <c r="N776" s="16">
        <v>2</v>
      </c>
      <c r="O776" s="16">
        <v>16</v>
      </c>
      <c r="P776" s="16">
        <v>257</v>
      </c>
      <c r="Q776" s="29">
        <v>24</v>
      </c>
      <c r="R776" s="20">
        <v>0.63719999999999999</v>
      </c>
      <c r="S776" s="32">
        <v>15.2928</v>
      </c>
      <c r="T776" s="35">
        <v>0.4</v>
      </c>
      <c r="U776" s="35">
        <v>0.12</v>
      </c>
      <c r="V776" s="35">
        <v>1.6666666666666666E-2</v>
      </c>
      <c r="W776" s="9" t="s">
        <v>152</v>
      </c>
      <c r="X776" s="15">
        <v>775</v>
      </c>
      <c r="Y776" s="39">
        <v>0.48807445776873148</v>
      </c>
      <c r="Z776" s="39">
        <v>0.47695498544760995</v>
      </c>
      <c r="AA776" s="39">
        <v>0.4786203488595217</v>
      </c>
      <c r="AB776" s="39">
        <v>0.49030324855972557</v>
      </c>
      <c r="AC776" s="39">
        <v>0.48040113874782758</v>
      </c>
      <c r="AD776" s="39">
        <v>0.473229465997552</v>
      </c>
      <c r="AE776" s="39">
        <v>0.47377174658179416</v>
      </c>
      <c r="AF776" s="40">
        <v>0.48610892178458298</v>
      </c>
    </row>
    <row r="777" spans="1:32">
      <c r="A777" s="15">
        <v>775</v>
      </c>
      <c r="B777" s="16">
        <v>1</v>
      </c>
      <c r="C777" s="20">
        <v>0.38</v>
      </c>
      <c r="D777" s="20">
        <v>0.73056536740376954</v>
      </c>
      <c r="E777" s="20">
        <v>0.43</v>
      </c>
      <c r="F777" s="8" t="s">
        <v>436</v>
      </c>
      <c r="G777" s="24">
        <v>0.75909836397310626</v>
      </c>
      <c r="H777" s="24">
        <v>0.76349334973526561</v>
      </c>
      <c r="I777" s="25">
        <v>0.77684580637657485</v>
      </c>
      <c r="L777" s="15">
        <v>775</v>
      </c>
      <c r="M777" s="16">
        <v>0</v>
      </c>
      <c r="N777" s="16">
        <v>2</v>
      </c>
      <c r="O777" s="16">
        <v>16</v>
      </c>
      <c r="P777" s="16">
        <v>258</v>
      </c>
      <c r="Q777" s="29">
        <v>33</v>
      </c>
      <c r="R777" s="20">
        <v>0.63719999999999999</v>
      </c>
      <c r="S777" s="32">
        <v>21.0276</v>
      </c>
      <c r="T777" s="35">
        <v>0.92</v>
      </c>
      <c r="U777" s="35">
        <v>0.42</v>
      </c>
      <c r="V777" s="35">
        <v>2.7878787878787881E-2</v>
      </c>
      <c r="W777" s="9" t="s">
        <v>152</v>
      </c>
      <c r="X777" s="15">
        <v>776</v>
      </c>
      <c r="Y777" s="39">
        <v>0.4897372508995973</v>
      </c>
      <c r="Z777" s="39">
        <v>0.46930989528902001</v>
      </c>
      <c r="AA777" s="39">
        <v>0.48371276931120377</v>
      </c>
      <c r="AB777" s="39">
        <v>0.48988743942757401</v>
      </c>
      <c r="AC777" s="39">
        <v>0.48121888159175158</v>
      </c>
      <c r="AD777" s="39">
        <v>0.46391182707223438</v>
      </c>
      <c r="AE777" s="39">
        <v>0.47463833465860278</v>
      </c>
      <c r="AF777" s="40">
        <v>0.48451499030764644</v>
      </c>
    </row>
    <row r="778" spans="1:32">
      <c r="A778" s="15">
        <v>776</v>
      </c>
      <c r="B778" s="16">
        <v>0</v>
      </c>
      <c r="C778" s="20">
        <v>0.27</v>
      </c>
      <c r="D778" s="20">
        <v>0.78386646192021137</v>
      </c>
      <c r="E778" s="20">
        <v>0.04</v>
      </c>
      <c r="F778" s="8" t="s">
        <v>436</v>
      </c>
      <c r="G778" s="24">
        <v>0.66693512570262925</v>
      </c>
      <c r="H778" s="24">
        <v>0.67079650984052319</v>
      </c>
      <c r="I778" s="25">
        <v>0.68252782526834299</v>
      </c>
      <c r="L778" s="15">
        <v>776</v>
      </c>
      <c r="M778" s="16">
        <v>0</v>
      </c>
      <c r="N778" s="16">
        <v>2</v>
      </c>
      <c r="O778" s="16">
        <v>16</v>
      </c>
      <c r="P778" s="16">
        <v>259</v>
      </c>
      <c r="Q778" s="29">
        <v>12</v>
      </c>
      <c r="R778" s="20">
        <v>0.63719999999999999</v>
      </c>
      <c r="S778" s="32">
        <v>7.6463999999999999</v>
      </c>
      <c r="T778" s="35">
        <v>0.24</v>
      </c>
      <c r="U778" s="35">
        <v>7.0000000000000007E-2</v>
      </c>
      <c r="V778" s="35">
        <v>0.02</v>
      </c>
      <c r="W778" s="9" t="s">
        <v>152</v>
      </c>
      <c r="X778" s="15">
        <v>777</v>
      </c>
      <c r="Y778" s="39">
        <v>0.47707108864340675</v>
      </c>
      <c r="Z778" s="39">
        <v>0.48585511444338253</v>
      </c>
      <c r="AA778" s="39">
        <v>0.49076964284863961</v>
      </c>
      <c r="AB778" s="39">
        <v>0.4898727414152601</v>
      </c>
      <c r="AC778" s="39">
        <v>0.46982527658644496</v>
      </c>
      <c r="AD778" s="39">
        <v>0.47591584177158924</v>
      </c>
      <c r="AE778" s="39">
        <v>0.48456816984154327</v>
      </c>
      <c r="AF778" s="40">
        <v>0.48573609165695336</v>
      </c>
    </row>
    <row r="779" spans="1:32">
      <c r="A779" s="15">
        <v>777</v>
      </c>
      <c r="B779" s="16">
        <v>0</v>
      </c>
      <c r="C779" s="20">
        <v>0.92</v>
      </c>
      <c r="D779" s="20">
        <v>0.20258497911151899</v>
      </c>
      <c r="E779" s="20">
        <v>0.08</v>
      </c>
      <c r="F779" s="8" t="s">
        <v>434</v>
      </c>
      <c r="G779" s="24">
        <v>0.35024671961073289</v>
      </c>
      <c r="H779" s="24">
        <v>0.35227455871431806</v>
      </c>
      <c r="I779" s="25">
        <v>0.35843535994814707</v>
      </c>
      <c r="L779" s="15">
        <v>777</v>
      </c>
      <c r="M779" s="16">
        <v>0</v>
      </c>
      <c r="N779" s="16">
        <v>3</v>
      </c>
      <c r="O779" s="16">
        <v>0</v>
      </c>
      <c r="P779" s="16">
        <v>56</v>
      </c>
      <c r="Q779" s="29">
        <v>19</v>
      </c>
      <c r="R779" s="20">
        <v>0.47729999999999995</v>
      </c>
      <c r="S779" s="32">
        <v>9.0686999999999998</v>
      </c>
      <c r="T779" s="35">
        <v>0.28000000000000003</v>
      </c>
      <c r="U779" s="35">
        <v>0</v>
      </c>
      <c r="V779" s="35">
        <v>1.4736842105263159E-2</v>
      </c>
      <c r="W779" s="9" t="s">
        <v>152</v>
      </c>
      <c r="X779" s="15">
        <v>778</v>
      </c>
      <c r="Y779" s="39">
        <v>0.48679088123452002</v>
      </c>
      <c r="Z779" s="39">
        <v>0.4956354256485076</v>
      </c>
      <c r="AA779" s="39">
        <v>0.48272644397694009</v>
      </c>
      <c r="AB779" s="39">
        <v>0.48333365639502401</v>
      </c>
      <c r="AC779" s="39">
        <v>0.4801150328202678</v>
      </c>
      <c r="AD779" s="39">
        <v>0.48945213435534701</v>
      </c>
      <c r="AE779" s="39">
        <v>0.4765387256137113</v>
      </c>
      <c r="AF779" s="40">
        <v>0.47944840765458696</v>
      </c>
    </row>
    <row r="780" spans="1:32">
      <c r="A780" s="15">
        <v>778</v>
      </c>
      <c r="B780" s="16">
        <v>1</v>
      </c>
      <c r="C780" s="20">
        <v>0.15</v>
      </c>
      <c r="D780" s="20">
        <v>0.89832954621513783</v>
      </c>
      <c r="E780" s="20">
        <v>0.08</v>
      </c>
      <c r="F780" s="8" t="s">
        <v>436</v>
      </c>
      <c r="G780" s="24">
        <v>1.2550443949504311</v>
      </c>
      <c r="H780" s="24">
        <v>1.2623107816382049</v>
      </c>
      <c r="I780" s="25">
        <v>1.2843868743579718</v>
      </c>
      <c r="L780" s="15">
        <v>778</v>
      </c>
      <c r="M780" s="16">
        <v>0</v>
      </c>
      <c r="N780" s="16">
        <v>3</v>
      </c>
      <c r="O780" s="16">
        <v>0</v>
      </c>
      <c r="P780" s="16">
        <v>57</v>
      </c>
      <c r="Q780" s="29">
        <v>15</v>
      </c>
      <c r="R780" s="20">
        <v>0.47729999999999995</v>
      </c>
      <c r="S780" s="32">
        <v>7.1594999999999995</v>
      </c>
      <c r="T780" s="35">
        <v>0.18</v>
      </c>
      <c r="U780" s="35">
        <v>0</v>
      </c>
      <c r="V780" s="35">
        <v>1.2E-2</v>
      </c>
      <c r="W780" s="9" t="s">
        <v>152</v>
      </c>
      <c r="X780" s="15">
        <v>779</v>
      </c>
      <c r="Y780" s="39">
        <v>0.48546085072475426</v>
      </c>
      <c r="Z780" s="39">
        <v>0.47904975194544097</v>
      </c>
      <c r="AA780" s="39">
        <v>0.47751280007958369</v>
      </c>
      <c r="AB780" s="39">
        <v>0.48374720086629214</v>
      </c>
      <c r="AC780" s="39">
        <v>0.48008710946040772</v>
      </c>
      <c r="AD780" s="39">
        <v>0.46986374774270839</v>
      </c>
      <c r="AE780" s="39">
        <v>0.47240106935622722</v>
      </c>
      <c r="AF780" s="40">
        <v>0.4827163437115361</v>
      </c>
    </row>
    <row r="781" spans="1:32">
      <c r="A781" s="15">
        <v>779</v>
      </c>
      <c r="B781" s="16">
        <v>1</v>
      </c>
      <c r="C781" s="20">
        <v>0.02</v>
      </c>
      <c r="D781" s="20">
        <v>0.99917029198757767</v>
      </c>
      <c r="E781" s="20">
        <v>1</v>
      </c>
      <c r="F781" s="8" t="s">
        <v>436</v>
      </c>
      <c r="G781" s="24">
        <v>1.077108452331379</v>
      </c>
      <c r="H781" s="24">
        <v>1.0833446353308007</v>
      </c>
      <c r="I781" s="25">
        <v>1.1022908544116417</v>
      </c>
      <c r="L781" s="15">
        <v>779</v>
      </c>
      <c r="M781" s="16">
        <v>0</v>
      </c>
      <c r="N781" s="16">
        <v>3</v>
      </c>
      <c r="O781" s="16">
        <v>0</v>
      </c>
      <c r="P781" s="16">
        <v>58</v>
      </c>
      <c r="Q781" s="29">
        <v>28</v>
      </c>
      <c r="R781" s="20">
        <v>0.47729999999999995</v>
      </c>
      <c r="S781" s="32">
        <v>13.364399999999998</v>
      </c>
      <c r="T781" s="35">
        <v>0.75</v>
      </c>
      <c r="U781" s="35">
        <v>0.17</v>
      </c>
      <c r="V781" s="35">
        <v>2.6785714285714284E-2</v>
      </c>
      <c r="W781" s="9" t="s">
        <v>152</v>
      </c>
      <c r="X781" s="15">
        <v>780</v>
      </c>
      <c r="Y781" s="39">
        <v>0.48949689138172148</v>
      </c>
      <c r="Z781" s="39">
        <v>0.49897153106975844</v>
      </c>
      <c r="AA781" s="39">
        <v>0.48873958259176398</v>
      </c>
      <c r="AB781" s="39">
        <v>0.4865909079110689</v>
      </c>
      <c r="AC781" s="39">
        <v>0.48216027282694757</v>
      </c>
      <c r="AD781" s="39">
        <v>0.49257798807015551</v>
      </c>
      <c r="AE781" s="39">
        <v>0.48176072126186992</v>
      </c>
      <c r="AF781" s="40">
        <v>0.48205717083389965</v>
      </c>
    </row>
    <row r="782" spans="1:32">
      <c r="A782" s="15">
        <v>780</v>
      </c>
      <c r="B782" s="16">
        <v>0</v>
      </c>
      <c r="C782" s="20">
        <v>0.33</v>
      </c>
      <c r="D782" s="20">
        <v>0.79637120132354255</v>
      </c>
      <c r="E782" s="20">
        <v>0.49</v>
      </c>
      <c r="F782" s="8" t="s">
        <v>436</v>
      </c>
      <c r="G782" s="24">
        <v>0.89429396575460329</v>
      </c>
      <c r="H782" s="24">
        <v>0.89947169954144068</v>
      </c>
      <c r="I782" s="25">
        <v>0.91520223193229411</v>
      </c>
      <c r="L782" s="15">
        <v>780</v>
      </c>
      <c r="M782" s="16">
        <v>0</v>
      </c>
      <c r="N782" s="16">
        <v>3</v>
      </c>
      <c r="O782" s="16">
        <v>0</v>
      </c>
      <c r="P782" s="16">
        <v>59</v>
      </c>
      <c r="Q782" s="29">
        <v>21</v>
      </c>
      <c r="R782" s="20">
        <v>0.47729999999999995</v>
      </c>
      <c r="S782" s="32">
        <v>10.023299999999999</v>
      </c>
      <c r="T782" s="35">
        <v>0.26</v>
      </c>
      <c r="U782" s="35">
        <v>0.05</v>
      </c>
      <c r="V782" s="35">
        <v>1.2380952380952381E-2</v>
      </c>
      <c r="W782" s="9" t="s">
        <v>152</v>
      </c>
      <c r="X782" s="15">
        <v>781</v>
      </c>
      <c r="Y782" s="39">
        <v>0.4952413747842801</v>
      </c>
      <c r="Z782" s="39">
        <v>0.49182744359079833</v>
      </c>
      <c r="AA782" s="39">
        <v>0.47698750092321718</v>
      </c>
      <c r="AB782" s="39">
        <v>0.51157245316063682</v>
      </c>
      <c r="AC782" s="39">
        <v>0.48876977167583141</v>
      </c>
      <c r="AD782" s="39">
        <v>0.48303873782413276</v>
      </c>
      <c r="AE782" s="39">
        <v>0.47104921099878699</v>
      </c>
      <c r="AF782" s="40">
        <v>0.5060371095218229</v>
      </c>
    </row>
    <row r="783" spans="1:32">
      <c r="A783" s="15">
        <v>781</v>
      </c>
      <c r="B783" s="16">
        <v>0</v>
      </c>
      <c r="C783" s="20">
        <v>0.25</v>
      </c>
      <c r="D783" s="20">
        <v>0.81771413591381725</v>
      </c>
      <c r="E783" s="20">
        <v>0.06</v>
      </c>
      <c r="F783" s="8" t="s">
        <v>436</v>
      </c>
      <c r="G783" s="24">
        <v>1.0618844770917057</v>
      </c>
      <c r="H783" s="24">
        <v>1.0680325171605174</v>
      </c>
      <c r="I783" s="25">
        <v>1.0867109481931374</v>
      </c>
      <c r="L783" s="15">
        <v>781</v>
      </c>
      <c r="M783" s="16">
        <v>0</v>
      </c>
      <c r="N783" s="16">
        <v>3</v>
      </c>
      <c r="O783" s="16">
        <v>0</v>
      </c>
      <c r="P783" s="16">
        <v>60</v>
      </c>
      <c r="Q783" s="29">
        <v>11</v>
      </c>
      <c r="R783" s="20">
        <v>0.47729999999999995</v>
      </c>
      <c r="S783" s="32">
        <v>5.2502999999999993</v>
      </c>
      <c r="T783" s="35">
        <v>0.41000000000000003</v>
      </c>
      <c r="U783" s="35">
        <v>0.32</v>
      </c>
      <c r="V783" s="35">
        <v>3.7272727272727277E-2</v>
      </c>
      <c r="W783" s="9" t="s">
        <v>152</v>
      </c>
      <c r="X783" s="15">
        <v>782</v>
      </c>
      <c r="Y783" s="39">
        <v>0.50324992894028153</v>
      </c>
      <c r="Z783" s="39">
        <v>0.47852037231220801</v>
      </c>
      <c r="AA783" s="39">
        <v>0.49036981960328696</v>
      </c>
      <c r="AB783" s="39">
        <v>0.50005624274047744</v>
      </c>
      <c r="AC783" s="39">
        <v>0.49673906122595135</v>
      </c>
      <c r="AD783" s="39">
        <v>0.47237464649995758</v>
      </c>
      <c r="AE783" s="39">
        <v>0.47952657113347946</v>
      </c>
      <c r="AF783" s="40">
        <v>0.49405186247036659</v>
      </c>
    </row>
    <row r="784" spans="1:32">
      <c r="A784" s="15">
        <v>782</v>
      </c>
      <c r="B784" s="16">
        <v>1</v>
      </c>
      <c r="C784" s="20">
        <v>0.18</v>
      </c>
      <c r="D784" s="20">
        <v>0.91810985061788064</v>
      </c>
      <c r="E784" s="20">
        <v>0.04</v>
      </c>
      <c r="F784" s="8" t="s">
        <v>436</v>
      </c>
      <c r="G784" s="24">
        <v>1.0170249145719885</v>
      </c>
      <c r="H784" s="24">
        <v>1.0229132292245329</v>
      </c>
      <c r="I784" s="25">
        <v>1.0408025854917198</v>
      </c>
      <c r="L784" s="15">
        <v>782</v>
      </c>
      <c r="M784" s="16">
        <v>0</v>
      </c>
      <c r="N784" s="16">
        <v>3</v>
      </c>
      <c r="O784" s="16">
        <v>0</v>
      </c>
      <c r="P784" s="16">
        <v>61</v>
      </c>
      <c r="Q784" s="29">
        <v>22</v>
      </c>
      <c r="R784" s="20">
        <v>0.47729999999999995</v>
      </c>
      <c r="S784" s="32">
        <v>10.500599999999999</v>
      </c>
      <c r="T784" s="35">
        <v>0.34</v>
      </c>
      <c r="U784" s="35">
        <v>0.09</v>
      </c>
      <c r="V784" s="35">
        <v>1.5454545454545455E-2</v>
      </c>
      <c r="W784" s="9" t="s">
        <v>152</v>
      </c>
      <c r="X784" s="15">
        <v>783</v>
      </c>
      <c r="Y784" s="39">
        <v>0.47854383637344911</v>
      </c>
      <c r="Z784" s="39">
        <v>0.48725618847352908</v>
      </c>
      <c r="AA784" s="39">
        <v>0.49282576696088087</v>
      </c>
      <c r="AB784" s="39">
        <v>0.49073663512405796</v>
      </c>
      <c r="AC784" s="39">
        <v>0.47108059734259433</v>
      </c>
      <c r="AD784" s="39">
        <v>0.48095684916666093</v>
      </c>
      <c r="AE784" s="39">
        <v>0.48228203310756823</v>
      </c>
      <c r="AF784" s="40">
        <v>0.48694121328786333</v>
      </c>
    </row>
    <row r="785" spans="1:32">
      <c r="A785" s="15">
        <v>783</v>
      </c>
      <c r="B785" s="16">
        <v>0</v>
      </c>
      <c r="C785" s="20">
        <v>0.26</v>
      </c>
      <c r="D785" s="20">
        <v>0.70962288568456944</v>
      </c>
      <c r="E785" s="20">
        <v>0.06</v>
      </c>
      <c r="F785" s="8" t="s">
        <v>436</v>
      </c>
      <c r="G785" s="24">
        <v>0.90111432416631432</v>
      </c>
      <c r="H785" s="24">
        <v>0.90633154608741062</v>
      </c>
      <c r="I785" s="25">
        <v>0.92218204783176638</v>
      </c>
      <c r="L785" s="15">
        <v>783</v>
      </c>
      <c r="M785" s="16">
        <v>0</v>
      </c>
      <c r="N785" s="16">
        <v>3</v>
      </c>
      <c r="O785" s="16">
        <v>0</v>
      </c>
      <c r="P785" s="16">
        <v>62</v>
      </c>
      <c r="Q785" s="29">
        <v>16</v>
      </c>
      <c r="R785" s="20">
        <v>0.47729999999999995</v>
      </c>
      <c r="S785" s="32">
        <v>7.6367999999999991</v>
      </c>
      <c r="T785" s="35">
        <v>0.4</v>
      </c>
      <c r="U785" s="35">
        <v>0.13</v>
      </c>
      <c r="V785" s="35">
        <v>2.5000000000000001E-2</v>
      </c>
      <c r="W785" s="9" t="s">
        <v>152</v>
      </c>
      <c r="X785" s="15">
        <v>784</v>
      </c>
      <c r="Y785" s="39">
        <v>0.49005025233772409</v>
      </c>
      <c r="Z785" s="39">
        <v>0.48433823461322556</v>
      </c>
      <c r="AA785" s="39">
        <v>0.48619478521709658</v>
      </c>
      <c r="AB785" s="39">
        <v>0.48863196080842575</v>
      </c>
      <c r="AC785" s="39">
        <v>0.48245492281861374</v>
      </c>
      <c r="AD785" s="39">
        <v>0.47941764340056164</v>
      </c>
      <c r="AE785" s="39">
        <v>0.47996583846325364</v>
      </c>
      <c r="AF785" s="40">
        <v>0.48455033459378294</v>
      </c>
    </row>
    <row r="786" spans="1:32">
      <c r="A786" s="15">
        <v>784</v>
      </c>
      <c r="B786" s="16">
        <v>1</v>
      </c>
      <c r="C786" s="20">
        <v>0.31</v>
      </c>
      <c r="D786" s="20">
        <v>0.83734772997033502</v>
      </c>
      <c r="E786" s="20">
        <v>0.05</v>
      </c>
      <c r="F786" s="8" t="s">
        <v>436</v>
      </c>
      <c r="G786" s="24">
        <v>0.63095540095614755</v>
      </c>
      <c r="H786" s="24">
        <v>0.63460847167183954</v>
      </c>
      <c r="I786" s="25">
        <v>0.6457069077029377</v>
      </c>
      <c r="L786" s="15">
        <v>784</v>
      </c>
      <c r="M786" s="16">
        <v>0</v>
      </c>
      <c r="N786" s="16">
        <v>3</v>
      </c>
      <c r="O786" s="16">
        <v>0</v>
      </c>
      <c r="P786" s="16">
        <v>63</v>
      </c>
      <c r="Q786" s="29">
        <v>25</v>
      </c>
      <c r="R786" s="20">
        <v>0.47729999999999995</v>
      </c>
      <c r="S786" s="32">
        <v>11.932499999999999</v>
      </c>
      <c r="T786" s="35">
        <v>0.35000000000000003</v>
      </c>
      <c r="U786" s="35">
        <v>0.01</v>
      </c>
      <c r="V786" s="35">
        <v>1.4000000000000002E-2</v>
      </c>
      <c r="W786" s="9" t="s">
        <v>152</v>
      </c>
      <c r="X786" s="15">
        <v>785</v>
      </c>
      <c r="Y786" s="39">
        <v>0.49434749731311639</v>
      </c>
      <c r="Z786" s="39">
        <v>0.49689600020618779</v>
      </c>
      <c r="AA786" s="39">
        <v>0.4863864765468619</v>
      </c>
      <c r="AB786" s="39">
        <v>0.48793492341275418</v>
      </c>
      <c r="AC786" s="39">
        <v>0.48748065636135945</v>
      </c>
      <c r="AD786" s="39">
        <v>0.48997926521988372</v>
      </c>
      <c r="AE786" s="39">
        <v>0.47786036642992868</v>
      </c>
      <c r="AF786" s="40">
        <v>0.48152996779912721</v>
      </c>
    </row>
    <row r="787" spans="1:32">
      <c r="A787" s="15">
        <v>785</v>
      </c>
      <c r="B787" s="16">
        <v>0</v>
      </c>
      <c r="C787" s="20">
        <v>0.68</v>
      </c>
      <c r="D787" s="20">
        <v>0.4238010078060393</v>
      </c>
      <c r="E787" s="20">
        <v>7.0000000000000007E-2</v>
      </c>
      <c r="F787" s="8" t="s">
        <v>438</v>
      </c>
      <c r="G787" s="24">
        <v>1.2563946904496177</v>
      </c>
      <c r="H787" s="24">
        <v>1.2636688950036592</v>
      </c>
      <c r="I787" s="25">
        <v>1.2857687392725818</v>
      </c>
      <c r="L787" s="15">
        <v>785</v>
      </c>
      <c r="M787" s="16">
        <v>0</v>
      </c>
      <c r="N787" s="16">
        <v>3</v>
      </c>
      <c r="O787" s="16">
        <v>0</v>
      </c>
      <c r="P787" s="16">
        <v>64</v>
      </c>
      <c r="Q787" s="29">
        <v>32</v>
      </c>
      <c r="R787" s="20">
        <v>0.47729999999999995</v>
      </c>
      <c r="S787" s="32">
        <v>15.273599999999998</v>
      </c>
      <c r="T787" s="35">
        <v>0.67</v>
      </c>
      <c r="U787" s="35">
        <v>0.21</v>
      </c>
      <c r="V787" s="35">
        <v>2.0937500000000001E-2</v>
      </c>
      <c r="W787" s="9" t="s">
        <v>152</v>
      </c>
      <c r="X787" s="15">
        <v>786</v>
      </c>
      <c r="Y787" s="39">
        <v>0.47658584069343951</v>
      </c>
      <c r="Z787" s="39">
        <v>0.4879791598527472</v>
      </c>
      <c r="AA787" s="39">
        <v>0.48914121321495041</v>
      </c>
      <c r="AB787" s="39">
        <v>0.49361036871721875</v>
      </c>
      <c r="AC787" s="39">
        <v>0.47156320737523583</v>
      </c>
      <c r="AD787" s="39">
        <v>0.48176118826778624</v>
      </c>
      <c r="AE787" s="39">
        <v>0.48132076343337726</v>
      </c>
      <c r="AF787" s="40">
        <v>0.49011812643536784</v>
      </c>
    </row>
    <row r="788" spans="1:32">
      <c r="A788" s="15">
        <v>786</v>
      </c>
      <c r="B788" s="16">
        <v>0</v>
      </c>
      <c r="C788" s="20">
        <v>0.11</v>
      </c>
      <c r="D788" s="20">
        <v>0.92013745758032461</v>
      </c>
      <c r="E788" s="20">
        <v>0.04</v>
      </c>
      <c r="F788" s="8" t="s">
        <v>436</v>
      </c>
      <c r="G788" s="24">
        <v>1.0141963727305989</v>
      </c>
      <c r="H788" s="24">
        <v>1.020068310847887</v>
      </c>
      <c r="I788" s="25">
        <v>1.0379079133755222</v>
      </c>
      <c r="L788" s="15">
        <v>786</v>
      </c>
      <c r="M788" s="16">
        <v>0</v>
      </c>
      <c r="N788" s="16">
        <v>3</v>
      </c>
      <c r="O788" s="16">
        <v>0</v>
      </c>
      <c r="P788" s="16">
        <v>65</v>
      </c>
      <c r="Q788" s="29">
        <v>15</v>
      </c>
      <c r="R788" s="20">
        <v>0.47729999999999995</v>
      </c>
      <c r="S788" s="32">
        <v>7.1594999999999995</v>
      </c>
      <c r="T788" s="35">
        <v>0.26</v>
      </c>
      <c r="U788" s="35">
        <v>0</v>
      </c>
      <c r="V788" s="35">
        <v>1.7333333333333333E-2</v>
      </c>
      <c r="W788" s="9" t="s">
        <v>152</v>
      </c>
      <c r="X788" s="15">
        <v>787</v>
      </c>
      <c r="Y788" s="39">
        <v>0.49919336496216205</v>
      </c>
      <c r="Z788" s="39">
        <v>0.50096689504391323</v>
      </c>
      <c r="AA788" s="39">
        <v>0.48297173581364661</v>
      </c>
      <c r="AB788" s="39">
        <v>0.49216343310983723</v>
      </c>
      <c r="AC788" s="39">
        <v>0.49027951586188423</v>
      </c>
      <c r="AD788" s="39">
        <v>0.49436746118570185</v>
      </c>
      <c r="AE788" s="39">
        <v>0.47604723128874044</v>
      </c>
      <c r="AF788" s="40">
        <v>0.48596379480605212</v>
      </c>
    </row>
    <row r="789" spans="1:32">
      <c r="A789" s="15">
        <v>787</v>
      </c>
      <c r="B789" s="16">
        <v>1</v>
      </c>
      <c r="C789" s="20">
        <v>0.94</v>
      </c>
      <c r="D789" s="20">
        <v>0.17188516685452584</v>
      </c>
      <c r="E789" s="20">
        <v>0.06</v>
      </c>
      <c r="F789" s="8" t="s">
        <v>434</v>
      </c>
      <c r="G789" s="24">
        <v>1.4478891003394392</v>
      </c>
      <c r="H789" s="24">
        <v>1.4562720086464356</v>
      </c>
      <c r="I789" s="25">
        <v>1.481740218500714</v>
      </c>
      <c r="L789" s="15">
        <v>787</v>
      </c>
      <c r="M789" s="16">
        <v>0</v>
      </c>
      <c r="N789" s="16">
        <v>3</v>
      </c>
      <c r="O789" s="16">
        <v>0</v>
      </c>
      <c r="P789" s="16">
        <v>66</v>
      </c>
      <c r="Q789" s="29">
        <v>18</v>
      </c>
      <c r="R789" s="20">
        <v>0.47729999999999995</v>
      </c>
      <c r="S789" s="32">
        <v>8.5913999999999984</v>
      </c>
      <c r="T789" s="35">
        <v>0.17</v>
      </c>
      <c r="U789" s="35">
        <v>0</v>
      </c>
      <c r="V789" s="35">
        <v>9.4444444444444445E-3</v>
      </c>
      <c r="W789" s="9" t="s">
        <v>152</v>
      </c>
      <c r="X789" s="15">
        <v>788</v>
      </c>
      <c r="Y789" s="39">
        <v>0.49082819518463017</v>
      </c>
      <c r="Z789" s="39">
        <v>0.49479137206599394</v>
      </c>
      <c r="AA789" s="39">
        <v>0.49079644377760823</v>
      </c>
      <c r="AB789" s="39">
        <v>0.4887430721920038</v>
      </c>
      <c r="AC789" s="39">
        <v>0.48204081253453146</v>
      </c>
      <c r="AD789" s="39">
        <v>0.48755484647010716</v>
      </c>
      <c r="AE789" s="39">
        <v>0.48370386898670054</v>
      </c>
      <c r="AF789" s="40">
        <v>0.48616496883188698</v>
      </c>
    </row>
    <row r="790" spans="1:32">
      <c r="A790" s="15">
        <v>788</v>
      </c>
      <c r="B790" s="16">
        <v>0</v>
      </c>
      <c r="C790" s="20">
        <v>0.82</v>
      </c>
      <c r="D790" s="20">
        <v>0.33679095075427212</v>
      </c>
      <c r="E790" s="20">
        <v>0.18</v>
      </c>
      <c r="F790" s="8" t="s">
        <v>434</v>
      </c>
      <c r="G790" s="24">
        <v>1.1252282574387631</v>
      </c>
      <c r="H790" s="24">
        <v>1.1317430418268348</v>
      </c>
      <c r="I790" s="25">
        <v>1.1515356829812546</v>
      </c>
      <c r="L790" s="15">
        <v>788</v>
      </c>
      <c r="M790" s="16">
        <v>0</v>
      </c>
      <c r="N790" s="16">
        <v>3</v>
      </c>
      <c r="O790" s="16">
        <v>0</v>
      </c>
      <c r="P790" s="16">
        <v>67</v>
      </c>
      <c r="Q790" s="29">
        <v>19</v>
      </c>
      <c r="R790" s="20">
        <v>0.47729999999999995</v>
      </c>
      <c r="S790" s="32">
        <v>9.0686999999999998</v>
      </c>
      <c r="T790" s="35">
        <v>0.71000000000000008</v>
      </c>
      <c r="U790" s="35">
        <v>0.43</v>
      </c>
      <c r="V790" s="35">
        <v>3.7368421052631585E-2</v>
      </c>
      <c r="W790" s="9" t="s">
        <v>152</v>
      </c>
      <c r="X790" s="15">
        <v>789</v>
      </c>
      <c r="Y790" s="39">
        <v>0.4850161447901582</v>
      </c>
      <c r="Z790" s="39">
        <v>0.47847157005130508</v>
      </c>
      <c r="AA790" s="39">
        <v>0.48409812354983789</v>
      </c>
      <c r="AB790" s="39">
        <v>0.48862398941709184</v>
      </c>
      <c r="AC790" s="39">
        <v>0.48244609667906618</v>
      </c>
      <c r="AD790" s="39">
        <v>0.47255043310925265</v>
      </c>
      <c r="AE790" s="39">
        <v>0.47871558109942086</v>
      </c>
      <c r="AF790" s="40">
        <v>0.48231573615607132</v>
      </c>
    </row>
    <row r="791" spans="1:32">
      <c r="A791" s="15">
        <v>789</v>
      </c>
      <c r="B791" s="16">
        <v>0</v>
      </c>
      <c r="C791" s="20">
        <v>0.94</v>
      </c>
      <c r="D791" s="20">
        <v>0.17188516685452584</v>
      </c>
      <c r="E791" s="20">
        <v>0.06</v>
      </c>
      <c r="F791" s="8" t="s">
        <v>434</v>
      </c>
      <c r="G791" s="24">
        <v>0.84302257141191861</v>
      </c>
      <c r="H791" s="24">
        <v>0.84790345691289914</v>
      </c>
      <c r="I791" s="25">
        <v>0.86273213112253211</v>
      </c>
      <c r="L791" s="15">
        <v>789</v>
      </c>
      <c r="M791" s="16">
        <v>0</v>
      </c>
      <c r="N791" s="16">
        <v>3</v>
      </c>
      <c r="O791" s="16">
        <v>0</v>
      </c>
      <c r="P791" s="16">
        <v>68</v>
      </c>
      <c r="Q791" s="29">
        <v>15</v>
      </c>
      <c r="R791" s="20">
        <v>0.47729999999999995</v>
      </c>
      <c r="S791" s="32">
        <v>7.1594999999999995</v>
      </c>
      <c r="T791" s="35">
        <v>0.21</v>
      </c>
      <c r="U791" s="35">
        <v>0.02</v>
      </c>
      <c r="V791" s="35">
        <v>1.4E-2</v>
      </c>
      <c r="W791" s="9" t="s">
        <v>152</v>
      </c>
      <c r="X791" s="15">
        <v>790</v>
      </c>
      <c r="Y791" s="39">
        <v>0.48813005519939651</v>
      </c>
      <c r="Z791" s="39">
        <v>0.48787917511130718</v>
      </c>
      <c r="AA791" s="39">
        <v>0.48920766457789949</v>
      </c>
      <c r="AB791" s="39">
        <v>0.50232431475246675</v>
      </c>
      <c r="AC791" s="39">
        <v>0.48215176873290738</v>
      </c>
      <c r="AD791" s="39">
        <v>0.48102829806278408</v>
      </c>
      <c r="AE791" s="39">
        <v>0.48151214130398984</v>
      </c>
      <c r="AF791" s="40">
        <v>0.503210075057277</v>
      </c>
    </row>
    <row r="792" spans="1:32">
      <c r="A792" s="15">
        <v>790</v>
      </c>
      <c r="B792" s="16">
        <v>1</v>
      </c>
      <c r="C792" s="20">
        <v>0.28999999999999998</v>
      </c>
      <c r="D792" s="20">
        <v>0.71769487786158681</v>
      </c>
      <c r="E792" s="20">
        <v>0.09</v>
      </c>
      <c r="F792" s="8" t="s">
        <v>436</v>
      </c>
      <c r="G792" s="24">
        <v>1.3655375368411384</v>
      </c>
      <c r="H792" s="24">
        <v>1.3734436506163008</v>
      </c>
      <c r="I792" s="25">
        <v>1.3974633055360122</v>
      </c>
      <c r="L792" s="15">
        <v>790</v>
      </c>
      <c r="M792" s="16">
        <v>0</v>
      </c>
      <c r="N792" s="16">
        <v>3</v>
      </c>
      <c r="O792" s="16">
        <v>0</v>
      </c>
      <c r="P792" s="16">
        <v>69</v>
      </c>
      <c r="Q792" s="29">
        <v>15</v>
      </c>
      <c r="R792" s="20">
        <v>0.47729999999999995</v>
      </c>
      <c r="S792" s="32">
        <v>7.1594999999999995</v>
      </c>
      <c r="T792" s="35">
        <v>0.19</v>
      </c>
      <c r="U792" s="35">
        <v>0</v>
      </c>
      <c r="V792" s="35">
        <v>1.2666666666666666E-2</v>
      </c>
      <c r="W792" s="9" t="s">
        <v>152</v>
      </c>
      <c r="X792" s="15">
        <v>791</v>
      </c>
      <c r="Y792" s="39">
        <v>0.47449450428785311</v>
      </c>
      <c r="Z792" s="39">
        <v>0.48576903587133852</v>
      </c>
      <c r="AA792" s="39">
        <v>0.48745511256406771</v>
      </c>
      <c r="AB792" s="39">
        <v>0.48863551463405153</v>
      </c>
      <c r="AC792" s="39">
        <v>0.46931337287559233</v>
      </c>
      <c r="AD792" s="39">
        <v>0.47839118294850297</v>
      </c>
      <c r="AE792" s="39">
        <v>0.47852427234767342</v>
      </c>
      <c r="AF792" s="40">
        <v>0.48506242076106165</v>
      </c>
    </row>
    <row r="793" spans="1:32">
      <c r="A793" s="15">
        <v>791</v>
      </c>
      <c r="B793" s="16">
        <v>1</v>
      </c>
      <c r="C793" s="20">
        <v>0.02</v>
      </c>
      <c r="D793" s="20">
        <v>0.99917029198757767</v>
      </c>
      <c r="E793" s="20">
        <v>1</v>
      </c>
      <c r="F793" s="8" t="s">
        <v>436</v>
      </c>
      <c r="G793" s="24">
        <v>1.1182242010042645</v>
      </c>
      <c r="H793" s="24">
        <v>1.1246984336934156</v>
      </c>
      <c r="I793" s="25">
        <v>1.1443678742663383</v>
      </c>
      <c r="L793" s="15">
        <v>791</v>
      </c>
      <c r="M793" s="16">
        <v>0</v>
      </c>
      <c r="N793" s="16">
        <v>3</v>
      </c>
      <c r="O793" s="16">
        <v>0</v>
      </c>
      <c r="P793" s="16">
        <v>70</v>
      </c>
      <c r="Q793" s="29">
        <v>30</v>
      </c>
      <c r="R793" s="20">
        <v>0.47729999999999995</v>
      </c>
      <c r="S793" s="32">
        <v>14.318999999999999</v>
      </c>
      <c r="T793" s="35">
        <v>0.52</v>
      </c>
      <c r="U793" s="35">
        <v>0.09</v>
      </c>
      <c r="V793" s="35">
        <v>1.7333333333333333E-2</v>
      </c>
      <c r="W793" s="9" t="s">
        <v>152</v>
      </c>
      <c r="X793" s="15">
        <v>792</v>
      </c>
      <c r="Y793" s="39">
        <v>0.49352421239977207</v>
      </c>
      <c r="Z793" s="39">
        <v>0.48934921377465102</v>
      </c>
      <c r="AA793" s="39">
        <v>0.47970085434892334</v>
      </c>
      <c r="AB793" s="39">
        <v>0.4767627589308216</v>
      </c>
      <c r="AC793" s="39">
        <v>0.48692448419950179</v>
      </c>
      <c r="AD793" s="39">
        <v>0.48242020614277964</v>
      </c>
      <c r="AE793" s="39">
        <v>0.47365762823038149</v>
      </c>
      <c r="AF793" s="40">
        <v>0.47286386505070255</v>
      </c>
    </row>
    <row r="794" spans="1:32">
      <c r="A794" s="15">
        <v>792</v>
      </c>
      <c r="B794" s="16">
        <v>1</v>
      </c>
      <c r="C794" s="20">
        <v>0.02</v>
      </c>
      <c r="D794" s="20">
        <v>0.99835916395484214</v>
      </c>
      <c r="E794" s="20">
        <v>1</v>
      </c>
      <c r="F794" s="8" t="s">
        <v>436</v>
      </c>
      <c r="G794" s="24">
        <v>1.1063490181180442</v>
      </c>
      <c r="H794" s="24">
        <v>1.1127544965295086</v>
      </c>
      <c r="I794" s="25">
        <v>1.1322150539429872</v>
      </c>
      <c r="L794" s="15">
        <v>792</v>
      </c>
      <c r="M794" s="16">
        <v>0</v>
      </c>
      <c r="N794" s="16">
        <v>3</v>
      </c>
      <c r="O794" s="16">
        <v>0</v>
      </c>
      <c r="P794" s="16">
        <v>71</v>
      </c>
      <c r="Q794" s="29">
        <v>19</v>
      </c>
      <c r="R794" s="20">
        <v>0.47729999999999995</v>
      </c>
      <c r="S794" s="32">
        <v>9.0686999999999998</v>
      </c>
      <c r="T794" s="35">
        <v>0.33</v>
      </c>
      <c r="U794" s="35">
        <v>0.09</v>
      </c>
      <c r="V794" s="35">
        <v>1.7368421052631578E-2</v>
      </c>
      <c r="W794" s="9" t="s">
        <v>152</v>
      </c>
      <c r="X794" s="15">
        <v>793</v>
      </c>
      <c r="Y794" s="39">
        <v>0.49747536446538304</v>
      </c>
      <c r="Z794" s="39">
        <v>0.48536476906563958</v>
      </c>
      <c r="AA794" s="39">
        <v>0.48807111484856042</v>
      </c>
      <c r="AB794" s="39">
        <v>0.4820463863578266</v>
      </c>
      <c r="AC794" s="39">
        <v>0.48871144704077357</v>
      </c>
      <c r="AD794" s="39">
        <v>0.47897257725472409</v>
      </c>
      <c r="AE794" s="39">
        <v>0.48192249727924152</v>
      </c>
      <c r="AF794" s="40">
        <v>0.47761994041029676</v>
      </c>
    </row>
    <row r="795" spans="1:32">
      <c r="A795" s="15">
        <v>793</v>
      </c>
      <c r="B795" s="16">
        <v>0</v>
      </c>
      <c r="C795" s="20">
        <v>0.6</v>
      </c>
      <c r="D795" s="20">
        <v>0.45402278361339532</v>
      </c>
      <c r="E795" s="20">
        <v>0.1</v>
      </c>
      <c r="F795" s="8" t="s">
        <v>438</v>
      </c>
      <c r="G795" s="24">
        <v>2.9067819609658851</v>
      </c>
      <c r="H795" s="24">
        <v>2.3557193791407478</v>
      </c>
      <c r="I795" s="25">
        <v>1.6578926537592125</v>
      </c>
      <c r="L795" s="15">
        <v>793</v>
      </c>
      <c r="M795" s="16">
        <v>0</v>
      </c>
      <c r="N795" s="16">
        <v>3</v>
      </c>
      <c r="O795" s="16">
        <v>0</v>
      </c>
      <c r="P795" s="16">
        <v>72</v>
      </c>
      <c r="Q795" s="29">
        <v>18</v>
      </c>
      <c r="R795" s="20">
        <v>0.47729999999999995</v>
      </c>
      <c r="S795" s="32">
        <v>8.5913999999999984</v>
      </c>
      <c r="T795" s="35">
        <v>0.36</v>
      </c>
      <c r="U795" s="35">
        <v>0</v>
      </c>
      <c r="V795" s="35">
        <v>0.02</v>
      </c>
      <c r="W795" s="9" t="s">
        <v>152</v>
      </c>
      <c r="X795" s="15">
        <v>794</v>
      </c>
      <c r="Y795" s="39">
        <v>0.49607168144855851</v>
      </c>
      <c r="Z795" s="39">
        <v>0.48164757663464763</v>
      </c>
      <c r="AA795" s="39">
        <v>0.49326438874725415</v>
      </c>
      <c r="AB795" s="39">
        <v>0.47608758965534975</v>
      </c>
      <c r="AC795" s="39">
        <v>0.48932494052464087</v>
      </c>
      <c r="AD795" s="39">
        <v>0.47387097330526756</v>
      </c>
      <c r="AE795" s="39">
        <v>0.48586103466196173</v>
      </c>
      <c r="AF795" s="40">
        <v>0.46993155936885428</v>
      </c>
    </row>
    <row r="796" spans="1:32">
      <c r="A796" s="15">
        <v>794</v>
      </c>
      <c r="B796" s="16">
        <v>0</v>
      </c>
      <c r="C796" s="20">
        <v>0.87</v>
      </c>
      <c r="D796" s="20">
        <v>0.27276032039195819</v>
      </c>
      <c r="E796" s="20">
        <v>0.13</v>
      </c>
      <c r="F796" s="8" t="s">
        <v>434</v>
      </c>
      <c r="G796" s="24">
        <v>1.2064924436405826</v>
      </c>
      <c r="H796" s="24">
        <v>1.2134777269235026</v>
      </c>
      <c r="I796" s="25">
        <v>1.2346997961655708</v>
      </c>
      <c r="L796" s="15">
        <v>794</v>
      </c>
      <c r="M796" s="16">
        <v>0</v>
      </c>
      <c r="N796" s="16">
        <v>3</v>
      </c>
      <c r="O796" s="16">
        <v>0</v>
      </c>
      <c r="P796" s="16">
        <v>73</v>
      </c>
      <c r="Q796" s="29">
        <v>21</v>
      </c>
      <c r="R796" s="20">
        <v>0.47729999999999995</v>
      </c>
      <c r="S796" s="32">
        <v>10.023299999999999</v>
      </c>
      <c r="T796" s="35">
        <v>0.37</v>
      </c>
      <c r="U796" s="35">
        <v>0.09</v>
      </c>
      <c r="V796" s="35">
        <v>1.7619047619047618E-2</v>
      </c>
      <c r="W796" s="9" t="s">
        <v>152</v>
      </c>
      <c r="X796" s="15">
        <v>795</v>
      </c>
      <c r="Y796" s="39">
        <v>0.49394671922340455</v>
      </c>
      <c r="Z796" s="39">
        <v>0.47490355513224214</v>
      </c>
      <c r="AA796" s="39">
        <v>0.47676880652431775</v>
      </c>
      <c r="AB796" s="39">
        <v>0.48325773246105785</v>
      </c>
      <c r="AC796" s="39">
        <v>0.48668218085029341</v>
      </c>
      <c r="AD796" s="39">
        <v>0.4688202144112748</v>
      </c>
      <c r="AE796" s="39">
        <v>0.47242890586963687</v>
      </c>
      <c r="AF796" s="40">
        <v>0.48012687086089467</v>
      </c>
    </row>
    <row r="797" spans="1:32">
      <c r="A797" s="15">
        <v>795</v>
      </c>
      <c r="B797" s="16">
        <v>0</v>
      </c>
      <c r="C797" s="20">
        <v>0.02</v>
      </c>
      <c r="D797" s="20">
        <v>0.99917029198757767</v>
      </c>
      <c r="E797" s="20">
        <v>1</v>
      </c>
      <c r="F797" s="8" t="s">
        <v>436</v>
      </c>
      <c r="G797" s="24">
        <v>1.0519873063369174</v>
      </c>
      <c r="H797" s="24">
        <v>1.0580780443133819</v>
      </c>
      <c r="I797" s="25">
        <v>1.076582385202159</v>
      </c>
      <c r="L797" s="15">
        <v>795</v>
      </c>
      <c r="M797" s="16">
        <v>0</v>
      </c>
      <c r="N797" s="16">
        <v>3</v>
      </c>
      <c r="O797" s="16">
        <v>0</v>
      </c>
      <c r="P797" s="16">
        <v>74</v>
      </c>
      <c r="Q797" s="29">
        <v>21</v>
      </c>
      <c r="R797" s="20">
        <v>0.47729999999999995</v>
      </c>
      <c r="S797" s="32">
        <v>10.023299999999999</v>
      </c>
      <c r="T797" s="35">
        <v>0.42000000000000004</v>
      </c>
      <c r="U797" s="35">
        <v>0.15</v>
      </c>
      <c r="V797" s="35">
        <v>0.02</v>
      </c>
      <c r="W797" s="9" t="s">
        <v>152</v>
      </c>
      <c r="X797" s="15">
        <v>796</v>
      </c>
      <c r="Y797" s="39">
        <v>0.47575297361263263</v>
      </c>
      <c r="Z797" s="39">
        <v>0.48924676254138294</v>
      </c>
      <c r="AA797" s="39">
        <v>0.49259834747343451</v>
      </c>
      <c r="AB797" s="39">
        <v>0.48771023476784081</v>
      </c>
      <c r="AC797" s="39">
        <v>0.46936401497696534</v>
      </c>
      <c r="AD797" s="39">
        <v>0.48127844846683127</v>
      </c>
      <c r="AE797" s="39">
        <v>0.48451273595647304</v>
      </c>
      <c r="AF797" s="40">
        <v>0.48269677054358812</v>
      </c>
    </row>
    <row r="798" spans="1:32">
      <c r="A798" s="15">
        <v>796</v>
      </c>
      <c r="B798" s="16">
        <v>0</v>
      </c>
      <c r="C798" s="20">
        <v>0.25</v>
      </c>
      <c r="D798" s="20">
        <v>0.67842719456444744</v>
      </c>
      <c r="E798" s="20">
        <v>0.13</v>
      </c>
      <c r="F798" s="8" t="s">
        <v>436</v>
      </c>
      <c r="G798" s="24">
        <v>0.91056851435745456</v>
      </c>
      <c r="H798" s="24">
        <v>0.91584047362650833</v>
      </c>
      <c r="I798" s="25">
        <v>0.93185727353536707</v>
      </c>
      <c r="L798" s="15">
        <v>796</v>
      </c>
      <c r="M798" s="16">
        <v>0</v>
      </c>
      <c r="N798" s="16">
        <v>3</v>
      </c>
      <c r="O798" s="16">
        <v>0</v>
      </c>
      <c r="P798" s="16">
        <v>75</v>
      </c>
      <c r="Q798" s="29">
        <v>26</v>
      </c>
      <c r="R798" s="20">
        <v>0.47729999999999995</v>
      </c>
      <c r="S798" s="32">
        <v>12.409799999999999</v>
      </c>
      <c r="T798" s="35">
        <v>1.24</v>
      </c>
      <c r="U798" s="35">
        <v>0.86</v>
      </c>
      <c r="V798" s="35">
        <v>4.7692307692307694E-2</v>
      </c>
      <c r="W798" s="9" t="s">
        <v>153</v>
      </c>
      <c r="X798" s="15">
        <v>797</v>
      </c>
      <c r="Y798" s="39">
        <v>0.48429781134281069</v>
      </c>
      <c r="Z798" s="39">
        <v>0.46963835136082049</v>
      </c>
      <c r="AA798" s="39">
        <v>0.48227587605188976</v>
      </c>
      <c r="AB798" s="39">
        <v>0.49052886885956887</v>
      </c>
      <c r="AC798" s="39">
        <v>0.48014297021232816</v>
      </c>
      <c r="AD798" s="39">
        <v>0.46009329932836052</v>
      </c>
      <c r="AE798" s="39">
        <v>0.47564423502578279</v>
      </c>
      <c r="AF798" s="40">
        <v>0.48532842152953526</v>
      </c>
    </row>
    <row r="799" spans="1:32">
      <c r="A799" s="15">
        <v>797</v>
      </c>
      <c r="B799" s="16">
        <v>0</v>
      </c>
      <c r="C799" s="20">
        <v>0.47</v>
      </c>
      <c r="D799" s="20">
        <v>0.474176671198758</v>
      </c>
      <c r="E799" s="20">
        <v>0.1</v>
      </c>
      <c r="F799" s="8" t="s">
        <v>436</v>
      </c>
      <c r="G799" s="24">
        <v>1.1027463371094157</v>
      </c>
      <c r="H799" s="24">
        <v>1.1091309569174501</v>
      </c>
      <c r="I799" s="25">
        <v>1.1285281435686623</v>
      </c>
      <c r="L799" s="15">
        <v>797</v>
      </c>
      <c r="M799" s="16">
        <v>0</v>
      </c>
      <c r="N799" s="16">
        <v>3</v>
      </c>
      <c r="O799" s="16">
        <v>0</v>
      </c>
      <c r="P799" s="16">
        <v>76</v>
      </c>
      <c r="Q799" s="29">
        <v>17</v>
      </c>
      <c r="R799" s="20">
        <v>0.47729999999999995</v>
      </c>
      <c r="S799" s="32">
        <v>8.1140999999999988</v>
      </c>
      <c r="T799" s="35">
        <v>0.52</v>
      </c>
      <c r="U799" s="35">
        <v>0.31</v>
      </c>
      <c r="V799" s="35">
        <v>3.0588235294117649E-2</v>
      </c>
      <c r="W799" s="9" t="s">
        <v>152</v>
      </c>
      <c r="X799" s="15">
        <v>798</v>
      </c>
      <c r="Y799" s="39">
        <v>0.48968263411137003</v>
      </c>
      <c r="Z799" s="39">
        <v>0.4795684151072972</v>
      </c>
      <c r="AA799" s="39">
        <v>0.48789271602432938</v>
      </c>
      <c r="AB799" s="39">
        <v>0.48641828792307157</v>
      </c>
      <c r="AC799" s="39">
        <v>0.48293106736611024</v>
      </c>
      <c r="AD799" s="39">
        <v>0.47485816709205159</v>
      </c>
      <c r="AE799" s="39">
        <v>0.482202131332444</v>
      </c>
      <c r="AF799" s="40">
        <v>0.48239310079258774</v>
      </c>
    </row>
    <row r="800" spans="1:32">
      <c r="A800" s="15">
        <v>798</v>
      </c>
      <c r="B800" s="16">
        <v>0</v>
      </c>
      <c r="C800" s="20">
        <v>0.74</v>
      </c>
      <c r="D800" s="20">
        <v>0.43089572535145626</v>
      </c>
      <c r="E800" s="20">
        <v>0.26</v>
      </c>
      <c r="F800" s="8" t="s">
        <v>438</v>
      </c>
      <c r="G800" s="24">
        <v>0.82291032636603023</v>
      </c>
      <c r="H800" s="24">
        <v>0.82767476710198828</v>
      </c>
      <c r="I800" s="25">
        <v>0.84214966913573486</v>
      </c>
      <c r="L800" s="15">
        <v>798</v>
      </c>
      <c r="M800" s="16">
        <v>0</v>
      </c>
      <c r="N800" s="16">
        <v>3</v>
      </c>
      <c r="O800" s="16">
        <v>0</v>
      </c>
      <c r="P800" s="16">
        <v>77</v>
      </c>
      <c r="Q800" s="29">
        <v>20</v>
      </c>
      <c r="R800" s="20">
        <v>0.47729999999999995</v>
      </c>
      <c r="S800" s="32">
        <v>9.5459999999999994</v>
      </c>
      <c r="T800" s="35">
        <v>0.37</v>
      </c>
      <c r="U800" s="35">
        <v>0.08</v>
      </c>
      <c r="V800" s="35">
        <v>1.8499999999999999E-2</v>
      </c>
      <c r="W800" s="9" t="s">
        <v>152</v>
      </c>
      <c r="X800" s="15">
        <v>799</v>
      </c>
      <c r="Y800" s="39">
        <v>0.48707749741858181</v>
      </c>
      <c r="Z800" s="39">
        <v>0.48019241783219363</v>
      </c>
      <c r="AA800" s="39">
        <v>0.48304111746199574</v>
      </c>
      <c r="AB800" s="39">
        <v>0.49341883439543471</v>
      </c>
      <c r="AC800" s="39">
        <v>0.48278146781622638</v>
      </c>
      <c r="AD800" s="39">
        <v>0.47172648387157795</v>
      </c>
      <c r="AE800" s="39">
        <v>0.47696713246505368</v>
      </c>
      <c r="AF800" s="40">
        <v>0.48902661141060921</v>
      </c>
    </row>
    <row r="801" spans="1:32">
      <c r="A801" s="15">
        <v>799</v>
      </c>
      <c r="B801" s="16">
        <v>1</v>
      </c>
      <c r="C801" s="20">
        <v>0.38</v>
      </c>
      <c r="D801" s="20">
        <v>0.61736779879795023</v>
      </c>
      <c r="E801" s="20">
        <v>0.06</v>
      </c>
      <c r="F801" s="8" t="s">
        <v>436</v>
      </c>
      <c r="G801" s="24">
        <v>0.98507702391127139</v>
      </c>
      <c r="H801" s="24">
        <v>0.99078036843181594</v>
      </c>
      <c r="I801" s="25">
        <v>1.0081077648199224</v>
      </c>
      <c r="L801" s="15">
        <v>799</v>
      </c>
      <c r="M801" s="16">
        <v>0</v>
      </c>
      <c r="N801" s="16">
        <v>3</v>
      </c>
      <c r="O801" s="16">
        <v>0</v>
      </c>
      <c r="P801" s="16">
        <v>78</v>
      </c>
      <c r="Q801" s="29">
        <v>15</v>
      </c>
      <c r="R801" s="20">
        <v>0.47729999999999995</v>
      </c>
      <c r="S801" s="32">
        <v>7.1594999999999995</v>
      </c>
      <c r="T801" s="35">
        <v>0.3</v>
      </c>
      <c r="U801" s="35">
        <v>0.1</v>
      </c>
      <c r="V801" s="35">
        <v>0.02</v>
      </c>
      <c r="W801" s="9" t="s">
        <v>152</v>
      </c>
      <c r="X801" s="15">
        <v>800</v>
      </c>
      <c r="Y801" s="39">
        <v>0.496717276488712</v>
      </c>
      <c r="Z801" s="39">
        <v>0.48160831523445358</v>
      </c>
      <c r="AA801" s="39">
        <v>0.47757530786926494</v>
      </c>
      <c r="AB801" s="39">
        <v>0.49760583281019977</v>
      </c>
      <c r="AC801" s="39">
        <v>0.49128769883579892</v>
      </c>
      <c r="AD801" s="39">
        <v>0.47604988565625994</v>
      </c>
      <c r="AE801" s="39">
        <v>0.47156038216419416</v>
      </c>
      <c r="AF801" s="40">
        <v>0.49498545359119867</v>
      </c>
    </row>
    <row r="802" spans="1:32">
      <c r="A802" s="15">
        <v>800</v>
      </c>
      <c r="B802" s="16">
        <v>1</v>
      </c>
      <c r="C802" s="20">
        <v>0.18</v>
      </c>
      <c r="D802" s="20">
        <v>0.8104064307164226</v>
      </c>
      <c r="E802" s="20">
        <v>0.06</v>
      </c>
      <c r="F802" s="8" t="s">
        <v>436</v>
      </c>
      <c r="G802" s="24">
        <v>0.85441538337100209</v>
      </c>
      <c r="H802" s="24">
        <v>0.8593622303451296</v>
      </c>
      <c r="I802" s="25">
        <v>0.8743913028627105</v>
      </c>
      <c r="L802" s="15">
        <v>800</v>
      </c>
      <c r="M802" s="16">
        <v>0</v>
      </c>
      <c r="N802" s="16">
        <v>3</v>
      </c>
      <c r="O802" s="16">
        <v>0</v>
      </c>
      <c r="P802" s="16">
        <v>79</v>
      </c>
      <c r="Q802" s="29">
        <v>27</v>
      </c>
      <c r="R802" s="20">
        <v>0.47729999999999995</v>
      </c>
      <c r="S802" s="32">
        <v>12.887099999999998</v>
      </c>
      <c r="T802" s="35">
        <v>0.86</v>
      </c>
      <c r="U802" s="35">
        <v>0.53</v>
      </c>
      <c r="V802" s="35">
        <v>3.1851851851851853E-2</v>
      </c>
      <c r="W802" s="9" t="s">
        <v>152</v>
      </c>
      <c r="X802" s="15">
        <v>801</v>
      </c>
      <c r="Y802" s="39">
        <v>0.49496592462380046</v>
      </c>
      <c r="Z802" s="39">
        <v>0.49677171432858164</v>
      </c>
      <c r="AA802" s="39">
        <v>0.47508510702028417</v>
      </c>
      <c r="AB802" s="39">
        <v>0.48311297044071322</v>
      </c>
      <c r="AC802" s="39">
        <v>0.48901524883185482</v>
      </c>
      <c r="AD802" s="39">
        <v>0.4872729837036967</v>
      </c>
      <c r="AE802" s="39">
        <v>0.47064180479684931</v>
      </c>
      <c r="AF802" s="40">
        <v>0.47482765757018996</v>
      </c>
    </row>
    <row r="803" spans="1:32">
      <c r="A803" s="15">
        <v>801</v>
      </c>
      <c r="B803" s="16">
        <v>0</v>
      </c>
      <c r="C803" s="20">
        <v>0.22</v>
      </c>
      <c r="D803" s="20">
        <v>0.72906456608910652</v>
      </c>
      <c r="E803" s="20">
        <v>0.12</v>
      </c>
      <c r="F803" s="8" t="s">
        <v>436</v>
      </c>
      <c r="G803" s="24">
        <v>1.0350452681754605</v>
      </c>
      <c r="H803" s="24">
        <v>1.0410379160755456</v>
      </c>
      <c r="I803" s="25">
        <v>1.0592442483784761</v>
      </c>
      <c r="L803" s="15">
        <v>801</v>
      </c>
      <c r="M803" s="16">
        <v>0</v>
      </c>
      <c r="N803" s="16">
        <v>3</v>
      </c>
      <c r="O803" s="16">
        <v>0</v>
      </c>
      <c r="P803" s="16">
        <v>80</v>
      </c>
      <c r="Q803" s="29">
        <v>31</v>
      </c>
      <c r="R803" s="20">
        <v>0.47729999999999995</v>
      </c>
      <c r="S803" s="32">
        <v>14.796299999999999</v>
      </c>
      <c r="T803" s="35">
        <v>0.57000000000000006</v>
      </c>
      <c r="U803" s="35">
        <v>0.14000000000000001</v>
      </c>
      <c r="V803" s="35">
        <v>1.8387096774193552E-2</v>
      </c>
      <c r="W803" s="9" t="s">
        <v>152</v>
      </c>
      <c r="X803" s="15">
        <v>802</v>
      </c>
      <c r="Y803" s="39">
        <v>0.48644397512802168</v>
      </c>
      <c r="Z803" s="39">
        <v>0.49573524726567197</v>
      </c>
      <c r="AA803" s="39">
        <v>0.4751857995609769</v>
      </c>
      <c r="AB803" s="39">
        <v>0.49264197227278</v>
      </c>
      <c r="AC803" s="39">
        <v>0.47972283400780252</v>
      </c>
      <c r="AD803" s="39">
        <v>0.48885518280474438</v>
      </c>
      <c r="AE803" s="39">
        <v>0.47256180253066782</v>
      </c>
      <c r="AF803" s="40">
        <v>0.48756294601961914</v>
      </c>
    </row>
    <row r="804" spans="1:32">
      <c r="A804" s="15">
        <v>802</v>
      </c>
      <c r="B804" s="16">
        <v>1</v>
      </c>
      <c r="C804" s="20">
        <v>0.93</v>
      </c>
      <c r="D804" s="20">
        <v>0.18747949848141848</v>
      </c>
      <c r="E804" s="20">
        <v>7.0000000000000007E-2</v>
      </c>
      <c r="F804" s="8" t="s">
        <v>434</v>
      </c>
      <c r="G804" s="24">
        <v>1.4179054950040448</v>
      </c>
      <c r="H804" s="24">
        <v>1.4261148058896773</v>
      </c>
      <c r="I804" s="25">
        <v>1.451055607427469</v>
      </c>
      <c r="L804" s="15">
        <v>802</v>
      </c>
      <c r="M804" s="16">
        <v>0</v>
      </c>
      <c r="N804" s="16">
        <v>3</v>
      </c>
      <c r="O804" s="16">
        <v>0</v>
      </c>
      <c r="P804" s="16">
        <v>81</v>
      </c>
      <c r="Q804" s="29">
        <v>19</v>
      </c>
      <c r="R804" s="20">
        <v>0.47729999999999995</v>
      </c>
      <c r="S804" s="32">
        <v>9.0686999999999998</v>
      </c>
      <c r="T804" s="35">
        <v>0.45</v>
      </c>
      <c r="U804" s="35">
        <v>0.21</v>
      </c>
      <c r="V804" s="35">
        <v>2.368421052631579E-2</v>
      </c>
      <c r="W804" s="9" t="s">
        <v>152</v>
      </c>
      <c r="X804" s="15">
        <v>803</v>
      </c>
      <c r="Y804" s="39">
        <v>0.49726642051103837</v>
      </c>
      <c r="Z804" s="39">
        <v>0.48498485719641354</v>
      </c>
      <c r="AA804" s="39">
        <v>0.49741134333906795</v>
      </c>
      <c r="AB804" s="39">
        <v>0.49194847673701558</v>
      </c>
      <c r="AC804" s="39">
        <v>0.48855184791251627</v>
      </c>
      <c r="AD804" s="39">
        <v>0.47768841081913088</v>
      </c>
      <c r="AE804" s="39">
        <v>0.48865922831512865</v>
      </c>
      <c r="AF804" s="40">
        <v>0.48520062905279615</v>
      </c>
    </row>
    <row r="805" spans="1:32">
      <c r="A805" s="15">
        <v>803</v>
      </c>
      <c r="B805" s="16">
        <v>0</v>
      </c>
      <c r="C805" s="20">
        <v>0.02</v>
      </c>
      <c r="D805" s="20">
        <v>0.99679477127711513</v>
      </c>
      <c r="E805" s="20">
        <v>1</v>
      </c>
      <c r="F805" s="8" t="s">
        <v>436</v>
      </c>
      <c r="G805" s="24">
        <v>0.99502563393153165</v>
      </c>
      <c r="H805" s="24">
        <v>1.0007865783646401</v>
      </c>
      <c r="I805" s="25">
        <v>1.0182889697076054</v>
      </c>
      <c r="L805" s="15">
        <v>803</v>
      </c>
      <c r="M805" s="16">
        <v>0</v>
      </c>
      <c r="N805" s="16">
        <v>3</v>
      </c>
      <c r="O805" s="16">
        <v>0</v>
      </c>
      <c r="P805" s="16">
        <v>82</v>
      </c>
      <c r="Q805" s="29">
        <v>22</v>
      </c>
      <c r="R805" s="20">
        <v>0.47729999999999995</v>
      </c>
      <c r="S805" s="32">
        <v>10.500599999999999</v>
      </c>
      <c r="T805" s="35">
        <v>0.73</v>
      </c>
      <c r="U805" s="35">
        <v>0.41</v>
      </c>
      <c r="V805" s="35">
        <v>3.318181818181818E-2</v>
      </c>
      <c r="W805" s="9" t="s">
        <v>152</v>
      </c>
      <c r="X805" s="15">
        <v>804</v>
      </c>
      <c r="Y805" s="39">
        <v>0.48431370386770317</v>
      </c>
      <c r="Z805" s="39">
        <v>0.48403652395533547</v>
      </c>
      <c r="AA805" s="39">
        <v>0.48494897408875598</v>
      </c>
      <c r="AB805" s="39">
        <v>0.48963550456069121</v>
      </c>
      <c r="AC805" s="39">
        <v>0.47613875233464448</v>
      </c>
      <c r="AD805" s="39">
        <v>0.4743345405659905</v>
      </c>
      <c r="AE805" s="39">
        <v>0.47779968767754966</v>
      </c>
      <c r="AF805" s="40">
        <v>0.48497892302651102</v>
      </c>
    </row>
    <row r="806" spans="1:32">
      <c r="A806" s="15">
        <v>804</v>
      </c>
      <c r="B806" s="16">
        <v>0</v>
      </c>
      <c r="C806" s="20">
        <v>0.33</v>
      </c>
      <c r="D806" s="20">
        <v>0.71792046837975076</v>
      </c>
      <c r="E806" s="20">
        <v>7.0000000000000007E-2</v>
      </c>
      <c r="F806" s="8" t="s">
        <v>436</v>
      </c>
      <c r="G806" s="24">
        <v>0.96166603450921939</v>
      </c>
      <c r="H806" s="24">
        <v>0.96723383537694729</v>
      </c>
      <c r="I806" s="25">
        <v>0.98414943503915264</v>
      </c>
      <c r="L806" s="15">
        <v>804</v>
      </c>
      <c r="M806" s="16">
        <v>0</v>
      </c>
      <c r="N806" s="16">
        <v>3</v>
      </c>
      <c r="O806" s="16">
        <v>0</v>
      </c>
      <c r="P806" s="16">
        <v>83</v>
      </c>
      <c r="Q806" s="29">
        <v>18</v>
      </c>
      <c r="R806" s="20">
        <v>0.47729999999999995</v>
      </c>
      <c r="S806" s="32">
        <v>8.5913999999999984</v>
      </c>
      <c r="T806" s="35">
        <v>0.28000000000000003</v>
      </c>
      <c r="U806" s="35">
        <v>0</v>
      </c>
      <c r="V806" s="35">
        <v>1.5555555555555557E-2</v>
      </c>
      <c r="W806" s="9" t="s">
        <v>152</v>
      </c>
      <c r="X806" s="15">
        <v>805</v>
      </c>
      <c r="Y806" s="39">
        <v>0.47637956225317918</v>
      </c>
      <c r="Z806" s="39">
        <v>0.50122070270679042</v>
      </c>
      <c r="AA806" s="39">
        <v>0.48219718068069234</v>
      </c>
      <c r="AB806" s="39">
        <v>0.4885493269538343</v>
      </c>
      <c r="AC806" s="39">
        <v>0.47035610796505128</v>
      </c>
      <c r="AD806" s="39">
        <v>0.49090934201813902</v>
      </c>
      <c r="AE806" s="39">
        <v>0.47586166978868177</v>
      </c>
      <c r="AF806" s="40">
        <v>0.48470486171622823</v>
      </c>
    </row>
    <row r="807" spans="1:32">
      <c r="A807" s="15">
        <v>805</v>
      </c>
      <c r="B807" s="16">
        <v>0</v>
      </c>
      <c r="C807" s="20">
        <v>0.02</v>
      </c>
      <c r="D807" s="20">
        <v>0.99835916395484214</v>
      </c>
      <c r="E807" s="20">
        <v>1</v>
      </c>
      <c r="F807" s="8" t="s">
        <v>436</v>
      </c>
      <c r="G807" s="24">
        <v>1.0347796230112862</v>
      </c>
      <c r="H807" s="24">
        <v>1.0407707328936786</v>
      </c>
      <c r="I807" s="25">
        <v>1.0589723925274201</v>
      </c>
      <c r="L807" s="15">
        <v>805</v>
      </c>
      <c r="M807" s="16">
        <v>0</v>
      </c>
      <c r="N807" s="16">
        <v>3</v>
      </c>
      <c r="O807" s="16">
        <v>1</v>
      </c>
      <c r="P807" s="16">
        <v>0</v>
      </c>
      <c r="Q807" s="29">
        <v>30</v>
      </c>
      <c r="R807" s="20">
        <v>0.47729999999999995</v>
      </c>
      <c r="S807" s="32">
        <v>14.318999999999999</v>
      </c>
      <c r="T807" s="35">
        <v>0.51</v>
      </c>
      <c r="U807" s="35">
        <v>0.1</v>
      </c>
      <c r="V807" s="35">
        <v>1.7000000000000001E-2</v>
      </c>
      <c r="W807" s="9" t="s">
        <v>152</v>
      </c>
      <c r="X807" s="15">
        <v>806</v>
      </c>
      <c r="Y807" s="39">
        <v>0.48490856365606672</v>
      </c>
      <c r="Z807" s="39">
        <v>0.48759107419437625</v>
      </c>
      <c r="AA807" s="39">
        <v>0.47766179540949893</v>
      </c>
      <c r="AB807" s="39">
        <v>0.48009202876948431</v>
      </c>
      <c r="AC807" s="39">
        <v>0.47833513382199372</v>
      </c>
      <c r="AD807" s="39">
        <v>0.47848550653590749</v>
      </c>
      <c r="AE807" s="39">
        <v>0.4717084597747131</v>
      </c>
      <c r="AF807" s="40">
        <v>0.47207274662199933</v>
      </c>
    </row>
    <row r="808" spans="1:32">
      <c r="A808" s="15">
        <v>806</v>
      </c>
      <c r="B808" s="16">
        <v>0</v>
      </c>
      <c r="C808" s="20">
        <v>0.17</v>
      </c>
      <c r="D808" s="20">
        <v>0.9052374452977624</v>
      </c>
      <c r="E808" s="20">
        <v>0.04</v>
      </c>
      <c r="F808" s="8" t="s">
        <v>436</v>
      </c>
      <c r="G808" s="24">
        <v>1.0812448154297978</v>
      </c>
      <c r="H808" s="24">
        <v>1.0875049469157232</v>
      </c>
      <c r="I808" s="25">
        <v>1.1065239241680287</v>
      </c>
      <c r="L808" s="15">
        <v>806</v>
      </c>
      <c r="M808" s="16">
        <v>0</v>
      </c>
      <c r="N808" s="16">
        <v>3</v>
      </c>
      <c r="O808" s="16">
        <v>1</v>
      </c>
      <c r="P808" s="16">
        <v>1</v>
      </c>
      <c r="Q808" s="29">
        <v>20</v>
      </c>
      <c r="R808" s="20">
        <v>0.47729999999999995</v>
      </c>
      <c r="S808" s="32">
        <v>9.5459999999999994</v>
      </c>
      <c r="T808" s="35">
        <v>0.21</v>
      </c>
      <c r="U808" s="35">
        <v>0</v>
      </c>
      <c r="V808" s="35">
        <v>1.0499999999999999E-2</v>
      </c>
      <c r="W808" s="9" t="s">
        <v>152</v>
      </c>
      <c r="X808" s="15">
        <v>807</v>
      </c>
      <c r="Y808" s="39">
        <v>0.48037483726779689</v>
      </c>
      <c r="Z808" s="39">
        <v>0.47139741461976431</v>
      </c>
      <c r="AA808" s="39">
        <v>0.49228037694112342</v>
      </c>
      <c r="AB808" s="39">
        <v>0.47786563243563002</v>
      </c>
      <c r="AC808" s="39">
        <v>0.4717005839559143</v>
      </c>
      <c r="AD808" s="39">
        <v>0.46847722437601458</v>
      </c>
      <c r="AE808" s="39">
        <v>0.48371712505838071</v>
      </c>
      <c r="AF808" s="40">
        <v>0.47311698737367636</v>
      </c>
    </row>
    <row r="809" spans="1:32">
      <c r="A809" s="15">
        <v>807</v>
      </c>
      <c r="B809" s="16">
        <v>0</v>
      </c>
      <c r="C809" s="20">
        <v>0.49</v>
      </c>
      <c r="D809" s="20">
        <v>0.57461563529060811</v>
      </c>
      <c r="E809" s="20">
        <v>0.08</v>
      </c>
      <c r="F809" s="8" t="s">
        <v>436</v>
      </c>
      <c r="G809" s="24">
        <v>0.71887404537281807</v>
      </c>
      <c r="H809" s="24">
        <v>0.72303614259782456</v>
      </c>
      <c r="I809" s="25">
        <v>0.73568105790387728</v>
      </c>
      <c r="L809" s="15">
        <v>807</v>
      </c>
      <c r="M809" s="16">
        <v>0</v>
      </c>
      <c r="N809" s="16">
        <v>3</v>
      </c>
      <c r="O809" s="16">
        <v>1</v>
      </c>
      <c r="P809" s="16">
        <v>2</v>
      </c>
      <c r="Q809" s="29">
        <v>16</v>
      </c>
      <c r="R809" s="20">
        <v>0.47729999999999995</v>
      </c>
      <c r="S809" s="32">
        <v>7.6367999999999991</v>
      </c>
      <c r="T809" s="35">
        <v>0.27</v>
      </c>
      <c r="U809" s="35">
        <v>0</v>
      </c>
      <c r="V809" s="35">
        <v>1.6875000000000001E-2</v>
      </c>
      <c r="W809" s="9" t="s">
        <v>152</v>
      </c>
      <c r="X809" s="15">
        <v>808</v>
      </c>
      <c r="Y809" s="39">
        <v>0.50000985485488747</v>
      </c>
      <c r="Z809" s="39">
        <v>0.49794712207903996</v>
      </c>
      <c r="AA809" s="39">
        <v>0.49072276585656177</v>
      </c>
      <c r="AB809" s="39">
        <v>0.50081439928290383</v>
      </c>
      <c r="AC809" s="39">
        <v>0.49015168913381524</v>
      </c>
      <c r="AD809" s="39">
        <v>0.48967072844684695</v>
      </c>
      <c r="AE809" s="39">
        <v>0.483182190932191</v>
      </c>
      <c r="AF809" s="40">
        <v>0.49746279907478363</v>
      </c>
    </row>
    <row r="810" spans="1:32">
      <c r="A810" s="15">
        <v>808</v>
      </c>
      <c r="B810" s="16">
        <v>0</v>
      </c>
      <c r="C810" s="20">
        <v>0.28000000000000003</v>
      </c>
      <c r="D810" s="20">
        <v>0.74118296021606767</v>
      </c>
      <c r="E810" s="20">
        <v>0.13</v>
      </c>
      <c r="F810" s="8" t="s">
        <v>436</v>
      </c>
      <c r="G810" s="24">
        <v>0.96569721274693177</v>
      </c>
      <c r="H810" s="24">
        <v>0.97128835310766914</v>
      </c>
      <c r="I810" s="25">
        <v>0.98827486075122051</v>
      </c>
      <c r="L810" s="15">
        <v>808</v>
      </c>
      <c r="M810" s="16">
        <v>0</v>
      </c>
      <c r="N810" s="16">
        <v>3</v>
      </c>
      <c r="O810" s="16">
        <v>1</v>
      </c>
      <c r="P810" s="16">
        <v>3</v>
      </c>
      <c r="Q810" s="29">
        <v>24</v>
      </c>
      <c r="R810" s="20">
        <v>0.47729999999999995</v>
      </c>
      <c r="S810" s="32">
        <v>11.455199999999998</v>
      </c>
      <c r="T810" s="35">
        <v>0.3</v>
      </c>
      <c r="U810" s="35">
        <v>0.02</v>
      </c>
      <c r="V810" s="35">
        <v>1.2499999999999999E-2</v>
      </c>
      <c r="W810" s="9" t="s">
        <v>152</v>
      </c>
      <c r="X810" s="15">
        <v>809</v>
      </c>
      <c r="Y810" s="39">
        <v>0.47419575008492704</v>
      </c>
      <c r="Z810" s="39">
        <v>0.49872237251466395</v>
      </c>
      <c r="AA810" s="39">
        <v>0.49281018261510517</v>
      </c>
      <c r="AB810" s="39">
        <v>0.50242907876820242</v>
      </c>
      <c r="AC810" s="39">
        <v>0.47007478242561185</v>
      </c>
      <c r="AD810" s="39">
        <v>0.4894690945560094</v>
      </c>
      <c r="AE810" s="39">
        <v>0.48369908998999711</v>
      </c>
      <c r="AF810" s="40">
        <v>0.49635153422595385</v>
      </c>
    </row>
    <row r="811" spans="1:32">
      <c r="A811" s="15">
        <v>809</v>
      </c>
      <c r="B811" s="16">
        <v>1</v>
      </c>
      <c r="C811" s="20">
        <v>0.35</v>
      </c>
      <c r="D811" s="20">
        <v>0.7278964233202434</v>
      </c>
      <c r="E811" s="20">
        <v>0.03</v>
      </c>
      <c r="F811" s="8" t="s">
        <v>436</v>
      </c>
      <c r="G811" s="24">
        <v>1.1189623120809464</v>
      </c>
      <c r="H811" s="24">
        <v>1.1254408182448234</v>
      </c>
      <c r="I811" s="25">
        <v>1.145123242110315</v>
      </c>
      <c r="L811" s="15">
        <v>809</v>
      </c>
      <c r="M811" s="16">
        <v>0</v>
      </c>
      <c r="N811" s="16">
        <v>3</v>
      </c>
      <c r="O811" s="16">
        <v>1</v>
      </c>
      <c r="P811" s="16">
        <v>4</v>
      </c>
      <c r="Q811" s="29">
        <v>18</v>
      </c>
      <c r="R811" s="20">
        <v>0.47729999999999995</v>
      </c>
      <c r="S811" s="32">
        <v>8.5913999999999984</v>
      </c>
      <c r="T811" s="35">
        <v>0.33</v>
      </c>
      <c r="U811" s="35">
        <v>0.09</v>
      </c>
      <c r="V811" s="35">
        <v>1.8333333333333333E-2</v>
      </c>
      <c r="W811" s="9" t="s">
        <v>152</v>
      </c>
      <c r="X811" s="15">
        <v>810</v>
      </c>
      <c r="Y811" s="39">
        <v>0.48029646469727316</v>
      </c>
      <c r="Z811" s="39">
        <v>0.48581614047074456</v>
      </c>
      <c r="AA811" s="39">
        <v>0.48212171155247785</v>
      </c>
      <c r="AB811" s="39">
        <v>0.49110931614343312</v>
      </c>
      <c r="AC811" s="39">
        <v>0.47279246088251109</v>
      </c>
      <c r="AD811" s="39">
        <v>0.47856530302608868</v>
      </c>
      <c r="AE811" s="39">
        <v>0.47601696256808795</v>
      </c>
      <c r="AF811" s="40">
        <v>0.49013351699822882</v>
      </c>
    </row>
    <row r="812" spans="1:32">
      <c r="A812" s="15">
        <v>810</v>
      </c>
      <c r="B812" s="16">
        <v>1</v>
      </c>
      <c r="C812" s="20">
        <v>0.97</v>
      </c>
      <c r="D812" s="20">
        <v>0.12097036642660543</v>
      </c>
      <c r="E812" s="20">
        <v>0.03</v>
      </c>
      <c r="F812" s="8" t="s">
        <v>434</v>
      </c>
      <c r="G812" s="24">
        <v>1.1098106754788759</v>
      </c>
      <c r="H812" s="24">
        <v>1.1162361960028471</v>
      </c>
      <c r="I812" s="25">
        <v>1.1357576435881547</v>
      </c>
      <c r="L812" s="15">
        <v>810</v>
      </c>
      <c r="M812" s="16">
        <v>0</v>
      </c>
      <c r="N812" s="16">
        <v>3</v>
      </c>
      <c r="O812" s="16">
        <v>1</v>
      </c>
      <c r="P812" s="16">
        <v>5</v>
      </c>
      <c r="Q812" s="29">
        <v>17</v>
      </c>
      <c r="R812" s="20">
        <v>0.47729999999999995</v>
      </c>
      <c r="S812" s="32">
        <v>8.1140999999999988</v>
      </c>
      <c r="T812" s="35">
        <v>0.57999999999999996</v>
      </c>
      <c r="U812" s="35">
        <v>0.31</v>
      </c>
      <c r="V812" s="35">
        <v>3.411764705882353E-2</v>
      </c>
      <c r="W812" s="9" t="s">
        <v>152</v>
      </c>
      <c r="X812" s="15">
        <v>811</v>
      </c>
      <c r="Y812" s="39">
        <v>0.49165188515109054</v>
      </c>
      <c r="Z812" s="39">
        <v>0.48610056411716845</v>
      </c>
      <c r="AA812" s="39">
        <v>0.49542374705259395</v>
      </c>
      <c r="AB812" s="39">
        <v>0.49190035951658562</v>
      </c>
      <c r="AC812" s="39">
        <v>0.48516267421643816</v>
      </c>
      <c r="AD812" s="39">
        <v>0.47701800237962155</v>
      </c>
      <c r="AE812" s="39">
        <v>0.4879067598091904</v>
      </c>
      <c r="AF812" s="40">
        <v>0.4868711520611777</v>
      </c>
    </row>
    <row r="813" spans="1:32">
      <c r="A813" s="15">
        <v>811</v>
      </c>
      <c r="B813" s="16">
        <v>0</v>
      </c>
      <c r="C813" s="20">
        <v>0.02</v>
      </c>
      <c r="D813" s="20">
        <v>0.99679477127711513</v>
      </c>
      <c r="E813" s="20">
        <v>1</v>
      </c>
      <c r="F813" s="8" t="s">
        <v>436</v>
      </c>
      <c r="G813" s="24">
        <v>0.9699613597921749</v>
      </c>
      <c r="H813" s="24">
        <v>0.9755771884758504</v>
      </c>
      <c r="I813" s="25">
        <v>0.99263870199642124</v>
      </c>
      <c r="L813" s="15">
        <v>811</v>
      </c>
      <c r="M813" s="16">
        <v>0</v>
      </c>
      <c r="N813" s="16">
        <v>3</v>
      </c>
      <c r="O813" s="16">
        <v>1</v>
      </c>
      <c r="P813" s="16">
        <v>6</v>
      </c>
      <c r="Q813" s="29">
        <v>21</v>
      </c>
      <c r="R813" s="20">
        <v>0.47729999999999995</v>
      </c>
      <c r="S813" s="32">
        <v>10.023299999999999</v>
      </c>
      <c r="T813" s="35">
        <v>0.38</v>
      </c>
      <c r="U813" s="35">
        <v>0.11</v>
      </c>
      <c r="V813" s="35">
        <v>1.8095238095238095E-2</v>
      </c>
      <c r="W813" s="9" t="s">
        <v>152</v>
      </c>
      <c r="X813" s="15">
        <v>812</v>
      </c>
      <c r="Y813" s="39">
        <v>0.49026085120065005</v>
      </c>
      <c r="Z813" s="39">
        <v>0.48177077733916462</v>
      </c>
      <c r="AA813" s="39">
        <v>0.47755624697508203</v>
      </c>
      <c r="AB813" s="39">
        <v>0.48455034270388975</v>
      </c>
      <c r="AC813" s="39">
        <v>0.48699611955432237</v>
      </c>
      <c r="AD813" s="39">
        <v>0.47577088084505942</v>
      </c>
      <c r="AE813" s="39">
        <v>0.47099324966744355</v>
      </c>
      <c r="AF813" s="40">
        <v>0.48253506417841313</v>
      </c>
    </row>
    <row r="814" spans="1:32">
      <c r="A814" s="15">
        <v>812</v>
      </c>
      <c r="B814" s="16">
        <v>1</v>
      </c>
      <c r="C814" s="20">
        <v>0.02</v>
      </c>
      <c r="D814" s="20">
        <v>0.99756714174924133</v>
      </c>
      <c r="E814" s="20">
        <v>1</v>
      </c>
      <c r="F814" s="8" t="s">
        <v>436</v>
      </c>
      <c r="G814" s="24">
        <v>1.0626770812337356</v>
      </c>
      <c r="H814" s="24">
        <v>1.0688297102782118</v>
      </c>
      <c r="I814" s="25">
        <v>1.08752208313042</v>
      </c>
      <c r="L814" s="15">
        <v>812</v>
      </c>
      <c r="M814" s="16">
        <v>0</v>
      </c>
      <c r="N814" s="16">
        <v>3</v>
      </c>
      <c r="O814" s="16">
        <v>1</v>
      </c>
      <c r="P814" s="16">
        <v>7</v>
      </c>
      <c r="Q814" s="29">
        <v>15</v>
      </c>
      <c r="R814" s="20">
        <v>0.47729999999999995</v>
      </c>
      <c r="S814" s="32">
        <v>7.1594999999999995</v>
      </c>
      <c r="T814" s="35">
        <v>0.45</v>
      </c>
      <c r="U814" s="35">
        <v>0.23</v>
      </c>
      <c r="V814" s="35">
        <v>3.0000000000000002E-2</v>
      </c>
      <c r="W814" s="9" t="s">
        <v>152</v>
      </c>
      <c r="X814" s="15">
        <v>813</v>
      </c>
      <c r="Y814" s="39">
        <v>0.4899625422522817</v>
      </c>
      <c r="Z814" s="39">
        <v>0.49728604004284327</v>
      </c>
      <c r="AA814" s="39">
        <v>0.48157389885723656</v>
      </c>
      <c r="AB814" s="39">
        <v>0.48302528655284188</v>
      </c>
      <c r="AC814" s="39">
        <v>0.48389334790446037</v>
      </c>
      <c r="AD814" s="39">
        <v>0.48963901779306962</v>
      </c>
      <c r="AE814" s="39">
        <v>0.47524847444448942</v>
      </c>
      <c r="AF814" s="40">
        <v>0.4778070582227068</v>
      </c>
    </row>
    <row r="815" spans="1:32">
      <c r="A815" s="15">
        <v>813</v>
      </c>
      <c r="B815" s="16">
        <v>0</v>
      </c>
      <c r="C815" s="20">
        <v>0.34</v>
      </c>
      <c r="D815" s="20">
        <v>0.70204140319778063</v>
      </c>
      <c r="E815" s="20">
        <v>0.13</v>
      </c>
      <c r="F815" s="8" t="s">
        <v>436</v>
      </c>
      <c r="G815" s="24">
        <v>1.086350033929057</v>
      </c>
      <c r="H815" s="24">
        <v>1.09263972332695</v>
      </c>
      <c r="I815" s="25">
        <v>1.1117485008105443</v>
      </c>
      <c r="L815" s="15">
        <v>813</v>
      </c>
      <c r="M815" s="16">
        <v>0</v>
      </c>
      <c r="N815" s="16">
        <v>3</v>
      </c>
      <c r="O815" s="16">
        <v>1</v>
      </c>
      <c r="P815" s="16">
        <v>8</v>
      </c>
      <c r="Q815" s="29">
        <v>22</v>
      </c>
      <c r="R815" s="20">
        <v>0.47729999999999995</v>
      </c>
      <c r="S815" s="32">
        <v>10.500599999999999</v>
      </c>
      <c r="T815" s="35">
        <v>1.38</v>
      </c>
      <c r="U815" s="35">
        <v>1.04</v>
      </c>
      <c r="V815" s="35">
        <v>6.2727272727272729E-2</v>
      </c>
      <c r="W815" s="9" t="s">
        <v>153</v>
      </c>
      <c r="X815" s="15">
        <v>814</v>
      </c>
      <c r="Y815" s="39">
        <v>0.47469531958969308</v>
      </c>
      <c r="Z815" s="39">
        <v>0.48645675410181455</v>
      </c>
      <c r="AA815" s="39">
        <v>0.4778793483571277</v>
      </c>
      <c r="AB815" s="39">
        <v>0.47754961771210336</v>
      </c>
      <c r="AC815" s="39">
        <v>0.47143366247456209</v>
      </c>
      <c r="AD815" s="39">
        <v>0.48040160863564835</v>
      </c>
      <c r="AE815" s="39">
        <v>0.47189447149994374</v>
      </c>
      <c r="AF815" s="40">
        <v>0.47092687009971657</v>
      </c>
    </row>
    <row r="816" spans="1:32">
      <c r="A816" s="15">
        <v>814</v>
      </c>
      <c r="B816" s="16">
        <v>1</v>
      </c>
      <c r="C816" s="20">
        <v>0.15</v>
      </c>
      <c r="D816" s="20">
        <v>0.88626172777443568</v>
      </c>
      <c r="E816" s="20">
        <v>0.39</v>
      </c>
      <c r="F816" s="8" t="s">
        <v>436</v>
      </c>
      <c r="G816" s="24">
        <v>0.71642834085048823</v>
      </c>
      <c r="H816" s="24">
        <v>0.72057627807059388</v>
      </c>
      <c r="I816" s="25">
        <v>0.73317817370338456</v>
      </c>
      <c r="L816" s="15">
        <v>814</v>
      </c>
      <c r="M816" s="16">
        <v>0</v>
      </c>
      <c r="N816" s="16">
        <v>3</v>
      </c>
      <c r="O816" s="16">
        <v>1</v>
      </c>
      <c r="P816" s="16">
        <v>9</v>
      </c>
      <c r="Q816" s="29">
        <v>18</v>
      </c>
      <c r="R816" s="20">
        <v>0.47729999999999995</v>
      </c>
      <c r="S816" s="32">
        <v>8.5913999999999984</v>
      </c>
      <c r="T816" s="35">
        <v>0.34</v>
      </c>
      <c r="U816" s="35">
        <v>0</v>
      </c>
      <c r="V816" s="35">
        <v>1.8888888888888889E-2</v>
      </c>
      <c r="W816" s="9" t="s">
        <v>152</v>
      </c>
      <c r="X816" s="15">
        <v>815</v>
      </c>
      <c r="Y816" s="39">
        <v>0.48944322941360269</v>
      </c>
      <c r="Z816" s="39">
        <v>0.48585118271392935</v>
      </c>
      <c r="AA816" s="39">
        <v>0.49269778166333267</v>
      </c>
      <c r="AB816" s="39">
        <v>0.48593216388103283</v>
      </c>
      <c r="AC816" s="39">
        <v>0.48337873850968011</v>
      </c>
      <c r="AD816" s="39">
        <v>0.47925066260915472</v>
      </c>
      <c r="AE816" s="39">
        <v>0.4842437659777345</v>
      </c>
      <c r="AF816" s="40">
        <v>0.48232958691761224</v>
      </c>
    </row>
    <row r="817" spans="1:32">
      <c r="A817" s="15">
        <v>815</v>
      </c>
      <c r="B817" s="16">
        <v>0</v>
      </c>
      <c r="C817" s="20">
        <v>0.48</v>
      </c>
      <c r="D817" s="20">
        <v>0.48174080822985083</v>
      </c>
      <c r="E817" s="20">
        <v>0.05</v>
      </c>
      <c r="F817" s="8" t="s">
        <v>436</v>
      </c>
      <c r="G817" s="24">
        <v>0.52563983309989293</v>
      </c>
      <c r="H817" s="24">
        <v>0.52868315356024331</v>
      </c>
      <c r="I817" s="25">
        <v>0.53792910034858332</v>
      </c>
      <c r="L817" s="15">
        <v>815</v>
      </c>
      <c r="M817" s="16">
        <v>0</v>
      </c>
      <c r="N817" s="16">
        <v>3</v>
      </c>
      <c r="O817" s="16">
        <v>1</v>
      </c>
      <c r="P817" s="16">
        <v>10</v>
      </c>
      <c r="Q817" s="29">
        <v>20</v>
      </c>
      <c r="R817" s="20">
        <v>0.47729999999999995</v>
      </c>
      <c r="S817" s="32">
        <v>9.5459999999999994</v>
      </c>
      <c r="T817" s="35">
        <v>0.46</v>
      </c>
      <c r="U817" s="35">
        <v>0.09</v>
      </c>
      <c r="V817" s="35">
        <v>2.3E-2</v>
      </c>
      <c r="W817" s="9" t="s">
        <v>152</v>
      </c>
      <c r="X817" s="15">
        <v>816</v>
      </c>
      <c r="Y817" s="39">
        <v>0.48952334878313603</v>
      </c>
      <c r="Z817" s="39">
        <v>0.5023549988421131</v>
      </c>
      <c r="AA817" s="39">
        <v>0.50068565431027268</v>
      </c>
      <c r="AB817" s="39">
        <v>0.50530761919659184</v>
      </c>
      <c r="AC817" s="39">
        <v>0.48571162667743467</v>
      </c>
      <c r="AD817" s="39">
        <v>0.49655155604779977</v>
      </c>
      <c r="AE817" s="39">
        <v>0.4939771749393384</v>
      </c>
      <c r="AF817" s="40">
        <v>0.50077723409844577</v>
      </c>
    </row>
    <row r="818" spans="1:32">
      <c r="A818" s="15">
        <v>816</v>
      </c>
      <c r="B818" s="16">
        <v>1</v>
      </c>
      <c r="C818" s="20">
        <v>0.26</v>
      </c>
      <c r="D818" s="20">
        <v>0.79851932751129429</v>
      </c>
      <c r="E818" s="20">
        <v>0.06</v>
      </c>
      <c r="F818" s="8" t="s">
        <v>436</v>
      </c>
      <c r="G818" s="24">
        <v>0.78542840417364246</v>
      </c>
      <c r="H818" s="24">
        <v>0.78997583414763328</v>
      </c>
      <c r="I818" s="25">
        <v>0.8037914332969851</v>
      </c>
      <c r="L818" s="15">
        <v>816</v>
      </c>
      <c r="M818" s="16">
        <v>0</v>
      </c>
      <c r="N818" s="16">
        <v>3</v>
      </c>
      <c r="O818" s="16">
        <v>2</v>
      </c>
      <c r="P818" s="16">
        <v>11</v>
      </c>
      <c r="Q818" s="29">
        <v>16</v>
      </c>
      <c r="R818" s="20">
        <v>0.47729999999999995</v>
      </c>
      <c r="S818" s="32">
        <v>7.6367999999999991</v>
      </c>
      <c r="T818" s="35">
        <v>0.46</v>
      </c>
      <c r="U818" s="35">
        <v>0.19</v>
      </c>
      <c r="V818" s="35">
        <v>2.8750000000000001E-2</v>
      </c>
      <c r="W818" s="9" t="s">
        <v>152</v>
      </c>
      <c r="X818" s="15">
        <v>817</v>
      </c>
      <c r="Y818" s="39">
        <v>0.48372154090248137</v>
      </c>
      <c r="Z818" s="39">
        <v>0.46857773807087921</v>
      </c>
      <c r="AA818" s="39">
        <v>0.49360292805389222</v>
      </c>
      <c r="AB818" s="39">
        <v>0.47455718736667574</v>
      </c>
      <c r="AC818" s="39">
        <v>0.47643984682374374</v>
      </c>
      <c r="AD818" s="39">
        <v>0.46139640425256939</v>
      </c>
      <c r="AE818" s="39">
        <v>0.48734518634434509</v>
      </c>
      <c r="AF818" s="40">
        <v>0.46875826791572839</v>
      </c>
    </row>
    <row r="819" spans="1:32">
      <c r="A819" s="15">
        <v>817</v>
      </c>
      <c r="B819" s="16">
        <v>0</v>
      </c>
      <c r="C819" s="20">
        <v>0.24</v>
      </c>
      <c r="D819" s="20">
        <v>0.6822620080155456</v>
      </c>
      <c r="E819" s="20">
        <v>0.1</v>
      </c>
      <c r="F819" s="8" t="s">
        <v>436</v>
      </c>
      <c r="G819" s="24">
        <v>1.5254890375127164</v>
      </c>
      <c r="H819" s="24">
        <v>1.5343212296480113</v>
      </c>
      <c r="I819" s="25">
        <v>1.5611544138529805</v>
      </c>
      <c r="L819" s="15">
        <v>817</v>
      </c>
      <c r="M819" s="16">
        <v>0</v>
      </c>
      <c r="N819" s="16">
        <v>3</v>
      </c>
      <c r="O819" s="16">
        <v>2</v>
      </c>
      <c r="P819" s="16">
        <v>12</v>
      </c>
      <c r="Q819" s="29">
        <v>16</v>
      </c>
      <c r="R819" s="20">
        <v>0.47729999999999995</v>
      </c>
      <c r="S819" s="32">
        <v>7.6367999999999991</v>
      </c>
      <c r="T819" s="35">
        <v>0.2</v>
      </c>
      <c r="U819" s="35">
        <v>0</v>
      </c>
      <c r="V819" s="35">
        <v>1.2500000000000001E-2</v>
      </c>
      <c r="W819" s="9" t="s">
        <v>152</v>
      </c>
      <c r="X819" s="15">
        <v>818</v>
      </c>
      <c r="Y819" s="39">
        <v>0.48725380518981704</v>
      </c>
      <c r="Z819" s="39">
        <v>0.49647784537901252</v>
      </c>
      <c r="AA819" s="39">
        <v>0.48160301681655004</v>
      </c>
      <c r="AB819" s="39">
        <v>0.4762638230273174</v>
      </c>
      <c r="AC819" s="39">
        <v>0.48016371581135991</v>
      </c>
      <c r="AD819" s="39">
        <v>0.49003107489171477</v>
      </c>
      <c r="AE819" s="39">
        <v>0.47459752997664667</v>
      </c>
      <c r="AF819" s="40">
        <v>0.47183849001672229</v>
      </c>
    </row>
    <row r="820" spans="1:32">
      <c r="A820" s="15">
        <v>818</v>
      </c>
      <c r="B820" s="16">
        <v>1</v>
      </c>
      <c r="C820" s="20">
        <v>0.96</v>
      </c>
      <c r="D820" s="20">
        <v>0.13880369068795359</v>
      </c>
      <c r="E820" s="20">
        <v>0.04</v>
      </c>
      <c r="F820" s="8" t="s">
        <v>434</v>
      </c>
      <c r="G820" s="24">
        <v>2.019602297811943</v>
      </c>
      <c r="H820" s="24">
        <v>2.0312952795984538</v>
      </c>
      <c r="I820" s="25">
        <v>1.6578926537592125</v>
      </c>
      <c r="L820" s="15">
        <v>818</v>
      </c>
      <c r="M820" s="16">
        <v>0</v>
      </c>
      <c r="N820" s="16">
        <v>3</v>
      </c>
      <c r="O820" s="16">
        <v>2</v>
      </c>
      <c r="P820" s="16">
        <v>13</v>
      </c>
      <c r="Q820" s="29">
        <v>20</v>
      </c>
      <c r="R820" s="20">
        <v>0.47729999999999995</v>
      </c>
      <c r="S820" s="32">
        <v>9.5459999999999994</v>
      </c>
      <c r="T820" s="35">
        <v>0.32</v>
      </c>
      <c r="U820" s="35">
        <v>0.01</v>
      </c>
      <c r="V820" s="35">
        <v>1.6E-2</v>
      </c>
      <c r="W820" s="9" t="s">
        <v>152</v>
      </c>
      <c r="X820" s="15">
        <v>819</v>
      </c>
      <c r="Y820" s="39">
        <v>0.49415724781451265</v>
      </c>
      <c r="Z820" s="39">
        <v>0.47419512415653825</v>
      </c>
      <c r="AA820" s="39">
        <v>0.48533320839548083</v>
      </c>
      <c r="AB820" s="39">
        <v>0.49008992179267075</v>
      </c>
      <c r="AC820" s="39">
        <v>0.48707591277919104</v>
      </c>
      <c r="AD820" s="39">
        <v>0.46833187254806863</v>
      </c>
      <c r="AE820" s="39">
        <v>0.47802396968797861</v>
      </c>
      <c r="AF820" s="40">
        <v>0.48624208617927883</v>
      </c>
    </row>
    <row r="821" spans="1:32">
      <c r="A821" s="15">
        <v>819</v>
      </c>
      <c r="B821" s="16">
        <v>1</v>
      </c>
      <c r="C821" s="20">
        <v>0.92</v>
      </c>
      <c r="D821" s="20">
        <v>0.20258497911151899</v>
      </c>
      <c r="E821" s="20">
        <v>0.08</v>
      </c>
      <c r="F821" s="8" t="s">
        <v>434</v>
      </c>
      <c r="G821" s="24">
        <v>1.71494793597854</v>
      </c>
      <c r="H821" s="24">
        <v>1.7248770467752237</v>
      </c>
      <c r="I821" s="25">
        <v>1.6578926537592125</v>
      </c>
      <c r="L821" s="15">
        <v>819</v>
      </c>
      <c r="M821" s="16">
        <v>0</v>
      </c>
      <c r="N821" s="16">
        <v>3</v>
      </c>
      <c r="O821" s="16">
        <v>2</v>
      </c>
      <c r="P821" s="16">
        <v>14</v>
      </c>
      <c r="Q821" s="29">
        <v>10</v>
      </c>
      <c r="R821" s="20">
        <v>0.47729999999999995</v>
      </c>
      <c r="S821" s="32">
        <v>4.7729999999999997</v>
      </c>
      <c r="T821" s="35">
        <v>1.08</v>
      </c>
      <c r="U821" s="35">
        <v>0.93</v>
      </c>
      <c r="V821" s="35">
        <v>0.10800000000000001</v>
      </c>
      <c r="W821" s="9" t="s">
        <v>153</v>
      </c>
      <c r="X821" s="15">
        <v>820</v>
      </c>
      <c r="Y821" s="39">
        <v>0.48539264999046383</v>
      </c>
      <c r="Z821" s="39">
        <v>0.4938104642550204</v>
      </c>
      <c r="AA821" s="39">
        <v>0.49892600506875628</v>
      </c>
      <c r="AB821" s="39">
        <v>0.47804446140254314</v>
      </c>
      <c r="AC821" s="39">
        <v>0.47904447967083547</v>
      </c>
      <c r="AD821" s="39">
        <v>0.48786572726570843</v>
      </c>
      <c r="AE821" s="39">
        <v>0.4924025995924608</v>
      </c>
      <c r="AF821" s="40">
        <v>0.47375300943145748</v>
      </c>
    </row>
    <row r="822" spans="1:32">
      <c r="A822" s="15">
        <v>820</v>
      </c>
      <c r="B822" s="16">
        <v>1</v>
      </c>
      <c r="C822" s="20">
        <v>0.21</v>
      </c>
      <c r="D822" s="20">
        <v>0.8236527135780114</v>
      </c>
      <c r="E822" s="20">
        <v>0.09</v>
      </c>
      <c r="F822" s="8" t="s">
        <v>436</v>
      </c>
      <c r="G822" s="24">
        <v>0.79044129038391875</v>
      </c>
      <c r="H822" s="24">
        <v>0.7950177436894923</v>
      </c>
      <c r="I822" s="25">
        <v>0.80892151895533604</v>
      </c>
      <c r="L822" s="15">
        <v>820</v>
      </c>
      <c r="M822" s="16">
        <v>0</v>
      </c>
      <c r="N822" s="16">
        <v>3</v>
      </c>
      <c r="O822" s="16">
        <v>2</v>
      </c>
      <c r="P822" s="16">
        <v>15</v>
      </c>
      <c r="Q822" s="29">
        <v>26</v>
      </c>
      <c r="R822" s="20">
        <v>0.47729999999999995</v>
      </c>
      <c r="S822" s="32">
        <v>12.409799999999999</v>
      </c>
      <c r="T822" s="35">
        <v>1.6</v>
      </c>
      <c r="U822" s="35">
        <v>1.1399999999999999</v>
      </c>
      <c r="V822" s="35">
        <v>6.1538461538461542E-2</v>
      </c>
      <c r="W822" s="9" t="s">
        <v>153</v>
      </c>
      <c r="X822" s="15">
        <v>821</v>
      </c>
      <c r="Y822" s="39">
        <v>0.48172666739420089</v>
      </c>
      <c r="Z822" s="39">
        <v>0.495167386403493</v>
      </c>
      <c r="AA822" s="39">
        <v>0.49251573481150612</v>
      </c>
      <c r="AB822" s="39">
        <v>0.49413518403189777</v>
      </c>
      <c r="AC822" s="39">
        <v>0.47587474491364157</v>
      </c>
      <c r="AD822" s="39">
        <v>0.48783455798183284</v>
      </c>
      <c r="AE822" s="39">
        <v>0.48658546240531136</v>
      </c>
      <c r="AF822" s="40">
        <v>0.48553137437729582</v>
      </c>
    </row>
    <row r="823" spans="1:32">
      <c r="A823" s="15">
        <v>821</v>
      </c>
      <c r="B823" s="16">
        <v>0</v>
      </c>
      <c r="C823" s="20">
        <v>0.38</v>
      </c>
      <c r="D823" s="20">
        <v>0.6070608547017039</v>
      </c>
      <c r="E823" s="20">
        <v>7.0000000000000007E-2</v>
      </c>
      <c r="F823" s="8" t="s">
        <v>436</v>
      </c>
      <c r="G823" s="24">
        <v>0.50042247281449215</v>
      </c>
      <c r="H823" s="24">
        <v>0.50331979119570025</v>
      </c>
      <c r="I823" s="25">
        <v>0.51212216739319261</v>
      </c>
      <c r="L823" s="15">
        <v>821</v>
      </c>
      <c r="M823" s="16">
        <v>0</v>
      </c>
      <c r="N823" s="16">
        <v>3</v>
      </c>
      <c r="O823" s="16">
        <v>2</v>
      </c>
      <c r="P823" s="16">
        <v>16</v>
      </c>
      <c r="Q823" s="29">
        <v>17</v>
      </c>
      <c r="R823" s="20">
        <v>0.47729999999999995</v>
      </c>
      <c r="S823" s="32">
        <v>8.1140999999999988</v>
      </c>
      <c r="T823" s="35">
        <v>0.83000000000000007</v>
      </c>
      <c r="U823" s="35">
        <v>0.64</v>
      </c>
      <c r="V823" s="35">
        <v>4.882352941176471E-2</v>
      </c>
      <c r="W823" s="9" t="s">
        <v>152</v>
      </c>
      <c r="X823" s="15">
        <v>822</v>
      </c>
      <c r="Y823" s="39">
        <v>0.46789467885352659</v>
      </c>
      <c r="Z823" s="39">
        <v>0.49991166739778198</v>
      </c>
      <c r="AA823" s="39">
        <v>0.47399115160002753</v>
      </c>
      <c r="AB823" s="39">
        <v>0.49442203489959763</v>
      </c>
      <c r="AC823" s="39">
        <v>0.46444273267020864</v>
      </c>
      <c r="AD823" s="39">
        <v>0.49165666275697245</v>
      </c>
      <c r="AE823" s="39">
        <v>0.46746490216155001</v>
      </c>
      <c r="AF823" s="40">
        <v>0.48918851650480111</v>
      </c>
    </row>
    <row r="824" spans="1:32">
      <c r="A824" s="15">
        <v>822</v>
      </c>
      <c r="B824" s="16">
        <v>0</v>
      </c>
      <c r="C824" s="20">
        <v>0.6</v>
      </c>
      <c r="D824" s="20">
        <v>0.45402278361339532</v>
      </c>
      <c r="E824" s="20">
        <v>0.1</v>
      </c>
      <c r="F824" s="8" t="s">
        <v>438</v>
      </c>
      <c r="G824" s="24">
        <v>1.2427738614712531</v>
      </c>
      <c r="H824" s="24">
        <v>1.2499692049023232</v>
      </c>
      <c r="I824" s="25">
        <v>1.2718294602892459</v>
      </c>
      <c r="L824" s="15">
        <v>822</v>
      </c>
      <c r="M824" s="16">
        <v>0</v>
      </c>
      <c r="N824" s="16">
        <v>3</v>
      </c>
      <c r="O824" s="16">
        <v>2</v>
      </c>
      <c r="P824" s="16">
        <v>17</v>
      </c>
      <c r="Q824" s="29">
        <v>15</v>
      </c>
      <c r="R824" s="20">
        <v>0.47729999999999995</v>
      </c>
      <c r="S824" s="32">
        <v>7.1594999999999995</v>
      </c>
      <c r="T824" s="35">
        <v>0.23</v>
      </c>
      <c r="U824" s="35">
        <v>0</v>
      </c>
      <c r="V824" s="35">
        <v>1.5333333333333334E-2</v>
      </c>
      <c r="W824" s="9" t="s">
        <v>152</v>
      </c>
      <c r="X824" s="15">
        <v>823</v>
      </c>
      <c r="Y824" s="39">
        <v>0.48309531708732317</v>
      </c>
      <c r="Z824" s="39">
        <v>0.48886464079974229</v>
      </c>
      <c r="AA824" s="39">
        <v>0.47956999062229694</v>
      </c>
      <c r="AB824" s="39">
        <v>0.47497783683293304</v>
      </c>
      <c r="AC824" s="39">
        <v>0.4774120765677054</v>
      </c>
      <c r="AD824" s="39">
        <v>0.4805903430874246</v>
      </c>
      <c r="AE824" s="39">
        <v>0.47510010852430756</v>
      </c>
      <c r="AF824" s="40">
        <v>0.46869727414719131</v>
      </c>
    </row>
    <row r="825" spans="1:32">
      <c r="A825" s="15">
        <v>823</v>
      </c>
      <c r="B825" s="16">
        <v>0</v>
      </c>
      <c r="C825" s="20">
        <v>0.94</v>
      </c>
      <c r="D825" s="20">
        <v>0.17188516685452584</v>
      </c>
      <c r="E825" s="20">
        <v>0.06</v>
      </c>
      <c r="F825" s="8" t="s">
        <v>434</v>
      </c>
      <c r="G825" s="24">
        <v>1.7698488903059131</v>
      </c>
      <c r="H825" s="24">
        <v>1.7800958636142941</v>
      </c>
      <c r="I825" s="25">
        <v>1.6578926537592125</v>
      </c>
      <c r="L825" s="15">
        <v>823</v>
      </c>
      <c r="M825" s="16">
        <v>0</v>
      </c>
      <c r="N825" s="16">
        <v>3</v>
      </c>
      <c r="O825" s="16">
        <v>2</v>
      </c>
      <c r="P825" s="16">
        <v>18</v>
      </c>
      <c r="Q825" s="29">
        <v>13</v>
      </c>
      <c r="R825" s="20">
        <v>0.47729999999999995</v>
      </c>
      <c r="S825" s="32">
        <v>6.2048999999999994</v>
      </c>
      <c r="T825" s="35">
        <v>0.2</v>
      </c>
      <c r="U825" s="35">
        <v>0</v>
      </c>
      <c r="V825" s="35">
        <v>1.5384615384615385E-2</v>
      </c>
      <c r="W825" s="9" t="s">
        <v>152</v>
      </c>
      <c r="X825" s="15">
        <v>824</v>
      </c>
      <c r="Y825" s="39">
        <v>0.49040156538946383</v>
      </c>
      <c r="Z825" s="39">
        <v>0.50329412732190904</v>
      </c>
      <c r="AA825" s="39">
        <v>0.47914273177156969</v>
      </c>
      <c r="AB825" s="39">
        <v>0.50073375284463473</v>
      </c>
      <c r="AC825" s="39">
        <v>0.48082921651302174</v>
      </c>
      <c r="AD825" s="39">
        <v>0.49458106993493828</v>
      </c>
      <c r="AE825" s="39">
        <v>0.47265374321507486</v>
      </c>
      <c r="AF825" s="40">
        <v>0.49912172344705719</v>
      </c>
    </row>
    <row r="826" spans="1:32">
      <c r="A826" s="15">
        <v>824</v>
      </c>
      <c r="B826" s="16">
        <v>0</v>
      </c>
      <c r="C826" s="20">
        <v>0.02</v>
      </c>
      <c r="D826" s="20">
        <v>0.99835916395484214</v>
      </c>
      <c r="E826" s="20">
        <v>1</v>
      </c>
      <c r="F826" s="8" t="s">
        <v>436</v>
      </c>
      <c r="G826" s="24">
        <v>1.0951104343621831</v>
      </c>
      <c r="H826" s="24">
        <v>1.1014508442424296</v>
      </c>
      <c r="I826" s="25">
        <v>1.1207137162050733</v>
      </c>
      <c r="L826" s="15">
        <v>824</v>
      </c>
      <c r="M826" s="16">
        <v>0</v>
      </c>
      <c r="N826" s="16">
        <v>3</v>
      </c>
      <c r="O826" s="16">
        <v>2</v>
      </c>
      <c r="P826" s="16">
        <v>19</v>
      </c>
      <c r="Q826" s="29">
        <v>21</v>
      </c>
      <c r="R826" s="20">
        <v>0.47729999999999995</v>
      </c>
      <c r="S826" s="32">
        <v>10.023299999999999</v>
      </c>
      <c r="T826" s="35">
        <v>1.19</v>
      </c>
      <c r="U826" s="35">
        <v>0.97</v>
      </c>
      <c r="V826" s="35">
        <v>5.6666666666666664E-2</v>
      </c>
      <c r="W826" s="9" t="s">
        <v>153</v>
      </c>
      <c r="X826" s="15">
        <v>825</v>
      </c>
      <c r="Y826" s="39">
        <v>0.48874786080465749</v>
      </c>
      <c r="Z826" s="39">
        <v>0.47647507066694034</v>
      </c>
      <c r="AA826" s="39">
        <v>0.49086393642684967</v>
      </c>
      <c r="AB826" s="39">
        <v>0.47466137472050463</v>
      </c>
      <c r="AC826" s="39">
        <v>0.48162415833806771</v>
      </c>
      <c r="AD826" s="39">
        <v>0.4726037905953166</v>
      </c>
      <c r="AE826" s="39">
        <v>0.48520138320753869</v>
      </c>
      <c r="AF826" s="40">
        <v>0.47104054589530397</v>
      </c>
    </row>
    <row r="827" spans="1:32">
      <c r="A827" s="15">
        <v>825</v>
      </c>
      <c r="B827" s="16">
        <v>0</v>
      </c>
      <c r="C827" s="20">
        <v>0.91</v>
      </c>
      <c r="D827" s="20">
        <v>0.21727233298780477</v>
      </c>
      <c r="E827" s="20">
        <v>0.09</v>
      </c>
      <c r="F827" s="8" t="s">
        <v>434</v>
      </c>
      <c r="G827" s="24">
        <v>1.2066033200282704</v>
      </c>
      <c r="H827" s="24">
        <v>1.213589245257173</v>
      </c>
      <c r="I827" s="25">
        <v>1.2348132648026928</v>
      </c>
      <c r="L827" s="15">
        <v>825</v>
      </c>
      <c r="M827" s="16">
        <v>0</v>
      </c>
      <c r="N827" s="16">
        <v>3</v>
      </c>
      <c r="O827" s="16">
        <v>2</v>
      </c>
      <c r="P827" s="16">
        <v>20</v>
      </c>
      <c r="Q827" s="29">
        <v>15</v>
      </c>
      <c r="R827" s="20">
        <v>0.47729999999999995</v>
      </c>
      <c r="S827" s="32">
        <v>7.1594999999999995</v>
      </c>
      <c r="T827" s="35">
        <v>0.75</v>
      </c>
      <c r="U827" s="35">
        <v>0.53</v>
      </c>
      <c r="V827" s="35">
        <v>0.05</v>
      </c>
      <c r="W827" s="9" t="s">
        <v>152</v>
      </c>
      <c r="X827" s="15">
        <v>826</v>
      </c>
      <c r="Y827" s="39">
        <v>0.4920943758300817</v>
      </c>
      <c r="Z827" s="39">
        <v>0.47002208723726541</v>
      </c>
      <c r="AA827" s="39">
        <v>0.49681106084609011</v>
      </c>
      <c r="AB827" s="39">
        <v>0.50697311573394321</v>
      </c>
      <c r="AC827" s="39">
        <v>0.48573230787073329</v>
      </c>
      <c r="AD827" s="39">
        <v>0.46277057090979495</v>
      </c>
      <c r="AE827" s="39">
        <v>0.49006054852675962</v>
      </c>
      <c r="AF827" s="40">
        <v>0.50369004036256171</v>
      </c>
    </row>
    <row r="828" spans="1:32">
      <c r="A828" s="15">
        <v>826</v>
      </c>
      <c r="B828" s="16">
        <v>1</v>
      </c>
      <c r="C828" s="20">
        <v>0.1</v>
      </c>
      <c r="D828" s="20">
        <v>0.92599029618600104</v>
      </c>
      <c r="E828" s="20">
        <v>0.44</v>
      </c>
      <c r="F828" s="8" t="s">
        <v>436</v>
      </c>
      <c r="G828" s="24">
        <v>1.1186461219570936</v>
      </c>
      <c r="H828" s="24">
        <v>1.1251227974608631</v>
      </c>
      <c r="I828" s="25">
        <v>1.1447996595768906</v>
      </c>
      <c r="L828" s="15">
        <v>826</v>
      </c>
      <c r="M828" s="16">
        <v>0</v>
      </c>
      <c r="N828" s="16">
        <v>3</v>
      </c>
      <c r="O828" s="16">
        <v>2</v>
      </c>
      <c r="P828" s="16">
        <v>21</v>
      </c>
      <c r="Q828" s="29">
        <v>12</v>
      </c>
      <c r="R828" s="20">
        <v>0.47729999999999995</v>
      </c>
      <c r="S828" s="32">
        <v>5.7275999999999989</v>
      </c>
      <c r="T828" s="35">
        <v>0.27</v>
      </c>
      <c r="U828" s="35">
        <v>7.0000000000000007E-2</v>
      </c>
      <c r="V828" s="35">
        <v>2.2500000000000003E-2</v>
      </c>
      <c r="W828" s="9" t="s">
        <v>152</v>
      </c>
      <c r="X828" s="15">
        <v>827</v>
      </c>
      <c r="Y828" s="39">
        <v>0.48853780385113871</v>
      </c>
      <c r="Z828" s="39">
        <v>0.48702805043434744</v>
      </c>
      <c r="AA828" s="39">
        <v>0.48043158950074316</v>
      </c>
      <c r="AB828" s="39">
        <v>0.4997690211561342</v>
      </c>
      <c r="AC828" s="39">
        <v>0.48351933102990341</v>
      </c>
      <c r="AD828" s="39">
        <v>0.47938521603363965</v>
      </c>
      <c r="AE828" s="39">
        <v>0.47697428537263697</v>
      </c>
      <c r="AF828" s="40">
        <v>0.49388505086065149</v>
      </c>
    </row>
    <row r="829" spans="1:32">
      <c r="A829" s="15">
        <v>827</v>
      </c>
      <c r="B829" s="16">
        <v>1</v>
      </c>
      <c r="C829" s="20">
        <v>0.96</v>
      </c>
      <c r="D829" s="20">
        <v>0.13880369068795359</v>
      </c>
      <c r="E829" s="20">
        <v>0.04</v>
      </c>
      <c r="F829" s="8" t="s">
        <v>434</v>
      </c>
      <c r="G829" s="24">
        <v>0.60526689806592682</v>
      </c>
      <c r="H829" s="24">
        <v>0.60877123890705709</v>
      </c>
      <c r="I829" s="25">
        <v>0.61941781700076415</v>
      </c>
      <c r="L829" s="15">
        <v>827</v>
      </c>
      <c r="M829" s="16">
        <v>0</v>
      </c>
      <c r="N829" s="16">
        <v>3</v>
      </c>
      <c r="O829" s="16">
        <v>2</v>
      </c>
      <c r="P829" s="16">
        <v>22</v>
      </c>
      <c r="Q829" s="29">
        <v>16</v>
      </c>
      <c r="R829" s="20">
        <v>0.47729999999999995</v>
      </c>
      <c r="S829" s="32">
        <v>7.6367999999999991</v>
      </c>
      <c r="T829" s="35">
        <v>1.02</v>
      </c>
      <c r="U829" s="35">
        <v>0.84</v>
      </c>
      <c r="V829" s="35">
        <v>6.3750000000000001E-2</v>
      </c>
      <c r="W829" s="9" t="s">
        <v>153</v>
      </c>
      <c r="X829" s="15">
        <v>828</v>
      </c>
      <c r="Y829" s="39">
        <v>0.48501967994660294</v>
      </c>
      <c r="Z829" s="39">
        <v>0.47919956027326416</v>
      </c>
      <c r="AA829" s="39">
        <v>0.47649665136110569</v>
      </c>
      <c r="AB829" s="39">
        <v>0.49063459104344226</v>
      </c>
      <c r="AC829" s="39">
        <v>0.47915819507186685</v>
      </c>
      <c r="AD829" s="39">
        <v>0.47189166755141515</v>
      </c>
      <c r="AE829" s="39">
        <v>0.46945046790055645</v>
      </c>
      <c r="AF829" s="40">
        <v>0.48585796716550023</v>
      </c>
    </row>
    <row r="830" spans="1:32">
      <c r="A830" s="15">
        <v>828</v>
      </c>
      <c r="B830" s="16">
        <v>0</v>
      </c>
      <c r="C830" s="20">
        <v>0.9</v>
      </c>
      <c r="D830" s="20">
        <v>0.23159538658365303</v>
      </c>
      <c r="E830" s="20">
        <v>0.1</v>
      </c>
      <c r="F830" s="8" t="s">
        <v>434</v>
      </c>
      <c r="G830" s="24">
        <v>0.36568348037886245</v>
      </c>
      <c r="H830" s="24">
        <v>0.36780069438695234</v>
      </c>
      <c r="I830" s="25">
        <v>0.37423302654301899</v>
      </c>
      <c r="L830" s="15">
        <v>828</v>
      </c>
      <c r="M830" s="16">
        <v>0</v>
      </c>
      <c r="N830" s="16">
        <v>3</v>
      </c>
      <c r="O830" s="16">
        <v>2</v>
      </c>
      <c r="P830" s="16">
        <v>23</v>
      </c>
      <c r="Q830" s="29">
        <v>20</v>
      </c>
      <c r="R830" s="20">
        <v>0.47729999999999995</v>
      </c>
      <c r="S830" s="32">
        <v>9.5459999999999994</v>
      </c>
      <c r="T830" s="35">
        <v>0.41000000000000003</v>
      </c>
      <c r="U830" s="35">
        <v>0.16</v>
      </c>
      <c r="V830" s="35">
        <v>2.0500000000000001E-2</v>
      </c>
      <c r="W830" s="9" t="s">
        <v>152</v>
      </c>
      <c r="X830" s="15">
        <v>829</v>
      </c>
      <c r="Y830" s="39">
        <v>0.47840971918495101</v>
      </c>
      <c r="Z830" s="39">
        <v>0.48433159890639599</v>
      </c>
      <c r="AA830" s="39">
        <v>0.48278289632196658</v>
      </c>
      <c r="AB830" s="39">
        <v>0.48479953310675344</v>
      </c>
      <c r="AC830" s="39">
        <v>0.46965315833133742</v>
      </c>
      <c r="AD830" s="39">
        <v>0.47682552056612826</v>
      </c>
      <c r="AE830" s="39">
        <v>0.4757555239797821</v>
      </c>
      <c r="AF830" s="40">
        <v>0.4778789925892834</v>
      </c>
    </row>
    <row r="831" spans="1:32">
      <c r="A831" s="15">
        <v>829</v>
      </c>
      <c r="B831" s="16">
        <v>1</v>
      </c>
      <c r="C831" s="20">
        <v>0.08</v>
      </c>
      <c r="D831" s="20">
        <v>0.94081794175691369</v>
      </c>
      <c r="E831" s="20">
        <v>0.47</v>
      </c>
      <c r="F831" s="8" t="s">
        <v>436</v>
      </c>
      <c r="G831" s="24">
        <v>0.86302585594952697</v>
      </c>
      <c r="H831" s="24">
        <v>0.8680225553619999</v>
      </c>
      <c r="I831" s="25">
        <v>0.88320308514417589</v>
      </c>
      <c r="L831" s="15">
        <v>829</v>
      </c>
      <c r="M831" s="16">
        <v>0</v>
      </c>
      <c r="N831" s="16">
        <v>3</v>
      </c>
      <c r="O831" s="16">
        <v>2</v>
      </c>
      <c r="P831" s="16">
        <v>24</v>
      </c>
      <c r="Q831" s="29">
        <v>13</v>
      </c>
      <c r="R831" s="20">
        <v>0.47729999999999995</v>
      </c>
      <c r="S831" s="32">
        <v>6.2048999999999994</v>
      </c>
      <c r="T831" s="35">
        <v>0.24000000000000002</v>
      </c>
      <c r="U831" s="35">
        <v>0.04</v>
      </c>
      <c r="V831" s="35">
        <v>1.8461538461538463E-2</v>
      </c>
      <c r="W831" s="9" t="s">
        <v>152</v>
      </c>
      <c r="X831" s="15">
        <v>830</v>
      </c>
      <c r="Y831" s="39">
        <v>0.47424480560596538</v>
      </c>
      <c r="Z831" s="39">
        <v>0.48223063910856689</v>
      </c>
      <c r="AA831" s="39">
        <v>0.49708710794842187</v>
      </c>
      <c r="AB831" s="39">
        <v>0.48905637099403354</v>
      </c>
      <c r="AC831" s="39">
        <v>0.46757173465285795</v>
      </c>
      <c r="AD831" s="39">
        <v>0.47558430954074088</v>
      </c>
      <c r="AE831" s="39">
        <v>0.4887589885329538</v>
      </c>
      <c r="AF831" s="40">
        <v>0.48361064131670017</v>
      </c>
    </row>
    <row r="832" spans="1:32">
      <c r="A832" s="15">
        <v>830</v>
      </c>
      <c r="B832" s="16">
        <v>0</v>
      </c>
      <c r="C832" s="20">
        <v>0.02</v>
      </c>
      <c r="D832" s="20">
        <v>0.99604261948721451</v>
      </c>
      <c r="E832" s="20">
        <v>1</v>
      </c>
      <c r="F832" s="8" t="s">
        <v>436</v>
      </c>
      <c r="G832" s="24">
        <v>0.9673044036725591</v>
      </c>
      <c r="H832" s="24">
        <v>0.97290484925850895</v>
      </c>
      <c r="I832" s="25">
        <v>0.98991962721348148</v>
      </c>
      <c r="L832" s="15">
        <v>830</v>
      </c>
      <c r="M832" s="16">
        <v>0</v>
      </c>
      <c r="N832" s="16">
        <v>3</v>
      </c>
      <c r="O832" s="16">
        <v>2</v>
      </c>
      <c r="P832" s="16">
        <v>25</v>
      </c>
      <c r="Q832" s="29">
        <v>17</v>
      </c>
      <c r="R832" s="20">
        <v>0.47729999999999995</v>
      </c>
      <c r="S832" s="32">
        <v>8.1140999999999988</v>
      </c>
      <c r="T832" s="35">
        <v>0.31</v>
      </c>
      <c r="U832" s="35">
        <v>0.01</v>
      </c>
      <c r="V832" s="35">
        <v>1.8235294117647058E-2</v>
      </c>
      <c r="W832" s="9" t="s">
        <v>152</v>
      </c>
      <c r="X832" s="15">
        <v>831</v>
      </c>
      <c r="Y832" s="39">
        <v>0.48367758909726349</v>
      </c>
      <c r="Z832" s="39">
        <v>0.47868596109496836</v>
      </c>
      <c r="AA832" s="39">
        <v>0.47993650005607302</v>
      </c>
      <c r="AB832" s="39">
        <v>0.49072328431579276</v>
      </c>
      <c r="AC832" s="39">
        <v>0.4759306632915124</v>
      </c>
      <c r="AD832" s="39">
        <v>0.47141765681909314</v>
      </c>
      <c r="AE832" s="39">
        <v>0.47110714529786368</v>
      </c>
      <c r="AF832" s="40">
        <v>0.48480059789357383</v>
      </c>
    </row>
    <row r="833" spans="1:32">
      <c r="A833" s="15">
        <v>831</v>
      </c>
      <c r="B833" s="16">
        <v>1</v>
      </c>
      <c r="C833" s="20">
        <v>0.05</v>
      </c>
      <c r="D833" s="20">
        <v>0.96570819222465887</v>
      </c>
      <c r="E833" s="20">
        <v>0.56999999999999995</v>
      </c>
      <c r="F833" s="8" t="s">
        <v>436</v>
      </c>
      <c r="G833" s="24">
        <v>1.008535929600693</v>
      </c>
      <c r="H833" s="24">
        <v>1.0143750951971271</v>
      </c>
      <c r="I833" s="25">
        <v>1.0321151311533538</v>
      </c>
      <c r="L833" s="15">
        <v>831</v>
      </c>
      <c r="M833" s="16">
        <v>0</v>
      </c>
      <c r="N833" s="16">
        <v>3</v>
      </c>
      <c r="O833" s="16">
        <v>2</v>
      </c>
      <c r="P833" s="16">
        <v>26</v>
      </c>
      <c r="Q833" s="29">
        <v>25</v>
      </c>
      <c r="R833" s="20">
        <v>0.47729999999999995</v>
      </c>
      <c r="S833" s="32">
        <v>11.932499999999999</v>
      </c>
      <c r="T833" s="35">
        <v>0.57000000000000006</v>
      </c>
      <c r="U833" s="35">
        <v>0.2</v>
      </c>
      <c r="V833" s="35">
        <v>2.2800000000000001E-2</v>
      </c>
      <c r="W833" s="9" t="s">
        <v>152</v>
      </c>
      <c r="X833" s="15">
        <v>832</v>
      </c>
      <c r="Y833" s="39">
        <v>0.49251239030565841</v>
      </c>
      <c r="Z833" s="39">
        <v>0.48676398288390421</v>
      </c>
      <c r="AA833" s="39">
        <v>0.47525185194287611</v>
      </c>
      <c r="AB833" s="39">
        <v>0.49745862369579913</v>
      </c>
      <c r="AC833" s="39">
        <v>0.48676054172548178</v>
      </c>
      <c r="AD833" s="39">
        <v>0.47902361471990174</v>
      </c>
      <c r="AE833" s="39">
        <v>0.46631971676632994</v>
      </c>
      <c r="AF833" s="40">
        <v>0.49024016312737201</v>
      </c>
    </row>
    <row r="834" spans="1:32">
      <c r="A834" s="15">
        <v>832</v>
      </c>
      <c r="B834" s="16">
        <v>1</v>
      </c>
      <c r="C834" s="20">
        <v>0.33</v>
      </c>
      <c r="D834" s="20">
        <v>0.6930400254041349</v>
      </c>
      <c r="E834" s="20">
        <v>0.41</v>
      </c>
      <c r="F834" s="8" t="s">
        <v>436</v>
      </c>
      <c r="G834" s="24">
        <v>0.77780441109920961</v>
      </c>
      <c r="H834" s="24">
        <v>0.78230770009937778</v>
      </c>
      <c r="I834" s="25">
        <v>0.79598919404999469</v>
      </c>
      <c r="L834" s="15">
        <v>832</v>
      </c>
      <c r="M834" s="16">
        <v>0</v>
      </c>
      <c r="N834" s="16">
        <v>3</v>
      </c>
      <c r="O834" s="16">
        <v>2</v>
      </c>
      <c r="P834" s="16">
        <v>27</v>
      </c>
      <c r="Q834" s="29">
        <v>21</v>
      </c>
      <c r="R834" s="20">
        <v>0.47729999999999995</v>
      </c>
      <c r="S834" s="32">
        <v>10.023299999999999</v>
      </c>
      <c r="T834" s="35">
        <v>0.4</v>
      </c>
      <c r="U834" s="35">
        <v>0.1</v>
      </c>
      <c r="V834" s="35">
        <v>1.9047619047619049E-2</v>
      </c>
      <c r="W834" s="9" t="s">
        <v>152</v>
      </c>
      <c r="X834" s="15">
        <v>833</v>
      </c>
      <c r="Y834" s="39">
        <v>0.48223955198130647</v>
      </c>
      <c r="Z834" s="39">
        <v>0.48392732624974161</v>
      </c>
      <c r="AA834" s="39">
        <v>0.470615073026939</v>
      </c>
      <c r="AB834" s="39">
        <v>0.49008496668259782</v>
      </c>
      <c r="AC834" s="39">
        <v>0.47717633756652361</v>
      </c>
      <c r="AD834" s="39">
        <v>0.4768434945543274</v>
      </c>
      <c r="AE834" s="39">
        <v>0.46434258140963741</v>
      </c>
      <c r="AF834" s="40">
        <v>0.48615267409647911</v>
      </c>
    </row>
    <row r="835" spans="1:32">
      <c r="A835" s="15">
        <v>833</v>
      </c>
      <c r="B835" s="16">
        <v>0</v>
      </c>
      <c r="C835" s="20">
        <v>0.95</v>
      </c>
      <c r="D835" s="20">
        <v>0.15570568692893463</v>
      </c>
      <c r="E835" s="20">
        <v>0.05</v>
      </c>
      <c r="F835" s="8" t="s">
        <v>434</v>
      </c>
      <c r="G835" s="24">
        <v>1.2033730345024365</v>
      </c>
      <c r="H835" s="24">
        <v>1.2103402572026978</v>
      </c>
      <c r="I835" s="25">
        <v>1.2315074563814907</v>
      </c>
      <c r="L835" s="15">
        <v>833</v>
      </c>
      <c r="M835" s="16">
        <v>0</v>
      </c>
      <c r="N835" s="16">
        <v>3</v>
      </c>
      <c r="O835" s="16">
        <v>2</v>
      </c>
      <c r="P835" s="16">
        <v>28</v>
      </c>
      <c r="Q835" s="29">
        <v>21</v>
      </c>
      <c r="R835" s="20">
        <v>0.47729999999999995</v>
      </c>
      <c r="S835" s="32">
        <v>10.023299999999999</v>
      </c>
      <c r="T835" s="35">
        <v>0.76</v>
      </c>
      <c r="U835" s="35">
        <v>0.38</v>
      </c>
      <c r="V835" s="35">
        <v>3.619047619047619E-2</v>
      </c>
      <c r="W835" s="9" t="s">
        <v>152</v>
      </c>
      <c r="X835" s="15">
        <v>834</v>
      </c>
      <c r="Y835" s="39">
        <v>0.48639972711612844</v>
      </c>
      <c r="Z835" s="39">
        <v>0.47535178328509764</v>
      </c>
      <c r="AA835" s="39">
        <v>0.49819998901594137</v>
      </c>
      <c r="AB835" s="39">
        <v>0.4958297179583504</v>
      </c>
      <c r="AC835" s="39">
        <v>0.47906291783581645</v>
      </c>
      <c r="AD835" s="39">
        <v>0.46933643522725021</v>
      </c>
      <c r="AE835" s="39">
        <v>0.48997986974275887</v>
      </c>
      <c r="AF835" s="40">
        <v>0.49292225344947088</v>
      </c>
    </row>
    <row r="836" spans="1:32">
      <c r="A836" s="15">
        <v>834</v>
      </c>
      <c r="B836" s="16">
        <v>1</v>
      </c>
      <c r="C836" s="20">
        <v>0.51</v>
      </c>
      <c r="D836" s="20">
        <v>0.69184669560017809</v>
      </c>
      <c r="E836" s="20">
        <v>0.02</v>
      </c>
      <c r="F836" s="8" t="s">
        <v>438</v>
      </c>
      <c r="G836" s="24">
        <v>1.4474890628365999</v>
      </c>
      <c r="H836" s="24">
        <v>1.4558696550285672</v>
      </c>
      <c r="I836" s="25">
        <v>1.4813308282672173</v>
      </c>
      <c r="L836" s="15">
        <v>834</v>
      </c>
      <c r="M836" s="16">
        <v>0</v>
      </c>
      <c r="N836" s="16">
        <v>3</v>
      </c>
      <c r="O836" s="16">
        <v>2</v>
      </c>
      <c r="P836" s="16">
        <v>29</v>
      </c>
      <c r="Q836" s="29">
        <v>20</v>
      </c>
      <c r="R836" s="20">
        <v>0.47729999999999995</v>
      </c>
      <c r="S836" s="32">
        <v>9.5459999999999994</v>
      </c>
      <c r="T836" s="35">
        <v>0.37</v>
      </c>
      <c r="U836" s="35">
        <v>0.02</v>
      </c>
      <c r="V836" s="35">
        <v>1.8499999999999999E-2</v>
      </c>
      <c r="W836" s="9" t="s">
        <v>152</v>
      </c>
      <c r="X836" s="15">
        <v>835</v>
      </c>
      <c r="Y836" s="39">
        <v>0.47849511968719088</v>
      </c>
      <c r="Z836" s="39">
        <v>0.50438238404546376</v>
      </c>
      <c r="AA836" s="39">
        <v>0.48992180892074</v>
      </c>
      <c r="AB836" s="39">
        <v>0.48552177824044368</v>
      </c>
      <c r="AC836" s="39">
        <v>0.47237857824505225</v>
      </c>
      <c r="AD836" s="39">
        <v>0.49631100726726068</v>
      </c>
      <c r="AE836" s="39">
        <v>0.48510798106964181</v>
      </c>
      <c r="AF836" s="40">
        <v>0.48011336197951393</v>
      </c>
    </row>
    <row r="837" spans="1:32">
      <c r="A837" s="15">
        <v>835</v>
      </c>
      <c r="B837" s="16">
        <v>0</v>
      </c>
      <c r="C837" s="20">
        <v>0.89</v>
      </c>
      <c r="D837" s="20">
        <v>0.24559627500636821</v>
      </c>
      <c r="E837" s="20">
        <v>0.11</v>
      </c>
      <c r="F837" s="8" t="s">
        <v>434</v>
      </c>
      <c r="G837" s="24">
        <v>0.46674835185130659</v>
      </c>
      <c r="H837" s="24">
        <v>0.4694507056676962</v>
      </c>
      <c r="I837" s="25">
        <v>0.47766075778515527</v>
      </c>
      <c r="L837" s="15">
        <v>835</v>
      </c>
      <c r="M837" s="16">
        <v>0</v>
      </c>
      <c r="N837" s="16">
        <v>3</v>
      </c>
      <c r="O837" s="16">
        <v>2</v>
      </c>
      <c r="P837" s="16">
        <v>30</v>
      </c>
      <c r="Q837" s="29">
        <v>21</v>
      </c>
      <c r="R837" s="20">
        <v>0.47729999999999995</v>
      </c>
      <c r="S837" s="32">
        <v>10.023299999999999</v>
      </c>
      <c r="T837" s="35">
        <v>1.19</v>
      </c>
      <c r="U837" s="35">
        <v>0.82</v>
      </c>
      <c r="V837" s="35">
        <v>5.6666666666666664E-2</v>
      </c>
      <c r="W837" s="9" t="s">
        <v>153</v>
      </c>
      <c r="X837" s="15">
        <v>836</v>
      </c>
      <c r="Y837" s="39">
        <v>0.49026472101896079</v>
      </c>
      <c r="Z837" s="39">
        <v>0.48092793270106948</v>
      </c>
      <c r="AA837" s="39">
        <v>0.49487468646108845</v>
      </c>
      <c r="AB837" s="39">
        <v>0.47876739882060743</v>
      </c>
      <c r="AC837" s="39">
        <v>0.4831742037510437</v>
      </c>
      <c r="AD837" s="39">
        <v>0.47255492749346323</v>
      </c>
      <c r="AE837" s="39">
        <v>0.4869877587785284</v>
      </c>
      <c r="AF837" s="40">
        <v>0.47575554250005819</v>
      </c>
    </row>
    <row r="838" spans="1:32">
      <c r="A838" s="15">
        <v>836</v>
      </c>
      <c r="B838" s="16">
        <v>1</v>
      </c>
      <c r="C838" s="20">
        <v>0.02</v>
      </c>
      <c r="D838" s="20">
        <v>0.99835916395484214</v>
      </c>
      <c r="E838" s="20">
        <v>1</v>
      </c>
      <c r="F838" s="8" t="s">
        <v>436</v>
      </c>
      <c r="G838" s="24">
        <v>1.0314521106465098</v>
      </c>
      <c r="H838" s="24">
        <v>1.0374239550816813</v>
      </c>
      <c r="I838" s="25">
        <v>1.0555670841393041</v>
      </c>
      <c r="L838" s="15">
        <v>836</v>
      </c>
      <c r="M838" s="16">
        <v>0</v>
      </c>
      <c r="N838" s="16">
        <v>3</v>
      </c>
      <c r="O838" s="16">
        <v>2</v>
      </c>
      <c r="P838" s="16">
        <v>31</v>
      </c>
      <c r="Q838" s="29">
        <v>15</v>
      </c>
      <c r="R838" s="20">
        <v>0.47729999999999995</v>
      </c>
      <c r="S838" s="32">
        <v>7.1594999999999995</v>
      </c>
      <c r="T838" s="35">
        <v>0.45</v>
      </c>
      <c r="U838" s="35">
        <v>0.21</v>
      </c>
      <c r="V838" s="35">
        <v>3.0000000000000002E-2</v>
      </c>
      <c r="W838" s="9" t="s">
        <v>152</v>
      </c>
      <c r="X838" s="15">
        <v>837</v>
      </c>
      <c r="Y838" s="39">
        <v>0.4925514058271801</v>
      </c>
      <c r="Z838" s="39">
        <v>0.47983625200714758</v>
      </c>
      <c r="AA838" s="39">
        <v>0.47880187271941399</v>
      </c>
      <c r="AB838" s="39">
        <v>0.49455816926281948</v>
      </c>
      <c r="AC838" s="39">
        <v>0.48200162624303095</v>
      </c>
      <c r="AD838" s="39">
        <v>0.47079196571238019</v>
      </c>
      <c r="AE838" s="39">
        <v>0.47219628047814072</v>
      </c>
      <c r="AF838" s="40">
        <v>0.48840944249608081</v>
      </c>
    </row>
    <row r="839" spans="1:32">
      <c r="A839" s="15">
        <v>837</v>
      </c>
      <c r="B839" s="16">
        <v>0</v>
      </c>
      <c r="C839" s="20">
        <v>0.02</v>
      </c>
      <c r="D839" s="20">
        <v>0.99679477127711513</v>
      </c>
      <c r="E839" s="20">
        <v>1</v>
      </c>
      <c r="F839" s="8" t="s">
        <v>436</v>
      </c>
      <c r="G839" s="24">
        <v>1.1695112009849218</v>
      </c>
      <c r="H839" s="24">
        <v>1.1762823723125901</v>
      </c>
      <c r="I839" s="25">
        <v>1.196853945568187</v>
      </c>
      <c r="L839" s="15">
        <v>837</v>
      </c>
      <c r="M839" s="16">
        <v>0</v>
      </c>
      <c r="N839" s="16">
        <v>3</v>
      </c>
      <c r="O839" s="16">
        <v>2</v>
      </c>
      <c r="P839" s="16">
        <v>32</v>
      </c>
      <c r="Q839" s="29">
        <v>15</v>
      </c>
      <c r="R839" s="20">
        <v>0.47729999999999995</v>
      </c>
      <c r="S839" s="32">
        <v>7.1594999999999995</v>
      </c>
      <c r="T839" s="35">
        <v>1.18</v>
      </c>
      <c r="U839" s="35">
        <v>0.93</v>
      </c>
      <c r="V839" s="35">
        <v>7.8666666666666663E-2</v>
      </c>
      <c r="W839" s="9" t="s">
        <v>153</v>
      </c>
      <c r="X839" s="15">
        <v>838</v>
      </c>
      <c r="Y839" s="39">
        <v>0.48324275954371709</v>
      </c>
      <c r="Z839" s="39">
        <v>0.48684002355082201</v>
      </c>
      <c r="AA839" s="39">
        <v>0.4977223006051526</v>
      </c>
      <c r="AB839" s="39">
        <v>0.4928228958982141</v>
      </c>
      <c r="AC839" s="39">
        <v>0.47716595038259518</v>
      </c>
      <c r="AD839" s="39">
        <v>0.48101485619408324</v>
      </c>
      <c r="AE839" s="39">
        <v>0.48894114569719166</v>
      </c>
      <c r="AF839" s="40">
        <v>0.48854564240339693</v>
      </c>
    </row>
    <row r="840" spans="1:32">
      <c r="A840" s="15">
        <v>838</v>
      </c>
      <c r="B840" s="16">
        <v>1</v>
      </c>
      <c r="C840" s="20">
        <v>0.02</v>
      </c>
      <c r="D840" s="20">
        <v>0.99756714174924133</v>
      </c>
      <c r="E840" s="20">
        <v>1</v>
      </c>
      <c r="F840" s="8" t="s">
        <v>436</v>
      </c>
      <c r="G840" s="24">
        <v>1.0334781988100066</v>
      </c>
      <c r="H840" s="24">
        <v>1.0394617737784715</v>
      </c>
      <c r="I840" s="25">
        <v>1.0576405415038064</v>
      </c>
      <c r="L840" s="15">
        <v>838</v>
      </c>
      <c r="M840" s="16">
        <v>0</v>
      </c>
      <c r="N840" s="16">
        <v>3</v>
      </c>
      <c r="O840" s="16">
        <v>2</v>
      </c>
      <c r="P840" s="16">
        <v>33</v>
      </c>
      <c r="Q840" s="29">
        <v>11</v>
      </c>
      <c r="R840" s="20">
        <v>0.47729999999999995</v>
      </c>
      <c r="S840" s="32">
        <v>5.2502999999999993</v>
      </c>
      <c r="T840" s="35">
        <v>0.15</v>
      </c>
      <c r="U840" s="35">
        <v>0</v>
      </c>
      <c r="V840" s="35">
        <v>1.3636363636363636E-2</v>
      </c>
      <c r="W840" s="9" t="s">
        <v>152</v>
      </c>
      <c r="X840" s="15">
        <v>839</v>
      </c>
      <c r="Y840" s="39">
        <v>0.48824168397179035</v>
      </c>
      <c r="Z840" s="39">
        <v>0.48604671856715881</v>
      </c>
      <c r="AA840" s="39">
        <v>0.48551881966255828</v>
      </c>
      <c r="AB840" s="39">
        <v>0.48308246710027197</v>
      </c>
      <c r="AC840" s="39">
        <v>0.47896360069070748</v>
      </c>
      <c r="AD840" s="39">
        <v>0.48098401778350047</v>
      </c>
      <c r="AE840" s="39">
        <v>0.47891935649698969</v>
      </c>
      <c r="AF840" s="40">
        <v>0.47642390378396432</v>
      </c>
    </row>
    <row r="841" spans="1:32">
      <c r="A841" s="15">
        <v>839</v>
      </c>
      <c r="B841" s="16">
        <v>1</v>
      </c>
      <c r="C841" s="20">
        <v>0.95</v>
      </c>
      <c r="D841" s="20">
        <v>0.15570568692893463</v>
      </c>
      <c r="E841" s="20">
        <v>0.05</v>
      </c>
      <c r="F841" s="8" t="s">
        <v>434</v>
      </c>
      <c r="G841" s="24">
        <v>0.33874870795586109</v>
      </c>
      <c r="H841" s="24">
        <v>0.34070997650691365</v>
      </c>
      <c r="I841" s="25">
        <v>0.34666852898172884</v>
      </c>
      <c r="L841" s="15">
        <v>839</v>
      </c>
      <c r="M841" s="16">
        <v>0</v>
      </c>
      <c r="N841" s="16">
        <v>3</v>
      </c>
      <c r="O841" s="16">
        <v>3</v>
      </c>
      <c r="P841" s="16">
        <v>34</v>
      </c>
      <c r="Q841" s="29">
        <v>26</v>
      </c>
      <c r="R841" s="20">
        <v>0.47729999999999995</v>
      </c>
      <c r="S841" s="32">
        <v>12.409799999999999</v>
      </c>
      <c r="T841" s="35">
        <v>1.51</v>
      </c>
      <c r="U841" s="35">
        <v>1.22</v>
      </c>
      <c r="V841" s="35">
        <v>5.8076923076923075E-2</v>
      </c>
      <c r="W841" s="9" t="s">
        <v>153</v>
      </c>
      <c r="X841" s="15">
        <v>840</v>
      </c>
      <c r="Y841" s="39">
        <v>0.48142578781974493</v>
      </c>
      <c r="Z841" s="39">
        <v>0.48577024272787039</v>
      </c>
      <c r="AA841" s="39">
        <v>0.49465380723419539</v>
      </c>
      <c r="AB841" s="39">
        <v>0.49885357048070761</v>
      </c>
      <c r="AC841" s="39">
        <v>0.47392439558115834</v>
      </c>
      <c r="AD841" s="39">
        <v>0.47688152951961593</v>
      </c>
      <c r="AE841" s="39">
        <v>0.48601426570875306</v>
      </c>
      <c r="AF841" s="40">
        <v>0.49394769210985717</v>
      </c>
    </row>
    <row r="842" spans="1:32">
      <c r="A842" s="15">
        <v>840</v>
      </c>
      <c r="B842" s="16">
        <v>1</v>
      </c>
      <c r="C842" s="20">
        <v>0.38</v>
      </c>
      <c r="D842" s="20">
        <v>0.59349854446222883</v>
      </c>
      <c r="E842" s="20">
        <v>7.0000000000000007E-2</v>
      </c>
      <c r="F842" s="8" t="s">
        <v>436</v>
      </c>
      <c r="G842" s="24">
        <v>1.9746960306128312</v>
      </c>
      <c r="H842" s="24">
        <v>1.9861290165749026</v>
      </c>
      <c r="I842" s="25">
        <v>1.6578926537592125</v>
      </c>
      <c r="L842" s="15">
        <v>840</v>
      </c>
      <c r="M842" s="16">
        <v>0</v>
      </c>
      <c r="N842" s="16">
        <v>3</v>
      </c>
      <c r="O842" s="16">
        <v>3</v>
      </c>
      <c r="P842" s="16">
        <v>35</v>
      </c>
      <c r="Q842" s="29">
        <v>17</v>
      </c>
      <c r="R842" s="20">
        <v>0.47729999999999995</v>
      </c>
      <c r="S842" s="32">
        <v>8.1140999999999988</v>
      </c>
      <c r="T842" s="35">
        <v>0.87</v>
      </c>
      <c r="U842" s="35">
        <v>0.64</v>
      </c>
      <c r="V842" s="35">
        <v>5.1176470588235295E-2</v>
      </c>
      <c r="W842" s="9" t="s">
        <v>152</v>
      </c>
      <c r="X842" s="15">
        <v>841</v>
      </c>
      <c r="Y842" s="39">
        <v>0.49682223361051325</v>
      </c>
      <c r="Z842" s="39">
        <v>0.48769170974131237</v>
      </c>
      <c r="AA842" s="39">
        <v>0.49295321375151324</v>
      </c>
      <c r="AB842" s="39">
        <v>0.4970075389621183</v>
      </c>
      <c r="AC842" s="39">
        <v>0.48966788375739179</v>
      </c>
      <c r="AD842" s="39">
        <v>0.47895613298119394</v>
      </c>
      <c r="AE842" s="39">
        <v>0.48567066418113247</v>
      </c>
      <c r="AF842" s="40">
        <v>0.49380459490435391</v>
      </c>
    </row>
    <row r="843" spans="1:32">
      <c r="A843" s="15">
        <v>841</v>
      </c>
      <c r="B843" s="16">
        <v>1</v>
      </c>
      <c r="C843" s="20">
        <v>0.38</v>
      </c>
      <c r="D843" s="20">
        <v>0.59935384107111189</v>
      </c>
      <c r="E843" s="20">
        <v>0.08</v>
      </c>
      <c r="F843" s="8" t="s">
        <v>436</v>
      </c>
      <c r="G843" s="24">
        <v>1.1350533765607562</v>
      </c>
      <c r="H843" s="24">
        <v>1.1416250458806128</v>
      </c>
      <c r="I843" s="25">
        <v>1.1615905097985881</v>
      </c>
      <c r="L843" s="15">
        <v>841</v>
      </c>
      <c r="M843" s="16">
        <v>0</v>
      </c>
      <c r="N843" s="16">
        <v>3</v>
      </c>
      <c r="O843" s="16">
        <v>3</v>
      </c>
      <c r="P843" s="16">
        <v>36</v>
      </c>
      <c r="Q843" s="29">
        <v>13</v>
      </c>
      <c r="R843" s="20">
        <v>0.47729999999999995</v>
      </c>
      <c r="S843" s="32">
        <v>6.2048999999999994</v>
      </c>
      <c r="T843" s="35">
        <v>1.1200000000000001</v>
      </c>
      <c r="U843" s="35">
        <v>0.96</v>
      </c>
      <c r="V843" s="35">
        <v>8.6153846153846164E-2</v>
      </c>
      <c r="W843" s="9" t="s">
        <v>153</v>
      </c>
      <c r="X843" s="15">
        <v>842</v>
      </c>
      <c r="Y843" s="39">
        <v>0.49167973827154765</v>
      </c>
      <c r="Z843" s="39">
        <v>0.47937272640386569</v>
      </c>
      <c r="AA843" s="39">
        <v>0.49649429224322611</v>
      </c>
      <c r="AB843" s="39">
        <v>0.48613053791566746</v>
      </c>
      <c r="AC843" s="39">
        <v>0.48352648310924323</v>
      </c>
      <c r="AD843" s="39">
        <v>0.4714207713986785</v>
      </c>
      <c r="AE843" s="39">
        <v>0.48536056503351566</v>
      </c>
      <c r="AF843" s="40">
        <v>0.48007160314505881</v>
      </c>
    </row>
    <row r="844" spans="1:32">
      <c r="A844" s="15">
        <v>842</v>
      </c>
      <c r="B844" s="16">
        <v>1</v>
      </c>
      <c r="C844" s="20">
        <v>0.02</v>
      </c>
      <c r="D844" s="20">
        <v>0.99604261948721451</v>
      </c>
      <c r="E844" s="20">
        <v>1</v>
      </c>
      <c r="F844" s="8" t="s">
        <v>436</v>
      </c>
      <c r="G844" s="24">
        <v>1.0524598642101186</v>
      </c>
      <c r="H844" s="24">
        <v>1.0585533381760452</v>
      </c>
      <c r="I844" s="25">
        <v>1.0770659913057807</v>
      </c>
      <c r="L844" s="15">
        <v>842</v>
      </c>
      <c r="M844" s="16">
        <v>0</v>
      </c>
      <c r="N844" s="16">
        <v>3</v>
      </c>
      <c r="O844" s="16">
        <v>3</v>
      </c>
      <c r="P844" s="16">
        <v>37</v>
      </c>
      <c r="Q844" s="29">
        <v>22</v>
      </c>
      <c r="R844" s="20">
        <v>0.47729999999999995</v>
      </c>
      <c r="S844" s="32">
        <v>10.500599999999999</v>
      </c>
      <c r="T844" s="35">
        <v>0.32</v>
      </c>
      <c r="U844" s="35">
        <v>0.02</v>
      </c>
      <c r="V844" s="35">
        <v>1.4545454545454545E-2</v>
      </c>
      <c r="W844" s="9" t="s">
        <v>152</v>
      </c>
      <c r="X844" s="15">
        <v>843</v>
      </c>
      <c r="Y844" s="39">
        <v>0.46822272421817152</v>
      </c>
      <c r="Z844" s="39">
        <v>0.48593834990754325</v>
      </c>
      <c r="AA844" s="39">
        <v>0.47563455732485477</v>
      </c>
      <c r="AB844" s="39">
        <v>0.49480571147000285</v>
      </c>
      <c r="AC844" s="39">
        <v>0.46253096373117725</v>
      </c>
      <c r="AD844" s="39">
        <v>0.47955171863898927</v>
      </c>
      <c r="AE844" s="39">
        <v>0.46950337556865618</v>
      </c>
      <c r="AF844" s="40">
        <v>0.49084500073224496</v>
      </c>
    </row>
    <row r="845" spans="1:32">
      <c r="A845" s="15">
        <v>843</v>
      </c>
      <c r="B845" s="16">
        <v>0</v>
      </c>
      <c r="C845" s="20">
        <v>0.42</v>
      </c>
      <c r="D845" s="20">
        <v>0.5490461856008727</v>
      </c>
      <c r="E845" s="20">
        <v>0.21</v>
      </c>
      <c r="F845" s="8" t="s">
        <v>436</v>
      </c>
      <c r="G845" s="24">
        <v>1.2844677900860697</v>
      </c>
      <c r="H845" s="24">
        <v>1.2919045307211483</v>
      </c>
      <c r="I845" s="25">
        <v>1.3144981777216709</v>
      </c>
      <c r="L845" s="15">
        <v>843</v>
      </c>
      <c r="M845" s="16">
        <v>0</v>
      </c>
      <c r="N845" s="16">
        <v>3</v>
      </c>
      <c r="O845" s="16">
        <v>3</v>
      </c>
      <c r="P845" s="16">
        <v>38</v>
      </c>
      <c r="Q845" s="29">
        <v>14</v>
      </c>
      <c r="R845" s="20">
        <v>0.47729999999999995</v>
      </c>
      <c r="S845" s="32">
        <v>6.682199999999999</v>
      </c>
      <c r="T845" s="35">
        <v>0.27</v>
      </c>
      <c r="U845" s="35">
        <v>0.02</v>
      </c>
      <c r="V845" s="35">
        <v>1.9285714285714288E-2</v>
      </c>
      <c r="W845" s="9" t="s">
        <v>152</v>
      </c>
      <c r="X845" s="15">
        <v>844</v>
      </c>
      <c r="Y845" s="39">
        <v>0.50046422452103467</v>
      </c>
      <c r="Z845" s="39">
        <v>0.47145000151106847</v>
      </c>
      <c r="AA845" s="39">
        <v>0.49819057830262903</v>
      </c>
      <c r="AB845" s="39">
        <v>0.49318166368550503</v>
      </c>
      <c r="AC845" s="39">
        <v>0.49441004646845643</v>
      </c>
      <c r="AD845" s="39">
        <v>0.46287292426759707</v>
      </c>
      <c r="AE845" s="39">
        <v>0.48810378260723564</v>
      </c>
      <c r="AF845" s="40">
        <v>0.48821253217679955</v>
      </c>
    </row>
    <row r="846" spans="1:32">
      <c r="A846" s="15">
        <v>844</v>
      </c>
      <c r="B846" s="16">
        <v>0</v>
      </c>
      <c r="C846" s="20">
        <v>0.92</v>
      </c>
      <c r="D846" s="20">
        <v>0.20258497911151899</v>
      </c>
      <c r="E846" s="20">
        <v>0.08</v>
      </c>
      <c r="F846" s="8" t="s">
        <v>434</v>
      </c>
      <c r="G846" s="24">
        <v>0.48527273254991654</v>
      </c>
      <c r="H846" s="24">
        <v>0.48808233780207144</v>
      </c>
      <c r="I846" s="25">
        <v>0.49661823173638109</v>
      </c>
      <c r="L846" s="15">
        <v>844</v>
      </c>
      <c r="M846" s="16">
        <v>0</v>
      </c>
      <c r="N846" s="16">
        <v>3</v>
      </c>
      <c r="O846" s="16">
        <v>3</v>
      </c>
      <c r="P846" s="16">
        <v>39</v>
      </c>
      <c r="Q846" s="29">
        <v>13</v>
      </c>
      <c r="R846" s="20">
        <v>0.47729999999999995</v>
      </c>
      <c r="S846" s="32">
        <v>6.2048999999999994</v>
      </c>
      <c r="T846" s="35">
        <v>0.35</v>
      </c>
      <c r="U846" s="35">
        <v>0.09</v>
      </c>
      <c r="V846" s="35">
        <v>2.6923076923076921E-2</v>
      </c>
      <c r="W846" s="9" t="s">
        <v>152</v>
      </c>
      <c r="X846" s="15">
        <v>845</v>
      </c>
      <c r="Y846" s="39">
        <v>0.47908853357677322</v>
      </c>
      <c r="Z846" s="39">
        <v>0.47614211356724706</v>
      </c>
      <c r="AA846" s="39">
        <v>0.49194164191182455</v>
      </c>
      <c r="AB846" s="39">
        <v>0.5069800925237099</v>
      </c>
      <c r="AC846" s="39">
        <v>0.47155519611275981</v>
      </c>
      <c r="AD846" s="39">
        <v>0.46790169119583547</v>
      </c>
      <c r="AE846" s="39">
        <v>0.48423901965689586</v>
      </c>
      <c r="AF846" s="40">
        <v>0.50169005017646917</v>
      </c>
    </row>
    <row r="847" spans="1:32">
      <c r="A847" s="15">
        <v>845</v>
      </c>
      <c r="B847" s="16">
        <v>0</v>
      </c>
      <c r="C847" s="20">
        <v>0.92</v>
      </c>
      <c r="D847" s="20">
        <v>0.20258497911151899</v>
      </c>
      <c r="E847" s="20">
        <v>0.08</v>
      </c>
      <c r="F847" s="8" t="s">
        <v>434</v>
      </c>
      <c r="G847" s="24">
        <v>0.54207189840160008</v>
      </c>
      <c r="H847" s="24">
        <v>0.54521035632564607</v>
      </c>
      <c r="I847" s="25">
        <v>0.55474534133338083</v>
      </c>
      <c r="L847" s="15">
        <v>845</v>
      </c>
      <c r="M847" s="16">
        <v>0</v>
      </c>
      <c r="N847" s="16">
        <v>3</v>
      </c>
      <c r="O847" s="16">
        <v>3</v>
      </c>
      <c r="P847" s="16">
        <v>40</v>
      </c>
      <c r="Q847" s="29">
        <v>17</v>
      </c>
      <c r="R847" s="20">
        <v>0.47729999999999995</v>
      </c>
      <c r="S847" s="32">
        <v>8.1140999999999988</v>
      </c>
      <c r="T847" s="35">
        <v>0.38</v>
      </c>
      <c r="U847" s="35">
        <v>0.19</v>
      </c>
      <c r="V847" s="35">
        <v>2.2352941176470589E-2</v>
      </c>
      <c r="W847" s="9" t="s">
        <v>152</v>
      </c>
      <c r="X847" s="15">
        <v>846</v>
      </c>
      <c r="Y847" s="39">
        <v>0.48794500706761573</v>
      </c>
      <c r="Z847" s="39">
        <v>0.49204626982280897</v>
      </c>
      <c r="AA847" s="39">
        <v>0.4631646559661618</v>
      </c>
      <c r="AB847" s="39">
        <v>0.48411026927371109</v>
      </c>
      <c r="AC847" s="39">
        <v>0.48245169816648992</v>
      </c>
      <c r="AD847" s="39">
        <v>0.48528009098692443</v>
      </c>
      <c r="AE847" s="39">
        <v>0.45809250564374698</v>
      </c>
      <c r="AF847" s="40">
        <v>0.48027009678048876</v>
      </c>
    </row>
    <row r="848" spans="1:32">
      <c r="A848" s="15">
        <v>846</v>
      </c>
      <c r="B848" s="16">
        <v>1</v>
      </c>
      <c r="C848" s="20">
        <v>0.08</v>
      </c>
      <c r="D848" s="20">
        <v>0.93471975131154894</v>
      </c>
      <c r="E848" s="20">
        <v>0.09</v>
      </c>
      <c r="F848" s="8" t="s">
        <v>436</v>
      </c>
      <c r="G848" s="24">
        <v>1.043567395215836</v>
      </c>
      <c r="H848" s="24">
        <v>1.0496093840561516</v>
      </c>
      <c r="I848" s="25">
        <v>1.0679656196353882</v>
      </c>
      <c r="L848" s="15">
        <v>846</v>
      </c>
      <c r="M848" s="16">
        <v>0</v>
      </c>
      <c r="N848" s="16">
        <v>3</v>
      </c>
      <c r="O848" s="16">
        <v>3</v>
      </c>
      <c r="P848" s="16">
        <v>41</v>
      </c>
      <c r="Q848" s="29">
        <v>18</v>
      </c>
      <c r="R848" s="20">
        <v>0.47729999999999995</v>
      </c>
      <c r="S848" s="32">
        <v>8.5913999999999984</v>
      </c>
      <c r="T848" s="35">
        <v>0.25</v>
      </c>
      <c r="U848" s="35">
        <v>0.02</v>
      </c>
      <c r="V848" s="35">
        <v>1.3888888888888888E-2</v>
      </c>
      <c r="W848" s="9" t="s">
        <v>152</v>
      </c>
      <c r="X848" s="15">
        <v>847</v>
      </c>
      <c r="Y848" s="39">
        <v>0.50060846345243615</v>
      </c>
      <c r="Z848" s="39">
        <v>0.47641071585997902</v>
      </c>
      <c r="AA848" s="39">
        <v>0.48360806687998026</v>
      </c>
      <c r="AB848" s="39">
        <v>0.49554978507128128</v>
      </c>
      <c r="AC848" s="39">
        <v>0.49216794108540052</v>
      </c>
      <c r="AD848" s="39">
        <v>0.47121507290847992</v>
      </c>
      <c r="AE848" s="39">
        <v>0.47867492974779369</v>
      </c>
      <c r="AF848" s="40">
        <v>0.49223024455397557</v>
      </c>
    </row>
    <row r="849" spans="1:32">
      <c r="A849" s="15">
        <v>847</v>
      </c>
      <c r="B849" s="16">
        <v>1</v>
      </c>
      <c r="C849" s="20">
        <v>0.87</v>
      </c>
      <c r="D849" s="20">
        <v>0.27276032039195819</v>
      </c>
      <c r="E849" s="20">
        <v>0.13</v>
      </c>
      <c r="F849" s="8" t="s">
        <v>434</v>
      </c>
      <c r="G849" s="24">
        <v>0.87591170870434765</v>
      </c>
      <c r="H849" s="24">
        <v>0.88098301391506562</v>
      </c>
      <c r="I849" s="25">
        <v>0.89639020442839434</v>
      </c>
      <c r="L849" s="15">
        <v>847</v>
      </c>
      <c r="M849" s="16">
        <v>0</v>
      </c>
      <c r="N849" s="16">
        <v>3</v>
      </c>
      <c r="O849" s="16">
        <v>3</v>
      </c>
      <c r="P849" s="16">
        <v>42</v>
      </c>
      <c r="Q849" s="29">
        <v>18</v>
      </c>
      <c r="R849" s="20">
        <v>0.47729999999999995</v>
      </c>
      <c r="S849" s="32">
        <v>8.5913999999999984</v>
      </c>
      <c r="T849" s="35">
        <v>1.3900000000000001</v>
      </c>
      <c r="U849" s="35">
        <v>1.0900000000000001</v>
      </c>
      <c r="V849" s="35">
        <v>7.7222222222222234E-2</v>
      </c>
      <c r="W849" s="9" t="s">
        <v>153</v>
      </c>
      <c r="X849" s="15">
        <v>848</v>
      </c>
      <c r="Y849" s="39">
        <v>0.49358369367996041</v>
      </c>
      <c r="Z849" s="39">
        <v>0.47907917156138363</v>
      </c>
      <c r="AA849" s="39">
        <v>0.48059624509386673</v>
      </c>
      <c r="AB849" s="39">
        <v>0.49429138279786217</v>
      </c>
      <c r="AC849" s="39">
        <v>0.4846908532733723</v>
      </c>
      <c r="AD849" s="39">
        <v>0.47026294268253549</v>
      </c>
      <c r="AE849" s="39">
        <v>0.47445144690770535</v>
      </c>
      <c r="AF849" s="40">
        <v>0.48982430712201858</v>
      </c>
    </row>
    <row r="850" spans="1:32">
      <c r="A850" s="15">
        <v>848</v>
      </c>
      <c r="B850" s="16">
        <v>0</v>
      </c>
      <c r="C850" s="20">
        <v>0.02</v>
      </c>
      <c r="D850" s="20">
        <v>0.99917029198757767</v>
      </c>
      <c r="E850" s="20">
        <v>1</v>
      </c>
      <c r="F850" s="8" t="s">
        <v>436</v>
      </c>
      <c r="G850" s="24">
        <v>1.1241609211215404</v>
      </c>
      <c r="H850" s="24">
        <v>1.1306695259047805</v>
      </c>
      <c r="I850" s="25">
        <v>1.1504433927309003</v>
      </c>
      <c r="L850" s="15">
        <v>848</v>
      </c>
      <c r="M850" s="16">
        <v>0</v>
      </c>
      <c r="N850" s="16">
        <v>3</v>
      </c>
      <c r="O850" s="16">
        <v>3</v>
      </c>
      <c r="P850" s="16">
        <v>43</v>
      </c>
      <c r="Q850" s="29">
        <v>16</v>
      </c>
      <c r="R850" s="20">
        <v>0.47729999999999995</v>
      </c>
      <c r="S850" s="32">
        <v>7.6367999999999991</v>
      </c>
      <c r="T850" s="35">
        <v>0.33</v>
      </c>
      <c r="U850" s="35">
        <v>0.11</v>
      </c>
      <c r="V850" s="35">
        <v>2.0625000000000001E-2</v>
      </c>
      <c r="W850" s="9" t="s">
        <v>152</v>
      </c>
      <c r="X850" s="15">
        <v>849</v>
      </c>
      <c r="Y850" s="39">
        <v>0.48055680753133267</v>
      </c>
      <c r="Z850" s="39">
        <v>0.49032281535007771</v>
      </c>
      <c r="AA850" s="39">
        <v>0.4871967310565945</v>
      </c>
      <c r="AB850" s="39">
        <v>0.48499960393502517</v>
      </c>
      <c r="AC850" s="39">
        <v>0.47600159571919309</v>
      </c>
      <c r="AD850" s="39">
        <v>0.48016613105913913</v>
      </c>
      <c r="AE850" s="39">
        <v>0.47978691565544052</v>
      </c>
      <c r="AF850" s="40">
        <v>0.47973397365157133</v>
      </c>
    </row>
    <row r="851" spans="1:32">
      <c r="A851" s="15">
        <v>849</v>
      </c>
      <c r="B851" s="16">
        <v>0</v>
      </c>
      <c r="C851" s="20">
        <v>0.02</v>
      </c>
      <c r="D851" s="20">
        <v>0.99756714174924133</v>
      </c>
      <c r="E851" s="20">
        <v>1</v>
      </c>
      <c r="F851" s="8" t="s">
        <v>436</v>
      </c>
      <c r="G851" s="24">
        <v>1.0305037553572147</v>
      </c>
      <c r="H851" s="24">
        <v>1.0364701090573356</v>
      </c>
      <c r="I851" s="25">
        <v>1.054596556649839</v>
      </c>
      <c r="L851" s="15">
        <v>849</v>
      </c>
      <c r="M851" s="16">
        <v>0</v>
      </c>
      <c r="N851" s="16">
        <v>3</v>
      </c>
      <c r="O851" s="16">
        <v>3</v>
      </c>
      <c r="P851" s="16">
        <v>44</v>
      </c>
      <c r="Q851" s="29">
        <v>10</v>
      </c>
      <c r="R851" s="20">
        <v>0.47729999999999995</v>
      </c>
      <c r="S851" s="32">
        <v>4.7729999999999997</v>
      </c>
      <c r="T851" s="35">
        <v>0.14000000000000001</v>
      </c>
      <c r="U851" s="35">
        <v>0</v>
      </c>
      <c r="V851" s="35">
        <v>1.4000000000000002E-2</v>
      </c>
      <c r="W851" s="9" t="s">
        <v>152</v>
      </c>
      <c r="X851" s="15">
        <v>850</v>
      </c>
      <c r="Y851" s="39">
        <v>0.49173966966643262</v>
      </c>
      <c r="Z851" s="39">
        <v>0.48852241661423135</v>
      </c>
      <c r="AA851" s="39">
        <v>0.48247456370792519</v>
      </c>
      <c r="AB851" s="39">
        <v>0.49422025863339791</v>
      </c>
      <c r="AC851" s="39">
        <v>0.48207479811914677</v>
      </c>
      <c r="AD851" s="39">
        <v>0.47952547670987167</v>
      </c>
      <c r="AE851" s="39">
        <v>0.47787196014039812</v>
      </c>
      <c r="AF851" s="40">
        <v>0.48838131867422507</v>
      </c>
    </row>
    <row r="852" spans="1:32">
      <c r="A852" s="15">
        <v>850</v>
      </c>
      <c r="B852" s="16">
        <v>1</v>
      </c>
      <c r="C852" s="20">
        <v>0.93</v>
      </c>
      <c r="D852" s="20">
        <v>0.18747949848141848</v>
      </c>
      <c r="E852" s="20">
        <v>7.0000000000000007E-2</v>
      </c>
      <c r="F852" s="8" t="s">
        <v>434</v>
      </c>
      <c r="G852" s="24">
        <v>0.69959419015891566</v>
      </c>
      <c r="H852" s="24">
        <v>0.70364466194355357</v>
      </c>
      <c r="I852" s="25">
        <v>0.7159504467192136</v>
      </c>
      <c r="L852" s="15">
        <v>850</v>
      </c>
      <c r="M852" s="16">
        <v>0</v>
      </c>
      <c r="N852" s="16">
        <v>3</v>
      </c>
      <c r="O852" s="16">
        <v>3</v>
      </c>
      <c r="P852" s="16">
        <v>45</v>
      </c>
      <c r="Q852" s="29">
        <v>12</v>
      </c>
      <c r="R852" s="20">
        <v>0.47729999999999995</v>
      </c>
      <c r="S852" s="32">
        <v>5.7275999999999989</v>
      </c>
      <c r="T852" s="35">
        <v>0.32</v>
      </c>
      <c r="U852" s="35">
        <v>0.08</v>
      </c>
      <c r="V852" s="35">
        <v>2.6666666666666668E-2</v>
      </c>
      <c r="W852" s="9" t="s">
        <v>152</v>
      </c>
      <c r="X852" s="15">
        <v>851</v>
      </c>
      <c r="Y852" s="39">
        <v>0.48909941015343406</v>
      </c>
      <c r="Z852" s="39">
        <v>0.49636997545934786</v>
      </c>
      <c r="AA852" s="39">
        <v>0.47735560495317231</v>
      </c>
      <c r="AB852" s="39">
        <v>0.491057007179864</v>
      </c>
      <c r="AC852" s="39">
        <v>0.48278567037408293</v>
      </c>
      <c r="AD852" s="39">
        <v>0.48978747746959739</v>
      </c>
      <c r="AE852" s="39">
        <v>0.46968186396464628</v>
      </c>
      <c r="AF852" s="40">
        <v>0.48553337519642198</v>
      </c>
    </row>
    <row r="853" spans="1:32">
      <c r="A853" s="15">
        <v>851</v>
      </c>
      <c r="B853" s="16">
        <v>1</v>
      </c>
      <c r="C853" s="20">
        <v>0.96</v>
      </c>
      <c r="D853" s="20">
        <v>0.13880369068795359</v>
      </c>
      <c r="E853" s="20">
        <v>0.04</v>
      </c>
      <c r="F853" s="8" t="s">
        <v>434</v>
      </c>
      <c r="G853" s="24">
        <v>0.53403262294788667</v>
      </c>
      <c r="H853" s="24">
        <v>0.53712453551913775</v>
      </c>
      <c r="I853" s="25">
        <v>0.54651811055681088</v>
      </c>
      <c r="L853" s="15">
        <v>851</v>
      </c>
      <c r="M853" s="16">
        <v>0</v>
      </c>
      <c r="N853" s="16">
        <v>3</v>
      </c>
      <c r="O853" s="16">
        <v>3</v>
      </c>
      <c r="P853" s="16">
        <v>46</v>
      </c>
      <c r="Q853" s="29">
        <v>14</v>
      </c>
      <c r="R853" s="20">
        <v>0.47729999999999995</v>
      </c>
      <c r="S853" s="32">
        <v>6.682199999999999</v>
      </c>
      <c r="T853" s="35">
        <v>0.23</v>
      </c>
      <c r="U853" s="35">
        <v>0.05</v>
      </c>
      <c r="V853" s="35">
        <v>1.6428571428571428E-2</v>
      </c>
      <c r="W853" s="9" t="s">
        <v>152</v>
      </c>
      <c r="X853" s="15">
        <v>852</v>
      </c>
      <c r="Y853" s="39">
        <v>0.47913274304169534</v>
      </c>
      <c r="Z853" s="39">
        <v>0.47843292936247012</v>
      </c>
      <c r="AA853" s="39">
        <v>0.49635417195461329</v>
      </c>
      <c r="AB853" s="39">
        <v>0.48038472394581644</v>
      </c>
      <c r="AC853" s="39">
        <v>0.47093670771262625</v>
      </c>
      <c r="AD853" s="39">
        <v>0.47427915736895454</v>
      </c>
      <c r="AE853" s="39">
        <v>0.48864763533985617</v>
      </c>
      <c r="AF853" s="40">
        <v>0.47457262821818375</v>
      </c>
    </row>
    <row r="854" spans="1:32">
      <c r="A854" s="15">
        <v>852</v>
      </c>
      <c r="B854" s="16">
        <v>0</v>
      </c>
      <c r="C854" s="20">
        <v>0.02</v>
      </c>
      <c r="D854" s="20">
        <v>0.99756714174924133</v>
      </c>
      <c r="E854" s="20">
        <v>1</v>
      </c>
      <c r="F854" s="8" t="s">
        <v>436</v>
      </c>
      <c r="G854" s="24">
        <v>1.1225184624717304</v>
      </c>
      <c r="H854" s="24">
        <v>1.1290175578386372</v>
      </c>
      <c r="I854" s="25">
        <v>1.1487625339979508</v>
      </c>
      <c r="L854" s="15">
        <v>852</v>
      </c>
      <c r="M854" s="16">
        <v>0</v>
      </c>
      <c r="N854" s="16">
        <v>3</v>
      </c>
      <c r="O854" s="16">
        <v>3</v>
      </c>
      <c r="P854" s="16">
        <v>47</v>
      </c>
      <c r="Q854" s="29">
        <v>18</v>
      </c>
      <c r="R854" s="20">
        <v>0.47729999999999995</v>
      </c>
      <c r="S854" s="32">
        <v>8.5913999999999984</v>
      </c>
      <c r="T854" s="35">
        <v>0.25</v>
      </c>
      <c r="U854" s="35">
        <v>0</v>
      </c>
      <c r="V854" s="35">
        <v>1.3888888888888888E-2</v>
      </c>
      <c r="W854" s="9" t="s">
        <v>152</v>
      </c>
      <c r="X854" s="15">
        <v>853</v>
      </c>
      <c r="Y854" s="39">
        <v>0.48187102572866186</v>
      </c>
      <c r="Z854" s="39">
        <v>0.50210752578225348</v>
      </c>
      <c r="AA854" s="39">
        <v>0.47765003232956504</v>
      </c>
      <c r="AB854" s="39">
        <v>0.49141157652024625</v>
      </c>
      <c r="AC854" s="39">
        <v>0.47427499991968797</v>
      </c>
      <c r="AD854" s="39">
        <v>0.49326121037651061</v>
      </c>
      <c r="AE854" s="39">
        <v>0.47176440632222555</v>
      </c>
      <c r="AF854" s="40">
        <v>0.48820513455557735</v>
      </c>
    </row>
    <row r="855" spans="1:32">
      <c r="A855" s="15">
        <v>853</v>
      </c>
      <c r="B855" s="16">
        <v>1</v>
      </c>
      <c r="C855" s="20">
        <v>0.91</v>
      </c>
      <c r="D855" s="20">
        <v>0.21727233298780477</v>
      </c>
      <c r="E855" s="20">
        <v>0.09</v>
      </c>
      <c r="F855" s="8" t="s">
        <v>434</v>
      </c>
      <c r="G855" s="24">
        <v>0.48773191910405334</v>
      </c>
      <c r="H855" s="24">
        <v>0.49055576241863186</v>
      </c>
      <c r="I855" s="25">
        <v>0.49913491317365855</v>
      </c>
      <c r="L855" s="15">
        <v>853</v>
      </c>
      <c r="M855" s="16">
        <v>0</v>
      </c>
      <c r="N855" s="16">
        <v>3</v>
      </c>
      <c r="O855" s="16">
        <v>3</v>
      </c>
      <c r="P855" s="16">
        <v>48</v>
      </c>
      <c r="Q855" s="29">
        <v>8</v>
      </c>
      <c r="R855" s="20">
        <v>0.47729999999999995</v>
      </c>
      <c r="S855" s="32">
        <v>3.8183999999999996</v>
      </c>
      <c r="T855" s="35">
        <v>0.16</v>
      </c>
      <c r="U855" s="35">
        <v>0.03</v>
      </c>
      <c r="V855" s="35">
        <v>0.02</v>
      </c>
      <c r="W855" s="9" t="s">
        <v>152</v>
      </c>
      <c r="X855" s="15">
        <v>854</v>
      </c>
      <c r="Y855" s="39">
        <v>0.49336826361288727</v>
      </c>
      <c r="Z855" s="39">
        <v>0.48229296514547065</v>
      </c>
      <c r="AA855" s="39">
        <v>0.4805941727569964</v>
      </c>
      <c r="AB855" s="39">
        <v>0.49772461253363404</v>
      </c>
      <c r="AC855" s="39">
        <v>0.48528026096262483</v>
      </c>
      <c r="AD855" s="39">
        <v>0.47483819676340538</v>
      </c>
      <c r="AE855" s="39">
        <v>0.47380359108440817</v>
      </c>
      <c r="AF855" s="40">
        <v>0.49200940495057588</v>
      </c>
    </row>
    <row r="856" spans="1:32">
      <c r="A856" s="15">
        <v>854</v>
      </c>
      <c r="B856" s="16">
        <v>0</v>
      </c>
      <c r="C856" s="20">
        <v>7.0000000000000007E-2</v>
      </c>
      <c r="D856" s="20">
        <v>0.95203427345879066</v>
      </c>
      <c r="E856" s="20">
        <v>0.43</v>
      </c>
      <c r="F856" s="8" t="s">
        <v>436</v>
      </c>
      <c r="G856" s="24">
        <v>0.99014045795212591</v>
      </c>
      <c r="H856" s="24">
        <v>0.99587311846328952</v>
      </c>
      <c r="I856" s="25">
        <v>1.0132895800986623</v>
      </c>
      <c r="L856" s="15">
        <v>854</v>
      </c>
      <c r="M856" s="16">
        <v>0</v>
      </c>
      <c r="N856" s="16">
        <v>3</v>
      </c>
      <c r="O856" s="16">
        <v>3</v>
      </c>
      <c r="P856" s="16">
        <v>49</v>
      </c>
      <c r="Q856" s="29">
        <v>16</v>
      </c>
      <c r="R856" s="20">
        <v>0.47729999999999995</v>
      </c>
      <c r="S856" s="32">
        <v>7.6367999999999991</v>
      </c>
      <c r="T856" s="35">
        <v>0.53</v>
      </c>
      <c r="U856" s="35">
        <v>0.2</v>
      </c>
      <c r="V856" s="35">
        <v>3.3125000000000002E-2</v>
      </c>
      <c r="W856" s="9" t="s">
        <v>152</v>
      </c>
      <c r="X856" s="15">
        <v>855</v>
      </c>
      <c r="Y856" s="39">
        <v>0.48719079469351351</v>
      </c>
      <c r="Z856" s="39">
        <v>0.4931447699202785</v>
      </c>
      <c r="AA856" s="39">
        <v>0.492680201522252</v>
      </c>
      <c r="AB856" s="39">
        <v>0.47923156519435994</v>
      </c>
      <c r="AC856" s="39">
        <v>0.47918222899000956</v>
      </c>
      <c r="AD856" s="39">
        <v>0.48510515662903886</v>
      </c>
      <c r="AE856" s="39">
        <v>0.48522618278979451</v>
      </c>
      <c r="AF856" s="40">
        <v>0.47953814243698201</v>
      </c>
    </row>
    <row r="857" spans="1:32">
      <c r="A857" s="15">
        <v>855</v>
      </c>
      <c r="B857" s="16">
        <v>0</v>
      </c>
      <c r="C857" s="20">
        <v>0.92</v>
      </c>
      <c r="D857" s="20">
        <v>0.20258497911151899</v>
      </c>
      <c r="E857" s="20">
        <v>0.08</v>
      </c>
      <c r="F857" s="8" t="s">
        <v>434</v>
      </c>
      <c r="G857" s="24">
        <v>3.9063569330665988</v>
      </c>
      <c r="H857" s="24">
        <v>2.3557193791407478</v>
      </c>
      <c r="I857" s="25">
        <v>1.6578926537592125</v>
      </c>
      <c r="L857" s="15">
        <v>855</v>
      </c>
      <c r="M857" s="16">
        <v>0</v>
      </c>
      <c r="N857" s="16">
        <v>3</v>
      </c>
      <c r="O857" s="16">
        <v>3</v>
      </c>
      <c r="P857" s="16">
        <v>50</v>
      </c>
      <c r="Q857" s="29">
        <v>13</v>
      </c>
      <c r="R857" s="20">
        <v>0.47729999999999995</v>
      </c>
      <c r="S857" s="32">
        <v>6.2048999999999994</v>
      </c>
      <c r="T857" s="35">
        <v>0.69</v>
      </c>
      <c r="U857" s="35">
        <v>0.47</v>
      </c>
      <c r="V857" s="35">
        <v>5.307692307692307E-2</v>
      </c>
      <c r="W857" s="9" t="s">
        <v>152</v>
      </c>
      <c r="X857" s="15">
        <v>856</v>
      </c>
      <c r="Y857" s="39">
        <v>0.48612340102156376</v>
      </c>
      <c r="Z857" s="39">
        <v>0.47339005921759097</v>
      </c>
      <c r="AA857" s="39">
        <v>0.48500048702947079</v>
      </c>
      <c r="AB857" s="39">
        <v>0.48448340152027436</v>
      </c>
      <c r="AC857" s="39">
        <v>0.48049436025354181</v>
      </c>
      <c r="AD857" s="39">
        <v>0.46786137644008402</v>
      </c>
      <c r="AE857" s="39">
        <v>0.47787009703163758</v>
      </c>
      <c r="AF857" s="40">
        <v>0.48023444943626187</v>
      </c>
    </row>
    <row r="858" spans="1:32">
      <c r="A858" s="15">
        <v>856</v>
      </c>
      <c r="B858" s="16">
        <v>0</v>
      </c>
      <c r="C858" s="20">
        <v>0.02</v>
      </c>
      <c r="D858" s="20">
        <v>0.99756714174924133</v>
      </c>
      <c r="E858" s="20">
        <v>1</v>
      </c>
      <c r="F858" s="8" t="s">
        <v>436</v>
      </c>
      <c r="G858" s="24">
        <v>0.96117817881429557</v>
      </c>
      <c r="H858" s="24">
        <v>0.96674315512207842</v>
      </c>
      <c r="I858" s="25">
        <v>0.98365017345632577</v>
      </c>
      <c r="L858" s="15">
        <v>856</v>
      </c>
      <c r="M858" s="16">
        <v>0</v>
      </c>
      <c r="N858" s="16">
        <v>3</v>
      </c>
      <c r="O858" s="16">
        <v>3</v>
      </c>
      <c r="P858" s="16">
        <v>51</v>
      </c>
      <c r="Q858" s="29">
        <v>17</v>
      </c>
      <c r="R858" s="20">
        <v>0.47729999999999995</v>
      </c>
      <c r="S858" s="32">
        <v>8.1140999999999988</v>
      </c>
      <c r="T858" s="35">
        <v>0.15</v>
      </c>
      <c r="U858" s="35">
        <v>0</v>
      </c>
      <c r="V858" s="35">
        <v>8.8235294117647058E-3</v>
      </c>
      <c r="W858" s="9" t="s">
        <v>152</v>
      </c>
      <c r="X858" s="15">
        <v>857</v>
      </c>
      <c r="Y858" s="39">
        <v>0.48228355013475743</v>
      </c>
      <c r="Z858" s="39">
        <v>0.48754202156454268</v>
      </c>
      <c r="AA858" s="39">
        <v>0.49628035539029153</v>
      </c>
      <c r="AB858" s="39">
        <v>0.49830252519464119</v>
      </c>
      <c r="AC858" s="39">
        <v>0.47761815192981927</v>
      </c>
      <c r="AD858" s="39">
        <v>0.48064623400290069</v>
      </c>
      <c r="AE858" s="39">
        <v>0.48634014061219277</v>
      </c>
      <c r="AF858" s="40">
        <v>0.49479457648557362</v>
      </c>
    </row>
    <row r="859" spans="1:32">
      <c r="A859" s="15">
        <v>857</v>
      </c>
      <c r="B859" s="16">
        <v>0</v>
      </c>
      <c r="C859" s="20">
        <v>0.91</v>
      </c>
      <c r="D859" s="20">
        <v>0.21727233298780477</v>
      </c>
      <c r="E859" s="20">
        <v>0.09</v>
      </c>
      <c r="F859" s="8" t="s">
        <v>434</v>
      </c>
      <c r="G859" s="24">
        <v>1.3682544742618432</v>
      </c>
      <c r="H859" s="24">
        <v>1.376176318411154</v>
      </c>
      <c r="I859" s="25">
        <v>1.4002437639609453</v>
      </c>
      <c r="L859" s="15">
        <v>857</v>
      </c>
      <c r="M859" s="16">
        <v>0</v>
      </c>
      <c r="N859" s="16">
        <v>3</v>
      </c>
      <c r="O859" s="16">
        <v>3</v>
      </c>
      <c r="P859" s="16">
        <v>52</v>
      </c>
      <c r="Q859" s="29">
        <v>18</v>
      </c>
      <c r="R859" s="20">
        <v>0.47729999999999995</v>
      </c>
      <c r="S859" s="32">
        <v>8.5913999999999984</v>
      </c>
      <c r="T859" s="35">
        <v>1.34</v>
      </c>
      <c r="U859" s="35">
        <v>1.08</v>
      </c>
      <c r="V859" s="35">
        <v>7.4444444444444452E-2</v>
      </c>
      <c r="W859" s="9" t="s">
        <v>153</v>
      </c>
      <c r="X859" s="15">
        <v>858</v>
      </c>
      <c r="Y859" s="39">
        <v>0.49417292155283649</v>
      </c>
      <c r="Z859" s="39">
        <v>0.48897687200060119</v>
      </c>
      <c r="AA859" s="39">
        <v>0.47033741492165143</v>
      </c>
      <c r="AB859" s="39">
        <v>0.48925632436271516</v>
      </c>
      <c r="AC859" s="39">
        <v>0.48306577237738879</v>
      </c>
      <c r="AD859" s="39">
        <v>0.48429951946034266</v>
      </c>
      <c r="AE859" s="39">
        <v>0.46589050781842184</v>
      </c>
      <c r="AF859" s="40">
        <v>0.48571798900116653</v>
      </c>
    </row>
    <row r="860" spans="1:32">
      <c r="A860" s="15">
        <v>858</v>
      </c>
      <c r="B860" s="16">
        <v>0</v>
      </c>
      <c r="C860" s="20">
        <v>0.02</v>
      </c>
      <c r="D860" s="20">
        <v>0.99679477127711513</v>
      </c>
      <c r="E860" s="20">
        <v>1</v>
      </c>
      <c r="F860" s="8" t="s">
        <v>436</v>
      </c>
      <c r="G860" s="24">
        <v>1.008219314080335</v>
      </c>
      <c r="H860" s="24">
        <v>1.0140566465537246</v>
      </c>
      <c r="I860" s="25">
        <v>1.0317911132778093</v>
      </c>
      <c r="L860" s="15">
        <v>858</v>
      </c>
      <c r="M860" s="16">
        <v>0</v>
      </c>
      <c r="N860" s="16">
        <v>3</v>
      </c>
      <c r="O860" s="16">
        <v>3</v>
      </c>
      <c r="P860" s="16">
        <v>53</v>
      </c>
      <c r="Q860" s="29">
        <v>7</v>
      </c>
      <c r="R860" s="20">
        <v>0.47729999999999995</v>
      </c>
      <c r="S860" s="32">
        <v>3.3410999999999995</v>
      </c>
      <c r="T860" s="35">
        <v>0.15</v>
      </c>
      <c r="U860" s="35">
        <v>0</v>
      </c>
      <c r="V860" s="35">
        <v>2.1428571428571429E-2</v>
      </c>
      <c r="W860" s="9" t="s">
        <v>152</v>
      </c>
      <c r="X860" s="15">
        <v>859</v>
      </c>
      <c r="Y860" s="39">
        <v>0.47643255272767093</v>
      </c>
      <c r="Z860" s="39">
        <v>0.48730082144283943</v>
      </c>
      <c r="AA860" s="39">
        <v>0.48150292677631956</v>
      </c>
      <c r="AB860" s="39">
        <v>0.48403824745261986</v>
      </c>
      <c r="AC860" s="39">
        <v>0.47127895191202945</v>
      </c>
      <c r="AD860" s="39">
        <v>0.48102444577539738</v>
      </c>
      <c r="AE860" s="39">
        <v>0.47506922976554461</v>
      </c>
      <c r="AF860" s="40">
        <v>0.47966919671605718</v>
      </c>
    </row>
    <row r="861" spans="1:32">
      <c r="A861" s="15">
        <v>859</v>
      </c>
      <c r="B861" s="16">
        <v>1</v>
      </c>
      <c r="C861" s="20">
        <v>0.22</v>
      </c>
      <c r="D861" s="20">
        <v>0.88193746091117875</v>
      </c>
      <c r="E861" s="20">
        <v>0.44</v>
      </c>
      <c r="F861" s="8" t="s">
        <v>436</v>
      </c>
      <c r="G861" s="24">
        <v>0.92936097503760762</v>
      </c>
      <c r="H861" s="24">
        <v>0.93474173785709058</v>
      </c>
      <c r="I861" s="25">
        <v>0.95108909508015804</v>
      </c>
      <c r="L861" s="15">
        <v>859</v>
      </c>
      <c r="M861" s="16">
        <v>0</v>
      </c>
      <c r="N861" s="16">
        <v>3</v>
      </c>
      <c r="O861" s="16">
        <v>3</v>
      </c>
      <c r="P861" s="16">
        <v>54</v>
      </c>
      <c r="Q861" s="29">
        <v>8</v>
      </c>
      <c r="R861" s="20">
        <v>0.47729999999999995</v>
      </c>
      <c r="S861" s="32">
        <v>3.8183999999999996</v>
      </c>
      <c r="T861" s="35">
        <v>1.4200000000000002</v>
      </c>
      <c r="U861" s="35">
        <v>1.3</v>
      </c>
      <c r="V861" s="35">
        <v>0.17750000000000002</v>
      </c>
      <c r="W861" s="9" t="s">
        <v>153</v>
      </c>
      <c r="X861" s="15">
        <v>860</v>
      </c>
      <c r="Y861" s="39">
        <v>0.4864755557464</v>
      </c>
      <c r="Z861" s="39">
        <v>0.48675139714498933</v>
      </c>
      <c r="AA861" s="39">
        <v>0.48481355753248545</v>
      </c>
      <c r="AB861" s="39">
        <v>0.50139286680713646</v>
      </c>
      <c r="AC861" s="39">
        <v>0.48003491969420159</v>
      </c>
      <c r="AD861" s="39">
        <v>0.47897184909528873</v>
      </c>
      <c r="AE861" s="39">
        <v>0.4770594097388472</v>
      </c>
      <c r="AF861" s="40">
        <v>0.49685321486703976</v>
      </c>
    </row>
    <row r="862" spans="1:32">
      <c r="A862" s="15">
        <v>860</v>
      </c>
      <c r="B862" s="16">
        <v>0</v>
      </c>
      <c r="C862" s="20">
        <v>0.11</v>
      </c>
      <c r="D862" s="20">
        <v>0.92757916281758557</v>
      </c>
      <c r="E862" s="20">
        <v>7.0000000000000007E-2</v>
      </c>
      <c r="F862" s="8" t="s">
        <v>436</v>
      </c>
      <c r="G862" s="24">
        <v>0.67134224201372461</v>
      </c>
      <c r="H862" s="24">
        <v>0.6752291422301121</v>
      </c>
      <c r="I862" s="25">
        <v>0.68703797834859592</v>
      </c>
      <c r="L862" s="15">
        <v>860</v>
      </c>
      <c r="M862" s="16">
        <v>0</v>
      </c>
      <c r="N862" s="16">
        <v>3</v>
      </c>
      <c r="O862" s="16">
        <v>3</v>
      </c>
      <c r="P862" s="16">
        <v>55</v>
      </c>
      <c r="Q862" s="29">
        <v>23</v>
      </c>
      <c r="R862" s="20">
        <v>0.47729999999999995</v>
      </c>
      <c r="S862" s="32">
        <v>10.977899999999998</v>
      </c>
      <c r="T862" s="35">
        <v>0.7</v>
      </c>
      <c r="U862" s="35">
        <v>0.31</v>
      </c>
      <c r="V862" s="35">
        <v>3.043478260869565E-2</v>
      </c>
      <c r="W862" s="9" t="s">
        <v>152</v>
      </c>
      <c r="X862" s="15">
        <v>861</v>
      </c>
      <c r="Y862" s="39">
        <v>0.50045612400265005</v>
      </c>
      <c r="Z862" s="39">
        <v>0.4818802971038823</v>
      </c>
      <c r="AA862" s="39">
        <v>0.49014188882571719</v>
      </c>
      <c r="AB862" s="39">
        <v>0.49942810353114564</v>
      </c>
      <c r="AC862" s="39">
        <v>0.49389908336531213</v>
      </c>
      <c r="AD862" s="39">
        <v>0.47559215030422208</v>
      </c>
      <c r="AE862" s="39">
        <v>0.48427754060514544</v>
      </c>
      <c r="AF862" s="40">
        <v>0.49726539416775345</v>
      </c>
    </row>
    <row r="863" spans="1:32">
      <c r="A863" s="15">
        <v>861</v>
      </c>
      <c r="B863" s="16">
        <v>0</v>
      </c>
      <c r="C863" s="20">
        <v>0.93</v>
      </c>
      <c r="D863" s="20">
        <v>0.18747949848141848</v>
      </c>
      <c r="E863" s="20">
        <v>7.0000000000000007E-2</v>
      </c>
      <c r="F863" s="8" t="s">
        <v>434</v>
      </c>
      <c r="G863" s="24">
        <v>0.95625046685601456</v>
      </c>
      <c r="H863" s="24">
        <v>0.96178691296939245</v>
      </c>
      <c r="I863" s="25">
        <v>0.97860725339286225</v>
      </c>
      <c r="L863" s="15">
        <v>861</v>
      </c>
      <c r="M863" s="16">
        <v>0</v>
      </c>
      <c r="N863" s="16">
        <v>3</v>
      </c>
      <c r="O863" s="16">
        <v>4</v>
      </c>
      <c r="P863" s="16">
        <v>84</v>
      </c>
      <c r="Q863" s="29">
        <v>59</v>
      </c>
      <c r="R863" s="20">
        <v>0.47729999999999995</v>
      </c>
      <c r="S863" s="32">
        <v>28.160699999999999</v>
      </c>
      <c r="T863" s="35">
        <v>1</v>
      </c>
      <c r="U863" s="35">
        <v>0.16</v>
      </c>
      <c r="V863" s="35">
        <v>1.6949152542372881E-2</v>
      </c>
      <c r="W863" s="9" t="s">
        <v>153</v>
      </c>
      <c r="X863" s="15">
        <v>862</v>
      </c>
      <c r="Y863" s="39">
        <v>0.49033788121788985</v>
      </c>
      <c r="Z863" s="39">
        <v>0.4738020627758544</v>
      </c>
      <c r="AA863" s="39">
        <v>0.49689929655220871</v>
      </c>
      <c r="AB863" s="39">
        <v>0.49766016287052878</v>
      </c>
      <c r="AC863" s="39">
        <v>0.48500428073369672</v>
      </c>
      <c r="AD863" s="39">
        <v>0.46875278144067872</v>
      </c>
      <c r="AE863" s="39">
        <v>0.48798105436750588</v>
      </c>
      <c r="AF863" s="40">
        <v>0.49250590830035168</v>
      </c>
    </row>
    <row r="864" spans="1:32">
      <c r="A864" s="15">
        <v>862</v>
      </c>
      <c r="B864" s="16">
        <v>1</v>
      </c>
      <c r="C864" s="20">
        <v>0.12</v>
      </c>
      <c r="D864" s="20">
        <v>0.90575444328430599</v>
      </c>
      <c r="E864" s="20">
        <v>0.59</v>
      </c>
      <c r="F864" s="8" t="s">
        <v>436</v>
      </c>
      <c r="G864" s="24">
        <v>1.1320199147797918</v>
      </c>
      <c r="H864" s="24">
        <v>1.1385740211302493</v>
      </c>
      <c r="I864" s="25">
        <v>1.1584861267894986</v>
      </c>
      <c r="L864" s="15">
        <v>862</v>
      </c>
      <c r="M864" s="16">
        <v>0</v>
      </c>
      <c r="N864" s="16">
        <v>3</v>
      </c>
      <c r="O864" s="16">
        <v>4</v>
      </c>
      <c r="P864" s="16">
        <v>85</v>
      </c>
      <c r="Q864" s="29">
        <v>43</v>
      </c>
      <c r="R864" s="20">
        <v>0.47729999999999995</v>
      </c>
      <c r="S864" s="32">
        <v>20.523899999999998</v>
      </c>
      <c r="T864" s="35">
        <v>1.52</v>
      </c>
      <c r="U864" s="35">
        <v>0.94</v>
      </c>
      <c r="V864" s="35">
        <v>3.5348837209302326E-2</v>
      </c>
      <c r="W864" s="9" t="s">
        <v>153</v>
      </c>
      <c r="X864" s="15">
        <v>863</v>
      </c>
      <c r="Y864" s="39">
        <v>0.48684855212176742</v>
      </c>
      <c r="Z864" s="39">
        <v>0.47674431476490642</v>
      </c>
      <c r="AA864" s="39">
        <v>0.49180539540601065</v>
      </c>
      <c r="AB864" s="39">
        <v>0.48220594218423085</v>
      </c>
      <c r="AC864" s="39">
        <v>0.47767500085826237</v>
      </c>
      <c r="AD864" s="39">
        <v>0.46905816231821018</v>
      </c>
      <c r="AE864" s="39">
        <v>0.48659446171896265</v>
      </c>
      <c r="AF864" s="40">
        <v>0.47755498240840788</v>
      </c>
    </row>
    <row r="865" spans="1:32">
      <c r="A865" s="15">
        <v>863</v>
      </c>
      <c r="B865" s="16">
        <v>0</v>
      </c>
      <c r="C865" s="20">
        <v>0.02</v>
      </c>
      <c r="D865" s="20">
        <v>0.99756714174924133</v>
      </c>
      <c r="E865" s="20">
        <v>1</v>
      </c>
      <c r="F865" s="8" t="s">
        <v>436</v>
      </c>
      <c r="G865" s="24">
        <v>0.99881795439382293</v>
      </c>
      <c r="H865" s="24">
        <v>1.0046008553943915</v>
      </c>
      <c r="I865" s="25">
        <v>1.0221699532367325</v>
      </c>
      <c r="L865" s="15">
        <v>863</v>
      </c>
      <c r="M865" s="16">
        <v>0</v>
      </c>
      <c r="N865" s="16">
        <v>3</v>
      </c>
      <c r="O865" s="16">
        <v>4</v>
      </c>
      <c r="P865" s="16">
        <v>86</v>
      </c>
      <c r="Q865" s="29">
        <v>50</v>
      </c>
      <c r="R865" s="20">
        <v>0.47729999999999995</v>
      </c>
      <c r="S865" s="32">
        <v>23.864999999999998</v>
      </c>
      <c r="T865" s="35">
        <v>1.1199999999999999</v>
      </c>
      <c r="U865" s="35">
        <v>0.56000000000000005</v>
      </c>
      <c r="V865" s="35">
        <v>2.2399999999999996E-2</v>
      </c>
      <c r="W865" s="9" t="s">
        <v>153</v>
      </c>
      <c r="X865" s="15">
        <v>864</v>
      </c>
      <c r="Y865" s="39">
        <v>0.49363813198517814</v>
      </c>
      <c r="Z865" s="39">
        <v>0.49331498832199699</v>
      </c>
      <c r="AA865" s="39">
        <v>0.48232801368816725</v>
      </c>
      <c r="AB865" s="39">
        <v>0.49034602833739777</v>
      </c>
      <c r="AC865" s="39">
        <v>0.48611194338733549</v>
      </c>
      <c r="AD865" s="39">
        <v>0.4848234841396149</v>
      </c>
      <c r="AE865" s="39">
        <v>0.47700774139631907</v>
      </c>
      <c r="AF865" s="40">
        <v>0.48698842706168505</v>
      </c>
    </row>
    <row r="866" spans="1:32">
      <c r="A866" s="15">
        <v>864</v>
      </c>
      <c r="B866" s="16">
        <v>0</v>
      </c>
      <c r="C866" s="20">
        <v>0.02</v>
      </c>
      <c r="D866" s="20">
        <v>0.99917029198757767</v>
      </c>
      <c r="E866" s="20">
        <v>1</v>
      </c>
      <c r="F866" s="8" t="s">
        <v>436</v>
      </c>
      <c r="G866" s="24">
        <v>1.0153488738851906</v>
      </c>
      <c r="H866" s="24">
        <v>1.0212274846899796</v>
      </c>
      <c r="I866" s="25">
        <v>1.0390873595860273</v>
      </c>
      <c r="L866" s="15">
        <v>864</v>
      </c>
      <c r="M866" s="16">
        <v>0</v>
      </c>
      <c r="N866" s="16">
        <v>3</v>
      </c>
      <c r="O866" s="16">
        <v>4</v>
      </c>
      <c r="P866" s="16">
        <v>87</v>
      </c>
      <c r="Q866" s="29">
        <v>39</v>
      </c>
      <c r="R866" s="20">
        <v>0.47729999999999995</v>
      </c>
      <c r="S866" s="32">
        <v>18.614699999999999</v>
      </c>
      <c r="T866" s="35">
        <v>0.84</v>
      </c>
      <c r="U866" s="35">
        <v>0.14000000000000001</v>
      </c>
      <c r="V866" s="35">
        <v>2.1538461538461538E-2</v>
      </c>
      <c r="W866" s="9" t="s">
        <v>152</v>
      </c>
      <c r="X866" s="15">
        <v>865</v>
      </c>
      <c r="Y866" s="39">
        <v>0.48499140796273787</v>
      </c>
      <c r="Z866" s="39">
        <v>0.49820684715775659</v>
      </c>
      <c r="AA866" s="39">
        <v>0.49300971649877173</v>
      </c>
      <c r="AB866" s="39">
        <v>0.49504766983953241</v>
      </c>
      <c r="AC866" s="39">
        <v>0.47637970595880924</v>
      </c>
      <c r="AD866" s="39">
        <v>0.4910169261860412</v>
      </c>
      <c r="AE866" s="39">
        <v>0.4839295108302985</v>
      </c>
      <c r="AF866" s="40">
        <v>0.49163097711115566</v>
      </c>
    </row>
    <row r="867" spans="1:32">
      <c r="A867" s="15">
        <v>865</v>
      </c>
      <c r="B867" s="16">
        <v>0</v>
      </c>
      <c r="C867" s="20">
        <v>0.9</v>
      </c>
      <c r="D867" s="20">
        <v>0.23516114159132792</v>
      </c>
      <c r="E867" s="20">
        <v>0.1</v>
      </c>
      <c r="F867" s="8" t="s">
        <v>434</v>
      </c>
      <c r="G867" s="24">
        <v>0.51749605142166299</v>
      </c>
      <c r="H867" s="24">
        <v>0.52049222146485452</v>
      </c>
      <c r="I867" s="25">
        <v>0.52959492003015041</v>
      </c>
      <c r="L867" s="15">
        <v>865</v>
      </c>
      <c r="M867" s="16">
        <v>0</v>
      </c>
      <c r="N867" s="16">
        <v>3</v>
      </c>
      <c r="O867" s="16">
        <v>4</v>
      </c>
      <c r="P867" s="16">
        <v>88</v>
      </c>
      <c r="Q867" s="29">
        <v>59</v>
      </c>
      <c r="R867" s="20">
        <v>0.47729999999999995</v>
      </c>
      <c r="S867" s="32">
        <v>28.160699999999999</v>
      </c>
      <c r="T867" s="35">
        <v>1.57</v>
      </c>
      <c r="U867" s="35">
        <v>0.63</v>
      </c>
      <c r="V867" s="35">
        <v>2.6610169491525424E-2</v>
      </c>
      <c r="W867" s="9" t="s">
        <v>153</v>
      </c>
      <c r="X867" s="15">
        <v>866</v>
      </c>
      <c r="Y867" s="39">
        <v>0.49597705271458836</v>
      </c>
      <c r="Z867" s="39">
        <v>0.48800115012386563</v>
      </c>
      <c r="AA867" s="39">
        <v>0.48158691602204157</v>
      </c>
      <c r="AB867" s="39">
        <v>0.48834974508644646</v>
      </c>
      <c r="AC867" s="39">
        <v>0.49029671701337696</v>
      </c>
      <c r="AD867" s="39">
        <v>0.4825009012458209</v>
      </c>
      <c r="AE867" s="39">
        <v>0.47810701169297953</v>
      </c>
      <c r="AF867" s="40">
        <v>0.48189462403222688</v>
      </c>
    </row>
    <row r="868" spans="1:32">
      <c r="A868" s="15">
        <v>866</v>
      </c>
      <c r="B868" s="16">
        <v>1</v>
      </c>
      <c r="C868" s="20">
        <v>0.68</v>
      </c>
      <c r="D868" s="20">
        <v>0.43477289691813065</v>
      </c>
      <c r="E868" s="20">
        <v>0.05</v>
      </c>
      <c r="F868" s="8" t="s">
        <v>438</v>
      </c>
      <c r="G868" s="24">
        <v>1.4174517048445956</v>
      </c>
      <c r="H868" s="24">
        <v>1.4256583884010381</v>
      </c>
      <c r="I868" s="25">
        <v>1.4505912078198899</v>
      </c>
      <c r="L868" s="15">
        <v>866</v>
      </c>
      <c r="M868" s="16">
        <v>0</v>
      </c>
      <c r="N868" s="16">
        <v>3</v>
      </c>
      <c r="O868" s="16">
        <v>4</v>
      </c>
      <c r="P868" s="16">
        <v>89</v>
      </c>
      <c r="Q868" s="29">
        <v>31</v>
      </c>
      <c r="R868" s="20">
        <v>0.47729999999999995</v>
      </c>
      <c r="S868" s="32">
        <v>14.796299999999999</v>
      </c>
      <c r="T868" s="35">
        <v>0.71</v>
      </c>
      <c r="U868" s="35">
        <v>0.24</v>
      </c>
      <c r="V868" s="35">
        <v>2.2903225806451613E-2</v>
      </c>
      <c r="W868" s="9" t="s">
        <v>152</v>
      </c>
      <c r="X868" s="15">
        <v>867</v>
      </c>
      <c r="Y868" s="39">
        <v>0.49242731492262359</v>
      </c>
      <c r="Z868" s="39">
        <v>0.47282000650844674</v>
      </c>
      <c r="AA868" s="39">
        <v>0.48600698374740864</v>
      </c>
      <c r="AB868" s="39">
        <v>0.48070412604503898</v>
      </c>
      <c r="AC868" s="39">
        <v>0.48365176759566014</v>
      </c>
      <c r="AD868" s="39">
        <v>0.4677970925965439</v>
      </c>
      <c r="AE868" s="39">
        <v>0.47727493337278176</v>
      </c>
      <c r="AF868" s="40">
        <v>0.47469785017234772</v>
      </c>
    </row>
    <row r="869" spans="1:32">
      <c r="A869" s="15">
        <v>867</v>
      </c>
      <c r="B869" s="16">
        <v>1</v>
      </c>
      <c r="C869" s="20">
        <v>0.02</v>
      </c>
      <c r="D869" s="20">
        <v>0.99679477127711513</v>
      </c>
      <c r="E869" s="20">
        <v>1</v>
      </c>
      <c r="F869" s="8" t="s">
        <v>436</v>
      </c>
      <c r="G869" s="24">
        <v>1.0749616067623939</v>
      </c>
      <c r="H869" s="24">
        <v>1.0811853600739687</v>
      </c>
      <c r="I869" s="25">
        <v>1.100093816377631</v>
      </c>
      <c r="L869" s="15">
        <v>867</v>
      </c>
      <c r="M869" s="16">
        <v>0</v>
      </c>
      <c r="N869" s="16">
        <v>3</v>
      </c>
      <c r="O869" s="16">
        <v>4</v>
      </c>
      <c r="P869" s="16">
        <v>90</v>
      </c>
      <c r="Q869" s="29">
        <v>61</v>
      </c>
      <c r="R869" s="20">
        <v>0.47729999999999995</v>
      </c>
      <c r="S869" s="32">
        <v>29.115299999999998</v>
      </c>
      <c r="T869" s="35">
        <v>3.96</v>
      </c>
      <c r="U869" s="35">
        <v>2.93</v>
      </c>
      <c r="V869" s="35">
        <v>6.4918032786885252E-2</v>
      </c>
      <c r="W869" s="9" t="s">
        <v>155</v>
      </c>
      <c r="X869" s="15">
        <v>868</v>
      </c>
      <c r="Y869" s="39">
        <v>0.4857928718977631</v>
      </c>
      <c r="Z869" s="39">
        <v>0.49457222772165033</v>
      </c>
      <c r="AA869" s="39">
        <v>0.48704078266240863</v>
      </c>
      <c r="AB869" s="39">
        <v>0.48290748600998096</v>
      </c>
      <c r="AC869" s="39">
        <v>0.47949701280444457</v>
      </c>
      <c r="AD869" s="39">
        <v>0.48778608005654428</v>
      </c>
      <c r="AE869" s="39">
        <v>0.47995783813897624</v>
      </c>
      <c r="AF869" s="40">
        <v>0.47818766893054238</v>
      </c>
    </row>
    <row r="870" spans="1:32">
      <c r="A870" s="15">
        <v>868</v>
      </c>
      <c r="B870" s="16">
        <v>0</v>
      </c>
      <c r="C870" s="20">
        <v>0.86</v>
      </c>
      <c r="D870" s="20">
        <v>0.28597383862931031</v>
      </c>
      <c r="E870" s="20">
        <v>0.14000000000000001</v>
      </c>
      <c r="F870" s="8" t="s">
        <v>434</v>
      </c>
      <c r="G870" s="24">
        <v>0.73652157061755696</v>
      </c>
      <c r="H870" s="24">
        <v>0.74078584250907442</v>
      </c>
      <c r="I870" s="25">
        <v>0.75374117584109079</v>
      </c>
      <c r="L870" s="15">
        <v>868</v>
      </c>
      <c r="M870" s="16">
        <v>0</v>
      </c>
      <c r="N870" s="16">
        <v>3</v>
      </c>
      <c r="O870" s="16">
        <v>4</v>
      </c>
      <c r="P870" s="16">
        <v>91</v>
      </c>
      <c r="Q870" s="29">
        <v>61</v>
      </c>
      <c r="R870" s="20">
        <v>0.47729999999999995</v>
      </c>
      <c r="S870" s="32">
        <v>29.115299999999998</v>
      </c>
      <c r="T870" s="35">
        <v>1.1100000000000001</v>
      </c>
      <c r="U870" s="35">
        <v>0.14000000000000001</v>
      </c>
      <c r="V870" s="35">
        <v>1.819672131147541E-2</v>
      </c>
      <c r="W870" s="9" t="s">
        <v>153</v>
      </c>
      <c r="X870" s="15">
        <v>869</v>
      </c>
      <c r="Y870" s="39">
        <v>0.47946191046251663</v>
      </c>
      <c r="Z870" s="39">
        <v>0.48615011686940485</v>
      </c>
      <c r="AA870" s="39">
        <v>0.49106530368631163</v>
      </c>
      <c r="AB870" s="39">
        <v>0.49122046482552989</v>
      </c>
      <c r="AC870" s="39">
        <v>0.47279130654081925</v>
      </c>
      <c r="AD870" s="39">
        <v>0.4770241350929833</v>
      </c>
      <c r="AE870" s="39">
        <v>0.48382492638916708</v>
      </c>
      <c r="AF870" s="40">
        <v>0.48658640213630194</v>
      </c>
    </row>
    <row r="871" spans="1:32">
      <c r="A871" s="15">
        <v>869</v>
      </c>
      <c r="B871" s="16">
        <v>0</v>
      </c>
      <c r="C871" s="20">
        <v>0.6</v>
      </c>
      <c r="D871" s="20">
        <v>0.45271474005484919</v>
      </c>
      <c r="E871" s="20">
        <v>7.0000000000000007E-2</v>
      </c>
      <c r="F871" s="8" t="s">
        <v>438</v>
      </c>
      <c r="G871" s="24">
        <v>0.80655759437735552</v>
      </c>
      <c r="H871" s="24">
        <v>0.81122735696925008</v>
      </c>
      <c r="I871" s="25">
        <v>0.82541461624784318</v>
      </c>
      <c r="L871" s="15">
        <v>869</v>
      </c>
      <c r="M871" s="16">
        <v>0</v>
      </c>
      <c r="N871" s="16">
        <v>3</v>
      </c>
      <c r="O871" s="16">
        <v>4</v>
      </c>
      <c r="P871" s="16">
        <v>92</v>
      </c>
      <c r="Q871" s="29">
        <v>44</v>
      </c>
      <c r="R871" s="20">
        <v>0.47729999999999995</v>
      </c>
      <c r="S871" s="32">
        <v>21.001199999999997</v>
      </c>
      <c r="T871" s="35">
        <v>0.67</v>
      </c>
      <c r="U871" s="35">
        <v>0.1</v>
      </c>
      <c r="V871" s="35">
        <v>1.5227272727272728E-2</v>
      </c>
      <c r="W871" s="9" t="s">
        <v>152</v>
      </c>
      <c r="X871" s="15">
        <v>870</v>
      </c>
      <c r="Y871" s="39">
        <v>0.48360542807482038</v>
      </c>
      <c r="Z871" s="39">
        <v>0.49395056813968863</v>
      </c>
      <c r="AA871" s="39">
        <v>0.4786303760036979</v>
      </c>
      <c r="AB871" s="39">
        <v>0.49944883193241413</v>
      </c>
      <c r="AC871" s="39">
        <v>0.47852340255863124</v>
      </c>
      <c r="AD871" s="39">
        <v>0.48914829089644574</v>
      </c>
      <c r="AE871" s="39">
        <v>0.47180244510073704</v>
      </c>
      <c r="AF871" s="40">
        <v>0.49373135362570092</v>
      </c>
    </row>
    <row r="872" spans="1:32">
      <c r="A872" s="15">
        <v>870</v>
      </c>
      <c r="B872" s="16">
        <v>0</v>
      </c>
      <c r="C872" s="20">
        <v>0.02</v>
      </c>
      <c r="D872" s="20">
        <v>0.99679477127711513</v>
      </c>
      <c r="E872" s="20">
        <v>1</v>
      </c>
      <c r="F872" s="8" t="s">
        <v>436</v>
      </c>
      <c r="G872" s="24">
        <v>0.93499373524513896</v>
      </c>
      <c r="H872" s="24">
        <v>0.9404071103084215</v>
      </c>
      <c r="I872" s="25">
        <v>0.95685354716334103</v>
      </c>
      <c r="L872" s="15">
        <v>870</v>
      </c>
      <c r="M872" s="16">
        <v>0</v>
      </c>
      <c r="N872" s="16">
        <v>3</v>
      </c>
      <c r="O872" s="16">
        <v>4</v>
      </c>
      <c r="P872" s="16">
        <v>93</v>
      </c>
      <c r="Q872" s="29">
        <v>57</v>
      </c>
      <c r="R872" s="20">
        <v>0.47729999999999995</v>
      </c>
      <c r="S872" s="32">
        <v>27.206099999999996</v>
      </c>
      <c r="T872" s="35">
        <v>2.14</v>
      </c>
      <c r="U872" s="35">
        <v>1.47</v>
      </c>
      <c r="V872" s="35">
        <v>3.754385964912281E-2</v>
      </c>
      <c r="W872" s="9" t="s">
        <v>154</v>
      </c>
      <c r="X872" s="15">
        <v>871</v>
      </c>
      <c r="Y872" s="39">
        <v>0.50046002065971351</v>
      </c>
      <c r="Z872" s="39">
        <v>0.48554256792839251</v>
      </c>
      <c r="AA872" s="39">
        <v>0.4887768004515991</v>
      </c>
      <c r="AB872" s="39">
        <v>0.49275800607577547</v>
      </c>
      <c r="AC872" s="39">
        <v>0.49091921343008788</v>
      </c>
      <c r="AD872" s="39">
        <v>0.47780797212840531</v>
      </c>
      <c r="AE872" s="39">
        <v>0.48277989684730555</v>
      </c>
      <c r="AF872" s="40">
        <v>0.48771021173068513</v>
      </c>
    </row>
    <row r="873" spans="1:32">
      <c r="A873" s="15">
        <v>871</v>
      </c>
      <c r="B873" s="16">
        <v>0</v>
      </c>
      <c r="C873" s="20">
        <v>0.17</v>
      </c>
      <c r="D873" s="20">
        <v>0.8364798091681257</v>
      </c>
      <c r="E873" s="20">
        <v>0.06</v>
      </c>
      <c r="F873" s="8" t="s">
        <v>436</v>
      </c>
      <c r="G873" s="24">
        <v>1.1575357120006351</v>
      </c>
      <c r="H873" s="24">
        <v>1.1642375483039129</v>
      </c>
      <c r="I873" s="25">
        <v>1.1845984740268447</v>
      </c>
      <c r="L873" s="15">
        <v>871</v>
      </c>
      <c r="M873" s="16">
        <v>0</v>
      </c>
      <c r="N873" s="16">
        <v>3</v>
      </c>
      <c r="O873" s="16">
        <v>4</v>
      </c>
      <c r="P873" s="16">
        <v>94</v>
      </c>
      <c r="Q873" s="29">
        <v>52</v>
      </c>
      <c r="R873" s="20">
        <v>0.47729999999999995</v>
      </c>
      <c r="S873" s="32">
        <v>24.819599999999998</v>
      </c>
      <c r="T873" s="35">
        <v>0.65</v>
      </c>
      <c r="U873" s="35">
        <v>0.02</v>
      </c>
      <c r="V873" s="35">
        <v>1.2500000000000001E-2</v>
      </c>
      <c r="W873" s="9" t="s">
        <v>152</v>
      </c>
      <c r="X873" s="15">
        <v>872</v>
      </c>
      <c r="Y873" s="39">
        <v>0.4711866532141028</v>
      </c>
      <c r="Z873" s="39">
        <v>0.49997673842692036</v>
      </c>
      <c r="AA873" s="39">
        <v>0.48338527108931029</v>
      </c>
      <c r="AB873" s="39">
        <v>0.48733149997163167</v>
      </c>
      <c r="AC873" s="39">
        <v>0.4662502052917909</v>
      </c>
      <c r="AD873" s="39">
        <v>0.49408367303511513</v>
      </c>
      <c r="AE873" s="39">
        <v>0.47883308752032938</v>
      </c>
      <c r="AF873" s="40">
        <v>0.48576045427569603</v>
      </c>
    </row>
    <row r="874" spans="1:32">
      <c r="A874" s="15">
        <v>872</v>
      </c>
      <c r="B874" s="16">
        <v>0</v>
      </c>
      <c r="C874" s="20">
        <v>0.15</v>
      </c>
      <c r="D874" s="20">
        <v>0.8725231361749185</v>
      </c>
      <c r="E874" s="20">
        <v>0.09</v>
      </c>
      <c r="F874" s="8" t="s">
        <v>436</v>
      </c>
      <c r="G874" s="24">
        <v>1.21137795184266</v>
      </c>
      <c r="H874" s="24">
        <v>1.2183915209710092</v>
      </c>
      <c r="I874" s="25">
        <v>1.2396995257644303</v>
      </c>
      <c r="L874" s="15">
        <v>872</v>
      </c>
      <c r="M874" s="16">
        <v>0</v>
      </c>
      <c r="N874" s="16">
        <v>3</v>
      </c>
      <c r="O874" s="16">
        <v>4</v>
      </c>
      <c r="P874" s="16">
        <v>95</v>
      </c>
      <c r="Q874" s="29">
        <v>49</v>
      </c>
      <c r="R874" s="20">
        <v>0.47729999999999995</v>
      </c>
      <c r="S874" s="32">
        <v>23.387699999999999</v>
      </c>
      <c r="T874" s="35">
        <v>2.13</v>
      </c>
      <c r="U874" s="35">
        <v>1.34</v>
      </c>
      <c r="V874" s="35">
        <v>4.3469387755102042E-2</v>
      </c>
      <c r="W874" s="9" t="s">
        <v>154</v>
      </c>
      <c r="X874" s="15">
        <v>873</v>
      </c>
      <c r="Y874" s="39">
        <v>0.47174213145723065</v>
      </c>
      <c r="Z874" s="39">
        <v>0.49183418391357431</v>
      </c>
      <c r="AA874" s="39">
        <v>0.48268735509450689</v>
      </c>
      <c r="AB874" s="39">
        <v>0.49524186354039862</v>
      </c>
      <c r="AC874" s="39">
        <v>0.46402866180840274</v>
      </c>
      <c r="AD874" s="39">
        <v>0.48479621386945215</v>
      </c>
      <c r="AE874" s="39">
        <v>0.47275993440348019</v>
      </c>
      <c r="AF874" s="40">
        <v>0.49121063019865596</v>
      </c>
    </row>
    <row r="875" spans="1:32">
      <c r="A875" s="15">
        <v>873</v>
      </c>
      <c r="B875" s="16">
        <v>0</v>
      </c>
      <c r="C875" s="20">
        <v>0.09</v>
      </c>
      <c r="D875" s="20">
        <v>0.93438383751858689</v>
      </c>
      <c r="E875" s="20">
        <v>0.27</v>
      </c>
      <c r="F875" s="8" t="s">
        <v>436</v>
      </c>
      <c r="G875" s="24">
        <v>1.630480147218611</v>
      </c>
      <c r="H875" s="24">
        <v>1.6399202110793771</v>
      </c>
      <c r="I875" s="25">
        <v>1.6578926537592125</v>
      </c>
      <c r="L875" s="15">
        <v>873</v>
      </c>
      <c r="M875" s="16">
        <v>0</v>
      </c>
      <c r="N875" s="16">
        <v>3</v>
      </c>
      <c r="O875" s="16">
        <v>4</v>
      </c>
      <c r="P875" s="16">
        <v>96</v>
      </c>
      <c r="Q875" s="29">
        <v>63</v>
      </c>
      <c r="R875" s="20">
        <v>0.47729999999999995</v>
      </c>
      <c r="S875" s="32">
        <v>30.069899999999997</v>
      </c>
      <c r="T875" s="35">
        <v>1.19</v>
      </c>
      <c r="U875" s="35">
        <v>0.31</v>
      </c>
      <c r="V875" s="35">
        <v>1.8888888888888889E-2</v>
      </c>
      <c r="W875" s="9" t="s">
        <v>153</v>
      </c>
      <c r="X875" s="15">
        <v>874</v>
      </c>
      <c r="Y875" s="39">
        <v>0.49027471712023274</v>
      </c>
      <c r="Z875" s="39">
        <v>0.49737090495427694</v>
      </c>
      <c r="AA875" s="39">
        <v>0.50263948928342883</v>
      </c>
      <c r="AB875" s="39">
        <v>0.48134750127959042</v>
      </c>
      <c r="AC875" s="39">
        <v>0.48355137659348496</v>
      </c>
      <c r="AD875" s="39">
        <v>0.4915959599733799</v>
      </c>
      <c r="AE875" s="39">
        <v>0.49672522074694581</v>
      </c>
      <c r="AF875" s="40">
        <v>0.47909375768968004</v>
      </c>
    </row>
    <row r="876" spans="1:32">
      <c r="A876" s="15">
        <v>874</v>
      </c>
      <c r="B876" s="16">
        <v>1</v>
      </c>
      <c r="C876" s="20">
        <v>0.17</v>
      </c>
      <c r="D876" s="20">
        <v>0.85113722920879498</v>
      </c>
      <c r="E876" s="20">
        <v>0.43</v>
      </c>
      <c r="F876" s="8" t="s">
        <v>436</v>
      </c>
      <c r="G876" s="24">
        <v>0.8586091353587646</v>
      </c>
      <c r="H876" s="24">
        <v>0.86358026308641622</v>
      </c>
      <c r="I876" s="25">
        <v>0.87868310323970644</v>
      </c>
      <c r="L876" s="15">
        <v>874</v>
      </c>
      <c r="M876" s="16">
        <v>0</v>
      </c>
      <c r="N876" s="16">
        <v>3</v>
      </c>
      <c r="O876" s="16">
        <v>4</v>
      </c>
      <c r="P876" s="16">
        <v>97</v>
      </c>
      <c r="Q876" s="29">
        <v>60</v>
      </c>
      <c r="R876" s="20">
        <v>0.47729999999999995</v>
      </c>
      <c r="S876" s="32">
        <v>28.637999999999998</v>
      </c>
      <c r="T876" s="35">
        <v>1.29</v>
      </c>
      <c r="U876" s="35">
        <v>0.26</v>
      </c>
      <c r="V876" s="35">
        <v>2.1500000000000002E-2</v>
      </c>
      <c r="W876" s="9" t="s">
        <v>153</v>
      </c>
      <c r="X876" s="15">
        <v>875</v>
      </c>
      <c r="Y876" s="39">
        <v>0.48878315705147418</v>
      </c>
      <c r="Z876" s="39">
        <v>0.47651530655975022</v>
      </c>
      <c r="AA876" s="39">
        <v>0.46903846654231585</v>
      </c>
      <c r="AB876" s="39">
        <v>0.48603519608225032</v>
      </c>
      <c r="AC876" s="39">
        <v>0.48222351003987218</v>
      </c>
      <c r="AD876" s="39">
        <v>0.47128952583718592</v>
      </c>
      <c r="AE876" s="39">
        <v>0.46479556886660189</v>
      </c>
      <c r="AF876" s="40">
        <v>0.48348751678477209</v>
      </c>
    </row>
    <row r="877" spans="1:32">
      <c r="A877" s="15">
        <v>875</v>
      </c>
      <c r="B877" s="16">
        <v>0</v>
      </c>
      <c r="C877" s="20">
        <v>0.9</v>
      </c>
      <c r="D877" s="20">
        <v>0.23159538658365303</v>
      </c>
      <c r="E877" s="20">
        <v>0.1</v>
      </c>
      <c r="F877" s="8" t="s">
        <v>434</v>
      </c>
      <c r="G877" s="24">
        <v>0.99516209310663362</v>
      </c>
      <c r="H877" s="24">
        <v>1.0009238276035337</v>
      </c>
      <c r="I877" s="25">
        <v>1.0184286192483643</v>
      </c>
      <c r="L877" s="15">
        <v>875</v>
      </c>
      <c r="M877" s="16">
        <v>0</v>
      </c>
      <c r="N877" s="16">
        <v>3</v>
      </c>
      <c r="O877" s="16">
        <v>5</v>
      </c>
      <c r="P877" s="16">
        <v>98</v>
      </c>
      <c r="Q877" s="29">
        <v>46</v>
      </c>
      <c r="R877" s="20">
        <v>0.47729999999999995</v>
      </c>
      <c r="S877" s="32">
        <v>21.955799999999996</v>
      </c>
      <c r="T877" s="35">
        <v>0.9</v>
      </c>
      <c r="U877" s="35">
        <v>0.14000000000000001</v>
      </c>
      <c r="V877" s="35">
        <v>1.9565217391304349E-2</v>
      </c>
      <c r="W877" s="9" t="s">
        <v>152</v>
      </c>
      <c r="X877" s="15">
        <v>876</v>
      </c>
      <c r="Y877" s="39">
        <v>0.49216973805159453</v>
      </c>
      <c r="Z877" s="39">
        <v>0.49119498233686265</v>
      </c>
      <c r="AA877" s="39">
        <v>0.4616460562774195</v>
      </c>
      <c r="AB877" s="39">
        <v>0.49415663827218553</v>
      </c>
      <c r="AC877" s="39">
        <v>0.48446465005713735</v>
      </c>
      <c r="AD877" s="39">
        <v>0.48240603230095014</v>
      </c>
      <c r="AE877" s="39">
        <v>0.45590148729039071</v>
      </c>
      <c r="AF877" s="40">
        <v>0.49009333869087207</v>
      </c>
    </row>
    <row r="878" spans="1:32">
      <c r="A878" s="15">
        <v>876</v>
      </c>
      <c r="B878" s="16">
        <v>0</v>
      </c>
      <c r="C878" s="20">
        <v>0.96</v>
      </c>
      <c r="D878" s="20">
        <v>0.13880369068795359</v>
      </c>
      <c r="E878" s="20">
        <v>0.04</v>
      </c>
      <c r="F878" s="8" t="s">
        <v>434</v>
      </c>
      <c r="G878" s="24">
        <v>0.42813176067966946</v>
      </c>
      <c r="H878" s="24">
        <v>0.43061053429033425</v>
      </c>
      <c r="I878" s="25">
        <v>0.438141324820987</v>
      </c>
      <c r="L878" s="15">
        <v>876</v>
      </c>
      <c r="M878" s="16">
        <v>0</v>
      </c>
      <c r="N878" s="16">
        <v>3</v>
      </c>
      <c r="O878" s="16">
        <v>5</v>
      </c>
      <c r="P878" s="16">
        <v>99</v>
      </c>
      <c r="Q878" s="29">
        <v>49</v>
      </c>
      <c r="R878" s="20">
        <v>0.47729999999999995</v>
      </c>
      <c r="S878" s="32">
        <v>23.387699999999999</v>
      </c>
      <c r="T878" s="35">
        <v>1.71</v>
      </c>
      <c r="U878" s="35">
        <v>1.05</v>
      </c>
      <c r="V878" s="35">
        <v>3.4897959183673471E-2</v>
      </c>
      <c r="W878" s="9" t="s">
        <v>153</v>
      </c>
      <c r="X878" s="15">
        <v>877</v>
      </c>
      <c r="Y878" s="39">
        <v>0.475563265410401</v>
      </c>
      <c r="Z878" s="39">
        <v>0.48294117316454094</v>
      </c>
      <c r="AA878" s="39">
        <v>0.49493614352850429</v>
      </c>
      <c r="AB878" s="39">
        <v>0.49913218487614491</v>
      </c>
      <c r="AC878" s="39">
        <v>0.46766795112436021</v>
      </c>
      <c r="AD878" s="39">
        <v>0.47568200096229624</v>
      </c>
      <c r="AE878" s="39">
        <v>0.48706844252813436</v>
      </c>
      <c r="AF878" s="40">
        <v>0.49507715202718733</v>
      </c>
    </row>
    <row r="879" spans="1:32">
      <c r="A879" s="15">
        <v>877</v>
      </c>
      <c r="B879" s="16">
        <v>0</v>
      </c>
      <c r="C879" s="20">
        <v>0.4</v>
      </c>
      <c r="D879" s="20">
        <v>0.58800579471652892</v>
      </c>
      <c r="E879" s="20">
        <v>0.09</v>
      </c>
      <c r="F879" s="8" t="s">
        <v>436</v>
      </c>
      <c r="G879" s="24">
        <v>0.7359670706840471</v>
      </c>
      <c r="H879" s="24">
        <v>0.74022813216248962</v>
      </c>
      <c r="I879" s="25">
        <v>0.7531737119017291</v>
      </c>
      <c r="L879" s="15">
        <v>877</v>
      </c>
      <c r="M879" s="16">
        <v>0</v>
      </c>
      <c r="N879" s="16">
        <v>3</v>
      </c>
      <c r="O879" s="16">
        <v>5</v>
      </c>
      <c r="P879" s="16">
        <v>100</v>
      </c>
      <c r="Q879" s="29">
        <v>67</v>
      </c>
      <c r="R879" s="20">
        <v>0.47729999999999995</v>
      </c>
      <c r="S879" s="32">
        <v>31.979099999999995</v>
      </c>
      <c r="T879" s="35">
        <v>1.84</v>
      </c>
      <c r="U879" s="35">
        <v>0.93</v>
      </c>
      <c r="V879" s="35">
        <v>2.746268656716418E-2</v>
      </c>
      <c r="W879" s="9" t="s">
        <v>153</v>
      </c>
      <c r="X879" s="15">
        <v>878</v>
      </c>
      <c r="Y879" s="39">
        <v>0.48048751239809173</v>
      </c>
      <c r="Z879" s="39">
        <v>0.50029313173156076</v>
      </c>
      <c r="AA879" s="39">
        <v>0.48671792518781931</v>
      </c>
      <c r="AB879" s="39">
        <v>0.48343431789359931</v>
      </c>
      <c r="AC879" s="39">
        <v>0.47323240619156365</v>
      </c>
      <c r="AD879" s="39">
        <v>0.49241921901970287</v>
      </c>
      <c r="AE879" s="39">
        <v>0.48118766359863357</v>
      </c>
      <c r="AF879" s="40">
        <v>0.47568331074822329</v>
      </c>
    </row>
    <row r="880" spans="1:32">
      <c r="A880" s="15">
        <v>878</v>
      </c>
      <c r="B880" s="16">
        <v>0</v>
      </c>
      <c r="C880" s="20">
        <v>0.94</v>
      </c>
      <c r="D880" s="20">
        <v>0.17188516685452584</v>
      </c>
      <c r="E880" s="20">
        <v>0.06</v>
      </c>
      <c r="F880" s="8" t="s">
        <v>434</v>
      </c>
      <c r="G880" s="24">
        <v>1.7707884952592208</v>
      </c>
      <c r="H880" s="24">
        <v>1.7810409086404404</v>
      </c>
      <c r="I880" s="25">
        <v>1.6578926537592125</v>
      </c>
      <c r="L880" s="15">
        <v>878</v>
      </c>
      <c r="M880" s="16">
        <v>0</v>
      </c>
      <c r="N880" s="16">
        <v>3</v>
      </c>
      <c r="O880" s="16">
        <v>5</v>
      </c>
      <c r="P880" s="16">
        <v>101</v>
      </c>
      <c r="Q880" s="29">
        <v>60</v>
      </c>
      <c r="R880" s="20">
        <v>0.47729999999999995</v>
      </c>
      <c r="S880" s="32">
        <v>28.637999999999998</v>
      </c>
      <c r="T880" s="35">
        <v>1.54</v>
      </c>
      <c r="U880" s="35">
        <v>0.64</v>
      </c>
      <c r="V880" s="35">
        <v>2.5666666666666667E-2</v>
      </c>
      <c r="W880" s="9" t="s">
        <v>153</v>
      </c>
      <c r="X880" s="15">
        <v>879</v>
      </c>
      <c r="Y880" s="39">
        <v>0.48791023758678043</v>
      </c>
      <c r="Z880" s="39">
        <v>0.48329714166039123</v>
      </c>
      <c r="AA880" s="39">
        <v>0.49013960393304162</v>
      </c>
      <c r="AB880" s="39">
        <v>0.47823388700110925</v>
      </c>
      <c r="AC880" s="39">
        <v>0.48209803838900733</v>
      </c>
      <c r="AD880" s="39">
        <v>0.47865713513648622</v>
      </c>
      <c r="AE880" s="39">
        <v>0.48332066723741363</v>
      </c>
      <c r="AF880" s="40">
        <v>0.47287725548567017</v>
      </c>
    </row>
    <row r="881" spans="1:32">
      <c r="A881" s="15">
        <v>879</v>
      </c>
      <c r="B881" s="16">
        <v>0</v>
      </c>
      <c r="C881" s="20">
        <v>0.89</v>
      </c>
      <c r="D881" s="20">
        <v>0.24559627500636821</v>
      </c>
      <c r="E881" s="20">
        <v>0.11</v>
      </c>
      <c r="F881" s="8" t="s">
        <v>434</v>
      </c>
      <c r="G881" s="24">
        <v>0.49952073257988383</v>
      </c>
      <c r="H881" s="24">
        <v>0.50241283011530913</v>
      </c>
      <c r="I881" s="25">
        <v>0.51119934480136131</v>
      </c>
      <c r="L881" s="15">
        <v>879</v>
      </c>
      <c r="M881" s="16">
        <v>0</v>
      </c>
      <c r="N881" s="16">
        <v>3</v>
      </c>
      <c r="O881" s="16">
        <v>5</v>
      </c>
      <c r="P881" s="16">
        <v>102</v>
      </c>
      <c r="Q881" s="29">
        <v>18</v>
      </c>
      <c r="R881" s="20">
        <v>0.47729999999999995</v>
      </c>
      <c r="S881" s="32">
        <v>8.5913999999999984</v>
      </c>
      <c r="T881" s="35">
        <v>1.41</v>
      </c>
      <c r="U881" s="35">
        <v>1.1100000000000001</v>
      </c>
      <c r="V881" s="35">
        <v>7.8333333333333324E-2</v>
      </c>
      <c r="W881" s="9" t="s">
        <v>153</v>
      </c>
      <c r="X881" s="15">
        <v>880</v>
      </c>
      <c r="Y881" s="39">
        <v>0.48268964910080764</v>
      </c>
      <c r="Z881" s="39">
        <v>0.48619288344989625</v>
      </c>
      <c r="AA881" s="39">
        <v>0.47911339788717733</v>
      </c>
      <c r="AB881" s="39">
        <v>0.47439651484520812</v>
      </c>
      <c r="AC881" s="39">
        <v>0.47103402935319288</v>
      </c>
      <c r="AD881" s="39">
        <v>0.47771234347148733</v>
      </c>
      <c r="AE881" s="39">
        <v>0.47189349211288195</v>
      </c>
      <c r="AF881" s="40">
        <v>0.46981491509334877</v>
      </c>
    </row>
    <row r="882" spans="1:32">
      <c r="A882" s="15">
        <v>880</v>
      </c>
      <c r="B882" s="16">
        <v>1</v>
      </c>
      <c r="C882" s="20">
        <v>0.46</v>
      </c>
      <c r="D882" s="20">
        <v>0.49950566009492336</v>
      </c>
      <c r="E882" s="20">
        <v>0.15</v>
      </c>
      <c r="F882" s="8" t="s">
        <v>436</v>
      </c>
      <c r="G882" s="24">
        <v>1.1655724861270915</v>
      </c>
      <c r="H882" s="24">
        <v>1.172320853301118</v>
      </c>
      <c r="I882" s="25">
        <v>1.1928231449960403</v>
      </c>
      <c r="L882" s="15">
        <v>880</v>
      </c>
      <c r="M882" s="16">
        <v>0</v>
      </c>
      <c r="N882" s="16">
        <v>3</v>
      </c>
      <c r="O882" s="16">
        <v>6</v>
      </c>
      <c r="P882" s="16">
        <v>103</v>
      </c>
      <c r="Q882" s="29">
        <v>47</v>
      </c>
      <c r="R882" s="20">
        <v>0.47729999999999995</v>
      </c>
      <c r="S882" s="32">
        <v>22.433099999999996</v>
      </c>
      <c r="T882" s="35">
        <v>1.98</v>
      </c>
      <c r="U882" s="35">
        <v>1.06</v>
      </c>
      <c r="V882" s="35">
        <v>4.2127659574468082E-2</v>
      </c>
      <c r="W882" s="9" t="s">
        <v>153</v>
      </c>
      <c r="X882" s="15">
        <v>881</v>
      </c>
      <c r="Y882" s="39">
        <v>0.48557072214357483</v>
      </c>
      <c r="Z882" s="39">
        <v>0.48188051266725795</v>
      </c>
      <c r="AA882" s="39">
        <v>0.4755248335143778</v>
      </c>
      <c r="AB882" s="39">
        <v>0.48633054241216073</v>
      </c>
      <c r="AC882" s="39">
        <v>0.47718731815480919</v>
      </c>
      <c r="AD882" s="39">
        <v>0.4733342884859762</v>
      </c>
      <c r="AE882" s="39">
        <v>0.47220618332503178</v>
      </c>
      <c r="AF882" s="40">
        <v>0.48221505602799525</v>
      </c>
    </row>
    <row r="883" spans="1:32">
      <c r="A883" s="15">
        <v>881</v>
      </c>
      <c r="B883" s="16">
        <v>1</v>
      </c>
      <c r="C883" s="20">
        <v>0.02</v>
      </c>
      <c r="D883" s="20">
        <v>0.99460135128185911</v>
      </c>
      <c r="E883" s="20">
        <v>1</v>
      </c>
      <c r="F883" s="8" t="s">
        <v>436</v>
      </c>
      <c r="G883" s="24">
        <v>1.0319748861882097</v>
      </c>
      <c r="H883" s="24">
        <v>1.0379497573603256</v>
      </c>
      <c r="I883" s="25">
        <v>1.0561020819821663</v>
      </c>
      <c r="L883" s="15">
        <v>881</v>
      </c>
      <c r="M883" s="16">
        <v>0</v>
      </c>
      <c r="N883" s="16">
        <v>3</v>
      </c>
      <c r="O883" s="16">
        <v>6</v>
      </c>
      <c r="P883" s="16">
        <v>104</v>
      </c>
      <c r="Q883" s="29">
        <v>59</v>
      </c>
      <c r="R883" s="20">
        <v>0.47729999999999995</v>
      </c>
      <c r="S883" s="32">
        <v>28.160699999999999</v>
      </c>
      <c r="T883" s="35">
        <v>1.94</v>
      </c>
      <c r="U883" s="35">
        <v>1.1299999999999999</v>
      </c>
      <c r="V883" s="35">
        <v>3.2881355932203392E-2</v>
      </c>
      <c r="W883" s="9" t="s">
        <v>153</v>
      </c>
      <c r="X883" s="15">
        <v>882</v>
      </c>
      <c r="Y883" s="39">
        <v>0.49729044407724465</v>
      </c>
      <c r="Z883" s="39">
        <v>0.4751878862618843</v>
      </c>
      <c r="AA883" s="39">
        <v>0.49028035538142822</v>
      </c>
      <c r="AB883" s="39">
        <v>0.50293484289376178</v>
      </c>
      <c r="AC883" s="39">
        <v>0.48931763704320946</v>
      </c>
      <c r="AD883" s="39">
        <v>0.46879027613904983</v>
      </c>
      <c r="AE883" s="39">
        <v>0.48179686178468939</v>
      </c>
      <c r="AF883" s="40">
        <v>0.4983121675648286</v>
      </c>
    </row>
    <row r="884" spans="1:32">
      <c r="A884" s="15">
        <v>882</v>
      </c>
      <c r="B884" s="16">
        <v>1</v>
      </c>
      <c r="C884" s="20">
        <v>0.95</v>
      </c>
      <c r="D884" s="20">
        <v>0.15570568692893463</v>
      </c>
      <c r="E884" s="20">
        <v>0.05</v>
      </c>
      <c r="F884" s="8" t="s">
        <v>434</v>
      </c>
      <c r="G884" s="24">
        <v>0.93277372678978898</v>
      </c>
      <c r="H884" s="24">
        <v>0.93817424857078791</v>
      </c>
      <c r="I884" s="25">
        <v>0.9545816357214133</v>
      </c>
      <c r="L884" s="15">
        <v>882</v>
      </c>
      <c r="M884" s="16">
        <v>0</v>
      </c>
      <c r="N884" s="16">
        <v>3</v>
      </c>
      <c r="O884" s="16">
        <v>6</v>
      </c>
      <c r="P884" s="16">
        <v>105</v>
      </c>
      <c r="Q884" s="29">
        <v>60</v>
      </c>
      <c r="R884" s="20">
        <v>0.47729999999999995</v>
      </c>
      <c r="S884" s="32">
        <v>28.637999999999998</v>
      </c>
      <c r="T884" s="35">
        <v>2.6999999999999997</v>
      </c>
      <c r="U884" s="35">
        <v>1.89</v>
      </c>
      <c r="V884" s="35">
        <v>4.4999999999999998E-2</v>
      </c>
      <c r="W884" s="9" t="s">
        <v>154</v>
      </c>
      <c r="X884" s="15">
        <v>883</v>
      </c>
      <c r="Y884" s="39">
        <v>0.51091798472919137</v>
      </c>
      <c r="Z884" s="39">
        <v>0.49148117012318132</v>
      </c>
      <c r="AA884" s="39">
        <v>0.49519434965912162</v>
      </c>
      <c r="AB884" s="39">
        <v>0.47821058611982165</v>
      </c>
      <c r="AC884" s="39">
        <v>0.50324787179165797</v>
      </c>
      <c r="AD884" s="39">
        <v>0.48208338098255427</v>
      </c>
      <c r="AE884" s="39">
        <v>0.48812342605759429</v>
      </c>
      <c r="AF884" s="40">
        <v>0.47348617318653258</v>
      </c>
    </row>
    <row r="885" spans="1:32">
      <c r="A885" s="15">
        <v>883</v>
      </c>
      <c r="B885" s="16">
        <v>1</v>
      </c>
      <c r="C885" s="20">
        <v>0.94</v>
      </c>
      <c r="D885" s="20">
        <v>0.17188516685452584</v>
      </c>
      <c r="E885" s="20">
        <v>0.06</v>
      </c>
      <c r="F885" s="8" t="s">
        <v>434</v>
      </c>
      <c r="G885" s="24">
        <v>0.94938807300324735</v>
      </c>
      <c r="H885" s="24">
        <v>0.95488478760789242</v>
      </c>
      <c r="I885" s="25">
        <v>0.97158441927908001</v>
      </c>
      <c r="L885" s="15">
        <v>883</v>
      </c>
      <c r="M885" s="16">
        <v>0</v>
      </c>
      <c r="N885" s="16">
        <v>3</v>
      </c>
      <c r="O885" s="16">
        <v>6</v>
      </c>
      <c r="P885" s="16">
        <v>106</v>
      </c>
      <c r="Q885" s="29">
        <v>53</v>
      </c>
      <c r="R885" s="20">
        <v>0.47729999999999995</v>
      </c>
      <c r="S885" s="32">
        <v>25.296899999999997</v>
      </c>
      <c r="T885" s="35">
        <v>1.46</v>
      </c>
      <c r="U885" s="35">
        <v>0.56999999999999995</v>
      </c>
      <c r="V885" s="35">
        <v>2.7547169811320753E-2</v>
      </c>
      <c r="W885" s="9" t="s">
        <v>153</v>
      </c>
      <c r="X885" s="15">
        <v>884</v>
      </c>
      <c r="Y885" s="39">
        <v>0.49139542174950929</v>
      </c>
      <c r="Z885" s="39">
        <v>0.49130671590026731</v>
      </c>
      <c r="AA885" s="39">
        <v>0.47802702998458307</v>
      </c>
      <c r="AB885" s="39">
        <v>0.48038937636925139</v>
      </c>
      <c r="AC885" s="39">
        <v>0.48208708835347019</v>
      </c>
      <c r="AD885" s="39">
        <v>0.48284347271447253</v>
      </c>
      <c r="AE885" s="39">
        <v>0.47081632131630707</v>
      </c>
      <c r="AF885" s="40">
        <v>0.47720844096569115</v>
      </c>
    </row>
    <row r="886" spans="1:32">
      <c r="A886" s="15">
        <v>884</v>
      </c>
      <c r="B886" s="16">
        <v>1</v>
      </c>
      <c r="C886" s="20">
        <v>0.5</v>
      </c>
      <c r="D886" s="20">
        <v>0.46982624666944028</v>
      </c>
      <c r="E886" s="20">
        <v>0.09</v>
      </c>
      <c r="F886" s="8" t="s">
        <v>438</v>
      </c>
      <c r="G886" s="24">
        <v>1.0762691733934293</v>
      </c>
      <c r="H886" s="24">
        <v>1.0825004971820322</v>
      </c>
      <c r="I886" s="25">
        <v>1.1014319534387638</v>
      </c>
      <c r="L886" s="15">
        <v>884</v>
      </c>
      <c r="M886" s="16">
        <v>0</v>
      </c>
      <c r="N886" s="16">
        <v>3</v>
      </c>
      <c r="O886" s="16">
        <v>6</v>
      </c>
      <c r="P886" s="16">
        <v>107</v>
      </c>
      <c r="Q886" s="29">
        <v>56</v>
      </c>
      <c r="R886" s="20">
        <v>0.47729999999999995</v>
      </c>
      <c r="S886" s="32">
        <v>26.728799999999996</v>
      </c>
      <c r="T886" s="35">
        <v>2.79</v>
      </c>
      <c r="U886" s="35">
        <v>2.16</v>
      </c>
      <c r="V886" s="35">
        <v>4.9821428571428572E-2</v>
      </c>
      <c r="W886" s="9" t="s">
        <v>154</v>
      </c>
      <c r="X886" s="15">
        <v>885</v>
      </c>
      <c r="Y886" s="39">
        <v>0.47246565921824663</v>
      </c>
      <c r="Z886" s="39">
        <v>0.47939060950209861</v>
      </c>
      <c r="AA886" s="39">
        <v>0.48964890336283545</v>
      </c>
      <c r="AB886" s="39">
        <v>0.48181105010025804</v>
      </c>
      <c r="AC886" s="39">
        <v>0.46358641243120047</v>
      </c>
      <c r="AD886" s="39">
        <v>0.47162249389929833</v>
      </c>
      <c r="AE886" s="39">
        <v>0.4837869567417451</v>
      </c>
      <c r="AF886" s="40">
        <v>0.47959302936297493</v>
      </c>
    </row>
    <row r="887" spans="1:32">
      <c r="A887" s="15">
        <v>885</v>
      </c>
      <c r="B887" s="16">
        <v>1</v>
      </c>
      <c r="C887" s="20">
        <v>0.91</v>
      </c>
      <c r="D887" s="20">
        <v>0.21727233298780477</v>
      </c>
      <c r="E887" s="20">
        <v>0.09</v>
      </c>
      <c r="F887" s="8" t="s">
        <v>434</v>
      </c>
      <c r="G887" s="24">
        <v>0.89822914919981267</v>
      </c>
      <c r="H887" s="24">
        <v>0.90342966669431424</v>
      </c>
      <c r="I887" s="25">
        <v>0.91922941852868323</v>
      </c>
      <c r="L887" s="15">
        <v>885</v>
      </c>
      <c r="M887" s="16">
        <v>0</v>
      </c>
      <c r="N887" s="16">
        <v>3</v>
      </c>
      <c r="O887" s="16">
        <v>6</v>
      </c>
      <c r="P887" s="16">
        <v>108</v>
      </c>
      <c r="Q887" s="29">
        <v>71</v>
      </c>
      <c r="R887" s="20">
        <v>0.47729999999999995</v>
      </c>
      <c r="S887" s="32">
        <v>33.888299999999994</v>
      </c>
      <c r="T887" s="35">
        <v>1.1000000000000001</v>
      </c>
      <c r="U887" s="35">
        <v>0.21</v>
      </c>
      <c r="V887" s="35">
        <v>1.5492957746478875E-2</v>
      </c>
      <c r="W887" s="9" t="s">
        <v>153</v>
      </c>
      <c r="X887" s="15">
        <v>886</v>
      </c>
      <c r="Y887" s="39">
        <v>0.48943356381898429</v>
      </c>
      <c r="Z887" s="39">
        <v>0.48361939335659815</v>
      </c>
      <c r="AA887" s="39">
        <v>0.4810710439076159</v>
      </c>
      <c r="AB887" s="39">
        <v>0.47244015008629708</v>
      </c>
      <c r="AC887" s="39">
        <v>0.48178844923904091</v>
      </c>
      <c r="AD887" s="39">
        <v>0.47733815460702028</v>
      </c>
      <c r="AE887" s="39">
        <v>0.47355395815743712</v>
      </c>
      <c r="AF887" s="40">
        <v>0.46782242715881406</v>
      </c>
    </row>
    <row r="888" spans="1:32">
      <c r="A888" s="15">
        <v>886</v>
      </c>
      <c r="B888" s="16">
        <v>1</v>
      </c>
      <c r="C888" s="20">
        <v>0.97</v>
      </c>
      <c r="D888" s="20">
        <v>0.12097036642660543</v>
      </c>
      <c r="E888" s="20">
        <v>0.03</v>
      </c>
      <c r="F888" s="8" t="s">
        <v>434</v>
      </c>
      <c r="G888" s="24">
        <v>1.6382978955047161</v>
      </c>
      <c r="H888" s="24">
        <v>1.647783222132523</v>
      </c>
      <c r="I888" s="25">
        <v>1.6578926537592125</v>
      </c>
      <c r="L888" s="15">
        <v>886</v>
      </c>
      <c r="M888" s="16">
        <v>0</v>
      </c>
      <c r="N888" s="16">
        <v>3</v>
      </c>
      <c r="O888" s="16">
        <v>6</v>
      </c>
      <c r="P888" s="16">
        <v>109</v>
      </c>
      <c r="Q888" s="29">
        <v>61</v>
      </c>
      <c r="R888" s="20">
        <v>0.47729999999999995</v>
      </c>
      <c r="S888" s="32">
        <v>29.115299999999998</v>
      </c>
      <c r="T888" s="35">
        <v>4.3600000000000003</v>
      </c>
      <c r="U888" s="35">
        <v>3.59</v>
      </c>
      <c r="V888" s="35">
        <v>7.1475409836065582E-2</v>
      </c>
      <c r="W888" s="9" t="s">
        <v>155</v>
      </c>
      <c r="X888" s="15">
        <v>887</v>
      </c>
      <c r="Y888" s="39">
        <v>0.48164315895900089</v>
      </c>
      <c r="Z888" s="39">
        <v>0.48964051347139781</v>
      </c>
      <c r="AA888" s="39">
        <v>0.48964239014725408</v>
      </c>
      <c r="AB888" s="39">
        <v>0.49073552859151909</v>
      </c>
      <c r="AC888" s="39">
        <v>0.47500444306225958</v>
      </c>
      <c r="AD888" s="39">
        <v>0.48451078376610546</v>
      </c>
      <c r="AE888" s="39">
        <v>0.48442674837135968</v>
      </c>
      <c r="AF888" s="40">
        <v>0.48756724014251984</v>
      </c>
    </row>
    <row r="889" spans="1:32">
      <c r="A889" s="15">
        <v>887</v>
      </c>
      <c r="B889" s="16">
        <v>1</v>
      </c>
      <c r="C889" s="20">
        <v>0.02</v>
      </c>
      <c r="D889" s="20">
        <v>0.99835916395484214</v>
      </c>
      <c r="E889" s="20">
        <v>1</v>
      </c>
      <c r="F889" s="8" t="s">
        <v>436</v>
      </c>
      <c r="G889" s="24">
        <v>1.0879125040973585</v>
      </c>
      <c r="H889" s="24">
        <v>1.0942112397986943</v>
      </c>
      <c r="I889" s="25">
        <v>1.1133475009605123</v>
      </c>
      <c r="L889" s="15">
        <v>887</v>
      </c>
      <c r="M889" s="16">
        <v>0</v>
      </c>
      <c r="N889" s="16">
        <v>3</v>
      </c>
      <c r="O889" s="16">
        <v>6</v>
      </c>
      <c r="P889" s="16">
        <v>110</v>
      </c>
      <c r="Q889" s="29">
        <v>60</v>
      </c>
      <c r="R889" s="20">
        <v>0.47729999999999995</v>
      </c>
      <c r="S889" s="32">
        <v>28.637999999999998</v>
      </c>
      <c r="T889" s="35">
        <v>2.3400000000000003</v>
      </c>
      <c r="U889" s="35">
        <v>1.51</v>
      </c>
      <c r="V889" s="35">
        <v>3.9000000000000007E-2</v>
      </c>
      <c r="W889" s="9" t="s">
        <v>154</v>
      </c>
      <c r="X889" s="15">
        <v>888</v>
      </c>
      <c r="Y889" s="39">
        <v>0.48540272987606614</v>
      </c>
      <c r="Z889" s="39">
        <v>0.4867286249610005</v>
      </c>
      <c r="AA889" s="39">
        <v>0.48747421200001134</v>
      </c>
      <c r="AB889" s="39">
        <v>0.48836763776287967</v>
      </c>
      <c r="AC889" s="39">
        <v>0.47736489042033764</v>
      </c>
      <c r="AD889" s="39">
        <v>0.48172825974601702</v>
      </c>
      <c r="AE889" s="39">
        <v>0.48062845236241641</v>
      </c>
      <c r="AF889" s="40">
        <v>0.48512031062765165</v>
      </c>
    </row>
    <row r="890" spans="1:32">
      <c r="A890" s="15">
        <v>888</v>
      </c>
      <c r="B890" s="16">
        <v>0</v>
      </c>
      <c r="C890" s="20">
        <v>0.34</v>
      </c>
      <c r="D890" s="20">
        <v>0.69712180989631822</v>
      </c>
      <c r="E890" s="20">
        <v>0.06</v>
      </c>
      <c r="F890" s="8" t="s">
        <v>436</v>
      </c>
      <c r="G890" s="24">
        <v>0.96825735785062572</v>
      </c>
      <c r="H890" s="24">
        <v>0.97386332079801829</v>
      </c>
      <c r="I890" s="25">
        <v>0.99089486111205738</v>
      </c>
      <c r="L890" s="15">
        <v>888</v>
      </c>
      <c r="M890" s="16">
        <v>0</v>
      </c>
      <c r="N890" s="16">
        <v>3</v>
      </c>
      <c r="O890" s="16">
        <v>6</v>
      </c>
      <c r="P890" s="16">
        <v>111</v>
      </c>
      <c r="Q890" s="29">
        <v>65</v>
      </c>
      <c r="R890" s="20">
        <v>0.47729999999999995</v>
      </c>
      <c r="S890" s="32">
        <v>31.024499999999996</v>
      </c>
      <c r="T890" s="35">
        <v>2.38</v>
      </c>
      <c r="U890" s="35">
        <v>1.43</v>
      </c>
      <c r="V890" s="35">
        <v>3.6615384615384612E-2</v>
      </c>
      <c r="W890" s="9" t="s">
        <v>154</v>
      </c>
      <c r="X890" s="15">
        <v>889</v>
      </c>
      <c r="Y890" s="39">
        <v>0.48766726525796655</v>
      </c>
      <c r="Z890" s="39">
        <v>0.50714144264918837</v>
      </c>
      <c r="AA890" s="39">
        <v>0.49474722781201536</v>
      </c>
      <c r="AB890" s="39">
        <v>0.49229703539475117</v>
      </c>
      <c r="AC890" s="39">
        <v>0.48198810507863182</v>
      </c>
      <c r="AD890" s="39">
        <v>0.49786285153728138</v>
      </c>
      <c r="AE890" s="39">
        <v>0.48708307471021273</v>
      </c>
      <c r="AF890" s="40">
        <v>0.4894275727349004</v>
      </c>
    </row>
    <row r="891" spans="1:32">
      <c r="A891" s="15">
        <v>889</v>
      </c>
      <c r="B891" s="16">
        <v>0</v>
      </c>
      <c r="C891" s="20">
        <v>7.0000000000000007E-2</v>
      </c>
      <c r="D891" s="20">
        <v>0.94456872735024999</v>
      </c>
      <c r="E891" s="20">
        <v>0.44</v>
      </c>
      <c r="F891" s="8" t="s">
        <v>436</v>
      </c>
      <c r="G891" s="24">
        <v>1.0948602121966795</v>
      </c>
      <c r="H891" s="24">
        <v>1.1011991733544586</v>
      </c>
      <c r="I891" s="25">
        <v>1.1204576439367619</v>
      </c>
      <c r="L891" s="15">
        <v>889</v>
      </c>
      <c r="M891" s="16">
        <v>0</v>
      </c>
      <c r="N891" s="16">
        <v>3</v>
      </c>
      <c r="O891" s="16">
        <v>6</v>
      </c>
      <c r="P891" s="16">
        <v>112</v>
      </c>
      <c r="Q891" s="29">
        <v>49</v>
      </c>
      <c r="R891" s="20">
        <v>0.47729999999999995</v>
      </c>
      <c r="S891" s="32">
        <v>23.387699999999999</v>
      </c>
      <c r="T891" s="35">
        <v>1.28</v>
      </c>
      <c r="U891" s="35">
        <v>0.56000000000000005</v>
      </c>
      <c r="V891" s="35">
        <v>2.6122448979591838E-2</v>
      </c>
      <c r="W891" s="9" t="s">
        <v>153</v>
      </c>
      <c r="X891" s="15">
        <v>890</v>
      </c>
      <c r="Y891" s="39">
        <v>0.48978070660176426</v>
      </c>
      <c r="Z891" s="39">
        <v>0.47059068939765347</v>
      </c>
      <c r="AA891" s="39">
        <v>0.48560098319179429</v>
      </c>
      <c r="AB891" s="39">
        <v>0.50376949121740122</v>
      </c>
      <c r="AC891" s="39">
        <v>0.48207686543561373</v>
      </c>
      <c r="AD891" s="39">
        <v>0.46348222139598316</v>
      </c>
      <c r="AE891" s="39">
        <v>0.47720042078804203</v>
      </c>
      <c r="AF891" s="40">
        <v>0.49875802736844826</v>
      </c>
    </row>
    <row r="892" spans="1:32">
      <c r="A892" s="15">
        <v>890</v>
      </c>
      <c r="B892" s="16">
        <v>0</v>
      </c>
      <c r="C892" s="20">
        <v>0.02</v>
      </c>
      <c r="D892" s="20">
        <v>0.99679477127711513</v>
      </c>
      <c r="E892" s="20">
        <v>1</v>
      </c>
      <c r="F892" s="8" t="s">
        <v>436</v>
      </c>
      <c r="G892" s="24">
        <v>0.93581443203480397</v>
      </c>
      <c r="H892" s="24">
        <v>0.94123255872300993</v>
      </c>
      <c r="I892" s="25">
        <v>0.95769343154409647</v>
      </c>
      <c r="L892" s="15">
        <v>890</v>
      </c>
      <c r="M892" s="16">
        <v>0</v>
      </c>
      <c r="N892" s="16">
        <v>3</v>
      </c>
      <c r="O892" s="16">
        <v>6</v>
      </c>
      <c r="P892" s="16">
        <v>113</v>
      </c>
      <c r="Q892" s="29">
        <v>67</v>
      </c>
      <c r="R892" s="20">
        <v>0.47729999999999995</v>
      </c>
      <c r="S892" s="32">
        <v>31.979099999999995</v>
      </c>
      <c r="T892" s="35">
        <v>2.0300000000000002</v>
      </c>
      <c r="U892" s="35">
        <v>1.17</v>
      </c>
      <c r="V892" s="35">
        <v>3.0298507462686572E-2</v>
      </c>
      <c r="W892" s="9" t="s">
        <v>154</v>
      </c>
      <c r="X892" s="15">
        <v>891</v>
      </c>
      <c r="Y892" s="39">
        <v>0.49238700607051944</v>
      </c>
      <c r="Z892" s="39">
        <v>0.48052032788707033</v>
      </c>
      <c r="AA892" s="39">
        <v>0.46858992021799339</v>
      </c>
      <c r="AB892" s="39">
        <v>0.49112446023341322</v>
      </c>
      <c r="AC892" s="39">
        <v>0.48655178027525237</v>
      </c>
      <c r="AD892" s="39">
        <v>0.47252139106874619</v>
      </c>
      <c r="AE892" s="39">
        <v>0.46366312323611808</v>
      </c>
      <c r="AF892" s="40">
        <v>0.48693556953884282</v>
      </c>
    </row>
    <row r="893" spans="1:32">
      <c r="A893" s="15">
        <v>891</v>
      </c>
      <c r="B893" s="16">
        <v>1</v>
      </c>
      <c r="C893" s="20">
        <v>0.02</v>
      </c>
      <c r="D893" s="20">
        <v>0.99835916395484214</v>
      </c>
      <c r="E893" s="20">
        <v>1</v>
      </c>
      <c r="F893" s="8" t="s">
        <v>436</v>
      </c>
      <c r="G893" s="24">
        <v>1.0590273228607097</v>
      </c>
      <c r="H893" s="24">
        <v>1.0651588207358329</v>
      </c>
      <c r="I893" s="25">
        <v>1.0837869947401182</v>
      </c>
      <c r="L893" s="15">
        <v>891</v>
      </c>
      <c r="M893" s="16">
        <v>0</v>
      </c>
      <c r="N893" s="16">
        <v>3</v>
      </c>
      <c r="O893" s="16">
        <v>6</v>
      </c>
      <c r="P893" s="16">
        <v>114</v>
      </c>
      <c r="Q893" s="29">
        <v>41</v>
      </c>
      <c r="R893" s="20">
        <v>0.47729999999999995</v>
      </c>
      <c r="S893" s="32">
        <v>19.569299999999998</v>
      </c>
      <c r="T893" s="35">
        <v>0.81</v>
      </c>
      <c r="U893" s="35">
        <v>0.23</v>
      </c>
      <c r="V893" s="35">
        <v>1.975609756097561E-2</v>
      </c>
      <c r="W893" s="9" t="s">
        <v>152</v>
      </c>
      <c r="X893" s="15">
        <v>892</v>
      </c>
      <c r="Y893" s="39">
        <v>0.47968885216833312</v>
      </c>
      <c r="Z893" s="39">
        <v>0.49642355707976915</v>
      </c>
      <c r="AA893" s="39">
        <v>0.4842771306636568</v>
      </c>
      <c r="AB893" s="39">
        <v>0.49559592991796286</v>
      </c>
      <c r="AC893" s="39">
        <v>0.47191209822897762</v>
      </c>
      <c r="AD893" s="39">
        <v>0.48902207818429283</v>
      </c>
      <c r="AE893" s="39">
        <v>0.47591491308400574</v>
      </c>
      <c r="AF893" s="40">
        <v>0.49007221896870834</v>
      </c>
    </row>
    <row r="894" spans="1:32">
      <c r="A894" s="15">
        <v>892</v>
      </c>
      <c r="B894" s="16">
        <v>1</v>
      </c>
      <c r="C894" s="20">
        <v>0.26</v>
      </c>
      <c r="D894" s="20">
        <v>0.75960192120518255</v>
      </c>
      <c r="E894" s="20">
        <v>0.43</v>
      </c>
      <c r="F894" s="8" t="s">
        <v>436</v>
      </c>
      <c r="G894" s="24">
        <v>0.86745719570081059</v>
      </c>
      <c r="H894" s="24">
        <v>0.87247955143931255</v>
      </c>
      <c r="I894" s="25">
        <v>0.88773802799979828</v>
      </c>
      <c r="L894" s="15">
        <v>892</v>
      </c>
      <c r="M894" s="16">
        <v>0</v>
      </c>
      <c r="N894" s="16">
        <v>3</v>
      </c>
      <c r="O894" s="16">
        <v>6</v>
      </c>
      <c r="P894" s="16">
        <v>115</v>
      </c>
      <c r="Q894" s="29">
        <v>60</v>
      </c>
      <c r="R894" s="20">
        <v>0.47729999999999995</v>
      </c>
      <c r="S894" s="32">
        <v>28.637999999999998</v>
      </c>
      <c r="T894" s="35">
        <v>1.67</v>
      </c>
      <c r="U894" s="35">
        <v>0.91</v>
      </c>
      <c r="V894" s="35">
        <v>2.7833333333333331E-2</v>
      </c>
      <c r="W894" s="9" t="s">
        <v>153</v>
      </c>
      <c r="X894" s="15">
        <v>893</v>
      </c>
      <c r="Y894" s="39">
        <v>0.48125706249186362</v>
      </c>
      <c r="Z894" s="39">
        <v>0.47708114395256485</v>
      </c>
      <c r="AA894" s="39">
        <v>0.47465837291623886</v>
      </c>
      <c r="AB894" s="39">
        <v>0.48578026635933019</v>
      </c>
      <c r="AC894" s="39">
        <v>0.47759765912401142</v>
      </c>
      <c r="AD894" s="39">
        <v>0.46806369303651707</v>
      </c>
      <c r="AE894" s="39">
        <v>0.46875078195450287</v>
      </c>
      <c r="AF894" s="40">
        <v>0.48339799179101584</v>
      </c>
    </row>
    <row r="895" spans="1:32">
      <c r="A895" s="15">
        <v>893</v>
      </c>
      <c r="B895" s="16">
        <v>1</v>
      </c>
      <c r="C895" s="20">
        <v>0.33</v>
      </c>
      <c r="D895" s="20">
        <v>0.74556773017506395</v>
      </c>
      <c r="E895" s="20">
        <v>0.06</v>
      </c>
      <c r="F895" s="8" t="s">
        <v>436</v>
      </c>
      <c r="G895" s="24">
        <v>0.84864179882722479</v>
      </c>
      <c r="H895" s="24">
        <v>0.85355521822059222</v>
      </c>
      <c r="I895" s="25">
        <v>0.86848273402175213</v>
      </c>
      <c r="L895" s="15">
        <v>893</v>
      </c>
      <c r="M895" s="16">
        <v>0</v>
      </c>
      <c r="N895" s="16">
        <v>3</v>
      </c>
      <c r="O895" s="16">
        <v>6</v>
      </c>
      <c r="P895" s="16">
        <v>116</v>
      </c>
      <c r="Q895" s="29">
        <v>65</v>
      </c>
      <c r="R895" s="20">
        <v>0.47729999999999995</v>
      </c>
      <c r="S895" s="32">
        <v>31.024499999999996</v>
      </c>
      <c r="T895" s="35">
        <v>1.65</v>
      </c>
      <c r="U895" s="35">
        <v>0.93</v>
      </c>
      <c r="V895" s="35">
        <v>2.5384615384615384E-2</v>
      </c>
      <c r="W895" s="9" t="s">
        <v>153</v>
      </c>
      <c r="X895" s="15">
        <v>894</v>
      </c>
      <c r="Y895" s="39">
        <v>0.48139864032925778</v>
      </c>
      <c r="Z895" s="39">
        <v>0.46840315359488055</v>
      </c>
      <c r="AA895" s="39">
        <v>0.4841344783106013</v>
      </c>
      <c r="AB895" s="39">
        <v>0.4965259854997921</v>
      </c>
      <c r="AC895" s="39">
        <v>0.47491496403397437</v>
      </c>
      <c r="AD895" s="39">
        <v>0.46273136369629464</v>
      </c>
      <c r="AE895" s="39">
        <v>0.47581406060681253</v>
      </c>
      <c r="AF895" s="40">
        <v>0.48926928386177743</v>
      </c>
    </row>
    <row r="896" spans="1:32">
      <c r="A896" s="15">
        <v>894</v>
      </c>
      <c r="B896" s="16">
        <v>1</v>
      </c>
      <c r="C896" s="20">
        <v>0.94</v>
      </c>
      <c r="D896" s="20">
        <v>0.17188516685452584</v>
      </c>
      <c r="E896" s="20">
        <v>0.06</v>
      </c>
      <c r="F896" s="8" t="s">
        <v>434</v>
      </c>
      <c r="G896" s="24">
        <v>1.0507114202627148</v>
      </c>
      <c r="H896" s="24">
        <v>1.0567947711844887</v>
      </c>
      <c r="I896" s="25">
        <v>1.0752766693777027</v>
      </c>
      <c r="L896" s="15">
        <v>894</v>
      </c>
      <c r="M896" s="16">
        <v>0</v>
      </c>
      <c r="N896" s="16">
        <v>3</v>
      </c>
      <c r="O896" s="16">
        <v>6</v>
      </c>
      <c r="P896" s="16">
        <v>117</v>
      </c>
      <c r="Q896" s="29">
        <v>66</v>
      </c>
      <c r="R896" s="20">
        <v>0.47729999999999995</v>
      </c>
      <c r="S896" s="32">
        <v>31.501799999999996</v>
      </c>
      <c r="T896" s="35">
        <v>1.45</v>
      </c>
      <c r="U896" s="35">
        <v>0.32</v>
      </c>
      <c r="V896" s="35">
        <v>2.1969696969696969E-2</v>
      </c>
      <c r="W896" s="9" t="s">
        <v>153</v>
      </c>
      <c r="X896" s="15">
        <v>895</v>
      </c>
      <c r="Y896" s="39">
        <v>0.48614239970663875</v>
      </c>
      <c r="Z896" s="39">
        <v>0.4837943386284938</v>
      </c>
      <c r="AA896" s="39">
        <v>0.49523150318899672</v>
      </c>
      <c r="AB896" s="39">
        <v>0.4876532832901872</v>
      </c>
      <c r="AC896" s="39">
        <v>0.48208002931466559</v>
      </c>
      <c r="AD896" s="39">
        <v>0.47611754834866171</v>
      </c>
      <c r="AE896" s="39">
        <v>0.4873919905131438</v>
      </c>
      <c r="AF896" s="40">
        <v>0.48360957737291843</v>
      </c>
    </row>
    <row r="897" spans="1:32">
      <c r="A897" s="15">
        <v>895</v>
      </c>
      <c r="B897" s="16">
        <v>0</v>
      </c>
      <c r="C897" s="20">
        <v>0.45</v>
      </c>
      <c r="D897" s="20">
        <v>0.72342813926504701</v>
      </c>
      <c r="E897" s="20">
        <v>0.04</v>
      </c>
      <c r="F897" s="8" t="s">
        <v>436</v>
      </c>
      <c r="G897" s="24">
        <v>0.68568363798617671</v>
      </c>
      <c r="H897" s="24">
        <v>0.68965357122450155</v>
      </c>
      <c r="I897" s="25">
        <v>0.7017146709190728</v>
      </c>
      <c r="L897" s="15">
        <v>895</v>
      </c>
      <c r="M897" s="16">
        <v>0</v>
      </c>
      <c r="N897" s="16">
        <v>3</v>
      </c>
      <c r="O897" s="16">
        <v>6</v>
      </c>
      <c r="P897" s="16">
        <v>118</v>
      </c>
      <c r="Q897" s="29">
        <v>49</v>
      </c>
      <c r="R897" s="20">
        <v>0.47729999999999995</v>
      </c>
      <c r="S897" s="32">
        <v>23.387699999999999</v>
      </c>
      <c r="T897" s="35">
        <v>0.96</v>
      </c>
      <c r="U897" s="35">
        <v>0.3</v>
      </c>
      <c r="V897" s="35">
        <v>1.9591836734693877E-2</v>
      </c>
      <c r="W897" s="9" t="s">
        <v>152</v>
      </c>
      <c r="X897" s="15">
        <v>896</v>
      </c>
      <c r="Y897" s="39">
        <v>0.48279720871305426</v>
      </c>
      <c r="Z897" s="39">
        <v>0.4926254488081373</v>
      </c>
      <c r="AA897" s="39">
        <v>0.47485985895120469</v>
      </c>
      <c r="AB897" s="39">
        <v>0.47257067697338956</v>
      </c>
      <c r="AC897" s="39">
        <v>0.47640565632034593</v>
      </c>
      <c r="AD897" s="39">
        <v>0.48662755822444126</v>
      </c>
      <c r="AE897" s="39">
        <v>0.46925442330545047</v>
      </c>
      <c r="AF897" s="40">
        <v>0.46870549677262563</v>
      </c>
    </row>
    <row r="898" spans="1:32">
      <c r="A898" s="15">
        <v>896</v>
      </c>
      <c r="B898" s="16">
        <v>1</v>
      </c>
      <c r="C898" s="20">
        <v>0.23</v>
      </c>
      <c r="D898" s="20">
        <v>0.81038069871037233</v>
      </c>
      <c r="E898" s="20">
        <v>0.47</v>
      </c>
      <c r="F898" s="8" t="s">
        <v>436</v>
      </c>
      <c r="G898" s="24">
        <v>0.69260578455501687</v>
      </c>
      <c r="H898" s="24">
        <v>0.69661579525504824</v>
      </c>
      <c r="I898" s="25">
        <v>0.70879865474559833</v>
      </c>
      <c r="L898" s="15">
        <v>896</v>
      </c>
      <c r="M898" s="16">
        <v>0</v>
      </c>
      <c r="N898" s="16">
        <v>3</v>
      </c>
      <c r="O898" s="16">
        <v>6</v>
      </c>
      <c r="P898" s="16">
        <v>119</v>
      </c>
      <c r="Q898" s="29">
        <v>60</v>
      </c>
      <c r="R898" s="20">
        <v>0.47729999999999995</v>
      </c>
      <c r="S898" s="32">
        <v>28.637999999999998</v>
      </c>
      <c r="T898" s="35">
        <v>1.24</v>
      </c>
      <c r="U898" s="35">
        <v>0.37</v>
      </c>
      <c r="V898" s="35">
        <v>2.0666666666666667E-2</v>
      </c>
      <c r="W898" s="9" t="s">
        <v>153</v>
      </c>
      <c r="X898" s="15">
        <v>897</v>
      </c>
      <c r="Y898" s="39">
        <v>0.47967215146182351</v>
      </c>
      <c r="Z898" s="39">
        <v>0.48128880768343085</v>
      </c>
      <c r="AA898" s="39">
        <v>0.49102623669828249</v>
      </c>
      <c r="AB898" s="39">
        <v>0.47913819708852146</v>
      </c>
      <c r="AC898" s="39">
        <v>0.4750123033270251</v>
      </c>
      <c r="AD898" s="39">
        <v>0.47804585366310709</v>
      </c>
      <c r="AE898" s="39">
        <v>0.48528863970141473</v>
      </c>
      <c r="AF898" s="40">
        <v>0.4728478044746332</v>
      </c>
    </row>
    <row r="899" spans="1:32">
      <c r="A899" s="15">
        <v>897</v>
      </c>
      <c r="B899" s="16">
        <v>0</v>
      </c>
      <c r="C899" s="20">
        <v>0.42</v>
      </c>
      <c r="D899" s="20">
        <v>0.65048059427740534</v>
      </c>
      <c r="E899" s="20">
        <v>0.08</v>
      </c>
      <c r="F899" s="8" t="s">
        <v>436</v>
      </c>
      <c r="G899" s="24">
        <v>1.3308057400476223</v>
      </c>
      <c r="H899" s="24">
        <v>1.3385107655848878</v>
      </c>
      <c r="I899" s="25">
        <v>1.3619194920231663</v>
      </c>
      <c r="L899" s="15">
        <v>897</v>
      </c>
      <c r="M899" s="16">
        <v>0</v>
      </c>
      <c r="N899" s="16">
        <v>3</v>
      </c>
      <c r="O899" s="16">
        <v>6</v>
      </c>
      <c r="P899" s="16">
        <v>120</v>
      </c>
      <c r="Q899" s="29">
        <v>52</v>
      </c>
      <c r="R899" s="20">
        <v>0.47729999999999995</v>
      </c>
      <c r="S899" s="32">
        <v>24.819599999999998</v>
      </c>
      <c r="T899" s="35">
        <v>2.96</v>
      </c>
      <c r="U899" s="35">
        <v>2.17</v>
      </c>
      <c r="V899" s="35">
        <v>5.6923076923076923E-2</v>
      </c>
      <c r="W899" s="9" t="s">
        <v>154</v>
      </c>
      <c r="X899" s="15">
        <v>898</v>
      </c>
      <c r="Y899" s="39">
        <v>0.48494637777500021</v>
      </c>
      <c r="Z899" s="39">
        <v>0.47749969828538447</v>
      </c>
      <c r="AA899" s="39">
        <v>0.48177381686748338</v>
      </c>
      <c r="AB899" s="39">
        <v>0.49094844417168448</v>
      </c>
      <c r="AC899" s="39">
        <v>0.4781837434605905</v>
      </c>
      <c r="AD899" s="39">
        <v>0.47127685761452837</v>
      </c>
      <c r="AE899" s="39">
        <v>0.47418796190820311</v>
      </c>
      <c r="AF899" s="40">
        <v>0.48406023561306188</v>
      </c>
    </row>
    <row r="900" spans="1:32">
      <c r="A900" s="15">
        <v>898</v>
      </c>
      <c r="B900" s="16">
        <v>0</v>
      </c>
      <c r="C900" s="20">
        <v>0.91</v>
      </c>
      <c r="D900" s="20">
        <v>0.21727233298780477</v>
      </c>
      <c r="E900" s="20">
        <v>0.09</v>
      </c>
      <c r="F900" s="8" t="s">
        <v>434</v>
      </c>
      <c r="G900" s="24">
        <v>0.51939302741074567</v>
      </c>
      <c r="H900" s="24">
        <v>0.52240018046069736</v>
      </c>
      <c r="I900" s="25">
        <v>0.53153624662477361</v>
      </c>
      <c r="L900" s="15">
        <v>898</v>
      </c>
      <c r="M900" s="16">
        <v>0</v>
      </c>
      <c r="N900" s="16">
        <v>3</v>
      </c>
      <c r="O900" s="16">
        <v>6</v>
      </c>
      <c r="P900" s="16">
        <v>121</v>
      </c>
      <c r="Q900" s="29">
        <v>65</v>
      </c>
      <c r="R900" s="20">
        <v>0.47729999999999995</v>
      </c>
      <c r="S900" s="32">
        <v>31.024499999999996</v>
      </c>
      <c r="T900" s="35">
        <v>1.1100000000000001</v>
      </c>
      <c r="U900" s="35">
        <v>0.13</v>
      </c>
      <c r="V900" s="35">
        <v>1.707692307692308E-2</v>
      </c>
      <c r="W900" s="9" t="s">
        <v>153</v>
      </c>
      <c r="X900" s="15">
        <v>899</v>
      </c>
      <c r="Y900" s="39">
        <v>0.47287823236738552</v>
      </c>
      <c r="Z900" s="39">
        <v>0.50175386608589057</v>
      </c>
      <c r="AA900" s="39">
        <v>0.48418603190674869</v>
      </c>
      <c r="AB900" s="39">
        <v>0.49318560368842129</v>
      </c>
      <c r="AC900" s="39">
        <v>0.46748728136220696</v>
      </c>
      <c r="AD900" s="39">
        <v>0.49161504025723185</v>
      </c>
      <c r="AE900" s="39">
        <v>0.47592481606592252</v>
      </c>
      <c r="AF900" s="40">
        <v>0.48887832508526879</v>
      </c>
    </row>
    <row r="901" spans="1:32">
      <c r="A901" s="15">
        <v>899</v>
      </c>
      <c r="B901" s="16">
        <v>0</v>
      </c>
      <c r="C901" s="20">
        <v>0.25</v>
      </c>
      <c r="D901" s="20">
        <v>0.79669080662247749</v>
      </c>
      <c r="E901" s="20">
        <v>0.05</v>
      </c>
      <c r="F901" s="8" t="s">
        <v>436</v>
      </c>
      <c r="G901" s="24">
        <v>0.7533624702271472</v>
      </c>
      <c r="H901" s="24">
        <v>0.75772424662864502</v>
      </c>
      <c r="I901" s="25">
        <v>0.77097580953051681</v>
      </c>
      <c r="L901" s="15">
        <v>899</v>
      </c>
      <c r="M901" s="16">
        <v>0</v>
      </c>
      <c r="N901" s="16">
        <v>3</v>
      </c>
      <c r="O901" s="16">
        <v>6</v>
      </c>
      <c r="P901" s="16">
        <v>122</v>
      </c>
      <c r="Q901" s="29">
        <v>50</v>
      </c>
      <c r="R901" s="20">
        <v>0.47729999999999995</v>
      </c>
      <c r="S901" s="32">
        <v>23.864999999999998</v>
      </c>
      <c r="T901" s="35">
        <v>2.04</v>
      </c>
      <c r="U901" s="35">
        <v>1.24</v>
      </c>
      <c r="V901" s="35">
        <v>4.0800000000000003E-2</v>
      </c>
      <c r="W901" s="9" t="s">
        <v>154</v>
      </c>
      <c r="X901" s="15">
        <v>900</v>
      </c>
      <c r="Y901" s="39">
        <v>0.47638039674421451</v>
      </c>
      <c r="Z901" s="39">
        <v>0.47658594215079558</v>
      </c>
      <c r="AA901" s="39">
        <v>0.47299667102500698</v>
      </c>
      <c r="AB901" s="39">
        <v>0.4907662511446147</v>
      </c>
      <c r="AC901" s="39">
        <v>0.46993059820214528</v>
      </c>
      <c r="AD901" s="39">
        <v>0.46980342112185025</v>
      </c>
      <c r="AE901" s="39">
        <v>0.47016142194661192</v>
      </c>
      <c r="AF901" s="40">
        <v>0.48924761227625874</v>
      </c>
    </row>
    <row r="902" spans="1:32">
      <c r="A902" s="15">
        <v>900</v>
      </c>
      <c r="B902" s="16">
        <v>1</v>
      </c>
      <c r="C902" s="20">
        <v>0.02</v>
      </c>
      <c r="D902" s="20">
        <v>0.99756714174924133</v>
      </c>
      <c r="E902" s="20">
        <v>1</v>
      </c>
      <c r="F902" s="8" t="s">
        <v>436</v>
      </c>
      <c r="G902" s="24">
        <v>1.4258466608638984</v>
      </c>
      <c r="H902" s="24">
        <v>1.4341019490728206</v>
      </c>
      <c r="I902" s="25">
        <v>1.4591824348437203</v>
      </c>
      <c r="L902" s="15">
        <v>900</v>
      </c>
      <c r="M902" s="16">
        <v>0</v>
      </c>
      <c r="N902" s="16">
        <v>3</v>
      </c>
      <c r="O902" s="16">
        <v>6</v>
      </c>
      <c r="P902" s="16">
        <v>123</v>
      </c>
      <c r="Q902" s="29">
        <v>49</v>
      </c>
      <c r="R902" s="20">
        <v>0.47729999999999995</v>
      </c>
      <c r="S902" s="32">
        <v>23.387699999999999</v>
      </c>
      <c r="T902" s="35">
        <v>0.99</v>
      </c>
      <c r="U902" s="35">
        <v>0.35</v>
      </c>
      <c r="V902" s="35">
        <v>2.0204081632653061E-2</v>
      </c>
      <c r="W902" s="9" t="s">
        <v>152</v>
      </c>
      <c r="X902" s="15">
        <v>901</v>
      </c>
      <c r="Y902" s="39">
        <v>0.48857125289129039</v>
      </c>
      <c r="Z902" s="39">
        <v>0.48184664271371985</v>
      </c>
      <c r="AA902" s="39">
        <v>0.48673243958220802</v>
      </c>
      <c r="AB902" s="39">
        <v>0.49444642852806397</v>
      </c>
      <c r="AC902" s="39">
        <v>0.47986930523783866</v>
      </c>
      <c r="AD902" s="39">
        <v>0.47638487470268731</v>
      </c>
      <c r="AE902" s="39">
        <v>0.480006718618607</v>
      </c>
      <c r="AF902" s="40">
        <v>0.49137255835049187</v>
      </c>
    </row>
    <row r="903" spans="1:32">
      <c r="A903" s="15">
        <v>901</v>
      </c>
      <c r="B903" s="16">
        <v>0</v>
      </c>
      <c r="C903" s="20">
        <v>0.02</v>
      </c>
      <c r="D903" s="20">
        <v>0.99679477127711513</v>
      </c>
      <c r="E903" s="20">
        <v>1</v>
      </c>
      <c r="F903" s="8" t="s">
        <v>436</v>
      </c>
      <c r="G903" s="24">
        <v>1.0871904302747668</v>
      </c>
      <c r="H903" s="24">
        <v>1.0934849853529842</v>
      </c>
      <c r="I903" s="25">
        <v>1.1126085453157673</v>
      </c>
      <c r="L903" s="15">
        <v>901</v>
      </c>
      <c r="M903" s="16">
        <v>0</v>
      </c>
      <c r="N903" s="16">
        <v>3</v>
      </c>
      <c r="O903" s="16">
        <v>6</v>
      </c>
      <c r="P903" s="16">
        <v>124</v>
      </c>
      <c r="Q903" s="29">
        <v>60</v>
      </c>
      <c r="R903" s="20">
        <v>0.47729999999999995</v>
      </c>
      <c r="S903" s="32">
        <v>28.637999999999998</v>
      </c>
      <c r="T903" s="35">
        <v>2.19</v>
      </c>
      <c r="U903" s="35">
        <v>1.33</v>
      </c>
      <c r="V903" s="35">
        <v>3.6499999999999998E-2</v>
      </c>
      <c r="W903" s="9" t="s">
        <v>154</v>
      </c>
      <c r="X903" s="15">
        <v>902</v>
      </c>
      <c r="Y903" s="39">
        <v>0.49084679997498987</v>
      </c>
      <c r="Z903" s="39">
        <v>0.47845779753578405</v>
      </c>
      <c r="AA903" s="39">
        <v>0.48113512964566713</v>
      </c>
      <c r="AB903" s="39">
        <v>0.47450988574254743</v>
      </c>
      <c r="AC903" s="39">
        <v>0.4836007731645432</v>
      </c>
      <c r="AD903" s="39">
        <v>0.47047068595340297</v>
      </c>
      <c r="AE903" s="39">
        <v>0.47731348308475707</v>
      </c>
      <c r="AF903" s="40">
        <v>0.46939471177332004</v>
      </c>
    </row>
    <row r="904" spans="1:32">
      <c r="A904" s="15">
        <v>902</v>
      </c>
      <c r="B904" s="16">
        <v>0</v>
      </c>
      <c r="C904" s="20">
        <v>0.93</v>
      </c>
      <c r="D904" s="20">
        <v>0.18747949848141848</v>
      </c>
      <c r="E904" s="20">
        <v>7.0000000000000007E-2</v>
      </c>
      <c r="F904" s="8" t="s">
        <v>434</v>
      </c>
      <c r="G904" s="24">
        <v>0.75161129324078935</v>
      </c>
      <c r="H904" s="24">
        <v>0.75596293077453658</v>
      </c>
      <c r="I904" s="25">
        <v>0.76918369066603265</v>
      </c>
      <c r="L904" s="15">
        <v>902</v>
      </c>
      <c r="M904" s="16">
        <v>0</v>
      </c>
      <c r="N904" s="16">
        <v>3</v>
      </c>
      <c r="O904" s="16">
        <v>6</v>
      </c>
      <c r="P904" s="16">
        <v>125</v>
      </c>
      <c r="Q904" s="29">
        <v>62</v>
      </c>
      <c r="R904" s="20">
        <v>0.47729999999999995</v>
      </c>
      <c r="S904" s="32">
        <v>29.592599999999997</v>
      </c>
      <c r="T904" s="35">
        <v>2.25</v>
      </c>
      <c r="U904" s="35">
        <v>1.26</v>
      </c>
      <c r="V904" s="35">
        <v>3.6290322580645164E-2</v>
      </c>
      <c r="W904" s="9" t="s">
        <v>154</v>
      </c>
      <c r="X904" s="15">
        <v>903</v>
      </c>
      <c r="Y904" s="39">
        <v>0.4897527019931201</v>
      </c>
      <c r="Z904" s="39">
        <v>0.47732808772771251</v>
      </c>
      <c r="AA904" s="39">
        <v>0.48596398356247211</v>
      </c>
      <c r="AB904" s="39">
        <v>0.49339811269148431</v>
      </c>
      <c r="AC904" s="39">
        <v>0.48399854963217237</v>
      </c>
      <c r="AD904" s="39">
        <v>0.47183382377480693</v>
      </c>
      <c r="AE904" s="39">
        <v>0.48132479978051201</v>
      </c>
      <c r="AF904" s="40">
        <v>0.49152015424901885</v>
      </c>
    </row>
    <row r="905" spans="1:32">
      <c r="A905" s="15">
        <v>903</v>
      </c>
      <c r="B905" s="16">
        <v>0</v>
      </c>
      <c r="C905" s="20">
        <v>0.02</v>
      </c>
      <c r="D905" s="20">
        <v>0.99679477127711513</v>
      </c>
      <c r="E905" s="20">
        <v>1</v>
      </c>
      <c r="F905" s="8" t="s">
        <v>436</v>
      </c>
      <c r="G905" s="24">
        <v>1.0700768068309741</v>
      </c>
      <c r="H905" s="24">
        <v>1.0762722783978258</v>
      </c>
      <c r="I905" s="25">
        <v>1.0950948116085382</v>
      </c>
      <c r="L905" s="15">
        <v>903</v>
      </c>
      <c r="M905" s="16">
        <v>0</v>
      </c>
      <c r="N905" s="16">
        <v>3</v>
      </c>
      <c r="O905" s="16">
        <v>6</v>
      </c>
      <c r="P905" s="16">
        <v>126</v>
      </c>
      <c r="Q905" s="29">
        <v>54</v>
      </c>
      <c r="R905" s="20">
        <v>0.47729999999999995</v>
      </c>
      <c r="S905" s="32">
        <v>25.774199999999997</v>
      </c>
      <c r="T905" s="35">
        <v>1.42</v>
      </c>
      <c r="U905" s="35">
        <v>0.72</v>
      </c>
      <c r="V905" s="35">
        <v>2.6296296296296293E-2</v>
      </c>
      <c r="W905" s="9" t="s">
        <v>153</v>
      </c>
      <c r="X905" s="15">
        <v>904</v>
      </c>
      <c r="Y905" s="39">
        <v>0.48938266006199643</v>
      </c>
      <c r="Z905" s="39">
        <v>0.48605907543027388</v>
      </c>
      <c r="AA905" s="39">
        <v>0.48509664569012484</v>
      </c>
      <c r="AB905" s="39">
        <v>0.49804422492184097</v>
      </c>
      <c r="AC905" s="39">
        <v>0.48148116905516813</v>
      </c>
      <c r="AD905" s="39">
        <v>0.47875524359854366</v>
      </c>
      <c r="AE905" s="39">
        <v>0.47794040928753623</v>
      </c>
      <c r="AF905" s="40">
        <v>0.4945466268930202</v>
      </c>
    </row>
    <row r="906" spans="1:32">
      <c r="A906" s="15">
        <v>904</v>
      </c>
      <c r="B906" s="16">
        <v>0</v>
      </c>
      <c r="C906" s="20">
        <v>0.02</v>
      </c>
      <c r="D906" s="20">
        <v>0.99756714174924133</v>
      </c>
      <c r="E906" s="20">
        <v>1</v>
      </c>
      <c r="F906" s="8" t="s">
        <v>436</v>
      </c>
      <c r="G906" s="24">
        <v>1.0747896257030871</v>
      </c>
      <c r="H906" s="24">
        <v>1.0810123832882279</v>
      </c>
      <c r="I906" s="25">
        <v>1.0999178144639929</v>
      </c>
      <c r="L906" s="15">
        <v>904</v>
      </c>
      <c r="M906" s="16">
        <v>0</v>
      </c>
      <c r="N906" s="16">
        <v>3</v>
      </c>
      <c r="O906" s="16">
        <v>6</v>
      </c>
      <c r="P906" s="16">
        <v>127</v>
      </c>
      <c r="Q906" s="29">
        <v>49</v>
      </c>
      <c r="R906" s="20">
        <v>0.47729999999999995</v>
      </c>
      <c r="S906" s="32">
        <v>23.387699999999999</v>
      </c>
      <c r="T906" s="35">
        <v>0.99</v>
      </c>
      <c r="U906" s="35">
        <v>0.26</v>
      </c>
      <c r="V906" s="35">
        <v>2.0204081632653061E-2</v>
      </c>
      <c r="W906" s="9" t="s">
        <v>152</v>
      </c>
      <c r="X906" s="15">
        <v>905</v>
      </c>
      <c r="Y906" s="39">
        <v>0.48258944904843531</v>
      </c>
      <c r="Z906" s="39">
        <v>0.47290030345418271</v>
      </c>
      <c r="AA906" s="39">
        <v>0.49110647697260229</v>
      </c>
      <c r="AB906" s="39">
        <v>0.47917311310993188</v>
      </c>
      <c r="AC906" s="39">
        <v>0.47394446874812668</v>
      </c>
      <c r="AD906" s="39">
        <v>0.46755224389616645</v>
      </c>
      <c r="AE906" s="39">
        <v>0.48249598490466516</v>
      </c>
      <c r="AF906" s="40">
        <v>0.473548437137425</v>
      </c>
    </row>
    <row r="907" spans="1:32">
      <c r="A907" s="15">
        <v>905</v>
      </c>
      <c r="B907" s="16">
        <v>0</v>
      </c>
      <c r="C907" s="20">
        <v>0.88</v>
      </c>
      <c r="D907" s="20">
        <v>0.25930874124763043</v>
      </c>
      <c r="E907" s="20">
        <v>0.12</v>
      </c>
      <c r="F907" s="8" t="s">
        <v>434</v>
      </c>
      <c r="G907" s="24">
        <v>0.65424038824305286</v>
      </c>
      <c r="H907" s="24">
        <v>0.65802827309147771</v>
      </c>
      <c r="I907" s="25">
        <v>0.66953628948514521</v>
      </c>
      <c r="L907" s="15">
        <v>905</v>
      </c>
      <c r="M907" s="16">
        <v>0</v>
      </c>
      <c r="N907" s="16">
        <v>3</v>
      </c>
      <c r="O907" s="16">
        <v>6</v>
      </c>
      <c r="P907" s="16">
        <v>128</v>
      </c>
      <c r="Q907" s="29">
        <v>58</v>
      </c>
      <c r="R907" s="20">
        <v>0.47729999999999995</v>
      </c>
      <c r="S907" s="32">
        <v>27.683399999999995</v>
      </c>
      <c r="T907" s="35">
        <v>1.59</v>
      </c>
      <c r="U907" s="35">
        <v>0.67</v>
      </c>
      <c r="V907" s="35">
        <v>2.7413793103448277E-2</v>
      </c>
      <c r="W907" s="9" t="s">
        <v>153</v>
      </c>
      <c r="X907" s="15">
        <v>906</v>
      </c>
      <c r="Y907" s="39">
        <v>0.49529923057841901</v>
      </c>
      <c r="Z907" s="39">
        <v>0.49480833658973811</v>
      </c>
      <c r="AA907" s="39">
        <v>0.48500993419514626</v>
      </c>
      <c r="AB907" s="39">
        <v>0.48576021238166817</v>
      </c>
      <c r="AC907" s="39">
        <v>0.48903400239746769</v>
      </c>
      <c r="AD907" s="39">
        <v>0.48862200610083711</v>
      </c>
      <c r="AE907" s="39">
        <v>0.47863297584684789</v>
      </c>
      <c r="AF907" s="40">
        <v>0.48146806292110067</v>
      </c>
    </row>
    <row r="908" spans="1:32">
      <c r="A908" s="15">
        <v>906</v>
      </c>
      <c r="B908" s="16">
        <v>0</v>
      </c>
      <c r="C908" s="20">
        <v>0.89</v>
      </c>
      <c r="D908" s="20">
        <v>0.24559627500636821</v>
      </c>
      <c r="E908" s="20">
        <v>0.11</v>
      </c>
      <c r="F908" s="8" t="s">
        <v>434</v>
      </c>
      <c r="G908" s="24">
        <v>1.4619536281582637</v>
      </c>
      <c r="H908" s="24">
        <v>1.4704179664912607</v>
      </c>
      <c r="I908" s="25">
        <v>1.496133569841289</v>
      </c>
      <c r="L908" s="15">
        <v>906</v>
      </c>
      <c r="M908" s="16">
        <v>0</v>
      </c>
      <c r="N908" s="16">
        <v>3</v>
      </c>
      <c r="O908" s="16">
        <v>6</v>
      </c>
      <c r="P908" s="16">
        <v>129</v>
      </c>
      <c r="Q908" s="29">
        <v>60</v>
      </c>
      <c r="R908" s="20">
        <v>0.47729999999999995</v>
      </c>
      <c r="S908" s="32">
        <v>28.637999999999998</v>
      </c>
      <c r="T908" s="35">
        <v>2.2600000000000002</v>
      </c>
      <c r="U908" s="35">
        <v>1.48</v>
      </c>
      <c r="V908" s="35">
        <v>3.7666666666666668E-2</v>
      </c>
      <c r="W908" s="9" t="s">
        <v>154</v>
      </c>
      <c r="X908" s="15">
        <v>907</v>
      </c>
      <c r="Y908" s="39">
        <v>0.49977918449625836</v>
      </c>
      <c r="Z908" s="39">
        <v>0.47646171217660804</v>
      </c>
      <c r="AA908" s="39">
        <v>0.49121128177096413</v>
      </c>
      <c r="AB908" s="39">
        <v>0.50934323972511308</v>
      </c>
      <c r="AC908" s="39">
        <v>0.48937019121340591</v>
      </c>
      <c r="AD908" s="39">
        <v>0.46818180683503829</v>
      </c>
      <c r="AE908" s="39">
        <v>0.48378574548145237</v>
      </c>
      <c r="AF908" s="40">
        <v>0.50687347388678039</v>
      </c>
    </row>
    <row r="909" spans="1:32">
      <c r="A909" s="15">
        <v>907</v>
      </c>
      <c r="B909" s="16">
        <v>1</v>
      </c>
      <c r="C909" s="20">
        <v>0.21</v>
      </c>
      <c r="D909" s="20">
        <v>0.85764651238858636</v>
      </c>
      <c r="E909" s="20">
        <v>0.45</v>
      </c>
      <c r="F909" s="8" t="s">
        <v>436</v>
      </c>
      <c r="G909" s="24">
        <v>0.68209163181904031</v>
      </c>
      <c r="H909" s="24">
        <v>0.68604076825854254</v>
      </c>
      <c r="I909" s="25">
        <v>0.69803868496013388</v>
      </c>
      <c r="L909" s="15">
        <v>907</v>
      </c>
      <c r="M909" s="16">
        <v>0</v>
      </c>
      <c r="N909" s="16">
        <v>3</v>
      </c>
      <c r="O909" s="16">
        <v>6</v>
      </c>
      <c r="P909" s="16">
        <v>130</v>
      </c>
      <c r="Q909" s="29">
        <v>58</v>
      </c>
      <c r="R909" s="20">
        <v>0.47729999999999995</v>
      </c>
      <c r="S909" s="32">
        <v>27.683399999999995</v>
      </c>
      <c r="T909" s="35">
        <v>2.4500000000000002</v>
      </c>
      <c r="U909" s="35">
        <v>1.55</v>
      </c>
      <c r="V909" s="35">
        <v>4.2241379310344829E-2</v>
      </c>
      <c r="W909" s="9" t="s">
        <v>154</v>
      </c>
      <c r="X909" s="15">
        <v>908</v>
      </c>
      <c r="Y909" s="39">
        <v>0.47555622649632645</v>
      </c>
      <c r="Z909" s="39">
        <v>0.49158561223114322</v>
      </c>
      <c r="AA909" s="39">
        <v>0.4900635315455954</v>
      </c>
      <c r="AB909" s="39">
        <v>0.47386762230329277</v>
      </c>
      <c r="AC909" s="39">
        <v>0.47112183493566445</v>
      </c>
      <c r="AD909" s="39">
        <v>0.48494503285430346</v>
      </c>
      <c r="AE909" s="39">
        <v>0.48534486821289913</v>
      </c>
      <c r="AF909" s="40">
        <v>0.46868535485378604</v>
      </c>
    </row>
    <row r="910" spans="1:32">
      <c r="A910" s="15">
        <v>908</v>
      </c>
      <c r="B910" s="16">
        <v>0</v>
      </c>
      <c r="C910" s="20">
        <v>0.95</v>
      </c>
      <c r="D910" s="20">
        <v>0.15570568692893463</v>
      </c>
      <c r="E910" s="20">
        <v>0.05</v>
      </c>
      <c r="F910" s="8" t="s">
        <v>434</v>
      </c>
      <c r="G910" s="24">
        <v>0.6142404279621142</v>
      </c>
      <c r="H910" s="24">
        <v>0.61779672325078616</v>
      </c>
      <c r="I910" s="25">
        <v>0.62860114474733142</v>
      </c>
      <c r="L910" s="15">
        <v>908</v>
      </c>
      <c r="M910" s="16">
        <v>0</v>
      </c>
      <c r="N910" s="16">
        <v>3</v>
      </c>
      <c r="O910" s="16">
        <v>6</v>
      </c>
      <c r="P910" s="16">
        <v>131</v>
      </c>
      <c r="Q910" s="29">
        <v>53</v>
      </c>
      <c r="R910" s="20">
        <v>0.47729999999999995</v>
      </c>
      <c r="S910" s="32">
        <v>25.296899999999997</v>
      </c>
      <c r="T910" s="35">
        <v>0.85</v>
      </c>
      <c r="U910" s="35">
        <v>0.21</v>
      </c>
      <c r="V910" s="35">
        <v>1.6037735849056604E-2</v>
      </c>
      <c r="W910" s="9" t="s">
        <v>152</v>
      </c>
      <c r="X910" s="15">
        <v>909</v>
      </c>
      <c r="Y910" s="39">
        <v>0.47302574925713564</v>
      </c>
      <c r="Z910" s="39">
        <v>0.48059822910650729</v>
      </c>
      <c r="AA910" s="39">
        <v>0.47914129992996457</v>
      </c>
      <c r="AB910" s="39">
        <v>0.50210074388922787</v>
      </c>
      <c r="AC910" s="39">
        <v>0.46701534103765424</v>
      </c>
      <c r="AD910" s="39">
        <v>0.47193255568557163</v>
      </c>
      <c r="AE910" s="39">
        <v>0.47274183422062227</v>
      </c>
      <c r="AF910" s="40">
        <v>0.4958926251373969</v>
      </c>
    </row>
    <row r="911" spans="1:32">
      <c r="A911" s="15">
        <v>909</v>
      </c>
      <c r="B911" s="16">
        <v>1</v>
      </c>
      <c r="C911" s="20">
        <v>0.92</v>
      </c>
      <c r="D911" s="20">
        <v>0.20258497911151899</v>
      </c>
      <c r="E911" s="20">
        <v>0.08</v>
      </c>
      <c r="F911" s="8" t="s">
        <v>434</v>
      </c>
      <c r="G911" s="24">
        <v>0.35715854817933085</v>
      </c>
      <c r="H911" s="24">
        <v>0.35922640500603492</v>
      </c>
      <c r="I911" s="25">
        <v>0.36550878454335456</v>
      </c>
      <c r="L911" s="15">
        <v>909</v>
      </c>
      <c r="M911" s="16">
        <v>0</v>
      </c>
      <c r="N911" s="16">
        <v>3</v>
      </c>
      <c r="O911" s="16">
        <v>6</v>
      </c>
      <c r="P911" s="16">
        <v>132</v>
      </c>
      <c r="Q911" s="29">
        <v>70</v>
      </c>
      <c r="R911" s="20">
        <v>0.47729999999999995</v>
      </c>
      <c r="S911" s="32">
        <v>33.410999999999994</v>
      </c>
      <c r="T911" s="35">
        <v>2.77</v>
      </c>
      <c r="U911" s="35">
        <v>1.95</v>
      </c>
      <c r="V911" s="35">
        <v>3.957142857142857E-2</v>
      </c>
      <c r="W911" s="9" t="s">
        <v>154</v>
      </c>
      <c r="X911" s="15">
        <v>910</v>
      </c>
      <c r="Y911" s="39">
        <v>0.48758633095538129</v>
      </c>
      <c r="Z911" s="39">
        <v>0.47962045392987496</v>
      </c>
      <c r="AA911" s="39">
        <v>0.4879475790665676</v>
      </c>
      <c r="AB911" s="39">
        <v>0.49389641730219436</v>
      </c>
      <c r="AC911" s="39">
        <v>0.47936317478115009</v>
      </c>
      <c r="AD911" s="39">
        <v>0.47325407256856217</v>
      </c>
      <c r="AE911" s="39">
        <v>0.48010785320342886</v>
      </c>
      <c r="AF911" s="40">
        <v>0.48679419277341351</v>
      </c>
    </row>
    <row r="912" spans="1:32">
      <c r="A912" s="15">
        <v>910</v>
      </c>
      <c r="B912" s="16">
        <v>1</v>
      </c>
      <c r="C912" s="20">
        <v>0.28000000000000003</v>
      </c>
      <c r="D912" s="20">
        <v>0.8032515982091476</v>
      </c>
      <c r="E912" s="20">
        <v>0.54</v>
      </c>
      <c r="F912" s="8" t="s">
        <v>436</v>
      </c>
      <c r="G912" s="24">
        <v>0.98849344236307723</v>
      </c>
      <c r="H912" s="24">
        <v>0.99421656707439265</v>
      </c>
      <c r="I912" s="25">
        <v>1.0116040578868997</v>
      </c>
      <c r="L912" s="15">
        <v>910</v>
      </c>
      <c r="M912" s="16">
        <v>0</v>
      </c>
      <c r="N912" s="16">
        <v>3</v>
      </c>
      <c r="O912" s="16">
        <v>6</v>
      </c>
      <c r="P912" s="16">
        <v>133</v>
      </c>
      <c r="Q912" s="29">
        <v>51</v>
      </c>
      <c r="R912" s="20">
        <v>0.47729999999999995</v>
      </c>
      <c r="S912" s="32">
        <v>24.342299999999998</v>
      </c>
      <c r="T912" s="35">
        <v>1.1100000000000001</v>
      </c>
      <c r="U912" s="35">
        <v>0.28000000000000003</v>
      </c>
      <c r="V912" s="35">
        <v>2.1764705882352943E-2</v>
      </c>
      <c r="W912" s="9" t="s">
        <v>153</v>
      </c>
      <c r="X912" s="15">
        <v>911</v>
      </c>
      <c r="Y912" s="39">
        <v>0.47445067301504268</v>
      </c>
      <c r="Z912" s="39">
        <v>0.47782778023922146</v>
      </c>
      <c r="AA912" s="39">
        <v>0.48981812385903301</v>
      </c>
      <c r="AB912" s="39">
        <v>0.4959783257829819</v>
      </c>
      <c r="AC912" s="39">
        <v>0.46747456548911964</v>
      </c>
      <c r="AD912" s="39">
        <v>0.47044818696393237</v>
      </c>
      <c r="AE912" s="39">
        <v>0.48331919242793014</v>
      </c>
      <c r="AF912" s="40">
        <v>0.4912795409769985</v>
      </c>
    </row>
    <row r="913" spans="1:32">
      <c r="A913" s="15">
        <v>911</v>
      </c>
      <c r="B913" s="16">
        <v>1</v>
      </c>
      <c r="C913" s="20">
        <v>0.02</v>
      </c>
      <c r="D913" s="20">
        <v>0.99679477127711513</v>
      </c>
      <c r="E913" s="20">
        <v>1</v>
      </c>
      <c r="F913" s="8" t="s">
        <v>436</v>
      </c>
      <c r="G913" s="24">
        <v>1.0649985196160052</v>
      </c>
      <c r="H913" s="24">
        <v>1.0711645891961512</v>
      </c>
      <c r="I913" s="25">
        <v>1.0898977958939</v>
      </c>
      <c r="L913" s="15">
        <v>911</v>
      </c>
      <c r="M913" s="16">
        <v>0</v>
      </c>
      <c r="N913" s="16">
        <v>3</v>
      </c>
      <c r="O913" s="16">
        <v>6</v>
      </c>
      <c r="P913" s="16">
        <v>134</v>
      </c>
      <c r="Q913" s="29">
        <v>45</v>
      </c>
      <c r="R913" s="20">
        <v>0.47729999999999995</v>
      </c>
      <c r="S913" s="32">
        <v>21.478499999999997</v>
      </c>
      <c r="T913" s="35">
        <v>2.6700000000000004</v>
      </c>
      <c r="U913" s="35">
        <v>2.0299999999999998</v>
      </c>
      <c r="V913" s="35">
        <v>5.9333333333333342E-2</v>
      </c>
      <c r="W913" s="9" t="s">
        <v>154</v>
      </c>
      <c r="X913" s="15">
        <v>912</v>
      </c>
      <c r="Y913" s="39">
        <v>0.48958167403446734</v>
      </c>
      <c r="Z913" s="39">
        <v>0.49019198574023765</v>
      </c>
      <c r="AA913" s="39">
        <v>0.48193616612606655</v>
      </c>
      <c r="AB913" s="39">
        <v>0.48616598848915527</v>
      </c>
      <c r="AC913" s="39">
        <v>0.4840981234067166</v>
      </c>
      <c r="AD913" s="39">
        <v>0.4826298289138245</v>
      </c>
      <c r="AE913" s="39">
        <v>0.47519584987819802</v>
      </c>
      <c r="AF913" s="40">
        <v>0.48189762541825187</v>
      </c>
    </row>
    <row r="914" spans="1:32">
      <c r="A914" s="15">
        <v>912</v>
      </c>
      <c r="B914" s="16">
        <v>0</v>
      </c>
      <c r="C914" s="20">
        <v>0.91</v>
      </c>
      <c r="D914" s="20">
        <v>0.21727233298780477</v>
      </c>
      <c r="E914" s="20">
        <v>0.09</v>
      </c>
      <c r="F914" s="8" t="s">
        <v>434</v>
      </c>
      <c r="G914" s="24">
        <v>0.71485731499345162</v>
      </c>
      <c r="H914" s="24">
        <v>0.71899615637486047</v>
      </c>
      <c r="I914" s="25">
        <v>0.73157041783580468</v>
      </c>
      <c r="L914" s="15">
        <v>912</v>
      </c>
      <c r="M914" s="16">
        <v>0</v>
      </c>
      <c r="N914" s="16">
        <v>3</v>
      </c>
      <c r="O914" s="16">
        <v>6</v>
      </c>
      <c r="P914" s="16">
        <v>135</v>
      </c>
      <c r="Q914" s="29">
        <v>43</v>
      </c>
      <c r="R914" s="20">
        <v>0.47729999999999995</v>
      </c>
      <c r="S914" s="32">
        <v>20.523899999999998</v>
      </c>
      <c r="T914" s="35">
        <v>1.5</v>
      </c>
      <c r="U914" s="35">
        <v>1</v>
      </c>
      <c r="V914" s="35">
        <v>3.4883720930232558E-2</v>
      </c>
      <c r="W914" s="9" t="s">
        <v>153</v>
      </c>
      <c r="X914" s="15">
        <v>913</v>
      </c>
      <c r="Y914" s="39">
        <v>0.49956635188713089</v>
      </c>
      <c r="Z914" s="39">
        <v>0.48234522036034611</v>
      </c>
      <c r="AA914" s="39">
        <v>0.47848886150687148</v>
      </c>
      <c r="AB914" s="39">
        <v>0.48080914006300973</v>
      </c>
      <c r="AC914" s="39">
        <v>0.49170706305185258</v>
      </c>
      <c r="AD914" s="39">
        <v>0.47427803772338273</v>
      </c>
      <c r="AE914" s="39">
        <v>0.47132640174685336</v>
      </c>
      <c r="AF914" s="40">
        <v>0.47448856208463708</v>
      </c>
    </row>
    <row r="915" spans="1:32">
      <c r="A915" s="15">
        <v>913</v>
      </c>
      <c r="B915" s="16">
        <v>0</v>
      </c>
      <c r="C915" s="20">
        <v>0.33</v>
      </c>
      <c r="D915" s="20">
        <v>0.60109944575470575</v>
      </c>
      <c r="E915" s="20">
        <v>0.1</v>
      </c>
      <c r="F915" s="8" t="s">
        <v>436</v>
      </c>
      <c r="G915" s="24">
        <v>0.65216218787305735</v>
      </c>
      <c r="H915" s="24">
        <v>0.65593804047181536</v>
      </c>
      <c r="I915" s="25">
        <v>0.66740950154979606</v>
      </c>
      <c r="L915" s="15">
        <v>913</v>
      </c>
      <c r="M915" s="16">
        <v>0</v>
      </c>
      <c r="N915" s="16">
        <v>3</v>
      </c>
      <c r="O915" s="16">
        <v>6</v>
      </c>
      <c r="P915" s="16">
        <v>136</v>
      </c>
      <c r="Q915" s="29">
        <v>49</v>
      </c>
      <c r="R915" s="20">
        <v>0.47729999999999995</v>
      </c>
      <c r="S915" s="32">
        <v>23.387699999999999</v>
      </c>
      <c r="T915" s="35">
        <v>1.1200000000000001</v>
      </c>
      <c r="U915" s="35">
        <v>0.47</v>
      </c>
      <c r="V915" s="35">
        <v>2.2857142857142861E-2</v>
      </c>
      <c r="W915" s="9" t="s">
        <v>153</v>
      </c>
      <c r="X915" s="15">
        <v>914</v>
      </c>
      <c r="Y915" s="39">
        <v>0.47903055741521944</v>
      </c>
      <c r="Z915" s="39">
        <v>0.48193896077514925</v>
      </c>
      <c r="AA915" s="39">
        <v>0.4834465302244973</v>
      </c>
      <c r="AB915" s="39">
        <v>0.49179093575421751</v>
      </c>
      <c r="AC915" s="39">
        <v>0.47074781174654756</v>
      </c>
      <c r="AD915" s="39">
        <v>0.47279723383538252</v>
      </c>
      <c r="AE915" s="39">
        <v>0.47516821576317286</v>
      </c>
      <c r="AF915" s="40">
        <v>0.48475829136647641</v>
      </c>
    </row>
    <row r="916" spans="1:32">
      <c r="A916" s="15">
        <v>914</v>
      </c>
      <c r="B916" s="16">
        <v>1</v>
      </c>
      <c r="C916" s="20">
        <v>0.12</v>
      </c>
      <c r="D916" s="20">
        <v>0.93032773593880524</v>
      </c>
      <c r="E916" s="20">
        <v>0.05</v>
      </c>
      <c r="F916" s="8" t="s">
        <v>436</v>
      </c>
      <c r="G916" s="24">
        <v>1.126909582356719</v>
      </c>
      <c r="H916" s="24">
        <v>1.1334341011868956</v>
      </c>
      <c r="I916" s="25">
        <v>1.1532563166614991</v>
      </c>
      <c r="L916" s="15">
        <v>914</v>
      </c>
      <c r="M916" s="16">
        <v>0</v>
      </c>
      <c r="N916" s="16">
        <v>3</v>
      </c>
      <c r="O916" s="16">
        <v>6</v>
      </c>
      <c r="P916" s="16">
        <v>137</v>
      </c>
      <c r="Q916" s="29">
        <v>47</v>
      </c>
      <c r="R916" s="20">
        <v>0.47729999999999995</v>
      </c>
      <c r="S916" s="32">
        <v>22.433099999999996</v>
      </c>
      <c r="T916" s="35">
        <v>1.8</v>
      </c>
      <c r="U916" s="35">
        <v>0.99</v>
      </c>
      <c r="V916" s="35">
        <v>3.8297872340425532E-2</v>
      </c>
      <c r="W916" s="9" t="s">
        <v>153</v>
      </c>
      <c r="X916" s="15">
        <v>915</v>
      </c>
      <c r="Y916" s="39">
        <v>0.48807494310804378</v>
      </c>
      <c r="Z916" s="39">
        <v>0.4917626859845497</v>
      </c>
      <c r="AA916" s="39">
        <v>0.48094187514260062</v>
      </c>
      <c r="AB916" s="39">
        <v>0.49590663428345727</v>
      </c>
      <c r="AC916" s="39">
        <v>0.48104311476292083</v>
      </c>
      <c r="AD916" s="39">
        <v>0.48468642716602983</v>
      </c>
      <c r="AE916" s="39">
        <v>0.47381679724084458</v>
      </c>
      <c r="AF916" s="40">
        <v>0.4920564277407336</v>
      </c>
    </row>
    <row r="917" spans="1:32">
      <c r="A917" s="15">
        <v>915</v>
      </c>
      <c r="B917" s="16">
        <v>0</v>
      </c>
      <c r="C917" s="20">
        <v>0.2</v>
      </c>
      <c r="D917" s="20">
        <v>0.77369485633734147</v>
      </c>
      <c r="E917" s="20">
        <v>0.1</v>
      </c>
      <c r="F917" s="8" t="s">
        <v>436</v>
      </c>
      <c r="G917" s="24">
        <v>0.91492290400185139</v>
      </c>
      <c r="H917" s="24">
        <v>0.92022007407545736</v>
      </c>
      <c r="I917" s="25">
        <v>0.93631346721871833</v>
      </c>
      <c r="L917" s="15">
        <v>915</v>
      </c>
      <c r="M917" s="16">
        <v>0</v>
      </c>
      <c r="N917" s="16">
        <v>3</v>
      </c>
      <c r="O917" s="16">
        <v>6</v>
      </c>
      <c r="P917" s="16">
        <v>138</v>
      </c>
      <c r="Q917" s="29">
        <v>63</v>
      </c>
      <c r="R917" s="20">
        <v>0.47729999999999995</v>
      </c>
      <c r="S917" s="32">
        <v>30.069899999999997</v>
      </c>
      <c r="T917" s="35">
        <v>0.96</v>
      </c>
      <c r="U917" s="35">
        <v>0.28000000000000003</v>
      </c>
      <c r="V917" s="35">
        <v>1.5238095238095238E-2</v>
      </c>
      <c r="W917" s="9" t="s">
        <v>152</v>
      </c>
      <c r="X917" s="15">
        <v>916</v>
      </c>
      <c r="Y917" s="39">
        <v>0.49192052440351286</v>
      </c>
      <c r="Z917" s="39">
        <v>0.48116584620090974</v>
      </c>
      <c r="AA917" s="39">
        <v>0.48104603554624081</v>
      </c>
      <c r="AB917" s="39">
        <v>0.49031303670856913</v>
      </c>
      <c r="AC917" s="39">
        <v>0.48479815707776536</v>
      </c>
      <c r="AD917" s="39">
        <v>0.47639618349698293</v>
      </c>
      <c r="AE917" s="39">
        <v>0.47203936663213841</v>
      </c>
      <c r="AF917" s="40">
        <v>0.48638938387884167</v>
      </c>
    </row>
    <row r="918" spans="1:32">
      <c r="A918" s="15">
        <v>916</v>
      </c>
      <c r="B918" s="16">
        <v>0</v>
      </c>
      <c r="C918" s="20">
        <v>0.11</v>
      </c>
      <c r="D918" s="20">
        <v>0.91568347279648821</v>
      </c>
      <c r="E918" s="20">
        <v>0.09</v>
      </c>
      <c r="F918" s="8" t="s">
        <v>436</v>
      </c>
      <c r="G918" s="24">
        <v>0.94741651684306238</v>
      </c>
      <c r="H918" s="24">
        <v>0.95290181664079376</v>
      </c>
      <c r="I918" s="25">
        <v>0.96956676885620297</v>
      </c>
      <c r="L918" s="15">
        <v>916</v>
      </c>
      <c r="M918" s="16">
        <v>0</v>
      </c>
      <c r="N918" s="16">
        <v>3</v>
      </c>
      <c r="O918" s="16">
        <v>6</v>
      </c>
      <c r="P918" s="16">
        <v>139</v>
      </c>
      <c r="Q918" s="29">
        <v>73</v>
      </c>
      <c r="R918" s="20">
        <v>0.47729999999999995</v>
      </c>
      <c r="S918" s="32">
        <v>34.842899999999993</v>
      </c>
      <c r="T918" s="35">
        <v>2.59</v>
      </c>
      <c r="U918" s="35">
        <v>1.49</v>
      </c>
      <c r="V918" s="35">
        <v>3.5479452054794518E-2</v>
      </c>
      <c r="W918" s="9" t="s">
        <v>154</v>
      </c>
      <c r="X918" s="15">
        <v>917</v>
      </c>
      <c r="Y918" s="39">
        <v>0.4969265236916513</v>
      </c>
      <c r="Z918" s="39">
        <v>0.4845468854801453</v>
      </c>
      <c r="AA918" s="39">
        <v>0.4827665575482924</v>
      </c>
      <c r="AB918" s="39">
        <v>0.48549742703445131</v>
      </c>
      <c r="AC918" s="39">
        <v>0.49171062104413338</v>
      </c>
      <c r="AD918" s="39">
        <v>0.47864188179874856</v>
      </c>
      <c r="AE918" s="39">
        <v>0.4752854044474078</v>
      </c>
      <c r="AF918" s="40">
        <v>0.47913796443520573</v>
      </c>
    </row>
    <row r="919" spans="1:32">
      <c r="A919" s="15">
        <v>917</v>
      </c>
      <c r="B919" s="16">
        <v>0</v>
      </c>
      <c r="C919" s="20">
        <v>0.26</v>
      </c>
      <c r="D919" s="20">
        <v>0.69005614004049709</v>
      </c>
      <c r="E919" s="20">
        <v>0.08</v>
      </c>
      <c r="F919" s="8" t="s">
        <v>436</v>
      </c>
      <c r="G919" s="24">
        <v>0.8900995656121512</v>
      </c>
      <c r="H919" s="24">
        <v>0.89525301489281417</v>
      </c>
      <c r="I919" s="25">
        <v>0.91090976824698877</v>
      </c>
      <c r="L919" s="15">
        <v>917</v>
      </c>
      <c r="M919" s="16">
        <v>0</v>
      </c>
      <c r="N919" s="16">
        <v>3</v>
      </c>
      <c r="O919" s="16">
        <v>6</v>
      </c>
      <c r="P919" s="16">
        <v>140</v>
      </c>
      <c r="Q919" s="29">
        <v>42</v>
      </c>
      <c r="R919" s="20">
        <v>0.47729999999999995</v>
      </c>
      <c r="S919" s="32">
        <v>20.046599999999998</v>
      </c>
      <c r="T919" s="35">
        <v>1.98</v>
      </c>
      <c r="U919" s="35">
        <v>1.3</v>
      </c>
      <c r="V919" s="35">
        <v>4.7142857142857139E-2</v>
      </c>
      <c r="W919" s="9" t="s">
        <v>153</v>
      </c>
      <c r="X919" s="15">
        <v>918</v>
      </c>
      <c r="Y919" s="39">
        <v>0.48470267479066365</v>
      </c>
      <c r="Z919" s="39">
        <v>0.47861722971230791</v>
      </c>
      <c r="AA919" s="39">
        <v>0.471247274908353</v>
      </c>
      <c r="AB919" s="39">
        <v>0.49419415090375141</v>
      </c>
      <c r="AC919" s="39">
        <v>0.47851707502518959</v>
      </c>
      <c r="AD919" s="39">
        <v>0.47353345336545449</v>
      </c>
      <c r="AE919" s="39">
        <v>0.46535830616360685</v>
      </c>
      <c r="AF919" s="40">
        <v>0.49166005554798714</v>
      </c>
    </row>
    <row r="920" spans="1:32">
      <c r="A920" s="15">
        <v>918</v>
      </c>
      <c r="B920" s="16">
        <v>0</v>
      </c>
      <c r="C920" s="20">
        <v>0.93</v>
      </c>
      <c r="D920" s="20">
        <v>0.18747949848141848</v>
      </c>
      <c r="E920" s="20">
        <v>7.0000000000000007E-2</v>
      </c>
      <c r="F920" s="8" t="s">
        <v>434</v>
      </c>
      <c r="G920" s="24">
        <v>0.78343271959784433</v>
      </c>
      <c r="H920" s="24">
        <v>0.7879685950675539</v>
      </c>
      <c r="I920" s="25">
        <v>0.80174909034495356</v>
      </c>
      <c r="L920" s="15">
        <v>918</v>
      </c>
      <c r="M920" s="16">
        <v>0</v>
      </c>
      <c r="N920" s="16">
        <v>3</v>
      </c>
      <c r="O920" s="16">
        <v>6</v>
      </c>
      <c r="P920" s="16">
        <v>141</v>
      </c>
      <c r="Q920" s="29">
        <v>49</v>
      </c>
      <c r="R920" s="20">
        <v>0.47729999999999995</v>
      </c>
      <c r="S920" s="32">
        <v>23.387699999999999</v>
      </c>
      <c r="T920" s="35">
        <v>1.36</v>
      </c>
      <c r="U920" s="35">
        <v>0.93</v>
      </c>
      <c r="V920" s="35">
        <v>2.775510204081633E-2</v>
      </c>
      <c r="W920" s="9" t="s">
        <v>153</v>
      </c>
      <c r="X920" s="15">
        <v>919</v>
      </c>
      <c r="Y920" s="39">
        <v>0.49227330288445703</v>
      </c>
      <c r="Z920" s="39">
        <v>0.48275177333624597</v>
      </c>
      <c r="AA920" s="39">
        <v>0.49554642459519233</v>
      </c>
      <c r="AB920" s="39">
        <v>0.48632481956699469</v>
      </c>
      <c r="AC920" s="39">
        <v>0.48548710380826021</v>
      </c>
      <c r="AD920" s="39">
        <v>0.47413145365361326</v>
      </c>
      <c r="AE920" s="39">
        <v>0.486624917780974</v>
      </c>
      <c r="AF920" s="40">
        <v>0.48320514166276124</v>
      </c>
    </row>
    <row r="921" spans="1:32">
      <c r="A921" s="15">
        <v>919</v>
      </c>
      <c r="B921" s="16">
        <v>1</v>
      </c>
      <c r="C921" s="20">
        <v>0.33</v>
      </c>
      <c r="D921" s="20">
        <v>0.62188792939485671</v>
      </c>
      <c r="E921" s="20">
        <v>0.06</v>
      </c>
      <c r="F921" s="8" t="s">
        <v>436</v>
      </c>
      <c r="G921" s="24">
        <v>0.86661585623264348</v>
      </c>
      <c r="H921" s="24">
        <v>0.87163334083038257</v>
      </c>
      <c r="I921" s="25">
        <v>0.88687701832225951</v>
      </c>
      <c r="L921" s="15">
        <v>919</v>
      </c>
      <c r="M921" s="16">
        <v>0</v>
      </c>
      <c r="N921" s="16">
        <v>3</v>
      </c>
      <c r="O921" s="16">
        <v>6</v>
      </c>
      <c r="P921" s="16">
        <v>142</v>
      </c>
      <c r="Q921" s="29">
        <v>50</v>
      </c>
      <c r="R921" s="20">
        <v>0.47729999999999995</v>
      </c>
      <c r="S921" s="32">
        <v>23.864999999999998</v>
      </c>
      <c r="T921" s="35">
        <v>2.83</v>
      </c>
      <c r="U921" s="35">
        <v>2.19</v>
      </c>
      <c r="V921" s="35">
        <v>5.6600000000000004E-2</v>
      </c>
      <c r="W921" s="9" t="s">
        <v>154</v>
      </c>
      <c r="X921" s="15">
        <v>920</v>
      </c>
      <c r="Y921" s="39">
        <v>0.46747672739394547</v>
      </c>
      <c r="Z921" s="39">
        <v>0.47738600106478246</v>
      </c>
      <c r="AA921" s="39">
        <v>0.48555245503414585</v>
      </c>
      <c r="AB921" s="39">
        <v>0.49070566335379628</v>
      </c>
      <c r="AC921" s="39">
        <v>0.46115994537593419</v>
      </c>
      <c r="AD921" s="39">
        <v>0.47089554061533595</v>
      </c>
      <c r="AE921" s="39">
        <v>0.48253103317146301</v>
      </c>
      <c r="AF921" s="40">
        <v>0.48747500569388819</v>
      </c>
    </row>
    <row r="922" spans="1:32">
      <c r="A922" s="15">
        <v>920</v>
      </c>
      <c r="B922" s="16">
        <v>0</v>
      </c>
      <c r="C922" s="20">
        <v>0.49</v>
      </c>
      <c r="D922" s="20">
        <v>0.47019991112713599</v>
      </c>
      <c r="E922" s="20">
        <v>7.0000000000000007E-2</v>
      </c>
      <c r="F922" s="8" t="s">
        <v>436</v>
      </c>
      <c r="G922" s="24">
        <v>0.38719532676262525</v>
      </c>
      <c r="H922" s="24">
        <v>0.38943708887022566</v>
      </c>
      <c r="I922" s="25">
        <v>0.39624781203560805</v>
      </c>
      <c r="L922" s="15">
        <v>920</v>
      </c>
      <c r="M922" s="16">
        <v>0</v>
      </c>
      <c r="N922" s="16">
        <v>3</v>
      </c>
      <c r="O922" s="16">
        <v>7</v>
      </c>
      <c r="P922" s="16">
        <v>188</v>
      </c>
      <c r="Q922" s="29">
        <v>77</v>
      </c>
      <c r="R922" s="20">
        <v>0.47729999999999995</v>
      </c>
      <c r="S922" s="32">
        <v>36.752099999999999</v>
      </c>
      <c r="T922" s="35">
        <v>3.24</v>
      </c>
      <c r="U922" s="35">
        <v>2.34</v>
      </c>
      <c r="V922" s="35">
        <v>4.2077922077922082E-2</v>
      </c>
      <c r="W922" s="9" t="s">
        <v>155</v>
      </c>
      <c r="X922" s="15">
        <v>921</v>
      </c>
      <c r="Y922" s="39">
        <v>0.49064625035754655</v>
      </c>
      <c r="Z922" s="39">
        <v>0.47986450957085269</v>
      </c>
      <c r="AA922" s="39">
        <v>0.48572334385665455</v>
      </c>
      <c r="AB922" s="39">
        <v>0.50076169580501206</v>
      </c>
      <c r="AC922" s="39">
        <v>0.4816134663466865</v>
      </c>
      <c r="AD922" s="39">
        <v>0.4751547061957358</v>
      </c>
      <c r="AE922" s="39">
        <v>0.48339181488545024</v>
      </c>
      <c r="AF922" s="40">
        <v>0.49527818129101531</v>
      </c>
    </row>
    <row r="923" spans="1:32">
      <c r="A923" s="15">
        <v>921</v>
      </c>
      <c r="B923" s="16">
        <v>1</v>
      </c>
      <c r="C923" s="20">
        <v>0.02</v>
      </c>
      <c r="D923" s="20">
        <v>0.99835916395484214</v>
      </c>
      <c r="E923" s="20">
        <v>1</v>
      </c>
      <c r="F923" s="8" t="s">
        <v>436</v>
      </c>
      <c r="G923" s="24">
        <v>1.0131417933461968</v>
      </c>
      <c r="H923" s="24">
        <v>1.019007625718038</v>
      </c>
      <c r="I923" s="25">
        <v>1.0368286783104166</v>
      </c>
      <c r="L923" s="15">
        <v>921</v>
      </c>
      <c r="M923" s="16">
        <v>0</v>
      </c>
      <c r="N923" s="16">
        <v>3</v>
      </c>
      <c r="O923" s="16">
        <v>7</v>
      </c>
      <c r="P923" s="16">
        <v>189</v>
      </c>
      <c r="Q923" s="29">
        <v>65</v>
      </c>
      <c r="R923" s="20">
        <v>0.47729999999999995</v>
      </c>
      <c r="S923" s="32">
        <v>31.024499999999996</v>
      </c>
      <c r="T923" s="35">
        <v>1.27</v>
      </c>
      <c r="U923" s="35">
        <v>0.49</v>
      </c>
      <c r="V923" s="35">
        <v>1.9538461538461539E-2</v>
      </c>
      <c r="W923" s="9" t="s">
        <v>153</v>
      </c>
      <c r="X923" s="15">
        <v>922</v>
      </c>
      <c r="Y923" s="39">
        <v>0.48987260398394578</v>
      </c>
      <c r="Z923" s="39">
        <v>0.48004684831140543</v>
      </c>
      <c r="AA923" s="39">
        <v>0.48652986108801521</v>
      </c>
      <c r="AB923" s="39">
        <v>0.484390809810335</v>
      </c>
      <c r="AC923" s="39">
        <v>0.48505955650050925</v>
      </c>
      <c r="AD923" s="39">
        <v>0.47520295946002261</v>
      </c>
      <c r="AE923" s="39">
        <v>0.47732321454199206</v>
      </c>
      <c r="AF923" s="40">
        <v>0.48068669673159592</v>
      </c>
    </row>
    <row r="924" spans="1:32">
      <c r="A924" s="15">
        <v>922</v>
      </c>
      <c r="B924" s="16">
        <v>1</v>
      </c>
      <c r="C924" s="20">
        <v>0.02</v>
      </c>
      <c r="D924" s="20">
        <v>0.99679477127711513</v>
      </c>
      <c r="E924" s="20">
        <v>1</v>
      </c>
      <c r="F924" s="8" t="s">
        <v>436</v>
      </c>
      <c r="G924" s="24">
        <v>1.0317673494623378</v>
      </c>
      <c r="H924" s="24">
        <v>1.037741019049786</v>
      </c>
      <c r="I924" s="25">
        <v>1.0558896931234698</v>
      </c>
      <c r="L924" s="15">
        <v>922</v>
      </c>
      <c r="M924" s="16">
        <v>0</v>
      </c>
      <c r="N924" s="16">
        <v>3</v>
      </c>
      <c r="O924" s="16">
        <v>7</v>
      </c>
      <c r="P924" s="16">
        <v>190</v>
      </c>
      <c r="Q924" s="29">
        <v>64</v>
      </c>
      <c r="R924" s="20">
        <v>0.47729999999999995</v>
      </c>
      <c r="S924" s="32">
        <v>30.547199999999997</v>
      </c>
      <c r="T924" s="35">
        <v>1.1500000000000001</v>
      </c>
      <c r="U924" s="35">
        <v>0.32</v>
      </c>
      <c r="V924" s="35">
        <v>1.7968750000000002E-2</v>
      </c>
      <c r="W924" s="9" t="s">
        <v>153</v>
      </c>
      <c r="X924" s="15">
        <v>923</v>
      </c>
      <c r="Y924" s="39">
        <v>0.49034261682160468</v>
      </c>
      <c r="Z924" s="39">
        <v>0.48303997998808701</v>
      </c>
      <c r="AA924" s="39">
        <v>0.49699366786117199</v>
      </c>
      <c r="AB924" s="39">
        <v>0.49744497913931568</v>
      </c>
      <c r="AC924" s="39">
        <v>0.48692839194436588</v>
      </c>
      <c r="AD924" s="39">
        <v>0.47439033719411916</v>
      </c>
      <c r="AE924" s="39">
        <v>0.48784818380949219</v>
      </c>
      <c r="AF924" s="40">
        <v>0.49182323753064222</v>
      </c>
    </row>
    <row r="925" spans="1:32">
      <c r="A925" s="15">
        <v>923</v>
      </c>
      <c r="B925" s="16">
        <v>0</v>
      </c>
      <c r="C925" s="20">
        <v>0.02</v>
      </c>
      <c r="D925" s="20">
        <v>0.99756714174924133</v>
      </c>
      <c r="E925" s="20">
        <v>1</v>
      </c>
      <c r="F925" s="8" t="s">
        <v>436</v>
      </c>
      <c r="G925" s="24">
        <v>1.0707526182316303</v>
      </c>
      <c r="H925" s="24">
        <v>1.0769520025739863</v>
      </c>
      <c r="I925" s="25">
        <v>1.0957864232328254</v>
      </c>
      <c r="L925" s="15">
        <v>923</v>
      </c>
      <c r="M925" s="16">
        <v>0</v>
      </c>
      <c r="N925" s="16">
        <v>3</v>
      </c>
      <c r="O925" s="16">
        <v>7</v>
      </c>
      <c r="P925" s="16">
        <v>191</v>
      </c>
      <c r="Q925" s="29">
        <v>54</v>
      </c>
      <c r="R925" s="20">
        <v>0.47729999999999995</v>
      </c>
      <c r="S925" s="32">
        <v>25.774199999999997</v>
      </c>
      <c r="T925" s="35">
        <v>2.16</v>
      </c>
      <c r="U925" s="35">
        <v>1.43</v>
      </c>
      <c r="V925" s="35">
        <v>0.04</v>
      </c>
      <c r="W925" s="9" t="s">
        <v>154</v>
      </c>
      <c r="X925" s="15">
        <v>924</v>
      </c>
      <c r="Y925" s="39">
        <v>0.49805944759300724</v>
      </c>
      <c r="Z925" s="39">
        <v>0.49181165679149996</v>
      </c>
      <c r="AA925" s="39">
        <v>0.48327964745009167</v>
      </c>
      <c r="AB925" s="39">
        <v>0.48528475493148632</v>
      </c>
      <c r="AC925" s="39">
        <v>0.49339952750823718</v>
      </c>
      <c r="AD925" s="39">
        <v>0.48463340878577654</v>
      </c>
      <c r="AE925" s="39">
        <v>0.47335673042737891</v>
      </c>
      <c r="AF925" s="40">
        <v>0.48187839130449683</v>
      </c>
    </row>
    <row r="926" spans="1:32">
      <c r="A926" s="15">
        <v>924</v>
      </c>
      <c r="B926" s="16">
        <v>0</v>
      </c>
      <c r="C926" s="20">
        <v>0.89</v>
      </c>
      <c r="D926" s="20">
        <v>0.24559627500636821</v>
      </c>
      <c r="E926" s="20">
        <v>0.11</v>
      </c>
      <c r="F926" s="8" t="s">
        <v>434</v>
      </c>
      <c r="G926" s="24">
        <v>1.5296328337276821</v>
      </c>
      <c r="H926" s="24">
        <v>1.5384890173853283</v>
      </c>
      <c r="I926" s="25">
        <v>1.5653950905094636</v>
      </c>
      <c r="L926" s="15">
        <v>924</v>
      </c>
      <c r="M926" s="16">
        <v>0</v>
      </c>
      <c r="N926" s="16">
        <v>3</v>
      </c>
      <c r="O926" s="16">
        <v>7</v>
      </c>
      <c r="P926" s="16">
        <v>192</v>
      </c>
      <c r="Q926" s="29">
        <v>52</v>
      </c>
      <c r="R926" s="20">
        <v>0.47729999999999995</v>
      </c>
      <c r="S926" s="32">
        <v>24.819599999999998</v>
      </c>
      <c r="T926" s="35">
        <v>1.65</v>
      </c>
      <c r="U926" s="35">
        <v>0.8</v>
      </c>
      <c r="V926" s="35">
        <v>3.1730769230769229E-2</v>
      </c>
      <c r="W926" s="9" t="s">
        <v>153</v>
      </c>
      <c r="X926" s="15">
        <v>925</v>
      </c>
      <c r="Y926" s="39">
        <v>0.47695541310658846</v>
      </c>
      <c r="Z926" s="39">
        <v>0.4615745237110308</v>
      </c>
      <c r="AA926" s="39">
        <v>0.47609271535875636</v>
      </c>
      <c r="AB926" s="39">
        <v>0.48509596391960624</v>
      </c>
      <c r="AC926" s="39">
        <v>0.47197768868836809</v>
      </c>
      <c r="AD926" s="39">
        <v>0.45341502243577575</v>
      </c>
      <c r="AE926" s="39">
        <v>0.47166202256628204</v>
      </c>
      <c r="AF926" s="40">
        <v>0.48142951998704475</v>
      </c>
    </row>
    <row r="927" spans="1:32">
      <c r="A927" s="15">
        <v>925</v>
      </c>
      <c r="B927" s="16">
        <v>0</v>
      </c>
      <c r="C927" s="20">
        <v>0.21</v>
      </c>
      <c r="D927" s="20">
        <v>0.83723389275037807</v>
      </c>
      <c r="E927" s="20">
        <v>0.06</v>
      </c>
      <c r="F927" s="8" t="s">
        <v>436</v>
      </c>
      <c r="G927" s="24">
        <v>0.92476621913428314</v>
      </c>
      <c r="H927" s="24">
        <v>0.93012037948992987</v>
      </c>
      <c r="I927" s="25">
        <v>0.94638691546256626</v>
      </c>
      <c r="L927" s="15">
        <v>925</v>
      </c>
      <c r="M927" s="16">
        <v>0</v>
      </c>
      <c r="N927" s="16">
        <v>3</v>
      </c>
      <c r="O927" s="16">
        <v>7</v>
      </c>
      <c r="P927" s="16">
        <v>193</v>
      </c>
      <c r="Q927" s="29">
        <v>62</v>
      </c>
      <c r="R927" s="20">
        <v>0.47729999999999995</v>
      </c>
      <c r="S927" s="32">
        <v>29.592599999999997</v>
      </c>
      <c r="T927" s="35">
        <v>1.53</v>
      </c>
      <c r="U927" s="35">
        <v>0.61</v>
      </c>
      <c r="V927" s="35">
        <v>2.467741935483871E-2</v>
      </c>
      <c r="W927" s="9" t="s">
        <v>153</v>
      </c>
      <c r="X927" s="15">
        <v>926</v>
      </c>
      <c r="Y927" s="39">
        <v>0.49153297531511253</v>
      </c>
      <c r="Z927" s="39">
        <v>0.49009787743213845</v>
      </c>
      <c r="AA927" s="39">
        <v>0.48673640537785795</v>
      </c>
      <c r="AB927" s="39">
        <v>0.49128354619050374</v>
      </c>
      <c r="AC927" s="39">
        <v>0.48597147144697206</v>
      </c>
      <c r="AD927" s="39">
        <v>0.48396517638718317</v>
      </c>
      <c r="AE927" s="39">
        <v>0.4826328307986375</v>
      </c>
      <c r="AF927" s="40">
        <v>0.48854662110910579</v>
      </c>
    </row>
    <row r="928" spans="1:32">
      <c r="A928" s="15">
        <v>926</v>
      </c>
      <c r="B928" s="16">
        <v>1</v>
      </c>
      <c r="C928" s="20">
        <v>0.08</v>
      </c>
      <c r="D928" s="20">
        <v>0.93127815614397724</v>
      </c>
      <c r="E928" s="20">
        <v>0.28000000000000003</v>
      </c>
      <c r="F928" s="8" t="s">
        <v>436</v>
      </c>
      <c r="G928" s="24">
        <v>1.0667026467224974</v>
      </c>
      <c r="H928" s="24">
        <v>1.0728785827635994</v>
      </c>
      <c r="I928" s="25">
        <v>1.0916417648695176</v>
      </c>
      <c r="L928" s="15">
        <v>926</v>
      </c>
      <c r="M928" s="16">
        <v>0</v>
      </c>
      <c r="N928" s="16">
        <v>3</v>
      </c>
      <c r="O928" s="16">
        <v>7</v>
      </c>
      <c r="P928" s="16">
        <v>194</v>
      </c>
      <c r="Q928" s="29">
        <v>48</v>
      </c>
      <c r="R928" s="20">
        <v>0.47729999999999995</v>
      </c>
      <c r="S928" s="32">
        <v>22.910399999999996</v>
      </c>
      <c r="T928" s="35">
        <v>0.95000000000000007</v>
      </c>
      <c r="U928" s="35">
        <v>0.28000000000000003</v>
      </c>
      <c r="V928" s="35">
        <v>1.9791666666666669E-2</v>
      </c>
      <c r="W928" s="9" t="s">
        <v>152</v>
      </c>
      <c r="X928" s="15">
        <v>927</v>
      </c>
      <c r="Y928" s="39">
        <v>0.48608873163896499</v>
      </c>
      <c r="Z928" s="39">
        <v>0.50049555392805634</v>
      </c>
      <c r="AA928" s="39">
        <v>0.48059814906826875</v>
      </c>
      <c r="AB928" s="39">
        <v>0.49756303796739737</v>
      </c>
      <c r="AC928" s="39">
        <v>0.48102020364929066</v>
      </c>
      <c r="AD928" s="39">
        <v>0.49192118183614514</v>
      </c>
      <c r="AE928" s="39">
        <v>0.47465101676429128</v>
      </c>
      <c r="AF928" s="40">
        <v>0.49263856432896808</v>
      </c>
    </row>
    <row r="929" spans="1:32">
      <c r="A929" s="15">
        <v>927</v>
      </c>
      <c r="B929" s="16">
        <v>0</v>
      </c>
      <c r="C929" s="20">
        <v>0.04</v>
      </c>
      <c r="D929" s="20">
        <v>0.99299841255294963</v>
      </c>
      <c r="E929" s="20">
        <v>1</v>
      </c>
      <c r="F929" s="8" t="s">
        <v>436</v>
      </c>
      <c r="G929" s="24">
        <v>1.0479709306947618</v>
      </c>
      <c r="H929" s="24">
        <v>1.0540384148814665</v>
      </c>
      <c r="I929" s="25">
        <v>1.0724721081649236</v>
      </c>
      <c r="L929" s="15">
        <v>927</v>
      </c>
      <c r="M929" s="16">
        <v>0</v>
      </c>
      <c r="N929" s="16">
        <v>3</v>
      </c>
      <c r="O929" s="16">
        <v>7</v>
      </c>
      <c r="P929" s="16">
        <v>195</v>
      </c>
      <c r="Q929" s="29">
        <v>77</v>
      </c>
      <c r="R929" s="20">
        <v>0.47729999999999995</v>
      </c>
      <c r="S929" s="32">
        <v>36.752099999999999</v>
      </c>
      <c r="T929" s="35">
        <v>2.13</v>
      </c>
      <c r="U929" s="35">
        <v>1.03</v>
      </c>
      <c r="V929" s="35">
        <v>2.7662337662337663E-2</v>
      </c>
      <c r="W929" s="9" t="s">
        <v>154</v>
      </c>
      <c r="X929" s="15">
        <v>928</v>
      </c>
      <c r="Y929" s="39">
        <v>0.46348232230032904</v>
      </c>
      <c r="Z929" s="39">
        <v>0.48040452465440786</v>
      </c>
      <c r="AA929" s="39">
        <v>0.48913714136096464</v>
      </c>
      <c r="AB929" s="39">
        <v>0.49138307633880912</v>
      </c>
      <c r="AC929" s="39">
        <v>0.45674481159622882</v>
      </c>
      <c r="AD929" s="39">
        <v>0.47322762179774691</v>
      </c>
      <c r="AE929" s="39">
        <v>0.4790374672691653</v>
      </c>
      <c r="AF929" s="40">
        <v>0.48799726240958075</v>
      </c>
    </row>
    <row r="930" spans="1:32">
      <c r="A930" s="15">
        <v>928</v>
      </c>
      <c r="B930" s="16">
        <v>0</v>
      </c>
      <c r="C930" s="20">
        <v>0.93</v>
      </c>
      <c r="D930" s="20">
        <v>0.18747949848141848</v>
      </c>
      <c r="E930" s="20">
        <v>7.0000000000000007E-2</v>
      </c>
      <c r="F930" s="8" t="s">
        <v>434</v>
      </c>
      <c r="G930" s="24">
        <v>0.92283594494332588</v>
      </c>
      <c r="H930" s="24">
        <v>0.92817892950412317</v>
      </c>
      <c r="I930" s="25">
        <v>0.94441151216627461</v>
      </c>
      <c r="L930" s="15">
        <v>928</v>
      </c>
      <c r="M930" s="16">
        <v>0</v>
      </c>
      <c r="N930" s="16">
        <v>3</v>
      </c>
      <c r="O930" s="16">
        <v>8</v>
      </c>
      <c r="P930" s="16">
        <v>143</v>
      </c>
      <c r="Q930" s="29">
        <v>39</v>
      </c>
      <c r="R930" s="20">
        <v>0.47729999999999995</v>
      </c>
      <c r="S930" s="32">
        <v>18.614699999999999</v>
      </c>
      <c r="T930" s="35">
        <v>1.26</v>
      </c>
      <c r="U930" s="35">
        <v>0.75</v>
      </c>
      <c r="V930" s="35">
        <v>3.2307692307692308E-2</v>
      </c>
      <c r="W930" s="9" t="s">
        <v>153</v>
      </c>
      <c r="X930" s="15">
        <v>929</v>
      </c>
      <c r="Y930" s="39">
        <v>0.47277969055428892</v>
      </c>
      <c r="Z930" s="39">
        <v>0.48360908620275045</v>
      </c>
      <c r="AA930" s="39">
        <v>0.49307382224068558</v>
      </c>
      <c r="AB930" s="39">
        <v>0.50506281889078775</v>
      </c>
      <c r="AC930" s="39">
        <v>0.4642490701894052</v>
      </c>
      <c r="AD930" s="39">
        <v>0.47611090252576316</v>
      </c>
      <c r="AE930" s="39">
        <v>0.48660707050686997</v>
      </c>
      <c r="AF930" s="40">
        <v>0.49974215437227626</v>
      </c>
    </row>
    <row r="931" spans="1:32">
      <c r="A931" s="15">
        <v>929</v>
      </c>
      <c r="B931" s="16">
        <v>0</v>
      </c>
      <c r="C931" s="20">
        <v>0.92</v>
      </c>
      <c r="D931" s="20">
        <v>0.20258497911151899</v>
      </c>
      <c r="E931" s="20">
        <v>0.08</v>
      </c>
      <c r="F931" s="8" t="s">
        <v>434</v>
      </c>
      <c r="G931" s="24">
        <v>1.0326478835957329</v>
      </c>
      <c r="H931" s="24">
        <v>1.0386266512510509</v>
      </c>
      <c r="I931" s="25">
        <v>1.0567908138231892</v>
      </c>
      <c r="L931" s="15">
        <v>929</v>
      </c>
      <c r="M931" s="16">
        <v>0</v>
      </c>
      <c r="N931" s="16">
        <v>3</v>
      </c>
      <c r="O931" s="16">
        <v>8</v>
      </c>
      <c r="P931" s="16">
        <v>144</v>
      </c>
      <c r="Q931" s="29">
        <v>24</v>
      </c>
      <c r="R931" s="20">
        <v>0.47729999999999995</v>
      </c>
      <c r="S931" s="32">
        <v>11.455199999999998</v>
      </c>
      <c r="T931" s="35">
        <v>1.31</v>
      </c>
      <c r="U931" s="35">
        <v>0.97</v>
      </c>
      <c r="V931" s="35">
        <v>5.4583333333333338E-2</v>
      </c>
      <c r="W931" s="9" t="s">
        <v>153</v>
      </c>
      <c r="X931" s="15">
        <v>930</v>
      </c>
      <c r="Y931" s="39">
        <v>0.48538011411373744</v>
      </c>
      <c r="Z931" s="39">
        <v>0.49406908327489774</v>
      </c>
      <c r="AA931" s="39">
        <v>0.49507631827673437</v>
      </c>
      <c r="AB931" s="39">
        <v>0.49230631187262069</v>
      </c>
      <c r="AC931" s="39">
        <v>0.47721873393517578</v>
      </c>
      <c r="AD931" s="39">
        <v>0.4889867742703094</v>
      </c>
      <c r="AE931" s="39">
        <v>0.48811087467924913</v>
      </c>
      <c r="AF931" s="40">
        <v>0.48549871790230004</v>
      </c>
    </row>
    <row r="932" spans="1:32">
      <c r="A932" s="15">
        <v>930</v>
      </c>
      <c r="B932" s="16">
        <v>0</v>
      </c>
      <c r="C932" s="20">
        <v>0.95</v>
      </c>
      <c r="D932" s="20">
        <v>0.15570568692893463</v>
      </c>
      <c r="E932" s="20">
        <v>0.05</v>
      </c>
      <c r="F932" s="8" t="s">
        <v>434</v>
      </c>
      <c r="G932" s="24">
        <v>0.4792850310786721</v>
      </c>
      <c r="H932" s="24">
        <v>0.48205996906771181</v>
      </c>
      <c r="I932" s="25">
        <v>0.49049053999242165</v>
      </c>
      <c r="L932" s="15">
        <v>930</v>
      </c>
      <c r="M932" s="16">
        <v>0</v>
      </c>
      <c r="N932" s="16">
        <v>3</v>
      </c>
      <c r="O932" s="16">
        <v>8</v>
      </c>
      <c r="P932" s="16">
        <v>145</v>
      </c>
      <c r="Q932" s="29">
        <v>31</v>
      </c>
      <c r="R932" s="20">
        <v>0.47729999999999995</v>
      </c>
      <c r="S932" s="32">
        <v>14.796299999999999</v>
      </c>
      <c r="T932" s="35">
        <v>0.63</v>
      </c>
      <c r="U932" s="35">
        <v>0.06</v>
      </c>
      <c r="V932" s="35">
        <v>2.0322580645161289E-2</v>
      </c>
      <c r="W932" s="9" t="s">
        <v>152</v>
      </c>
      <c r="X932" s="15">
        <v>931</v>
      </c>
      <c r="Y932" s="39">
        <v>0.49351023565765101</v>
      </c>
      <c r="Z932" s="39">
        <v>0.48818884830410203</v>
      </c>
      <c r="AA932" s="39">
        <v>0.49507919269273243</v>
      </c>
      <c r="AB932" s="39">
        <v>0.49006243623564655</v>
      </c>
      <c r="AC932" s="39">
        <v>0.48528934989168188</v>
      </c>
      <c r="AD932" s="39">
        <v>0.48109196890026723</v>
      </c>
      <c r="AE932" s="39">
        <v>0.48642317013894409</v>
      </c>
      <c r="AF932" s="40">
        <v>0.4844884283077161</v>
      </c>
    </row>
    <row r="933" spans="1:32">
      <c r="A933" s="15">
        <v>931</v>
      </c>
      <c r="B933" s="16">
        <v>0</v>
      </c>
      <c r="C933" s="20">
        <v>0.91</v>
      </c>
      <c r="D933" s="20">
        <v>0.21727233298780477</v>
      </c>
      <c r="E933" s="20">
        <v>0.09</v>
      </c>
      <c r="F933" s="8" t="s">
        <v>434</v>
      </c>
      <c r="G933" s="24">
        <v>0.8436653456726515</v>
      </c>
      <c r="H933" s="24">
        <v>0.84854995267252897</v>
      </c>
      <c r="I933" s="25">
        <v>0.86338993321063517</v>
      </c>
      <c r="L933" s="15">
        <v>931</v>
      </c>
      <c r="M933" s="16">
        <v>0</v>
      </c>
      <c r="N933" s="16">
        <v>3</v>
      </c>
      <c r="O933" s="16">
        <v>8</v>
      </c>
      <c r="P933" s="16">
        <v>146</v>
      </c>
      <c r="Q933" s="29">
        <v>29</v>
      </c>
      <c r="R933" s="20">
        <v>0.47729999999999995</v>
      </c>
      <c r="S933" s="32">
        <v>13.841699999999998</v>
      </c>
      <c r="T933" s="35">
        <v>0.48</v>
      </c>
      <c r="U933" s="35">
        <v>0.19</v>
      </c>
      <c r="V933" s="35">
        <v>1.6551724137931035E-2</v>
      </c>
      <c r="W933" s="9" t="s">
        <v>152</v>
      </c>
      <c r="X933" s="15">
        <v>932</v>
      </c>
      <c r="Y933" s="39">
        <v>0.49500517652590181</v>
      </c>
      <c r="Z933" s="39">
        <v>0.50307652105724343</v>
      </c>
      <c r="AA933" s="39">
        <v>0.49432236649801259</v>
      </c>
      <c r="AB933" s="39">
        <v>0.489844869853304</v>
      </c>
      <c r="AC933" s="39">
        <v>0.48696617184589452</v>
      </c>
      <c r="AD933" s="39">
        <v>0.49513646610313777</v>
      </c>
      <c r="AE933" s="39">
        <v>0.48741549944214091</v>
      </c>
      <c r="AF933" s="40">
        <v>0.48437475474015229</v>
      </c>
    </row>
    <row r="934" spans="1:32">
      <c r="A934" s="15">
        <v>932</v>
      </c>
      <c r="B934" s="16">
        <v>0</v>
      </c>
      <c r="C934" s="20">
        <v>0.08</v>
      </c>
      <c r="D934" s="20">
        <v>0.9241787526361116</v>
      </c>
      <c r="E934" s="20">
        <v>0.19</v>
      </c>
      <c r="F934" s="8" t="s">
        <v>436</v>
      </c>
      <c r="G934" s="24">
        <v>0.75433494658093481</v>
      </c>
      <c r="H934" s="24">
        <v>0.75870235337228953</v>
      </c>
      <c r="I934" s="25">
        <v>0.77197102202614942</v>
      </c>
      <c r="L934" s="15">
        <v>932</v>
      </c>
      <c r="M934" s="16">
        <v>0</v>
      </c>
      <c r="N934" s="16">
        <v>3</v>
      </c>
      <c r="O934" s="16">
        <v>8</v>
      </c>
      <c r="P934" s="16">
        <v>147</v>
      </c>
      <c r="Q934" s="29">
        <v>35</v>
      </c>
      <c r="R934" s="20">
        <v>0.47729999999999995</v>
      </c>
      <c r="S934" s="32">
        <v>16.705499999999997</v>
      </c>
      <c r="T934" s="35">
        <v>0.64</v>
      </c>
      <c r="U934" s="35">
        <v>0.23</v>
      </c>
      <c r="V934" s="35">
        <v>1.8285714285714287E-2</v>
      </c>
      <c r="W934" s="9" t="s">
        <v>152</v>
      </c>
      <c r="X934" s="15">
        <v>933</v>
      </c>
      <c r="Y934" s="39">
        <v>0.48649699957743636</v>
      </c>
      <c r="Z934" s="39">
        <v>0.47934099111471096</v>
      </c>
      <c r="AA934" s="39">
        <v>0.48152673538648044</v>
      </c>
      <c r="AB934" s="39">
        <v>0.49235562241078518</v>
      </c>
      <c r="AC934" s="39">
        <v>0.48102511147904009</v>
      </c>
      <c r="AD934" s="39">
        <v>0.47193942021259183</v>
      </c>
      <c r="AE934" s="39">
        <v>0.47288167761633298</v>
      </c>
      <c r="AF934" s="40">
        <v>0.48483037144317181</v>
      </c>
    </row>
    <row r="935" spans="1:32">
      <c r="A935" s="15">
        <v>933</v>
      </c>
      <c r="B935" s="16">
        <v>1</v>
      </c>
      <c r="C935" s="20">
        <v>0.3</v>
      </c>
      <c r="D935" s="20">
        <v>0.8251654946133673</v>
      </c>
      <c r="E935" s="20">
        <v>0.05</v>
      </c>
      <c r="F935" s="8" t="s">
        <v>436</v>
      </c>
      <c r="G935" s="24">
        <v>1.2711421819771846</v>
      </c>
      <c r="H935" s="24">
        <v>1.2785017707427691</v>
      </c>
      <c r="I935" s="25">
        <v>1.3008610217638801</v>
      </c>
      <c r="L935" s="15">
        <v>933</v>
      </c>
      <c r="M935" s="16">
        <v>0</v>
      </c>
      <c r="N935" s="16">
        <v>3</v>
      </c>
      <c r="O935" s="16">
        <v>8</v>
      </c>
      <c r="P935" s="16">
        <v>148</v>
      </c>
      <c r="Q935" s="29">
        <v>43</v>
      </c>
      <c r="R935" s="20">
        <v>0.47729999999999995</v>
      </c>
      <c r="S935" s="32">
        <v>20.523899999999998</v>
      </c>
      <c r="T935" s="35">
        <v>0.68</v>
      </c>
      <c r="U935" s="35">
        <v>0.04</v>
      </c>
      <c r="V935" s="35">
        <v>1.5813953488372095E-2</v>
      </c>
      <c r="W935" s="9" t="s">
        <v>152</v>
      </c>
      <c r="X935" s="15">
        <v>934</v>
      </c>
      <c r="Y935" s="39">
        <v>0.47772303683580297</v>
      </c>
      <c r="Z935" s="39">
        <v>0.49458794722311411</v>
      </c>
      <c r="AA935" s="39">
        <v>0.47218744463048817</v>
      </c>
      <c r="AB935" s="39">
        <v>0.49351657231158397</v>
      </c>
      <c r="AC935" s="39">
        <v>0.47209134344198245</v>
      </c>
      <c r="AD935" s="39">
        <v>0.48525299088488649</v>
      </c>
      <c r="AE935" s="39">
        <v>0.46650413838010563</v>
      </c>
      <c r="AF935" s="40">
        <v>0.48982504812543687</v>
      </c>
    </row>
    <row r="936" spans="1:32">
      <c r="A936" s="15">
        <v>934</v>
      </c>
      <c r="B936" s="16">
        <v>0</v>
      </c>
      <c r="C936" s="20">
        <v>0.22</v>
      </c>
      <c r="D936" s="20">
        <v>0.87935700428085994</v>
      </c>
      <c r="E936" s="20">
        <v>0.04</v>
      </c>
      <c r="F936" s="8" t="s">
        <v>436</v>
      </c>
      <c r="G936" s="24">
        <v>0.94088391398334581</v>
      </c>
      <c r="H936" s="24">
        <v>0.94633139167801261</v>
      </c>
      <c r="I936" s="25">
        <v>0.96288143612839561</v>
      </c>
      <c r="L936" s="15">
        <v>934</v>
      </c>
      <c r="M936" s="16">
        <v>0</v>
      </c>
      <c r="N936" s="16">
        <v>3</v>
      </c>
      <c r="O936" s="16">
        <v>8</v>
      </c>
      <c r="P936" s="16">
        <v>149</v>
      </c>
      <c r="Q936" s="29">
        <v>29</v>
      </c>
      <c r="R936" s="20">
        <v>0.47729999999999995</v>
      </c>
      <c r="S936" s="32">
        <v>13.841699999999998</v>
      </c>
      <c r="T936" s="35">
        <v>1.43</v>
      </c>
      <c r="U936" s="35">
        <v>0.97</v>
      </c>
      <c r="V936" s="35">
        <v>4.9310344827586207E-2</v>
      </c>
      <c r="W936" s="9" t="s">
        <v>153</v>
      </c>
      <c r="X936" s="15">
        <v>935</v>
      </c>
      <c r="Y936" s="39">
        <v>0.48474094484533503</v>
      </c>
      <c r="Z936" s="39">
        <v>0.47225481657114621</v>
      </c>
      <c r="AA936" s="39">
        <v>0.48693855073850745</v>
      </c>
      <c r="AB936" s="39">
        <v>0.497982353366413</v>
      </c>
      <c r="AC936" s="39">
        <v>0.47785329075958066</v>
      </c>
      <c r="AD936" s="39">
        <v>0.46694774137062145</v>
      </c>
      <c r="AE936" s="39">
        <v>0.48176267476393614</v>
      </c>
      <c r="AF936" s="40">
        <v>0.49198860498183877</v>
      </c>
    </row>
    <row r="937" spans="1:32">
      <c r="A937" s="15">
        <v>935</v>
      </c>
      <c r="B937" s="16">
        <v>0</v>
      </c>
      <c r="C937" s="20">
        <v>0.93</v>
      </c>
      <c r="D937" s="20">
        <v>0.18747949848141848</v>
      </c>
      <c r="E937" s="20">
        <v>7.0000000000000007E-2</v>
      </c>
      <c r="F937" s="8" t="s">
        <v>434</v>
      </c>
      <c r="G937" s="24">
        <v>2.1544430174116362</v>
      </c>
      <c r="H937" s="24">
        <v>2.1669166925455787</v>
      </c>
      <c r="I937" s="25">
        <v>1.6578926537592125</v>
      </c>
      <c r="L937" s="15">
        <v>935</v>
      </c>
      <c r="M937" s="16">
        <v>0</v>
      </c>
      <c r="N937" s="16">
        <v>3</v>
      </c>
      <c r="O937" s="16">
        <v>8</v>
      </c>
      <c r="P937" s="16">
        <v>150</v>
      </c>
      <c r="Q937" s="29">
        <v>34</v>
      </c>
      <c r="R937" s="20">
        <v>0.47729999999999995</v>
      </c>
      <c r="S937" s="32">
        <v>16.228199999999998</v>
      </c>
      <c r="T937" s="35">
        <v>0.57000000000000006</v>
      </c>
      <c r="U937" s="35">
        <v>0.03</v>
      </c>
      <c r="V937" s="35">
        <v>1.6764705882352942E-2</v>
      </c>
      <c r="W937" s="9" t="s">
        <v>152</v>
      </c>
      <c r="X937" s="15">
        <v>936</v>
      </c>
      <c r="Y937" s="39">
        <v>0.47922366737760808</v>
      </c>
      <c r="Z937" s="39">
        <v>0.4879454055915225</v>
      </c>
      <c r="AA937" s="39">
        <v>0.48475522751083255</v>
      </c>
      <c r="AB937" s="39">
        <v>0.48030723690502536</v>
      </c>
      <c r="AC937" s="39">
        <v>0.47292176590478918</v>
      </c>
      <c r="AD937" s="39">
        <v>0.47772450215727769</v>
      </c>
      <c r="AE937" s="39">
        <v>0.47811463205749349</v>
      </c>
      <c r="AF937" s="40">
        <v>0.47702644564951274</v>
      </c>
    </row>
    <row r="938" spans="1:32">
      <c r="A938" s="15">
        <v>936</v>
      </c>
      <c r="B938" s="16">
        <v>1</v>
      </c>
      <c r="C938" s="20">
        <v>0.02</v>
      </c>
      <c r="D938" s="20">
        <v>0.99756714174924133</v>
      </c>
      <c r="E938" s="20">
        <v>1</v>
      </c>
      <c r="F938" s="8" t="s">
        <v>436</v>
      </c>
      <c r="G938" s="24">
        <v>1.0500393504623708</v>
      </c>
      <c r="H938" s="24">
        <v>1.0561188102715513</v>
      </c>
      <c r="I938" s="25">
        <v>1.0745888868309761</v>
      </c>
      <c r="L938" s="15">
        <v>936</v>
      </c>
      <c r="M938" s="16">
        <v>0</v>
      </c>
      <c r="N938" s="16">
        <v>3</v>
      </c>
      <c r="O938" s="16">
        <v>8</v>
      </c>
      <c r="P938" s="16">
        <v>151</v>
      </c>
      <c r="Q938" s="29">
        <v>28</v>
      </c>
      <c r="R938" s="20">
        <v>0.47729999999999995</v>
      </c>
      <c r="S938" s="32">
        <v>13.364399999999998</v>
      </c>
      <c r="T938" s="35">
        <v>0.57999999999999996</v>
      </c>
      <c r="U938" s="35">
        <v>0.23</v>
      </c>
      <c r="V938" s="35">
        <v>2.0714285714285713E-2</v>
      </c>
      <c r="W938" s="9" t="s">
        <v>152</v>
      </c>
      <c r="X938" s="15">
        <v>937</v>
      </c>
      <c r="Y938" s="39">
        <v>0.4790959405841187</v>
      </c>
      <c r="Z938" s="39">
        <v>0.4805554596794947</v>
      </c>
      <c r="AA938" s="39">
        <v>0.48670399112384438</v>
      </c>
      <c r="AB938" s="39">
        <v>0.48873831271038082</v>
      </c>
      <c r="AC938" s="39">
        <v>0.47290966684225294</v>
      </c>
      <c r="AD938" s="39">
        <v>0.47509930188312938</v>
      </c>
      <c r="AE938" s="39">
        <v>0.47676315565820188</v>
      </c>
      <c r="AF938" s="40">
        <v>0.48467422944672295</v>
      </c>
    </row>
    <row r="939" spans="1:32">
      <c r="A939" s="15">
        <v>937</v>
      </c>
      <c r="B939" s="16">
        <v>1</v>
      </c>
      <c r="C939" s="20">
        <v>0.92</v>
      </c>
      <c r="D939" s="20">
        <v>0.20258497911151899</v>
      </c>
      <c r="E939" s="20">
        <v>0.08</v>
      </c>
      <c r="F939" s="8" t="s">
        <v>434</v>
      </c>
      <c r="G939" s="24">
        <v>0.50173644119565897</v>
      </c>
      <c r="H939" s="24">
        <v>0.50464136711839425</v>
      </c>
      <c r="I939" s="25">
        <v>0.51346685587503604</v>
      </c>
      <c r="L939" s="15">
        <v>937</v>
      </c>
      <c r="M939" s="16">
        <v>0</v>
      </c>
      <c r="N939" s="16">
        <v>3</v>
      </c>
      <c r="O939" s="16">
        <v>8</v>
      </c>
      <c r="P939" s="16">
        <v>152</v>
      </c>
      <c r="Q939" s="29">
        <v>33</v>
      </c>
      <c r="R939" s="20">
        <v>0.47729999999999995</v>
      </c>
      <c r="S939" s="32">
        <v>15.750899999999998</v>
      </c>
      <c r="T939" s="35">
        <v>0.8</v>
      </c>
      <c r="U939" s="35">
        <v>0.28000000000000003</v>
      </c>
      <c r="V939" s="35">
        <v>2.4242424242424242E-2</v>
      </c>
      <c r="W939" s="9" t="s">
        <v>152</v>
      </c>
      <c r="X939" s="15">
        <v>938</v>
      </c>
      <c r="Y939" s="39">
        <v>0.49421849932891282</v>
      </c>
      <c r="Z939" s="39">
        <v>0.48555816467467955</v>
      </c>
      <c r="AA939" s="39">
        <v>0.48209971495353049</v>
      </c>
      <c r="AB939" s="39">
        <v>0.48785704938401042</v>
      </c>
      <c r="AC939" s="39">
        <v>0.48827744058066402</v>
      </c>
      <c r="AD939" s="39">
        <v>0.47872000858949049</v>
      </c>
      <c r="AE939" s="39">
        <v>0.47698938265438384</v>
      </c>
      <c r="AF939" s="40">
        <v>0.48211007247212667</v>
      </c>
    </row>
    <row r="940" spans="1:32">
      <c r="A940" s="15">
        <v>938</v>
      </c>
      <c r="B940" s="16">
        <v>0</v>
      </c>
      <c r="C940" s="20">
        <v>0.64</v>
      </c>
      <c r="D940" s="20">
        <v>0.44008665837614019</v>
      </c>
      <c r="E940" s="20">
        <v>7.0000000000000007E-2</v>
      </c>
      <c r="F940" s="8" t="s">
        <v>438</v>
      </c>
      <c r="G940" s="24">
        <v>0.82628819420183242</v>
      </c>
      <c r="H940" s="24">
        <v>0.8310721919303351</v>
      </c>
      <c r="I940" s="25">
        <v>0.8456065102873912</v>
      </c>
      <c r="L940" s="15">
        <v>938</v>
      </c>
      <c r="M940" s="16">
        <v>0</v>
      </c>
      <c r="N940" s="16">
        <v>3</v>
      </c>
      <c r="O940" s="16">
        <v>9</v>
      </c>
      <c r="P940" s="16">
        <v>153</v>
      </c>
      <c r="Q940" s="29">
        <v>26</v>
      </c>
      <c r="R940" s="20">
        <v>0.47729999999999995</v>
      </c>
      <c r="S940" s="32">
        <v>12.409799999999999</v>
      </c>
      <c r="T940" s="35">
        <v>0.34</v>
      </c>
      <c r="U940" s="35">
        <v>0.02</v>
      </c>
      <c r="V940" s="35">
        <v>1.3076923076923078E-2</v>
      </c>
      <c r="W940" s="9" t="s">
        <v>152</v>
      </c>
      <c r="X940" s="15">
        <v>939</v>
      </c>
      <c r="Y940" s="39">
        <v>0.49421715812404937</v>
      </c>
      <c r="Z940" s="39">
        <v>0.47755454458565305</v>
      </c>
      <c r="AA940" s="39">
        <v>0.48545940891331829</v>
      </c>
      <c r="AB940" s="39">
        <v>0.48326596527127852</v>
      </c>
      <c r="AC940" s="39">
        <v>0.48828572471624299</v>
      </c>
      <c r="AD940" s="39">
        <v>0.47003446573320773</v>
      </c>
      <c r="AE940" s="39">
        <v>0.47462735532783668</v>
      </c>
      <c r="AF940" s="40">
        <v>0.47868477216526661</v>
      </c>
    </row>
    <row r="941" spans="1:32">
      <c r="A941" s="15">
        <v>939</v>
      </c>
      <c r="B941" s="16">
        <v>0</v>
      </c>
      <c r="C941" s="20">
        <v>0.68</v>
      </c>
      <c r="D941" s="20">
        <v>0.4238010078060393</v>
      </c>
      <c r="E941" s="20">
        <v>7.0000000000000007E-2</v>
      </c>
      <c r="F941" s="8" t="s">
        <v>438</v>
      </c>
      <c r="G941" s="24">
        <v>1.3658595428903464</v>
      </c>
      <c r="H941" s="24">
        <v>1.3737675209983393</v>
      </c>
      <c r="I941" s="25">
        <v>1.3977928399690016</v>
      </c>
      <c r="L941" s="15">
        <v>939</v>
      </c>
      <c r="M941" s="16">
        <v>0</v>
      </c>
      <c r="N941" s="16">
        <v>3</v>
      </c>
      <c r="O941" s="16">
        <v>9</v>
      </c>
      <c r="P941" s="16">
        <v>154</v>
      </c>
      <c r="Q941" s="29">
        <v>20</v>
      </c>
      <c r="R941" s="20">
        <v>0.47729999999999995</v>
      </c>
      <c r="S941" s="32">
        <v>9.5459999999999994</v>
      </c>
      <c r="T941" s="35">
        <v>1.55</v>
      </c>
      <c r="U941" s="35">
        <v>1.2</v>
      </c>
      <c r="V941" s="35">
        <v>7.7499999999999999E-2</v>
      </c>
      <c r="W941" s="9" t="s">
        <v>153</v>
      </c>
      <c r="X941" s="15">
        <v>940</v>
      </c>
      <c r="Y941" s="39">
        <v>0.48652309119495318</v>
      </c>
      <c r="Z941" s="39">
        <v>0.47585791785568782</v>
      </c>
      <c r="AA941" s="39">
        <v>0.49446014122295134</v>
      </c>
      <c r="AB941" s="39">
        <v>0.47845961209983034</v>
      </c>
      <c r="AC941" s="39">
        <v>0.47873496241968427</v>
      </c>
      <c r="AD941" s="39">
        <v>0.46936753639818773</v>
      </c>
      <c r="AE941" s="39">
        <v>0.48792537009988485</v>
      </c>
      <c r="AF941" s="40">
        <v>0.47459804373559616</v>
      </c>
    </row>
    <row r="942" spans="1:32">
      <c r="A942" s="15">
        <v>940</v>
      </c>
      <c r="B942" s="16">
        <v>0</v>
      </c>
      <c r="C942" s="20">
        <v>0.3</v>
      </c>
      <c r="D942" s="20">
        <v>0.60422878608226105</v>
      </c>
      <c r="E942" s="20">
        <v>0.13</v>
      </c>
      <c r="F942" s="8" t="s">
        <v>436</v>
      </c>
      <c r="G942" s="24">
        <v>1.2594720782557913</v>
      </c>
      <c r="H942" s="24">
        <v>1.2667641000997056</v>
      </c>
      <c r="I942" s="25">
        <v>1.2889180752813012</v>
      </c>
      <c r="L942" s="15">
        <v>940</v>
      </c>
      <c r="M942" s="16">
        <v>0</v>
      </c>
      <c r="N942" s="16">
        <v>3</v>
      </c>
      <c r="O942" s="16">
        <v>9</v>
      </c>
      <c r="P942" s="16">
        <v>155</v>
      </c>
      <c r="Q942" s="29">
        <v>29</v>
      </c>
      <c r="R942" s="20">
        <v>0.47729999999999995</v>
      </c>
      <c r="S942" s="32">
        <v>13.841699999999998</v>
      </c>
      <c r="T942" s="35">
        <v>0.35</v>
      </c>
      <c r="U942" s="35">
        <v>0.02</v>
      </c>
      <c r="V942" s="35">
        <v>1.2068965517241379E-2</v>
      </c>
      <c r="W942" s="9" t="s">
        <v>152</v>
      </c>
      <c r="X942" s="15">
        <v>941</v>
      </c>
      <c r="Y942" s="39">
        <v>0.49426412047237017</v>
      </c>
      <c r="Z942" s="39">
        <v>0.48722511442410088</v>
      </c>
      <c r="AA942" s="39">
        <v>0.48412268333062397</v>
      </c>
      <c r="AB942" s="39">
        <v>0.49075723917621283</v>
      </c>
      <c r="AC942" s="39">
        <v>0.48706127910802754</v>
      </c>
      <c r="AD942" s="39">
        <v>0.48054077393238526</v>
      </c>
      <c r="AE942" s="39">
        <v>0.47567610437857044</v>
      </c>
      <c r="AF942" s="40">
        <v>0.48908196011672633</v>
      </c>
    </row>
    <row r="943" spans="1:32">
      <c r="A943" s="15">
        <v>941</v>
      </c>
      <c r="B943" s="16">
        <v>0</v>
      </c>
      <c r="C943" s="20">
        <v>0.2</v>
      </c>
      <c r="D943" s="20">
        <v>0.88886556290504626</v>
      </c>
      <c r="E943" s="20">
        <v>0.08</v>
      </c>
      <c r="F943" s="8" t="s">
        <v>436</v>
      </c>
      <c r="G943" s="24">
        <v>0.98430491330452974</v>
      </c>
      <c r="H943" s="24">
        <v>0.990003787501748</v>
      </c>
      <c r="I943" s="25">
        <v>1.0073176025492956</v>
      </c>
      <c r="L943" s="15">
        <v>941</v>
      </c>
      <c r="M943" s="16">
        <v>0</v>
      </c>
      <c r="N943" s="16">
        <v>3</v>
      </c>
      <c r="O943" s="16">
        <v>9</v>
      </c>
      <c r="P943" s="16">
        <v>156</v>
      </c>
      <c r="Q943" s="29">
        <v>25</v>
      </c>
      <c r="R943" s="20">
        <v>0.47729999999999995</v>
      </c>
      <c r="S943" s="32">
        <v>11.932499999999999</v>
      </c>
      <c r="T943" s="35">
        <v>0.75</v>
      </c>
      <c r="U943" s="35">
        <v>0.33</v>
      </c>
      <c r="V943" s="35">
        <v>0.03</v>
      </c>
      <c r="W943" s="9" t="s">
        <v>152</v>
      </c>
      <c r="X943" s="15">
        <v>942</v>
      </c>
      <c r="Y943" s="39">
        <v>0.49528000472297751</v>
      </c>
      <c r="Z943" s="39">
        <v>0.48580480552695021</v>
      </c>
      <c r="AA943" s="39">
        <v>0.49434755492728583</v>
      </c>
      <c r="AB943" s="39">
        <v>0.48070625257753707</v>
      </c>
      <c r="AC943" s="39">
        <v>0.48578885372907427</v>
      </c>
      <c r="AD943" s="39">
        <v>0.47829130880518211</v>
      </c>
      <c r="AE943" s="39">
        <v>0.48699468157368075</v>
      </c>
      <c r="AF943" s="40">
        <v>0.47590875460725551</v>
      </c>
    </row>
    <row r="944" spans="1:32">
      <c r="A944" s="15">
        <v>942</v>
      </c>
      <c r="B944" s="16">
        <v>0</v>
      </c>
      <c r="C944" s="20">
        <v>0.57999999999999996</v>
      </c>
      <c r="D944" s="20">
        <v>0.60890735554831787</v>
      </c>
      <c r="E944" s="20">
        <v>7.0000000000000007E-2</v>
      </c>
      <c r="F944" s="8" t="s">
        <v>438</v>
      </c>
      <c r="G944" s="24">
        <v>1.2712725444941251</v>
      </c>
      <c r="H944" s="24">
        <v>1.2786328880254065</v>
      </c>
      <c r="I944" s="25">
        <v>1.3009944321088371</v>
      </c>
      <c r="L944" s="15">
        <v>942</v>
      </c>
      <c r="M944" s="16">
        <v>0</v>
      </c>
      <c r="N944" s="16">
        <v>3</v>
      </c>
      <c r="O944" s="16">
        <v>9</v>
      </c>
      <c r="P944" s="16">
        <v>157</v>
      </c>
      <c r="Q944" s="29">
        <v>27</v>
      </c>
      <c r="R944" s="20">
        <v>0.47729999999999995</v>
      </c>
      <c r="S944" s="32">
        <v>12.887099999999998</v>
      </c>
      <c r="T944" s="35">
        <v>1.9</v>
      </c>
      <c r="U944" s="35">
        <v>1.48</v>
      </c>
      <c r="V944" s="35">
        <v>7.0370370370370361E-2</v>
      </c>
      <c r="W944" s="9" t="s">
        <v>153</v>
      </c>
      <c r="X944" s="15">
        <v>943</v>
      </c>
      <c r="Y944" s="39">
        <v>0.48031008697832861</v>
      </c>
      <c r="Z944" s="39">
        <v>0.49175898642220189</v>
      </c>
      <c r="AA944" s="39">
        <v>0.47152330204523851</v>
      </c>
      <c r="AB944" s="39">
        <v>0.48207954229835243</v>
      </c>
      <c r="AC944" s="39">
        <v>0.47409355635402156</v>
      </c>
      <c r="AD944" s="39">
        <v>0.48575781535319118</v>
      </c>
      <c r="AE944" s="39">
        <v>0.46459368382706506</v>
      </c>
      <c r="AF944" s="40">
        <v>0.47591401601843358</v>
      </c>
    </row>
    <row r="945" spans="1:32">
      <c r="A945" s="15">
        <v>943</v>
      </c>
      <c r="B945" s="16">
        <v>1</v>
      </c>
      <c r="C945" s="20">
        <v>0.02</v>
      </c>
      <c r="D945" s="20">
        <v>0.99679477127711513</v>
      </c>
      <c r="E945" s="20">
        <v>1</v>
      </c>
      <c r="F945" s="8" t="s">
        <v>436</v>
      </c>
      <c r="G945" s="24">
        <v>1.1039258702551662</v>
      </c>
      <c r="H945" s="24">
        <v>1.1103173192590303</v>
      </c>
      <c r="I945" s="25">
        <v>1.1297352537684029</v>
      </c>
      <c r="L945" s="15">
        <v>943</v>
      </c>
      <c r="M945" s="16">
        <v>0</v>
      </c>
      <c r="N945" s="16">
        <v>3</v>
      </c>
      <c r="O945" s="16">
        <v>9</v>
      </c>
      <c r="P945" s="16">
        <v>158</v>
      </c>
      <c r="Q945" s="29">
        <v>22</v>
      </c>
      <c r="R945" s="20">
        <v>0.47729999999999995</v>
      </c>
      <c r="S945" s="32">
        <v>10.500599999999999</v>
      </c>
      <c r="T945" s="35">
        <v>0.67999999999999994</v>
      </c>
      <c r="U945" s="35">
        <v>0.38</v>
      </c>
      <c r="V945" s="35">
        <v>3.0909090909090907E-2</v>
      </c>
      <c r="W945" s="9" t="s">
        <v>152</v>
      </c>
      <c r="X945" s="15">
        <v>944</v>
      </c>
      <c r="Y945" s="39">
        <v>0.47217299763546522</v>
      </c>
      <c r="Z945" s="39">
        <v>0.48972007071581902</v>
      </c>
      <c r="AA945" s="39">
        <v>0.47680498241262081</v>
      </c>
      <c r="AB945" s="39">
        <v>0.4813668106130583</v>
      </c>
      <c r="AC945" s="39">
        <v>0.4677043597127537</v>
      </c>
      <c r="AD945" s="39">
        <v>0.48234171098274825</v>
      </c>
      <c r="AE945" s="39">
        <v>0.46902455115269925</v>
      </c>
      <c r="AF945" s="40">
        <v>0.47868194386095253</v>
      </c>
    </row>
    <row r="946" spans="1:32">
      <c r="A946" s="15">
        <v>944</v>
      </c>
      <c r="B946" s="16">
        <v>1</v>
      </c>
      <c r="C946" s="20">
        <v>0.56000000000000005</v>
      </c>
      <c r="D946" s="20">
        <v>0.56348205792769357</v>
      </c>
      <c r="E946" s="20">
        <v>0.02</v>
      </c>
      <c r="F946" s="8" t="s">
        <v>438</v>
      </c>
      <c r="G946" s="24">
        <v>0.92518024180543357</v>
      </c>
      <c r="H946" s="24">
        <v>0.93053679924666399</v>
      </c>
      <c r="I946" s="25">
        <v>0.94681061783249976</v>
      </c>
      <c r="L946" s="15">
        <v>944</v>
      </c>
      <c r="M946" s="16">
        <v>0</v>
      </c>
      <c r="N946" s="16">
        <v>3</v>
      </c>
      <c r="O946" s="16">
        <v>9</v>
      </c>
      <c r="P946" s="16">
        <v>159</v>
      </c>
      <c r="Q946" s="29">
        <v>27</v>
      </c>
      <c r="R946" s="20">
        <v>0.47729999999999995</v>
      </c>
      <c r="S946" s="32">
        <v>12.887099999999998</v>
      </c>
      <c r="T946" s="35">
        <v>1.1199999999999999</v>
      </c>
      <c r="U946" s="35">
        <v>0.63</v>
      </c>
      <c r="V946" s="35">
        <v>4.148148148148148E-2</v>
      </c>
      <c r="W946" s="9" t="s">
        <v>153</v>
      </c>
      <c r="X946" s="15">
        <v>945</v>
      </c>
      <c r="Y946" s="39">
        <v>0.48793861732034516</v>
      </c>
      <c r="Z946" s="39">
        <v>0.47833081265434857</v>
      </c>
      <c r="AA946" s="39">
        <v>0.47531232823354208</v>
      </c>
      <c r="AB946" s="39">
        <v>0.49506428053673457</v>
      </c>
      <c r="AC946" s="39">
        <v>0.4815486322818594</v>
      </c>
      <c r="AD946" s="39">
        <v>0.47220816219879469</v>
      </c>
      <c r="AE946" s="39">
        <v>0.46828870088394053</v>
      </c>
      <c r="AF946" s="40">
        <v>0.49045886220887536</v>
      </c>
    </row>
    <row r="947" spans="1:32">
      <c r="A947" s="15">
        <v>945</v>
      </c>
      <c r="B947" s="16">
        <v>1</v>
      </c>
      <c r="C947" s="20">
        <v>0.54</v>
      </c>
      <c r="D947" s="20">
        <v>0.46724169018511769</v>
      </c>
      <c r="E947" s="20">
        <v>0.1</v>
      </c>
      <c r="F947" s="8" t="s">
        <v>438</v>
      </c>
      <c r="G947" s="24">
        <v>0.54250841654967075</v>
      </c>
      <c r="H947" s="24">
        <v>0.54564940180236965</v>
      </c>
      <c r="I947" s="25">
        <v>0.55519206511626584</v>
      </c>
      <c r="L947" s="15">
        <v>945</v>
      </c>
      <c r="M947" s="16">
        <v>0</v>
      </c>
      <c r="N947" s="16">
        <v>3</v>
      </c>
      <c r="O947" s="16">
        <v>9</v>
      </c>
      <c r="P947" s="16">
        <v>160</v>
      </c>
      <c r="Q947" s="29">
        <v>29</v>
      </c>
      <c r="R947" s="20">
        <v>0.47729999999999995</v>
      </c>
      <c r="S947" s="32">
        <v>13.841699999999998</v>
      </c>
      <c r="T947" s="35">
        <v>0.45</v>
      </c>
      <c r="U947" s="35">
        <v>0.11</v>
      </c>
      <c r="V947" s="35">
        <v>1.5517241379310345E-2</v>
      </c>
      <c r="W947" s="9" t="s">
        <v>152</v>
      </c>
      <c r="X947" s="15">
        <v>946</v>
      </c>
      <c r="Y947" s="39">
        <v>0.4988113120590405</v>
      </c>
      <c r="Z947" s="39">
        <v>0.49192881596006899</v>
      </c>
      <c r="AA947" s="39">
        <v>0.48228114030251473</v>
      </c>
      <c r="AB947" s="39">
        <v>0.48578994300434863</v>
      </c>
      <c r="AC947" s="39">
        <v>0.49240368916998017</v>
      </c>
      <c r="AD947" s="39">
        <v>0.48440334727038076</v>
      </c>
      <c r="AE947" s="39">
        <v>0.47587784427175089</v>
      </c>
      <c r="AF947" s="40">
        <v>0.47959015630080259</v>
      </c>
    </row>
    <row r="948" spans="1:32">
      <c r="A948" s="15">
        <v>946</v>
      </c>
      <c r="B948" s="16">
        <v>0</v>
      </c>
      <c r="C948" s="20">
        <v>0.24</v>
      </c>
      <c r="D948" s="20">
        <v>0.68784612083717811</v>
      </c>
      <c r="E948" s="20">
        <v>0.13</v>
      </c>
      <c r="F948" s="8" t="s">
        <v>436</v>
      </c>
      <c r="G948" s="24">
        <v>1.294882671357374</v>
      </c>
      <c r="H948" s="24">
        <v>1.3023797114965412</v>
      </c>
      <c r="I948" s="25">
        <v>1.3251565551118891</v>
      </c>
      <c r="L948" s="15">
        <v>946</v>
      </c>
      <c r="M948" s="16">
        <v>0</v>
      </c>
      <c r="N948" s="16">
        <v>3</v>
      </c>
      <c r="O948" s="16">
        <v>9</v>
      </c>
      <c r="P948" s="16">
        <v>161</v>
      </c>
      <c r="Q948" s="29">
        <v>24</v>
      </c>
      <c r="R948" s="20">
        <v>0.47729999999999995</v>
      </c>
      <c r="S948" s="32">
        <v>11.455199999999998</v>
      </c>
      <c r="T948" s="35">
        <v>0.76</v>
      </c>
      <c r="U948" s="35">
        <v>0.36</v>
      </c>
      <c r="V948" s="35">
        <v>3.1666666666666669E-2</v>
      </c>
      <c r="W948" s="9" t="s">
        <v>152</v>
      </c>
      <c r="X948" s="15">
        <v>947</v>
      </c>
      <c r="Y948" s="39">
        <v>0.49043242471389992</v>
      </c>
      <c r="Z948" s="39">
        <v>0.48443479958337937</v>
      </c>
      <c r="AA948" s="39">
        <v>0.48042404502400693</v>
      </c>
      <c r="AB948" s="39">
        <v>0.47855798307067682</v>
      </c>
      <c r="AC948" s="39">
        <v>0.48206760916348634</v>
      </c>
      <c r="AD948" s="39">
        <v>0.47795176328204397</v>
      </c>
      <c r="AE948" s="39">
        <v>0.47402879129231723</v>
      </c>
      <c r="AF948" s="40">
        <v>0.47550280008162465</v>
      </c>
    </row>
    <row r="949" spans="1:32">
      <c r="A949" s="15">
        <v>947</v>
      </c>
      <c r="B949" s="16">
        <v>1</v>
      </c>
      <c r="C949" s="20">
        <v>0.9</v>
      </c>
      <c r="D949" s="20">
        <v>0.23159538658365303</v>
      </c>
      <c r="E949" s="20">
        <v>0.1</v>
      </c>
      <c r="F949" s="8" t="s">
        <v>434</v>
      </c>
      <c r="G949" s="24">
        <v>0.9402976746438938</v>
      </c>
      <c r="H949" s="24">
        <v>0.94574175816242689</v>
      </c>
      <c r="I949" s="25">
        <v>0.96228149072737723</v>
      </c>
      <c r="L949" s="15">
        <v>947</v>
      </c>
      <c r="M949" s="16">
        <v>0</v>
      </c>
      <c r="N949" s="16">
        <v>3</v>
      </c>
      <c r="O949" s="16">
        <v>9</v>
      </c>
      <c r="P949" s="16">
        <v>162</v>
      </c>
      <c r="Q949" s="29">
        <v>25</v>
      </c>
      <c r="R949" s="20">
        <v>0.47729999999999995</v>
      </c>
      <c r="S949" s="32">
        <v>11.932499999999999</v>
      </c>
      <c r="T949" s="35">
        <v>0.7</v>
      </c>
      <c r="U949" s="35">
        <v>0.35</v>
      </c>
      <c r="V949" s="35">
        <v>2.7999999999999997E-2</v>
      </c>
      <c r="W949" s="9" t="s">
        <v>152</v>
      </c>
      <c r="X949" s="15">
        <v>948</v>
      </c>
      <c r="Y949" s="39">
        <v>0.49140820713275851</v>
      </c>
      <c r="Z949" s="39">
        <v>0.47665589703389188</v>
      </c>
      <c r="AA949" s="39">
        <v>0.47795140028468047</v>
      </c>
      <c r="AB949" s="39">
        <v>0.46788162784555648</v>
      </c>
      <c r="AC949" s="39">
        <v>0.48272941466434993</v>
      </c>
      <c r="AD949" s="39">
        <v>0.46750477643998184</v>
      </c>
      <c r="AE949" s="39">
        <v>0.47197050296898901</v>
      </c>
      <c r="AF949" s="40">
        <v>0.46218401036218287</v>
      </c>
    </row>
    <row r="950" spans="1:32">
      <c r="A950" s="15">
        <v>948</v>
      </c>
      <c r="B950" s="16">
        <v>0</v>
      </c>
      <c r="C950" s="20">
        <v>0.02</v>
      </c>
      <c r="D950" s="20">
        <v>0.99835916395484214</v>
      </c>
      <c r="E950" s="20">
        <v>1</v>
      </c>
      <c r="F950" s="8" t="s">
        <v>436</v>
      </c>
      <c r="G950" s="24">
        <v>1.0246178410968887</v>
      </c>
      <c r="H950" s="24">
        <v>1.0305501168558637</v>
      </c>
      <c r="I950" s="25">
        <v>1.0485730318646</v>
      </c>
      <c r="L950" s="15">
        <v>948</v>
      </c>
      <c r="M950" s="16">
        <v>0</v>
      </c>
      <c r="N950" s="16">
        <v>3</v>
      </c>
      <c r="O950" s="16">
        <v>9</v>
      </c>
      <c r="P950" s="16">
        <v>163</v>
      </c>
      <c r="Q950" s="29">
        <v>18</v>
      </c>
      <c r="R950" s="20">
        <v>0.47729999999999995</v>
      </c>
      <c r="S950" s="32">
        <v>8.5913999999999984</v>
      </c>
      <c r="T950" s="35">
        <v>0.33</v>
      </c>
      <c r="U950" s="35">
        <v>0.06</v>
      </c>
      <c r="V950" s="35">
        <v>1.8333333333333333E-2</v>
      </c>
      <c r="W950" s="9" t="s">
        <v>152</v>
      </c>
      <c r="X950" s="15">
        <v>949</v>
      </c>
      <c r="Y950" s="39">
        <v>0.48296957795596762</v>
      </c>
      <c r="Z950" s="39">
        <v>0.48577056503992627</v>
      </c>
      <c r="AA950" s="39">
        <v>0.48457496144197859</v>
      </c>
      <c r="AB950" s="39">
        <v>0.47327556937941717</v>
      </c>
      <c r="AC950" s="39">
        <v>0.47578930230286803</v>
      </c>
      <c r="AD950" s="39">
        <v>0.47898204146005874</v>
      </c>
      <c r="AE950" s="39">
        <v>0.47837095128794282</v>
      </c>
      <c r="AF950" s="40">
        <v>0.46971407394671993</v>
      </c>
    </row>
    <row r="951" spans="1:32">
      <c r="A951" s="15">
        <v>949</v>
      </c>
      <c r="B951" s="16">
        <v>0</v>
      </c>
      <c r="C951" s="20">
        <v>0.91</v>
      </c>
      <c r="D951" s="20">
        <v>0.21727233298780477</v>
      </c>
      <c r="E951" s="20">
        <v>0.09</v>
      </c>
      <c r="F951" s="8" t="s">
        <v>434</v>
      </c>
      <c r="G951" s="24">
        <v>0.49790609925523593</v>
      </c>
      <c r="H951" s="24">
        <v>0.50078884847585814</v>
      </c>
      <c r="I951" s="25">
        <v>0.50954696193950999</v>
      </c>
      <c r="L951" s="15">
        <v>949</v>
      </c>
      <c r="M951" s="16">
        <v>0</v>
      </c>
      <c r="N951" s="16">
        <v>3</v>
      </c>
      <c r="O951" s="16">
        <v>9</v>
      </c>
      <c r="P951" s="16">
        <v>164</v>
      </c>
      <c r="Q951" s="29">
        <v>19</v>
      </c>
      <c r="R951" s="20">
        <v>0.47729999999999995</v>
      </c>
      <c r="S951" s="32">
        <v>9.0686999999999998</v>
      </c>
      <c r="T951" s="35">
        <v>0.4</v>
      </c>
      <c r="U951" s="35">
        <v>0.12</v>
      </c>
      <c r="V951" s="35">
        <v>2.1052631578947368E-2</v>
      </c>
      <c r="W951" s="9" t="s">
        <v>152</v>
      </c>
      <c r="X951" s="15">
        <v>950</v>
      </c>
      <c r="Y951" s="39">
        <v>0.4841598854297296</v>
      </c>
      <c r="Z951" s="39">
        <v>0.49780354830536239</v>
      </c>
      <c r="AA951" s="39">
        <v>0.48597884206901087</v>
      </c>
      <c r="AB951" s="39">
        <v>0.49142971529755292</v>
      </c>
      <c r="AC951" s="39">
        <v>0.47672804578468853</v>
      </c>
      <c r="AD951" s="39">
        <v>0.49087674726971842</v>
      </c>
      <c r="AE951" s="39">
        <v>0.47611878952138559</v>
      </c>
      <c r="AF951" s="40">
        <v>0.48984674718717808</v>
      </c>
    </row>
    <row r="952" spans="1:32">
      <c r="A952" s="15">
        <v>950</v>
      </c>
      <c r="B952" s="16">
        <v>0</v>
      </c>
      <c r="C952" s="20">
        <v>0.88</v>
      </c>
      <c r="D952" s="20">
        <v>0.25930874124763043</v>
      </c>
      <c r="E952" s="20">
        <v>0.12</v>
      </c>
      <c r="F952" s="8" t="s">
        <v>434</v>
      </c>
      <c r="G952" s="24">
        <v>0.70471486959931295</v>
      </c>
      <c r="H952" s="24">
        <v>0.70879498881082093</v>
      </c>
      <c r="I952" s="25">
        <v>0.72119084577402215</v>
      </c>
      <c r="L952" s="15">
        <v>950</v>
      </c>
      <c r="M952" s="16">
        <v>0</v>
      </c>
      <c r="N952" s="16">
        <v>3</v>
      </c>
      <c r="O952" s="16">
        <v>9</v>
      </c>
      <c r="P952" s="16">
        <v>165</v>
      </c>
      <c r="Q952" s="29">
        <v>18</v>
      </c>
      <c r="R952" s="20">
        <v>0.47729999999999995</v>
      </c>
      <c r="S952" s="32">
        <v>8.5913999999999984</v>
      </c>
      <c r="T952" s="35">
        <v>0.28000000000000003</v>
      </c>
      <c r="U952" s="35">
        <v>0</v>
      </c>
      <c r="V952" s="35">
        <v>1.5555555555555557E-2</v>
      </c>
      <c r="W952" s="9" t="s">
        <v>152</v>
      </c>
      <c r="X952" s="15">
        <v>951</v>
      </c>
      <c r="Y952" s="39">
        <v>0.48396410233321518</v>
      </c>
      <c r="Z952" s="39">
        <v>0.48534808483996944</v>
      </c>
      <c r="AA952" s="39">
        <v>0.49191753722862069</v>
      </c>
      <c r="AB952" s="39">
        <v>0.50095368801193618</v>
      </c>
      <c r="AC952" s="39">
        <v>0.47676689191058752</v>
      </c>
      <c r="AD952" s="39">
        <v>0.47830764417711119</v>
      </c>
      <c r="AE952" s="39">
        <v>0.486629180334339</v>
      </c>
      <c r="AF952" s="40">
        <v>0.49709807979597853</v>
      </c>
    </row>
    <row r="953" spans="1:32">
      <c r="A953" s="15">
        <v>951</v>
      </c>
      <c r="B953" s="16">
        <v>0</v>
      </c>
      <c r="C953" s="20">
        <v>0.91</v>
      </c>
      <c r="D953" s="20">
        <v>0.21727233298780477</v>
      </c>
      <c r="E953" s="20">
        <v>0.09</v>
      </c>
      <c r="F953" s="8" t="s">
        <v>434</v>
      </c>
      <c r="G953" s="24">
        <v>0.56961214351108691</v>
      </c>
      <c r="H953" s="24">
        <v>0.57291005242447379</v>
      </c>
      <c r="I953" s="25">
        <v>0.58292946731134931</v>
      </c>
      <c r="L953" s="15">
        <v>951</v>
      </c>
      <c r="M953" s="16">
        <v>0</v>
      </c>
      <c r="N953" s="16">
        <v>3</v>
      </c>
      <c r="O953" s="16">
        <v>9</v>
      </c>
      <c r="P953" s="16">
        <v>166</v>
      </c>
      <c r="Q953" s="29">
        <v>18</v>
      </c>
      <c r="R953" s="20">
        <v>0.47729999999999995</v>
      </c>
      <c r="S953" s="32">
        <v>8.5913999999999984</v>
      </c>
      <c r="T953" s="35">
        <v>0.25</v>
      </c>
      <c r="U953" s="35">
        <v>0.01</v>
      </c>
      <c r="V953" s="35">
        <v>1.3888888888888888E-2</v>
      </c>
      <c r="W953" s="9" t="s">
        <v>152</v>
      </c>
      <c r="X953" s="15">
        <v>952</v>
      </c>
      <c r="Y953" s="39">
        <v>0.48949628716037819</v>
      </c>
      <c r="Z953" s="39">
        <v>0.48956852451042526</v>
      </c>
      <c r="AA953" s="39">
        <v>0.47892460700698675</v>
      </c>
      <c r="AB953" s="39">
        <v>0.49408137611230052</v>
      </c>
      <c r="AC953" s="39">
        <v>0.48201863862613564</v>
      </c>
      <c r="AD953" s="39">
        <v>0.4826185386547765</v>
      </c>
      <c r="AE953" s="39">
        <v>0.47434333135160484</v>
      </c>
      <c r="AF953" s="40">
        <v>0.49077905682700923</v>
      </c>
    </row>
    <row r="954" spans="1:32">
      <c r="A954" s="15">
        <v>952</v>
      </c>
      <c r="B954" s="16">
        <v>0</v>
      </c>
      <c r="C954" s="20">
        <v>0.89</v>
      </c>
      <c r="D954" s="20">
        <v>0.24559627500636821</v>
      </c>
      <c r="E954" s="20">
        <v>0.11</v>
      </c>
      <c r="F954" s="8" t="s">
        <v>434</v>
      </c>
      <c r="G954" s="24">
        <v>0.95934599034929546</v>
      </c>
      <c r="H954" s="24">
        <v>0.96490035875354507</v>
      </c>
      <c r="I954" s="25">
        <v>0.9817751490944272</v>
      </c>
      <c r="L954" s="15">
        <v>952</v>
      </c>
      <c r="M954" s="16">
        <v>0</v>
      </c>
      <c r="N954" s="16">
        <v>3</v>
      </c>
      <c r="O954" s="16">
        <v>9</v>
      </c>
      <c r="P954" s="16">
        <v>167</v>
      </c>
      <c r="Q954" s="29">
        <v>21</v>
      </c>
      <c r="R954" s="20">
        <v>0.47729999999999995</v>
      </c>
      <c r="S954" s="32">
        <v>10.023299999999999</v>
      </c>
      <c r="T954" s="35">
        <v>0.35000000000000003</v>
      </c>
      <c r="U954" s="35">
        <v>0.06</v>
      </c>
      <c r="V954" s="35">
        <v>1.666666666666667E-2</v>
      </c>
      <c r="W954" s="9" t="s">
        <v>152</v>
      </c>
      <c r="X954" s="15">
        <v>953</v>
      </c>
      <c r="Y954" s="39">
        <v>0.47997400467414819</v>
      </c>
      <c r="Z954" s="39">
        <v>0.50501009665540708</v>
      </c>
      <c r="AA954" s="39">
        <v>0.48342630975385803</v>
      </c>
      <c r="AB954" s="39">
        <v>0.49228398499310949</v>
      </c>
      <c r="AC954" s="39">
        <v>0.4742730367933915</v>
      </c>
      <c r="AD954" s="39">
        <v>0.49645276929259452</v>
      </c>
      <c r="AE954" s="39">
        <v>0.47562757205544559</v>
      </c>
      <c r="AF954" s="40">
        <v>0.48769919937635992</v>
      </c>
    </row>
    <row r="955" spans="1:32">
      <c r="A955" s="15">
        <v>953</v>
      </c>
      <c r="B955" s="16">
        <v>1</v>
      </c>
      <c r="C955" s="20">
        <v>0.51</v>
      </c>
      <c r="D955" s="20">
        <v>0.50634556699994582</v>
      </c>
      <c r="E955" s="20">
        <v>0.17</v>
      </c>
      <c r="F955" s="8" t="s">
        <v>438</v>
      </c>
      <c r="G955" s="24">
        <v>0.76751987274208799</v>
      </c>
      <c r="H955" s="24">
        <v>0.77196361689036985</v>
      </c>
      <c r="I955" s="25">
        <v>0.78546420694367025</v>
      </c>
      <c r="L955" s="15">
        <v>953</v>
      </c>
      <c r="M955" s="16">
        <v>0</v>
      </c>
      <c r="N955" s="16">
        <v>3</v>
      </c>
      <c r="O955" s="16">
        <v>9</v>
      </c>
      <c r="P955" s="16">
        <v>168</v>
      </c>
      <c r="Q955" s="29">
        <v>22</v>
      </c>
      <c r="R955" s="20">
        <v>0.47729999999999995</v>
      </c>
      <c r="S955" s="32">
        <v>10.500599999999999</v>
      </c>
      <c r="T955" s="35">
        <v>0.68</v>
      </c>
      <c r="U955" s="35">
        <v>0.38</v>
      </c>
      <c r="V955" s="35">
        <v>3.090909090909091E-2</v>
      </c>
      <c r="W955" s="9" t="s">
        <v>152</v>
      </c>
      <c r="X955" s="15">
        <v>954</v>
      </c>
      <c r="Y955" s="39">
        <v>0.49038000396797421</v>
      </c>
      <c r="Z955" s="39">
        <v>0.49276080516969989</v>
      </c>
      <c r="AA955" s="39">
        <v>0.47467791796708048</v>
      </c>
      <c r="AB955" s="39">
        <v>0.49223706586638116</v>
      </c>
      <c r="AC955" s="39">
        <v>0.48247469413443472</v>
      </c>
      <c r="AD955" s="39">
        <v>0.48315336111583962</v>
      </c>
      <c r="AE955" s="39">
        <v>0.47144827115804266</v>
      </c>
      <c r="AF955" s="40">
        <v>0.48911952414259119</v>
      </c>
    </row>
    <row r="956" spans="1:32">
      <c r="A956" s="15">
        <v>954</v>
      </c>
      <c r="B956" s="16">
        <v>0</v>
      </c>
      <c r="C956" s="20">
        <v>0.11</v>
      </c>
      <c r="D956" s="20">
        <v>0.93443424486080373</v>
      </c>
      <c r="E956" s="20">
        <v>0.04</v>
      </c>
      <c r="F956" s="8" t="s">
        <v>436</v>
      </c>
      <c r="G956" s="24">
        <v>1.0539214789210487</v>
      </c>
      <c r="H956" s="24">
        <v>1.0600234152630641</v>
      </c>
      <c r="I956" s="25">
        <v>1.0785617780346328</v>
      </c>
      <c r="L956" s="15">
        <v>954</v>
      </c>
      <c r="M956" s="16">
        <v>0</v>
      </c>
      <c r="N956" s="16">
        <v>3</v>
      </c>
      <c r="O956" s="16">
        <v>9</v>
      </c>
      <c r="P956" s="16">
        <v>169</v>
      </c>
      <c r="Q956" s="29">
        <v>25</v>
      </c>
      <c r="R956" s="20">
        <v>0.47729999999999995</v>
      </c>
      <c r="S956" s="32">
        <v>11.932499999999999</v>
      </c>
      <c r="T956" s="35">
        <v>0.88</v>
      </c>
      <c r="U956" s="35">
        <v>0.39</v>
      </c>
      <c r="V956" s="35">
        <v>3.5200000000000002E-2</v>
      </c>
      <c r="W956" s="9" t="s">
        <v>152</v>
      </c>
      <c r="X956" s="15">
        <v>955</v>
      </c>
      <c r="Y956" s="39">
        <v>0.48715972049264944</v>
      </c>
      <c r="Z956" s="39">
        <v>0.48423560565339868</v>
      </c>
      <c r="AA956" s="39">
        <v>0.48026865913821448</v>
      </c>
      <c r="AB956" s="39">
        <v>0.47461073071965187</v>
      </c>
      <c r="AC956" s="39">
        <v>0.47851570540331256</v>
      </c>
      <c r="AD956" s="39">
        <v>0.47724137863529315</v>
      </c>
      <c r="AE956" s="39">
        <v>0.47158843907473619</v>
      </c>
      <c r="AF956" s="40">
        <v>0.46822035293794079</v>
      </c>
    </row>
    <row r="957" spans="1:32">
      <c r="A957" s="15">
        <v>955</v>
      </c>
      <c r="B957" s="16">
        <v>0</v>
      </c>
      <c r="C957" s="20">
        <v>0.2</v>
      </c>
      <c r="D957" s="20">
        <v>0.85948544750282296</v>
      </c>
      <c r="E957" s="20">
        <v>0.06</v>
      </c>
      <c r="F957" s="8" t="s">
        <v>436</v>
      </c>
      <c r="G957" s="24">
        <v>0.95286787299837183</v>
      </c>
      <c r="H957" s="24">
        <v>0.95838473475674502</v>
      </c>
      <c r="I957" s="25">
        <v>0.97514557572670135</v>
      </c>
      <c r="L957" s="15">
        <v>955</v>
      </c>
      <c r="M957" s="16">
        <v>0</v>
      </c>
      <c r="N957" s="16">
        <v>3</v>
      </c>
      <c r="O957" s="16">
        <v>9</v>
      </c>
      <c r="P957" s="16">
        <v>170</v>
      </c>
      <c r="Q957" s="29">
        <v>28</v>
      </c>
      <c r="R957" s="20">
        <v>0.47729999999999995</v>
      </c>
      <c r="S957" s="32">
        <v>13.364399999999998</v>
      </c>
      <c r="T957" s="35">
        <v>0.43</v>
      </c>
      <c r="U957" s="35">
        <v>0.01</v>
      </c>
      <c r="V957" s="35">
        <v>1.5357142857142857E-2</v>
      </c>
      <c r="W957" s="9" t="s">
        <v>152</v>
      </c>
      <c r="X957" s="15">
        <v>956</v>
      </c>
      <c r="Y957" s="39">
        <v>0.4851437748119658</v>
      </c>
      <c r="Z957" s="39">
        <v>0.47585811042842702</v>
      </c>
      <c r="AA957" s="39">
        <v>0.48850106751526762</v>
      </c>
      <c r="AB957" s="39">
        <v>0.48381194739503691</v>
      </c>
      <c r="AC957" s="39">
        <v>0.4769768301948672</v>
      </c>
      <c r="AD957" s="39">
        <v>0.4709284740404443</v>
      </c>
      <c r="AE957" s="39">
        <v>0.48188707813136938</v>
      </c>
      <c r="AF957" s="40">
        <v>0.48145628036269217</v>
      </c>
    </row>
    <row r="958" spans="1:32">
      <c r="A958" s="15">
        <v>956</v>
      </c>
      <c r="B958" s="16">
        <v>0</v>
      </c>
      <c r="C958" s="20">
        <v>0.27</v>
      </c>
      <c r="D958" s="20">
        <v>0.67686744038965729</v>
      </c>
      <c r="E958" s="20">
        <v>0.12</v>
      </c>
      <c r="F958" s="8" t="s">
        <v>436</v>
      </c>
      <c r="G958" s="24">
        <v>1.0752215324627863</v>
      </c>
      <c r="H958" s="24">
        <v>1.0814467906778185</v>
      </c>
      <c r="I958" s="25">
        <v>1.1003598190459314</v>
      </c>
      <c r="L958" s="15">
        <v>956</v>
      </c>
      <c r="M958" s="16">
        <v>0</v>
      </c>
      <c r="N958" s="16">
        <v>3</v>
      </c>
      <c r="O958" s="16">
        <v>9</v>
      </c>
      <c r="P958" s="16">
        <v>171</v>
      </c>
      <c r="Q958" s="29">
        <v>21</v>
      </c>
      <c r="R958" s="20">
        <v>0.47729999999999995</v>
      </c>
      <c r="S958" s="32">
        <v>10.023299999999999</v>
      </c>
      <c r="T958" s="35">
        <v>0.37</v>
      </c>
      <c r="U958" s="35">
        <v>0.06</v>
      </c>
      <c r="V958" s="35">
        <v>1.7619047619047618E-2</v>
      </c>
      <c r="W958" s="9" t="s">
        <v>152</v>
      </c>
      <c r="X958" s="15">
        <v>957</v>
      </c>
      <c r="Y958" s="39">
        <v>0.49635898010193708</v>
      </c>
      <c r="Z958" s="39">
        <v>0.48218877668570448</v>
      </c>
      <c r="AA958" s="39">
        <v>0.47723158764925577</v>
      </c>
      <c r="AB958" s="39">
        <v>0.49036663881942566</v>
      </c>
      <c r="AC958" s="39">
        <v>0.48812710391822839</v>
      </c>
      <c r="AD958" s="39">
        <v>0.4746045660525765</v>
      </c>
      <c r="AE958" s="39">
        <v>0.47013959997644533</v>
      </c>
      <c r="AF958" s="40">
        <v>0.48713967831245947</v>
      </c>
    </row>
    <row r="959" spans="1:32">
      <c r="A959" s="15">
        <v>957</v>
      </c>
      <c r="B959" s="16">
        <v>0</v>
      </c>
      <c r="C959" s="20">
        <v>0.5</v>
      </c>
      <c r="D959" s="20">
        <v>0.66648819773323165</v>
      </c>
      <c r="E959" s="20">
        <v>0.24</v>
      </c>
      <c r="F959" s="8" t="s">
        <v>438</v>
      </c>
      <c r="G959" s="24">
        <v>0.53023697296641381</v>
      </c>
      <c r="H959" s="24">
        <v>0.53330690969313876</v>
      </c>
      <c r="I959" s="25">
        <v>0.54263371966556007</v>
      </c>
      <c r="L959" s="15">
        <v>957</v>
      </c>
      <c r="M959" s="16">
        <v>0</v>
      </c>
      <c r="N959" s="16">
        <v>3</v>
      </c>
      <c r="O959" s="16">
        <v>9</v>
      </c>
      <c r="P959" s="16">
        <v>172</v>
      </c>
      <c r="Q959" s="29">
        <v>33</v>
      </c>
      <c r="R959" s="20">
        <v>0.47729999999999995</v>
      </c>
      <c r="S959" s="32">
        <v>15.750899999999998</v>
      </c>
      <c r="T959" s="35">
        <v>0.77</v>
      </c>
      <c r="U959" s="35">
        <v>0.18</v>
      </c>
      <c r="V959" s="35">
        <v>2.3333333333333334E-2</v>
      </c>
      <c r="W959" s="9" t="s">
        <v>152</v>
      </c>
      <c r="X959" s="15">
        <v>958</v>
      </c>
      <c r="Y959" s="39">
        <v>0.47742864708392535</v>
      </c>
      <c r="Z959" s="39">
        <v>0.48341468414959177</v>
      </c>
      <c r="AA959" s="39">
        <v>0.49227416826714548</v>
      </c>
      <c r="AB959" s="39">
        <v>0.48984737503483999</v>
      </c>
      <c r="AC959" s="39">
        <v>0.47308965220268467</v>
      </c>
      <c r="AD959" s="39">
        <v>0.47629709640521833</v>
      </c>
      <c r="AE959" s="39">
        <v>0.48776503815650135</v>
      </c>
      <c r="AF959" s="40">
        <v>0.48222825743480147</v>
      </c>
    </row>
    <row r="960" spans="1:32">
      <c r="A960" s="15">
        <v>958</v>
      </c>
      <c r="B960" s="16">
        <v>1</v>
      </c>
      <c r="C960" s="20">
        <v>0.16</v>
      </c>
      <c r="D960" s="20">
        <v>0.83778758615678539</v>
      </c>
      <c r="E960" s="20">
        <v>0.1</v>
      </c>
      <c r="F960" s="8" t="s">
        <v>436</v>
      </c>
      <c r="G960" s="24">
        <v>0.91029161006031156</v>
      </c>
      <c r="H960" s="24">
        <v>0.91556196612416674</v>
      </c>
      <c r="I960" s="25">
        <v>0.93157389531692736</v>
      </c>
      <c r="L960" s="15">
        <v>958</v>
      </c>
      <c r="M960" s="16">
        <v>0</v>
      </c>
      <c r="N960" s="16">
        <v>3</v>
      </c>
      <c r="O960" s="16">
        <v>9</v>
      </c>
      <c r="P960" s="16">
        <v>173</v>
      </c>
      <c r="Q960" s="29">
        <v>18</v>
      </c>
      <c r="R960" s="20">
        <v>0.47729999999999995</v>
      </c>
      <c r="S960" s="32">
        <v>8.5913999999999984</v>
      </c>
      <c r="T960" s="35">
        <v>0.35000000000000003</v>
      </c>
      <c r="U960" s="35">
        <v>0.2</v>
      </c>
      <c r="V960" s="35">
        <v>1.9444444444444445E-2</v>
      </c>
      <c r="W960" s="9" t="s">
        <v>152</v>
      </c>
      <c r="X960" s="15">
        <v>959</v>
      </c>
      <c r="Y960" s="39">
        <v>0.46753652404220603</v>
      </c>
      <c r="Z960" s="39">
        <v>0.48461697537181692</v>
      </c>
      <c r="AA960" s="39">
        <v>0.48918097349468354</v>
      </c>
      <c r="AB960" s="39">
        <v>0.5020593701387418</v>
      </c>
      <c r="AC960" s="39">
        <v>0.46212323207481332</v>
      </c>
      <c r="AD960" s="39">
        <v>0.47896994656263842</v>
      </c>
      <c r="AE960" s="39">
        <v>0.48475466161593178</v>
      </c>
      <c r="AF960" s="40">
        <v>0.49830618955444744</v>
      </c>
    </row>
    <row r="961" spans="1:32">
      <c r="A961" s="15">
        <v>959</v>
      </c>
      <c r="B961" s="16">
        <v>0</v>
      </c>
      <c r="C961" s="20">
        <v>0.02</v>
      </c>
      <c r="D961" s="20">
        <v>0.99917029198757767</v>
      </c>
      <c r="E961" s="20">
        <v>1</v>
      </c>
      <c r="F961" s="8" t="s">
        <v>436</v>
      </c>
      <c r="G961" s="24">
        <v>0.99465066600316976</v>
      </c>
      <c r="H961" s="24">
        <v>1.0004094394676863</v>
      </c>
      <c r="I961" s="25">
        <v>1.0179052351660778</v>
      </c>
      <c r="L961" s="15">
        <v>959</v>
      </c>
      <c r="M961" s="16">
        <v>0</v>
      </c>
      <c r="N961" s="16">
        <v>3</v>
      </c>
      <c r="O961" s="16">
        <v>9</v>
      </c>
      <c r="P961" s="16">
        <v>174</v>
      </c>
      <c r="Q961" s="29">
        <v>21</v>
      </c>
      <c r="R961" s="20">
        <v>0.47729999999999995</v>
      </c>
      <c r="S961" s="32">
        <v>10.023299999999999</v>
      </c>
      <c r="T961" s="35">
        <v>0.38</v>
      </c>
      <c r="U961" s="35">
        <v>0.1</v>
      </c>
      <c r="V961" s="35">
        <v>1.8095238095238095E-2</v>
      </c>
      <c r="W961" s="9" t="s">
        <v>152</v>
      </c>
      <c r="X961" s="15">
        <v>960</v>
      </c>
      <c r="Y961" s="39">
        <v>0.48756259914988903</v>
      </c>
      <c r="Z961" s="39">
        <v>0.48862558023672609</v>
      </c>
      <c r="AA961" s="39">
        <v>0.48057781756864865</v>
      </c>
      <c r="AB961" s="39">
        <v>0.48810022830744892</v>
      </c>
      <c r="AC961" s="39">
        <v>0.48419769849091021</v>
      </c>
      <c r="AD961" s="39">
        <v>0.47981717028858967</v>
      </c>
      <c r="AE961" s="39">
        <v>0.47028186108462083</v>
      </c>
      <c r="AF961" s="40">
        <v>0.48666703271044243</v>
      </c>
    </row>
    <row r="962" spans="1:32">
      <c r="A962" s="15">
        <v>960</v>
      </c>
      <c r="B962" s="16">
        <v>1</v>
      </c>
      <c r="C962" s="20">
        <v>0.9</v>
      </c>
      <c r="D962" s="20">
        <v>0.231595386583653</v>
      </c>
      <c r="E962" s="20">
        <v>0.1</v>
      </c>
      <c r="F962" s="8" t="s">
        <v>434</v>
      </c>
      <c r="G962" s="24">
        <v>1.6854198595030403</v>
      </c>
      <c r="H962" s="24">
        <v>1.6951780102741818</v>
      </c>
      <c r="I962" s="25">
        <v>1.6578926537592125</v>
      </c>
      <c r="L962" s="15">
        <v>960</v>
      </c>
      <c r="M962" s="16">
        <v>0</v>
      </c>
      <c r="N962" s="16">
        <v>3</v>
      </c>
      <c r="O962" s="16">
        <v>9</v>
      </c>
      <c r="P962" s="16">
        <v>175</v>
      </c>
      <c r="Q962" s="29">
        <v>26</v>
      </c>
      <c r="R962" s="20">
        <v>0.47729999999999995</v>
      </c>
      <c r="S962" s="32">
        <v>12.409799999999999</v>
      </c>
      <c r="T962" s="35">
        <v>1.7</v>
      </c>
      <c r="U962" s="35">
        <v>1.21</v>
      </c>
      <c r="V962" s="35">
        <v>6.5384615384615388E-2</v>
      </c>
      <c r="W962" s="9" t="s">
        <v>153</v>
      </c>
      <c r="X962" s="15">
        <v>961</v>
      </c>
      <c r="Y962" s="39">
        <v>0.4818465453738553</v>
      </c>
      <c r="Z962" s="39">
        <v>0.47994264230474504</v>
      </c>
      <c r="AA962" s="39">
        <v>0.50667155098402816</v>
      </c>
      <c r="AB962" s="39">
        <v>0.48276327793015417</v>
      </c>
      <c r="AC962" s="39">
        <v>0.47637579922602291</v>
      </c>
      <c r="AD962" s="39">
        <v>0.47437395156970175</v>
      </c>
      <c r="AE962" s="39">
        <v>0.4973648078960588</v>
      </c>
      <c r="AF962" s="40">
        <v>0.476548231016864</v>
      </c>
    </row>
    <row r="963" spans="1:32">
      <c r="A963" s="15">
        <v>961</v>
      </c>
      <c r="B963" s="16">
        <v>0</v>
      </c>
      <c r="C963" s="20">
        <v>0.13</v>
      </c>
      <c r="D963" s="20">
        <v>0.9034223035721286</v>
      </c>
      <c r="E963" s="20">
        <v>0.45</v>
      </c>
      <c r="F963" s="8" t="s">
        <v>436</v>
      </c>
      <c r="G963" s="24">
        <v>1.0597150044454073</v>
      </c>
      <c r="H963" s="24">
        <v>1.0658504838213703</v>
      </c>
      <c r="I963" s="25">
        <v>1.084490754069013</v>
      </c>
      <c r="L963" s="15">
        <v>961</v>
      </c>
      <c r="M963" s="16">
        <v>0</v>
      </c>
      <c r="N963" s="16">
        <v>3</v>
      </c>
      <c r="O963" s="16">
        <v>9</v>
      </c>
      <c r="P963" s="16">
        <v>176</v>
      </c>
      <c r="Q963" s="29">
        <v>19</v>
      </c>
      <c r="R963" s="20">
        <v>0.47729999999999995</v>
      </c>
      <c r="S963" s="32">
        <v>9.0686999999999998</v>
      </c>
      <c r="T963" s="35">
        <v>0.24</v>
      </c>
      <c r="U963" s="35">
        <v>0</v>
      </c>
      <c r="V963" s="35">
        <v>1.2631578947368421E-2</v>
      </c>
      <c r="W963" s="9" t="s">
        <v>152</v>
      </c>
      <c r="X963" s="15">
        <v>962</v>
      </c>
      <c r="Y963" s="39">
        <v>0.4968902511867353</v>
      </c>
      <c r="Z963" s="39">
        <v>0.47267552356325726</v>
      </c>
      <c r="AA963" s="39">
        <v>0.48599082820041817</v>
      </c>
      <c r="AB963" s="39">
        <v>0.48249837258894235</v>
      </c>
      <c r="AC963" s="39">
        <v>0.49117775725514728</v>
      </c>
      <c r="AD963" s="39">
        <v>0.46779360938220832</v>
      </c>
      <c r="AE963" s="39">
        <v>0.48321286319738926</v>
      </c>
      <c r="AF963" s="40">
        <v>0.47577310900101938</v>
      </c>
    </row>
    <row r="964" spans="1:32">
      <c r="A964" s="15">
        <v>962</v>
      </c>
      <c r="B964" s="16">
        <v>1</v>
      </c>
      <c r="C964" s="20">
        <v>0.34</v>
      </c>
      <c r="D964" s="20">
        <v>0.63510144505420452</v>
      </c>
      <c r="E964" s="20">
        <v>0.05</v>
      </c>
      <c r="F964" s="8" t="s">
        <v>436</v>
      </c>
      <c r="G964" s="24">
        <v>0.98395872391871364</v>
      </c>
      <c r="H964" s="24">
        <v>0.98965559376775525</v>
      </c>
      <c r="I964" s="25">
        <v>1.0069633193821237</v>
      </c>
      <c r="L964" s="15">
        <v>962</v>
      </c>
      <c r="M964" s="16">
        <v>0</v>
      </c>
      <c r="N964" s="16">
        <v>3</v>
      </c>
      <c r="O964" s="16">
        <v>9</v>
      </c>
      <c r="P964" s="16">
        <v>177</v>
      </c>
      <c r="Q964" s="29">
        <v>24</v>
      </c>
      <c r="R964" s="20">
        <v>0.47729999999999995</v>
      </c>
      <c r="S964" s="32">
        <v>11.455199999999998</v>
      </c>
      <c r="T964" s="35">
        <v>0.49</v>
      </c>
      <c r="U964" s="35">
        <v>0.1</v>
      </c>
      <c r="V964" s="35">
        <v>2.0416666666666666E-2</v>
      </c>
      <c r="W964" s="9" t="s">
        <v>152</v>
      </c>
      <c r="X964" s="15">
        <v>963</v>
      </c>
      <c r="Y964" s="39">
        <v>0.48239414639951045</v>
      </c>
      <c r="Z964" s="39">
        <v>0.47789878663262647</v>
      </c>
      <c r="AA964" s="39">
        <v>0.48221169424089827</v>
      </c>
      <c r="AB964" s="39">
        <v>0.49606729241800934</v>
      </c>
      <c r="AC964" s="39">
        <v>0.47610355047221692</v>
      </c>
      <c r="AD964" s="39">
        <v>0.46943210040789568</v>
      </c>
      <c r="AE964" s="39">
        <v>0.47336478081796107</v>
      </c>
      <c r="AF964" s="40">
        <v>0.49108087445758858</v>
      </c>
    </row>
    <row r="965" spans="1:32">
      <c r="A965" s="15">
        <v>963</v>
      </c>
      <c r="B965" s="16">
        <v>0</v>
      </c>
      <c r="C965" s="20">
        <v>0.02</v>
      </c>
      <c r="D965" s="20">
        <v>0.99917029198757767</v>
      </c>
      <c r="E965" s="20">
        <v>1</v>
      </c>
      <c r="F965" s="8" t="s">
        <v>436</v>
      </c>
      <c r="G965" s="24">
        <v>1.0249638943846062</v>
      </c>
      <c r="H965" s="24">
        <v>1.0308981737037846</v>
      </c>
      <c r="I965" s="25">
        <v>1.0489271757517493</v>
      </c>
      <c r="L965" s="15">
        <v>963</v>
      </c>
      <c r="M965" s="16">
        <v>0</v>
      </c>
      <c r="N965" s="16">
        <v>3</v>
      </c>
      <c r="O965" s="16">
        <v>10</v>
      </c>
      <c r="P965" s="16">
        <v>178</v>
      </c>
      <c r="Q965" s="29">
        <v>21</v>
      </c>
      <c r="R965" s="20">
        <v>0.47729999999999995</v>
      </c>
      <c r="S965" s="32">
        <v>10.023299999999999</v>
      </c>
      <c r="T965" s="35">
        <v>0.38</v>
      </c>
      <c r="U965" s="35">
        <v>0.04</v>
      </c>
      <c r="V965" s="35">
        <v>1.8095238095238095E-2</v>
      </c>
      <c r="W965" s="9" t="s">
        <v>152</v>
      </c>
      <c r="X965" s="15">
        <v>964</v>
      </c>
      <c r="Y965" s="39">
        <v>0.47197367779723559</v>
      </c>
      <c r="Z965" s="39">
        <v>0.49528453275279366</v>
      </c>
      <c r="AA965" s="39">
        <v>0.46783144324597181</v>
      </c>
      <c r="AB965" s="39">
        <v>0.48524546797060208</v>
      </c>
      <c r="AC965" s="39">
        <v>0.46701442811513766</v>
      </c>
      <c r="AD965" s="39">
        <v>0.48963581183771065</v>
      </c>
      <c r="AE965" s="39">
        <v>0.46324711812608899</v>
      </c>
      <c r="AF965" s="40">
        <v>0.48256091225957765</v>
      </c>
    </row>
    <row r="966" spans="1:32">
      <c r="A966" s="15">
        <v>964</v>
      </c>
      <c r="B966" s="16">
        <v>1</v>
      </c>
      <c r="C966" s="20">
        <v>0.91</v>
      </c>
      <c r="D966" s="20">
        <v>0.21727233298780477</v>
      </c>
      <c r="E966" s="20">
        <v>0.09</v>
      </c>
      <c r="F966" s="8" t="s">
        <v>434</v>
      </c>
      <c r="G966" s="24">
        <v>0.95350715690993892</v>
      </c>
      <c r="H966" s="24">
        <v>0.9590277199589784</v>
      </c>
      <c r="I966" s="25">
        <v>0.97579980586255044</v>
      </c>
      <c r="L966" s="15">
        <v>964</v>
      </c>
      <c r="M966" s="16">
        <v>0</v>
      </c>
      <c r="N966" s="16">
        <v>3</v>
      </c>
      <c r="O966" s="16">
        <v>10</v>
      </c>
      <c r="P966" s="16">
        <v>179</v>
      </c>
      <c r="Q966" s="29">
        <v>17</v>
      </c>
      <c r="R966" s="20">
        <v>0.47729999999999995</v>
      </c>
      <c r="S966" s="32">
        <v>8.1140999999999988</v>
      </c>
      <c r="T966" s="35">
        <v>0.67</v>
      </c>
      <c r="U966" s="35">
        <v>0.47</v>
      </c>
      <c r="V966" s="35">
        <v>3.9411764705882354E-2</v>
      </c>
      <c r="W966" s="9" t="s">
        <v>152</v>
      </c>
      <c r="X966" s="15">
        <v>965</v>
      </c>
      <c r="Y966" s="39">
        <v>0.50097108918851407</v>
      </c>
      <c r="Z966" s="39">
        <v>0.47426281050682262</v>
      </c>
      <c r="AA966" s="39">
        <v>0.46933809805865812</v>
      </c>
      <c r="AB966" s="39">
        <v>0.48876197968433355</v>
      </c>
      <c r="AC966" s="39">
        <v>0.49453181720838063</v>
      </c>
      <c r="AD966" s="39">
        <v>0.47009662656971452</v>
      </c>
      <c r="AE966" s="39">
        <v>0.46029996978295257</v>
      </c>
      <c r="AF966" s="40">
        <v>0.48417511117803985</v>
      </c>
    </row>
    <row r="967" spans="1:32">
      <c r="A967" s="15">
        <v>965</v>
      </c>
      <c r="B967" s="16">
        <v>0</v>
      </c>
      <c r="C967" s="20">
        <v>0.92</v>
      </c>
      <c r="D967" s="20">
        <v>0.20258497911151899</v>
      </c>
      <c r="E967" s="20">
        <v>0.08</v>
      </c>
      <c r="F967" s="8" t="s">
        <v>434</v>
      </c>
      <c r="G967" s="24">
        <v>0.54596373358755446</v>
      </c>
      <c r="H967" s="24">
        <v>0.54912472424390857</v>
      </c>
      <c r="I967" s="25">
        <v>0.55872816620405141</v>
      </c>
      <c r="L967" s="15">
        <v>965</v>
      </c>
      <c r="M967" s="16">
        <v>0</v>
      </c>
      <c r="N967" s="16">
        <v>3</v>
      </c>
      <c r="O967" s="16">
        <v>10</v>
      </c>
      <c r="P967" s="16">
        <v>180</v>
      </c>
      <c r="Q967" s="29">
        <v>26</v>
      </c>
      <c r="R967" s="20">
        <v>0.47729999999999995</v>
      </c>
      <c r="S967" s="32">
        <v>12.409799999999999</v>
      </c>
      <c r="T967" s="35">
        <v>0.59</v>
      </c>
      <c r="U967" s="35">
        <v>0.17</v>
      </c>
      <c r="V967" s="35">
        <v>2.2692307692307692E-2</v>
      </c>
      <c r="W967" s="9" t="s">
        <v>152</v>
      </c>
      <c r="X967" s="15">
        <v>966</v>
      </c>
      <c r="Y967" s="39">
        <v>0.49032248995681826</v>
      </c>
      <c r="Z967" s="39">
        <v>0.48454123891709444</v>
      </c>
      <c r="AA967" s="39">
        <v>0.47216119168990045</v>
      </c>
      <c r="AB967" s="39">
        <v>0.48867381068113636</v>
      </c>
      <c r="AC967" s="39">
        <v>0.48365236622899888</v>
      </c>
      <c r="AD967" s="39">
        <v>0.48014927680174868</v>
      </c>
      <c r="AE967" s="39">
        <v>0.46423904326297544</v>
      </c>
      <c r="AF967" s="40">
        <v>0.48326389403334158</v>
      </c>
    </row>
    <row r="968" spans="1:32">
      <c r="A968" s="15">
        <v>966</v>
      </c>
      <c r="B968" s="16">
        <v>0</v>
      </c>
      <c r="C968" s="20">
        <v>0.02</v>
      </c>
      <c r="D968" s="20">
        <v>0.99679477127711513</v>
      </c>
      <c r="E968" s="20">
        <v>1</v>
      </c>
      <c r="F968" s="8" t="s">
        <v>436</v>
      </c>
      <c r="G968" s="24">
        <v>1.0112772088375361</v>
      </c>
      <c r="H968" s="24">
        <v>1.0171322457410206</v>
      </c>
      <c r="I968" s="25">
        <v>1.0349205004971931</v>
      </c>
      <c r="L968" s="15">
        <v>966</v>
      </c>
      <c r="M968" s="16">
        <v>0</v>
      </c>
      <c r="N968" s="16">
        <v>3</v>
      </c>
      <c r="O968" s="16">
        <v>10</v>
      </c>
      <c r="P968" s="16">
        <v>181</v>
      </c>
      <c r="Q968" s="29">
        <v>21</v>
      </c>
      <c r="R968" s="20">
        <v>0.47729999999999995</v>
      </c>
      <c r="S968" s="32">
        <v>10.023299999999999</v>
      </c>
      <c r="T968" s="35">
        <v>0.28999999999999998</v>
      </c>
      <c r="U968" s="35">
        <v>0</v>
      </c>
      <c r="V968" s="35">
        <v>1.3809523809523808E-2</v>
      </c>
      <c r="W968" s="9" t="s">
        <v>152</v>
      </c>
      <c r="X968" s="15">
        <v>967</v>
      </c>
      <c r="Y968" s="39">
        <v>0.48582547275092469</v>
      </c>
      <c r="Z968" s="39">
        <v>0.49059884758341199</v>
      </c>
      <c r="AA968" s="39">
        <v>0.45992073829041374</v>
      </c>
      <c r="AB968" s="39">
        <v>0.49007581868025762</v>
      </c>
      <c r="AC968" s="39">
        <v>0.47933024772518223</v>
      </c>
      <c r="AD968" s="39">
        <v>0.48230400257482109</v>
      </c>
      <c r="AE968" s="39">
        <v>0.45471934054259627</v>
      </c>
      <c r="AF968" s="40">
        <v>0.48373248645772643</v>
      </c>
    </row>
    <row r="969" spans="1:32">
      <c r="A969" s="15">
        <v>967</v>
      </c>
      <c r="B969" s="16">
        <v>1</v>
      </c>
      <c r="C969" s="20">
        <v>0.03</v>
      </c>
      <c r="D969" s="20">
        <v>0.99159914220257006</v>
      </c>
      <c r="E969" s="20">
        <v>1</v>
      </c>
      <c r="F969" s="8" t="s">
        <v>436</v>
      </c>
      <c r="G969" s="24">
        <v>1.0769820418154727</v>
      </c>
      <c r="H969" s="24">
        <v>1.0832174929302745</v>
      </c>
      <c r="I969" s="25">
        <v>1.1021614884640591</v>
      </c>
      <c r="L969" s="15">
        <v>967</v>
      </c>
      <c r="M969" s="16">
        <v>0</v>
      </c>
      <c r="N969" s="16">
        <v>3</v>
      </c>
      <c r="O969" s="16">
        <v>10</v>
      </c>
      <c r="P969" s="16">
        <v>182</v>
      </c>
      <c r="Q969" s="29">
        <v>19</v>
      </c>
      <c r="R969" s="20">
        <v>0.47729999999999995</v>
      </c>
      <c r="S969" s="32">
        <v>9.0686999999999998</v>
      </c>
      <c r="T969" s="35">
        <v>0.34</v>
      </c>
      <c r="U969" s="35">
        <v>0.05</v>
      </c>
      <c r="V969" s="35">
        <v>1.7894736842105265E-2</v>
      </c>
      <c r="W969" s="9" t="s">
        <v>152</v>
      </c>
      <c r="X969" s="15">
        <v>968</v>
      </c>
      <c r="Y969" s="39">
        <v>0.48803715418850036</v>
      </c>
      <c r="Z969" s="39">
        <v>0.48916695004418326</v>
      </c>
      <c r="AA969" s="39">
        <v>0.48584595028378852</v>
      </c>
      <c r="AB969" s="39">
        <v>0.48068351884099492</v>
      </c>
      <c r="AC969" s="39">
        <v>0.47899005923268512</v>
      </c>
      <c r="AD969" s="39">
        <v>0.48388049813481387</v>
      </c>
      <c r="AE969" s="39">
        <v>0.47750925191368354</v>
      </c>
      <c r="AF969" s="40">
        <v>0.47448961619521007</v>
      </c>
    </row>
    <row r="970" spans="1:32">
      <c r="A970" s="15">
        <v>968</v>
      </c>
      <c r="B970" s="16">
        <v>0</v>
      </c>
      <c r="C970" s="20">
        <v>0.02</v>
      </c>
      <c r="D970" s="20">
        <v>0.99835916395484214</v>
      </c>
      <c r="E970" s="20">
        <v>1</v>
      </c>
      <c r="F970" s="8" t="s">
        <v>436</v>
      </c>
      <c r="G970" s="24">
        <v>1.0995035134414104</v>
      </c>
      <c r="H970" s="24">
        <v>1.1058693581281609</v>
      </c>
      <c r="I970" s="25">
        <v>1.1252095038681056</v>
      </c>
      <c r="L970" s="15">
        <v>968</v>
      </c>
      <c r="M970" s="16">
        <v>0</v>
      </c>
      <c r="N970" s="16">
        <v>3</v>
      </c>
      <c r="O970" s="16">
        <v>10</v>
      </c>
      <c r="P970" s="16">
        <v>183</v>
      </c>
      <c r="Q970" s="29">
        <v>26</v>
      </c>
      <c r="R970" s="20">
        <v>0.47729999999999995</v>
      </c>
      <c r="S970" s="32">
        <v>12.409799999999999</v>
      </c>
      <c r="T970" s="35">
        <v>1.32</v>
      </c>
      <c r="U970" s="35">
        <v>0.93</v>
      </c>
      <c r="V970" s="35">
        <v>5.0769230769230775E-2</v>
      </c>
      <c r="W970" s="9" t="s">
        <v>153</v>
      </c>
      <c r="X970" s="15">
        <v>969</v>
      </c>
      <c r="Y970" s="39">
        <v>0.49430991639747907</v>
      </c>
      <c r="Z970" s="39">
        <v>0.50293020290641011</v>
      </c>
      <c r="AA970" s="39">
        <v>0.48019664087936825</v>
      </c>
      <c r="AB970" s="39">
        <v>0.49594098365799016</v>
      </c>
      <c r="AC970" s="39">
        <v>0.48920462685594757</v>
      </c>
      <c r="AD970" s="39">
        <v>0.49268515547081698</v>
      </c>
      <c r="AE970" s="39">
        <v>0.47327785468682138</v>
      </c>
      <c r="AF970" s="40">
        <v>0.49291721280002671</v>
      </c>
    </row>
    <row r="971" spans="1:32">
      <c r="A971" s="15">
        <v>969</v>
      </c>
      <c r="B971" s="16">
        <v>1</v>
      </c>
      <c r="C971" s="20">
        <v>0.02</v>
      </c>
      <c r="D971" s="20">
        <v>0.99917029198757767</v>
      </c>
      <c r="E971" s="20">
        <v>1</v>
      </c>
      <c r="F971" s="8" t="s">
        <v>436</v>
      </c>
      <c r="G971" s="24">
        <v>1.0422340714048817</v>
      </c>
      <c r="H971" s="24">
        <v>1.0482683406406721</v>
      </c>
      <c r="I971" s="25">
        <v>1.0666011232008805</v>
      </c>
      <c r="L971" s="15">
        <v>969</v>
      </c>
      <c r="M971" s="16">
        <v>0</v>
      </c>
      <c r="N971" s="16">
        <v>3</v>
      </c>
      <c r="O971" s="16">
        <v>10</v>
      </c>
      <c r="P971" s="16">
        <v>184</v>
      </c>
      <c r="Q971" s="29">
        <v>16</v>
      </c>
      <c r="R971" s="20">
        <v>0.47729999999999995</v>
      </c>
      <c r="S971" s="32">
        <v>7.6367999999999991</v>
      </c>
      <c r="T971" s="35">
        <v>0.39</v>
      </c>
      <c r="U971" s="35">
        <v>0.2</v>
      </c>
      <c r="V971" s="35">
        <v>2.4375000000000001E-2</v>
      </c>
      <c r="W971" s="9" t="s">
        <v>152</v>
      </c>
      <c r="X971" s="15">
        <v>970</v>
      </c>
      <c r="Y971" s="39">
        <v>0.50379761364278319</v>
      </c>
      <c r="Z971" s="39">
        <v>0.47535596484438508</v>
      </c>
      <c r="AA971" s="39">
        <v>0.48021570506347261</v>
      </c>
      <c r="AB971" s="39">
        <v>0.47781868292533125</v>
      </c>
      <c r="AC971" s="39">
        <v>0.49523232811191675</v>
      </c>
      <c r="AD971" s="39">
        <v>0.46574013364748357</v>
      </c>
      <c r="AE971" s="39">
        <v>0.47033205290820074</v>
      </c>
      <c r="AF971" s="40">
        <v>0.47381649237782386</v>
      </c>
    </row>
    <row r="972" spans="1:32">
      <c r="A972" s="15">
        <v>970</v>
      </c>
      <c r="B972" s="16">
        <v>1</v>
      </c>
      <c r="C972" s="20">
        <v>0.06</v>
      </c>
      <c r="D972" s="20">
        <v>0.96072330822756158</v>
      </c>
      <c r="E972" s="20">
        <v>0.5</v>
      </c>
      <c r="F972" s="8" t="s">
        <v>436</v>
      </c>
      <c r="G972" s="24">
        <v>0.95719130478389269</v>
      </c>
      <c r="H972" s="24">
        <v>0.96273319810871738</v>
      </c>
      <c r="I972" s="25">
        <v>0.97957008776774701</v>
      </c>
      <c r="L972" s="15">
        <v>970</v>
      </c>
      <c r="M972" s="16">
        <v>0</v>
      </c>
      <c r="N972" s="16">
        <v>3</v>
      </c>
      <c r="O972" s="16">
        <v>10</v>
      </c>
      <c r="P972" s="16">
        <v>185</v>
      </c>
      <c r="Q972" s="29">
        <v>18</v>
      </c>
      <c r="R972" s="20">
        <v>0.47729999999999995</v>
      </c>
      <c r="S972" s="32">
        <v>8.5913999999999984</v>
      </c>
      <c r="T972" s="35">
        <v>0.35000000000000003</v>
      </c>
      <c r="U972" s="35">
        <v>0</v>
      </c>
      <c r="V972" s="35">
        <v>1.9444444444444445E-2</v>
      </c>
      <c r="W972" s="9" t="s">
        <v>152</v>
      </c>
      <c r="X972" s="15">
        <v>971</v>
      </c>
      <c r="Y972" s="39">
        <v>0.49423810458759371</v>
      </c>
      <c r="Z972" s="39">
        <v>0.49410939524077607</v>
      </c>
      <c r="AA972" s="39">
        <v>0.4864921032078805</v>
      </c>
      <c r="AB972" s="39">
        <v>0.50082292819426633</v>
      </c>
      <c r="AC972" s="39">
        <v>0.4889170192173935</v>
      </c>
      <c r="AD972" s="39">
        <v>0.48805428018099678</v>
      </c>
      <c r="AE972" s="39">
        <v>0.48269743319475594</v>
      </c>
      <c r="AF972" s="40">
        <v>0.49709746083811274</v>
      </c>
    </row>
    <row r="973" spans="1:32">
      <c r="A973" s="15">
        <v>971</v>
      </c>
      <c r="B973" s="16">
        <v>1</v>
      </c>
      <c r="C973" s="20">
        <v>0.93</v>
      </c>
      <c r="D973" s="20">
        <v>0.18747949848141848</v>
      </c>
      <c r="E973" s="20">
        <v>7.0000000000000007E-2</v>
      </c>
      <c r="F973" s="8" t="s">
        <v>434</v>
      </c>
      <c r="G973" s="24">
        <v>2.1873264442908904</v>
      </c>
      <c r="H973" s="24">
        <v>2.1999905060727358</v>
      </c>
      <c r="I973" s="25">
        <v>1.6578926537592125</v>
      </c>
      <c r="L973" s="15">
        <v>971</v>
      </c>
      <c r="M973" s="16">
        <v>0</v>
      </c>
      <c r="N973" s="16">
        <v>3</v>
      </c>
      <c r="O973" s="16">
        <v>10</v>
      </c>
      <c r="P973" s="16">
        <v>186</v>
      </c>
      <c r="Q973" s="29">
        <v>23</v>
      </c>
      <c r="R973" s="20">
        <v>0.47729999999999995</v>
      </c>
      <c r="S973" s="32">
        <v>10.977899999999998</v>
      </c>
      <c r="T973" s="35">
        <v>0.47</v>
      </c>
      <c r="U973" s="35">
        <v>0.15</v>
      </c>
      <c r="V973" s="35">
        <v>2.0434782608695651E-2</v>
      </c>
      <c r="W973" s="9" t="s">
        <v>152</v>
      </c>
      <c r="X973" s="15">
        <v>972</v>
      </c>
      <c r="Y973" s="39">
        <v>0.48258620041231726</v>
      </c>
      <c r="Z973" s="39">
        <v>0.48281555156584266</v>
      </c>
      <c r="AA973" s="39">
        <v>0.4803704140757768</v>
      </c>
      <c r="AB973" s="39">
        <v>0.47639462037453523</v>
      </c>
      <c r="AC973" s="39">
        <v>0.47567948972416396</v>
      </c>
      <c r="AD973" s="39">
        <v>0.47375596935319009</v>
      </c>
      <c r="AE973" s="39">
        <v>0.47440834382610914</v>
      </c>
      <c r="AF973" s="40">
        <v>0.47060102504722007</v>
      </c>
    </row>
    <row r="974" spans="1:32">
      <c r="A974" s="15">
        <v>972</v>
      </c>
      <c r="B974" s="16">
        <v>0</v>
      </c>
      <c r="C974" s="20">
        <v>0.9</v>
      </c>
      <c r="D974" s="20">
        <v>0.231595386583653</v>
      </c>
      <c r="E974" s="20">
        <v>0.1</v>
      </c>
      <c r="F974" s="8" t="s">
        <v>434</v>
      </c>
      <c r="G974" s="24">
        <v>0.7049859138617085</v>
      </c>
      <c r="H974" s="24">
        <v>0.70906760235030986</v>
      </c>
      <c r="I974" s="25">
        <v>0.72146822695224311</v>
      </c>
      <c r="L974" s="15">
        <v>972</v>
      </c>
      <c r="M974" s="16">
        <v>0</v>
      </c>
      <c r="N974" s="16">
        <v>3</v>
      </c>
      <c r="O974" s="16">
        <v>10</v>
      </c>
      <c r="P974" s="16">
        <v>187</v>
      </c>
      <c r="Q974" s="29">
        <v>30</v>
      </c>
      <c r="R974" s="20">
        <v>0.47729999999999995</v>
      </c>
      <c r="S974" s="32">
        <v>14.318999999999999</v>
      </c>
      <c r="T974" s="35">
        <v>0.36</v>
      </c>
      <c r="U974" s="35">
        <v>0</v>
      </c>
      <c r="V974" s="35">
        <v>1.2E-2</v>
      </c>
      <c r="W974" s="9" t="s">
        <v>152</v>
      </c>
      <c r="X974" s="15">
        <v>973</v>
      </c>
      <c r="Y974" s="39">
        <v>0.46573242430437944</v>
      </c>
      <c r="Z974" s="39">
        <v>0.49077343475020735</v>
      </c>
      <c r="AA974" s="39">
        <v>0.49965987167727999</v>
      </c>
      <c r="AB974" s="39">
        <v>0.47601990599770622</v>
      </c>
      <c r="AC974" s="39">
        <v>0.45773540992379769</v>
      </c>
      <c r="AD974" s="39">
        <v>0.48315892466795168</v>
      </c>
      <c r="AE974" s="39">
        <v>0.49191063590013712</v>
      </c>
      <c r="AF974" s="40">
        <v>0.47420782258182914</v>
      </c>
    </row>
    <row r="975" spans="1:32">
      <c r="A975" s="15">
        <v>973</v>
      </c>
      <c r="B975" s="16">
        <v>1</v>
      </c>
      <c r="C975" s="20">
        <v>0.02</v>
      </c>
      <c r="D975" s="20">
        <v>0.99917029198757767</v>
      </c>
      <c r="E975" s="20">
        <v>1</v>
      </c>
      <c r="F975" s="8" t="s">
        <v>436</v>
      </c>
      <c r="G975" s="24">
        <v>1.0201634566281652</v>
      </c>
      <c r="H975" s="24">
        <v>1.0260699426380795</v>
      </c>
      <c r="I975" s="25">
        <v>1.0440145055144636</v>
      </c>
      <c r="L975" s="15">
        <v>973</v>
      </c>
      <c r="M975" s="16">
        <v>0</v>
      </c>
      <c r="N975" s="16">
        <v>3</v>
      </c>
      <c r="O975" s="16">
        <v>11</v>
      </c>
      <c r="P975" s="16">
        <v>196</v>
      </c>
      <c r="Q975" s="29">
        <v>83</v>
      </c>
      <c r="R975" s="20">
        <v>0.47729999999999995</v>
      </c>
      <c r="S975" s="32">
        <v>39.615899999999996</v>
      </c>
      <c r="T975" s="35">
        <v>3.16</v>
      </c>
      <c r="U975" s="35">
        <v>2.1</v>
      </c>
      <c r="V975" s="35">
        <v>3.8072289156626506E-2</v>
      </c>
      <c r="W975" s="9" t="s">
        <v>155</v>
      </c>
      <c r="X975" s="15">
        <v>974</v>
      </c>
      <c r="Y975" s="39">
        <v>0.48519848511344466</v>
      </c>
      <c r="Z975" s="39">
        <v>0.48653508765217501</v>
      </c>
      <c r="AA975" s="39">
        <v>0.49260723617120361</v>
      </c>
      <c r="AB975" s="39">
        <v>0.48819567605801562</v>
      </c>
      <c r="AC975" s="39">
        <v>0.47818435712259882</v>
      </c>
      <c r="AD975" s="39">
        <v>0.47997152880908633</v>
      </c>
      <c r="AE975" s="39">
        <v>0.48483987548669533</v>
      </c>
      <c r="AF975" s="40">
        <v>0.4853802103442878</v>
      </c>
    </row>
    <row r="976" spans="1:32">
      <c r="A976" s="15">
        <v>974</v>
      </c>
      <c r="B976" s="16">
        <v>0</v>
      </c>
      <c r="C976" s="20">
        <v>0.28999999999999998</v>
      </c>
      <c r="D976" s="20">
        <v>0.76732818917015033</v>
      </c>
      <c r="E976" s="20">
        <v>0.08</v>
      </c>
      <c r="F976" s="8" t="s">
        <v>436</v>
      </c>
      <c r="G976" s="24">
        <v>1.0443277014649281</v>
      </c>
      <c r="H976" s="24">
        <v>1.0503740922843523</v>
      </c>
      <c r="I976" s="25">
        <v>1.0687437015667967</v>
      </c>
      <c r="L976" s="15">
        <v>974</v>
      </c>
      <c r="M976" s="16">
        <v>0</v>
      </c>
      <c r="N976" s="16">
        <v>3</v>
      </c>
      <c r="O976" s="16">
        <v>11</v>
      </c>
      <c r="P976" s="16">
        <v>197</v>
      </c>
      <c r="Q976" s="29">
        <v>23</v>
      </c>
      <c r="R976" s="20">
        <v>0.47729999999999995</v>
      </c>
      <c r="S976" s="32">
        <v>10.977899999999998</v>
      </c>
      <c r="T976" s="35">
        <v>0.67</v>
      </c>
      <c r="U976" s="35">
        <v>0.35</v>
      </c>
      <c r="V976" s="35">
        <v>2.9130434782608697E-2</v>
      </c>
      <c r="W976" s="9" t="s">
        <v>152</v>
      </c>
      <c r="X976" s="15">
        <v>975</v>
      </c>
      <c r="Y976" s="39">
        <v>0.47905735560253199</v>
      </c>
      <c r="Z976" s="39">
        <v>0.48111840364650843</v>
      </c>
      <c r="AA976" s="39">
        <v>0.47807856890164813</v>
      </c>
      <c r="AB976" s="39">
        <v>0.49492009927132441</v>
      </c>
      <c r="AC976" s="39">
        <v>0.47336226529823172</v>
      </c>
      <c r="AD976" s="39">
        <v>0.47407555856287531</v>
      </c>
      <c r="AE976" s="39">
        <v>0.47245813851563984</v>
      </c>
      <c r="AF976" s="40">
        <v>0.48946806096864381</v>
      </c>
    </row>
    <row r="977" spans="1:32">
      <c r="A977" s="15">
        <v>975</v>
      </c>
      <c r="B977" s="16">
        <v>0</v>
      </c>
      <c r="C977" s="20">
        <v>0.92</v>
      </c>
      <c r="D977" s="20">
        <v>0.20739306340075761</v>
      </c>
      <c r="E977" s="20">
        <v>0.08</v>
      </c>
      <c r="F977" s="8" t="s">
        <v>434</v>
      </c>
      <c r="G977" s="24">
        <v>1.594251127635633</v>
      </c>
      <c r="H977" s="24">
        <v>1.6034814347207282</v>
      </c>
      <c r="I977" s="25">
        <v>1.6315241365198685</v>
      </c>
      <c r="L977" s="15">
        <v>975</v>
      </c>
      <c r="M977" s="16">
        <v>0</v>
      </c>
      <c r="N977" s="16">
        <v>3</v>
      </c>
      <c r="O977" s="16">
        <v>11</v>
      </c>
      <c r="P977" s="16">
        <v>198</v>
      </c>
      <c r="Q977" s="29">
        <v>82</v>
      </c>
      <c r="R977" s="20">
        <v>0.47729999999999995</v>
      </c>
      <c r="S977" s="32">
        <v>39.138599999999997</v>
      </c>
      <c r="T977" s="35">
        <v>3.09</v>
      </c>
      <c r="U977" s="35">
        <v>1.76</v>
      </c>
      <c r="V977" s="35">
        <v>3.7682926829268291E-2</v>
      </c>
      <c r="W977" s="9" t="s">
        <v>155</v>
      </c>
      <c r="X977" s="15">
        <v>976</v>
      </c>
      <c r="Y977" s="39">
        <v>0.48696027284134563</v>
      </c>
      <c r="Z977" s="39">
        <v>0.47326173360721357</v>
      </c>
      <c r="AA977" s="39">
        <v>0.47288989143101046</v>
      </c>
      <c r="AB977" s="39">
        <v>0.48665767161916862</v>
      </c>
      <c r="AC977" s="39">
        <v>0.47896309627326333</v>
      </c>
      <c r="AD977" s="39">
        <v>0.46893057572845193</v>
      </c>
      <c r="AE977" s="39">
        <v>0.46583145726798708</v>
      </c>
      <c r="AF977" s="40">
        <v>0.48092486145722507</v>
      </c>
    </row>
    <row r="978" spans="1:32">
      <c r="A978" s="15">
        <v>976</v>
      </c>
      <c r="B978" s="16">
        <v>1</v>
      </c>
      <c r="C978" s="20">
        <v>0.93</v>
      </c>
      <c r="D978" s="20">
        <v>0.18747949848141848</v>
      </c>
      <c r="E978" s="20">
        <v>7.0000000000000007E-2</v>
      </c>
      <c r="F978" s="8" t="s">
        <v>434</v>
      </c>
      <c r="G978" s="24">
        <v>0.73521126211790921</v>
      </c>
      <c r="H978" s="24">
        <v>0.7394679476576792</v>
      </c>
      <c r="I978" s="25">
        <v>0.75240023280745916</v>
      </c>
      <c r="L978" s="15">
        <v>976</v>
      </c>
      <c r="M978" s="16">
        <v>0</v>
      </c>
      <c r="N978" s="16">
        <v>3</v>
      </c>
      <c r="O978" s="16">
        <v>11</v>
      </c>
      <c r="P978" s="16">
        <v>199</v>
      </c>
      <c r="Q978" s="29">
        <v>78</v>
      </c>
      <c r="R978" s="20">
        <v>0.47729999999999995</v>
      </c>
      <c r="S978" s="32">
        <v>37.229399999999998</v>
      </c>
      <c r="T978" s="35">
        <v>1.9300000000000002</v>
      </c>
      <c r="U978" s="35">
        <v>0.73</v>
      </c>
      <c r="V978" s="35">
        <v>2.4743589743589745E-2</v>
      </c>
      <c r="W978" s="9" t="s">
        <v>153</v>
      </c>
      <c r="X978" s="15">
        <v>977</v>
      </c>
      <c r="Y978" s="39">
        <v>0.50255392784047237</v>
      </c>
      <c r="Z978" s="39">
        <v>0.48353537265082436</v>
      </c>
      <c r="AA978" s="39">
        <v>0.48069311664304881</v>
      </c>
      <c r="AB978" s="39">
        <v>0.4837699874109016</v>
      </c>
      <c r="AC978" s="39">
        <v>0.49382312836887549</v>
      </c>
      <c r="AD978" s="39">
        <v>0.47420616121580317</v>
      </c>
      <c r="AE978" s="39">
        <v>0.47371060438936496</v>
      </c>
      <c r="AF978" s="40">
        <v>0.47982848475645257</v>
      </c>
    </row>
    <row r="979" spans="1:32">
      <c r="A979" s="15">
        <v>977</v>
      </c>
      <c r="B979" s="16">
        <v>1</v>
      </c>
      <c r="C979" s="20">
        <v>0.21</v>
      </c>
      <c r="D979" s="20">
        <v>0.87307305885605879</v>
      </c>
      <c r="E979" s="20">
        <v>0.2</v>
      </c>
      <c r="F979" s="8" t="s">
        <v>436</v>
      </c>
      <c r="G979" s="24">
        <v>0.88266829666213564</v>
      </c>
      <c r="H979" s="24">
        <v>0.88777872079246212</v>
      </c>
      <c r="I979" s="25">
        <v>0.90330475894403028</v>
      </c>
      <c r="L979" s="15">
        <v>977</v>
      </c>
      <c r="M979" s="16">
        <v>0</v>
      </c>
      <c r="N979" s="16">
        <v>3</v>
      </c>
      <c r="O979" s="16">
        <v>11</v>
      </c>
      <c r="P979" s="16">
        <v>200</v>
      </c>
      <c r="Q979" s="29">
        <v>79</v>
      </c>
      <c r="R979" s="20">
        <v>0.47729999999999995</v>
      </c>
      <c r="S979" s="32">
        <v>37.706699999999998</v>
      </c>
      <c r="T979" s="35">
        <v>1.32</v>
      </c>
      <c r="U979" s="35">
        <v>0.33</v>
      </c>
      <c r="V979" s="35">
        <v>1.6708860759493672E-2</v>
      </c>
      <c r="W979" s="9" t="s">
        <v>153</v>
      </c>
      <c r="X979" s="15">
        <v>978</v>
      </c>
      <c r="Y979" s="39">
        <v>0.47545227425335018</v>
      </c>
      <c r="Z979" s="39">
        <v>0.48132784964078512</v>
      </c>
      <c r="AA979" s="39">
        <v>0.48626377364494167</v>
      </c>
      <c r="AB979" s="39">
        <v>0.49756641709501759</v>
      </c>
      <c r="AC979" s="39">
        <v>0.46939332055793148</v>
      </c>
      <c r="AD979" s="39">
        <v>0.47300054046910395</v>
      </c>
      <c r="AE979" s="39">
        <v>0.47963246529918752</v>
      </c>
      <c r="AF979" s="40">
        <v>0.49320182386025385</v>
      </c>
    </row>
    <row r="980" spans="1:32">
      <c r="A980" s="15">
        <v>978</v>
      </c>
      <c r="B980" s="16">
        <v>1</v>
      </c>
      <c r="C980" s="20">
        <v>0.91</v>
      </c>
      <c r="D980" s="20">
        <v>0.21727233298780477</v>
      </c>
      <c r="E980" s="20">
        <v>0.09</v>
      </c>
      <c r="F980" s="8" t="s">
        <v>434</v>
      </c>
      <c r="G980" s="24">
        <v>0.364487842030427</v>
      </c>
      <c r="H980" s="24">
        <v>0.36659813359767462</v>
      </c>
      <c r="I980" s="25">
        <v>0.37300943460683877</v>
      </c>
      <c r="L980" s="15">
        <v>978</v>
      </c>
      <c r="M980" s="16">
        <v>0</v>
      </c>
      <c r="N980" s="16">
        <v>3</v>
      </c>
      <c r="O980" s="16">
        <v>11</v>
      </c>
      <c r="P980" s="16">
        <v>201</v>
      </c>
      <c r="Q980" s="29">
        <v>82</v>
      </c>
      <c r="R980" s="20">
        <v>0.47729999999999995</v>
      </c>
      <c r="S980" s="32">
        <v>39.138599999999997</v>
      </c>
      <c r="T980" s="35">
        <v>1.43</v>
      </c>
      <c r="U980" s="35">
        <v>0.3</v>
      </c>
      <c r="V980" s="35">
        <v>1.7439024390243901E-2</v>
      </c>
      <c r="W980" s="9" t="s">
        <v>153</v>
      </c>
      <c r="X980" s="15">
        <v>979</v>
      </c>
      <c r="Y980" s="39">
        <v>0.48482196457606563</v>
      </c>
      <c r="Z980" s="39">
        <v>0.4934710854950069</v>
      </c>
      <c r="AA980" s="39">
        <v>0.47760164459020527</v>
      </c>
      <c r="AB980" s="39">
        <v>0.4824940740844062</v>
      </c>
      <c r="AC980" s="39">
        <v>0.4771238423278284</v>
      </c>
      <c r="AD980" s="39">
        <v>0.49026435738052537</v>
      </c>
      <c r="AE980" s="39">
        <v>0.47106645047986689</v>
      </c>
      <c r="AF980" s="40">
        <v>0.47805093116222841</v>
      </c>
    </row>
    <row r="981" spans="1:32">
      <c r="A981" s="15">
        <v>979</v>
      </c>
      <c r="B981" s="16">
        <v>1</v>
      </c>
      <c r="C981" s="20">
        <v>0.02</v>
      </c>
      <c r="D981" s="20">
        <v>0.99679477127711513</v>
      </c>
      <c r="E981" s="20">
        <v>1</v>
      </c>
      <c r="F981" s="8" t="s">
        <v>436</v>
      </c>
      <c r="G981" s="24">
        <v>0.98233970486315492</v>
      </c>
      <c r="H981" s="24">
        <v>0.98802720100513097</v>
      </c>
      <c r="I981" s="25">
        <v>1.0053064482525753</v>
      </c>
      <c r="L981" s="15">
        <v>979</v>
      </c>
      <c r="M981" s="16">
        <v>0</v>
      </c>
      <c r="N981" s="16">
        <v>3</v>
      </c>
      <c r="O981" s="16">
        <v>11</v>
      </c>
      <c r="P981" s="16">
        <v>202</v>
      </c>
      <c r="Q981" s="29">
        <v>83</v>
      </c>
      <c r="R981" s="20">
        <v>0.47729999999999995</v>
      </c>
      <c r="S981" s="32">
        <v>39.615899999999996</v>
      </c>
      <c r="T981" s="35">
        <v>1.5</v>
      </c>
      <c r="U981" s="35">
        <v>0.41</v>
      </c>
      <c r="V981" s="35">
        <v>1.8072289156626505E-2</v>
      </c>
      <c r="W981" s="9" t="s">
        <v>153</v>
      </c>
      <c r="X981" s="15">
        <v>980</v>
      </c>
      <c r="Y981" s="39">
        <v>0.4982274750823904</v>
      </c>
      <c r="Z981" s="39">
        <v>0.4916217637904669</v>
      </c>
      <c r="AA981" s="39">
        <v>0.48241528123797295</v>
      </c>
      <c r="AB981" s="39">
        <v>0.49039450911085747</v>
      </c>
      <c r="AC981" s="39">
        <v>0.49323572517219033</v>
      </c>
      <c r="AD981" s="39">
        <v>0.48190479425423771</v>
      </c>
      <c r="AE981" s="39">
        <v>0.47650158757696398</v>
      </c>
      <c r="AF981" s="40">
        <v>0.48481266149161689</v>
      </c>
    </row>
    <row r="982" spans="1:32">
      <c r="A982" s="15">
        <v>980</v>
      </c>
      <c r="B982" s="16">
        <v>1</v>
      </c>
      <c r="C982" s="20">
        <v>0.24</v>
      </c>
      <c r="D982" s="20">
        <v>0.78183513129248383</v>
      </c>
      <c r="E982" s="20">
        <v>7.0000000000000007E-2</v>
      </c>
      <c r="F982" s="8" t="s">
        <v>436</v>
      </c>
      <c r="G982" s="24">
        <v>0.92654110506517062</v>
      </c>
      <c r="H982" s="24">
        <v>0.93190554155730498</v>
      </c>
      <c r="I982" s="25">
        <v>0.94820329757804078</v>
      </c>
      <c r="L982" s="15">
        <v>980</v>
      </c>
      <c r="M982" s="16">
        <v>0</v>
      </c>
      <c r="N982" s="16">
        <v>3</v>
      </c>
      <c r="O982" s="16">
        <v>11</v>
      </c>
      <c r="P982" s="16">
        <v>203</v>
      </c>
      <c r="Q982" s="29">
        <v>69</v>
      </c>
      <c r="R982" s="20">
        <v>0.47729999999999995</v>
      </c>
      <c r="S982" s="32">
        <v>32.933699999999995</v>
      </c>
      <c r="T982" s="35">
        <v>1.01</v>
      </c>
      <c r="U982" s="35">
        <v>7.0000000000000007E-2</v>
      </c>
      <c r="V982" s="35">
        <v>1.4637681159420291E-2</v>
      </c>
      <c r="W982" s="9" t="s">
        <v>153</v>
      </c>
      <c r="X982" s="15">
        <v>981</v>
      </c>
      <c r="Y982" s="39">
        <v>0.49102940773907572</v>
      </c>
      <c r="Z982" s="39">
        <v>0.4970442806463708</v>
      </c>
      <c r="AA982" s="39">
        <v>0.48771321993632477</v>
      </c>
      <c r="AB982" s="39">
        <v>0.48900117488020883</v>
      </c>
      <c r="AC982" s="39">
        <v>0.48449393511689726</v>
      </c>
      <c r="AD982" s="39">
        <v>0.48715077362781106</v>
      </c>
      <c r="AE982" s="39">
        <v>0.48040476414907768</v>
      </c>
      <c r="AF982" s="40">
        <v>0.48634251074856788</v>
      </c>
    </row>
    <row r="983" spans="1:32">
      <c r="A983" s="15">
        <v>981</v>
      </c>
      <c r="B983" s="16">
        <v>0</v>
      </c>
      <c r="C983" s="20">
        <v>0.93</v>
      </c>
      <c r="D983" s="20">
        <v>0.18747949848141848</v>
      </c>
      <c r="E983" s="20">
        <v>7.0000000000000007E-2</v>
      </c>
      <c r="F983" s="8" t="s">
        <v>434</v>
      </c>
      <c r="G983" s="24">
        <v>0.72812116969201357</v>
      </c>
      <c r="H983" s="24">
        <v>0.73233680540643409</v>
      </c>
      <c r="I983" s="25">
        <v>0.74514437661110133</v>
      </c>
      <c r="L983" s="15">
        <v>981</v>
      </c>
      <c r="M983" s="16">
        <v>0</v>
      </c>
      <c r="N983" s="16">
        <v>3</v>
      </c>
      <c r="O983" s="16">
        <v>11</v>
      </c>
      <c r="P983" s="16">
        <v>204</v>
      </c>
      <c r="Q983" s="29">
        <v>68</v>
      </c>
      <c r="R983" s="20">
        <v>0.47729999999999995</v>
      </c>
      <c r="S983" s="32">
        <v>32.456399999999995</v>
      </c>
      <c r="T983" s="35">
        <v>4.2</v>
      </c>
      <c r="U983" s="35">
        <v>3.25</v>
      </c>
      <c r="V983" s="35">
        <v>6.1764705882352944E-2</v>
      </c>
      <c r="W983" s="9" t="s">
        <v>155</v>
      </c>
      <c r="X983" s="15">
        <v>982</v>
      </c>
      <c r="Y983" s="39">
        <v>0.48500553274242519</v>
      </c>
      <c r="Z983" s="39">
        <v>0.49614254666143393</v>
      </c>
      <c r="AA983" s="39">
        <v>0.484859324831169</v>
      </c>
      <c r="AB983" s="39">
        <v>0.492406129459033</v>
      </c>
      <c r="AC983" s="39">
        <v>0.47957255566553025</v>
      </c>
      <c r="AD983" s="39">
        <v>0.49007938997109823</v>
      </c>
      <c r="AE983" s="39">
        <v>0.47702358262956884</v>
      </c>
      <c r="AF983" s="40">
        <v>0.48890634971060953</v>
      </c>
    </row>
    <row r="984" spans="1:32">
      <c r="A984" s="15">
        <v>982</v>
      </c>
      <c r="B984" s="16">
        <v>0</v>
      </c>
      <c r="C984" s="20">
        <v>0.17</v>
      </c>
      <c r="D984" s="20">
        <v>0.83193937641303062</v>
      </c>
      <c r="E984" s="20">
        <v>0.1</v>
      </c>
      <c r="F984" s="8" t="s">
        <v>436</v>
      </c>
      <c r="G984" s="24">
        <v>0.78405736973866524</v>
      </c>
      <c r="H984" s="24">
        <v>0.78859686177324384</v>
      </c>
      <c r="I984" s="25">
        <v>0.80238834457784303</v>
      </c>
      <c r="L984" s="15">
        <v>982</v>
      </c>
      <c r="M984" s="16">
        <v>0</v>
      </c>
      <c r="N984" s="16">
        <v>3</v>
      </c>
      <c r="O984" s="16">
        <v>11</v>
      </c>
      <c r="P984" s="16">
        <v>205</v>
      </c>
      <c r="Q984" s="29">
        <v>86</v>
      </c>
      <c r="R984" s="20">
        <v>0.47729999999999995</v>
      </c>
      <c r="S984" s="32">
        <v>41.047799999999995</v>
      </c>
      <c r="T984" s="35">
        <v>2.64</v>
      </c>
      <c r="U984" s="35">
        <v>1.46</v>
      </c>
      <c r="V984" s="35">
        <v>3.0697674418604652E-2</v>
      </c>
      <c r="W984" s="9" t="s">
        <v>154</v>
      </c>
      <c r="X984" s="15">
        <v>983</v>
      </c>
      <c r="Y984" s="39">
        <v>0.4893302861266971</v>
      </c>
      <c r="Z984" s="39">
        <v>0.48644363873931629</v>
      </c>
      <c r="AA984" s="39">
        <v>0.4813435668495013</v>
      </c>
      <c r="AB984" s="39">
        <v>0.47941986216304427</v>
      </c>
      <c r="AC984" s="39">
        <v>0.48145321865833207</v>
      </c>
      <c r="AD984" s="39">
        <v>0.48193110088637542</v>
      </c>
      <c r="AE984" s="39">
        <v>0.47522537604804377</v>
      </c>
      <c r="AF984" s="40">
        <v>0.47627573185035932</v>
      </c>
    </row>
    <row r="985" spans="1:32">
      <c r="A985" s="15">
        <v>983</v>
      </c>
      <c r="B985" s="16">
        <v>1</v>
      </c>
      <c r="C985" s="20">
        <v>0.17</v>
      </c>
      <c r="D985" s="20">
        <v>0.86753880425683838</v>
      </c>
      <c r="E985" s="20">
        <v>0.05</v>
      </c>
      <c r="F985" s="8" t="s">
        <v>436</v>
      </c>
      <c r="G985" s="24">
        <v>0.92145270964232173</v>
      </c>
      <c r="H985" s="24">
        <v>0.92678768562380687</v>
      </c>
      <c r="I985" s="25">
        <v>0.94299593732931553</v>
      </c>
      <c r="L985" s="15">
        <v>983</v>
      </c>
      <c r="M985" s="16">
        <v>0</v>
      </c>
      <c r="N985" s="16">
        <v>3</v>
      </c>
      <c r="O985" s="16">
        <v>12</v>
      </c>
      <c r="P985" s="16">
        <v>206</v>
      </c>
      <c r="Q985" s="29">
        <v>37</v>
      </c>
      <c r="R985" s="20">
        <v>0.47729999999999995</v>
      </c>
      <c r="S985" s="32">
        <v>17.660099999999996</v>
      </c>
      <c r="T985" s="35">
        <v>0.68</v>
      </c>
      <c r="U985" s="35">
        <v>0.16</v>
      </c>
      <c r="V985" s="35">
        <v>1.8378378378378378E-2</v>
      </c>
      <c r="W985" s="9" t="s">
        <v>152</v>
      </c>
      <c r="X985" s="15">
        <v>984</v>
      </c>
      <c r="Y985" s="39">
        <v>0.50130904775624086</v>
      </c>
      <c r="Z985" s="39">
        <v>0.48749796328141043</v>
      </c>
      <c r="AA985" s="39">
        <v>0.49117055589114261</v>
      </c>
      <c r="AB985" s="39">
        <v>0.49266050873804734</v>
      </c>
      <c r="AC985" s="39">
        <v>0.49174616468941917</v>
      </c>
      <c r="AD985" s="39">
        <v>0.48094981476670906</v>
      </c>
      <c r="AE985" s="39">
        <v>0.48474420409456237</v>
      </c>
      <c r="AF985" s="40">
        <v>0.48679550283018441</v>
      </c>
    </row>
    <row r="986" spans="1:32">
      <c r="A986" s="15">
        <v>984</v>
      </c>
      <c r="B986" s="16">
        <v>1</v>
      </c>
      <c r="C986" s="20">
        <v>0.97</v>
      </c>
      <c r="D986" s="20">
        <v>0.12097036642660543</v>
      </c>
      <c r="E986" s="20">
        <v>0.03</v>
      </c>
      <c r="F986" s="8" t="s">
        <v>434</v>
      </c>
      <c r="G986" s="24">
        <v>0.92325082716917506</v>
      </c>
      <c r="H986" s="24">
        <v>0.9285962137921584</v>
      </c>
      <c r="I986" s="25">
        <v>0.94483609418698167</v>
      </c>
      <c r="L986" s="15">
        <v>984</v>
      </c>
      <c r="M986" s="16">
        <v>0</v>
      </c>
      <c r="N986" s="16">
        <v>3</v>
      </c>
      <c r="O986" s="16">
        <v>12</v>
      </c>
      <c r="P986" s="16">
        <v>207</v>
      </c>
      <c r="Q986" s="29">
        <v>28</v>
      </c>
      <c r="R986" s="20">
        <v>0.47729999999999995</v>
      </c>
      <c r="S986" s="32">
        <v>13.364399999999998</v>
      </c>
      <c r="T986" s="35">
        <v>0.76</v>
      </c>
      <c r="U986" s="35">
        <v>0.39</v>
      </c>
      <c r="V986" s="35">
        <v>2.7142857142857142E-2</v>
      </c>
      <c r="W986" s="9" t="s">
        <v>152</v>
      </c>
      <c r="X986" s="15">
        <v>985</v>
      </c>
      <c r="Y986" s="39">
        <v>0.49499162811555231</v>
      </c>
      <c r="Z986" s="39">
        <v>0.479527446264149</v>
      </c>
      <c r="AA986" s="39">
        <v>0.48423313660905604</v>
      </c>
      <c r="AB986" s="39">
        <v>0.4795524908583611</v>
      </c>
      <c r="AC986" s="39">
        <v>0.48782441741310473</v>
      </c>
      <c r="AD986" s="39">
        <v>0.47223799683591677</v>
      </c>
      <c r="AE986" s="39">
        <v>0.47807062042434822</v>
      </c>
      <c r="AF986" s="40">
        <v>0.47573766559254116</v>
      </c>
    </row>
    <row r="987" spans="1:32">
      <c r="A987" s="15">
        <v>985</v>
      </c>
      <c r="B987" s="16">
        <v>1</v>
      </c>
      <c r="C987" s="20">
        <v>0.02</v>
      </c>
      <c r="D987" s="20">
        <v>0.99604261948721451</v>
      </c>
      <c r="E987" s="20">
        <v>1</v>
      </c>
      <c r="F987" s="8" t="s">
        <v>436</v>
      </c>
      <c r="G987" s="24">
        <v>0.98630340158092311</v>
      </c>
      <c r="H987" s="24">
        <v>0.99201384651513336</v>
      </c>
      <c r="I987" s="25">
        <v>1.009362814751418</v>
      </c>
      <c r="L987" s="15">
        <v>985</v>
      </c>
      <c r="M987" s="16">
        <v>0</v>
      </c>
      <c r="N987" s="16">
        <v>3</v>
      </c>
      <c r="O987" s="16">
        <v>12</v>
      </c>
      <c r="P987" s="16">
        <v>208</v>
      </c>
      <c r="Q987" s="29">
        <v>23</v>
      </c>
      <c r="R987" s="20">
        <v>0.47729999999999995</v>
      </c>
      <c r="S987" s="32">
        <v>10.977899999999998</v>
      </c>
      <c r="T987" s="35">
        <v>0.44</v>
      </c>
      <c r="U987" s="35">
        <v>0.17</v>
      </c>
      <c r="V987" s="35">
        <v>1.9130434782608695E-2</v>
      </c>
      <c r="W987" s="9" t="s">
        <v>152</v>
      </c>
      <c r="X987" s="15">
        <v>986</v>
      </c>
      <c r="Y987" s="39">
        <v>0.47359118347943502</v>
      </c>
      <c r="Z987" s="39">
        <v>0.48632480549959706</v>
      </c>
      <c r="AA987" s="39">
        <v>0.49249651079736095</v>
      </c>
      <c r="AB987" s="39">
        <v>0.4824684357471799</v>
      </c>
      <c r="AC987" s="39">
        <v>0.46405102226402867</v>
      </c>
      <c r="AD987" s="39">
        <v>0.47831411193585593</v>
      </c>
      <c r="AE987" s="39">
        <v>0.48464295873651092</v>
      </c>
      <c r="AF987" s="40">
        <v>0.47648221610396613</v>
      </c>
    </row>
    <row r="988" spans="1:32">
      <c r="A988" s="15">
        <v>986</v>
      </c>
      <c r="B988" s="16">
        <v>1</v>
      </c>
      <c r="C988" s="20">
        <v>0.08</v>
      </c>
      <c r="D988" s="20">
        <v>0.93369312614759437</v>
      </c>
      <c r="E988" s="20">
        <v>0.09</v>
      </c>
      <c r="F988" s="8" t="s">
        <v>436</v>
      </c>
      <c r="G988" s="24">
        <v>1.1565896835506733</v>
      </c>
      <c r="H988" s="24">
        <v>1.1632860425907063</v>
      </c>
      <c r="I988" s="25">
        <v>1.1836303277773663</v>
      </c>
      <c r="L988" s="15">
        <v>986</v>
      </c>
      <c r="M988" s="16">
        <v>0</v>
      </c>
      <c r="N988" s="16">
        <v>3</v>
      </c>
      <c r="O988" s="16">
        <v>12</v>
      </c>
      <c r="P988" s="16">
        <v>209</v>
      </c>
      <c r="Q988" s="29">
        <v>29</v>
      </c>
      <c r="R988" s="20">
        <v>0.47729999999999995</v>
      </c>
      <c r="S988" s="32">
        <v>13.841699999999998</v>
      </c>
      <c r="T988" s="35">
        <v>0.89</v>
      </c>
      <c r="U988" s="35">
        <v>0.48</v>
      </c>
      <c r="V988" s="35">
        <v>3.0689655172413795E-2</v>
      </c>
      <c r="W988" s="9" t="s">
        <v>152</v>
      </c>
      <c r="X988" s="15">
        <v>987</v>
      </c>
      <c r="Y988" s="39">
        <v>0.48565258580080128</v>
      </c>
      <c r="Z988" s="39">
        <v>0.48088678260987577</v>
      </c>
      <c r="AA988" s="39">
        <v>0.48346357047159894</v>
      </c>
      <c r="AB988" s="39">
        <v>0.48277495725356756</v>
      </c>
      <c r="AC988" s="39">
        <v>0.47800954734813944</v>
      </c>
      <c r="AD988" s="39">
        <v>0.46950141016871688</v>
      </c>
      <c r="AE988" s="39">
        <v>0.47538626614226215</v>
      </c>
      <c r="AF988" s="40">
        <v>0.47951342234567568</v>
      </c>
    </row>
    <row r="989" spans="1:32">
      <c r="A989" s="15">
        <v>987</v>
      </c>
      <c r="B989" s="16">
        <v>1</v>
      </c>
      <c r="C989" s="20">
        <v>0.43</v>
      </c>
      <c r="D989" s="20">
        <v>0.6080534934471491</v>
      </c>
      <c r="E989" s="20">
        <v>0.06</v>
      </c>
      <c r="F989" s="8" t="s">
        <v>436</v>
      </c>
      <c r="G989" s="24">
        <v>0.95439487722005201</v>
      </c>
      <c r="H989" s="24">
        <v>0.9599205799430901</v>
      </c>
      <c r="I989" s="25">
        <v>0.97670828074917404</v>
      </c>
      <c r="L989" s="15">
        <v>987</v>
      </c>
      <c r="M989" s="16">
        <v>0</v>
      </c>
      <c r="N989" s="16">
        <v>3</v>
      </c>
      <c r="O989" s="16">
        <v>12</v>
      </c>
      <c r="P989" s="16">
        <v>210</v>
      </c>
      <c r="Q989" s="29">
        <v>41</v>
      </c>
      <c r="R989" s="20">
        <v>0.47729999999999995</v>
      </c>
      <c r="S989" s="32">
        <v>19.569299999999998</v>
      </c>
      <c r="T989" s="35">
        <v>0.68</v>
      </c>
      <c r="U989" s="35">
        <v>0.05</v>
      </c>
      <c r="V989" s="35">
        <v>1.6585365853658537E-2</v>
      </c>
      <c r="W989" s="9" t="s">
        <v>152</v>
      </c>
      <c r="X989" s="15">
        <v>988</v>
      </c>
      <c r="Y989" s="39">
        <v>0.49242530704881149</v>
      </c>
      <c r="Z989" s="39">
        <v>0.48071187201374721</v>
      </c>
      <c r="AA989" s="39">
        <v>0.48791084863595169</v>
      </c>
      <c r="AB989" s="39">
        <v>0.4852317375016596</v>
      </c>
      <c r="AC989" s="39">
        <v>0.4851715236348324</v>
      </c>
      <c r="AD989" s="39">
        <v>0.47432613989879729</v>
      </c>
      <c r="AE989" s="39">
        <v>0.4796216918415952</v>
      </c>
      <c r="AF989" s="40">
        <v>0.47881770216228908</v>
      </c>
    </row>
    <row r="990" spans="1:32">
      <c r="A990" s="15">
        <v>988</v>
      </c>
      <c r="B990" s="16">
        <v>1</v>
      </c>
      <c r="C990" s="20">
        <v>0.02</v>
      </c>
      <c r="D990" s="20">
        <v>0.99756714174924133</v>
      </c>
      <c r="E990" s="20">
        <v>1</v>
      </c>
      <c r="F990" s="8" t="s">
        <v>436</v>
      </c>
      <c r="G990" s="24">
        <v>1.1827087685830973</v>
      </c>
      <c r="H990" s="24">
        <v>1.1895563504583861</v>
      </c>
      <c r="I990" s="25">
        <v>1.2103600674749091</v>
      </c>
      <c r="L990" s="15">
        <v>988</v>
      </c>
      <c r="M990" s="16">
        <v>0</v>
      </c>
      <c r="N990" s="16">
        <v>3</v>
      </c>
      <c r="O990" s="16">
        <v>12</v>
      </c>
      <c r="P990" s="16">
        <v>211</v>
      </c>
      <c r="Q990" s="29">
        <v>29</v>
      </c>
      <c r="R990" s="20">
        <v>0.47729999999999995</v>
      </c>
      <c r="S990" s="32">
        <v>13.841699999999998</v>
      </c>
      <c r="T990" s="35">
        <v>0.44</v>
      </c>
      <c r="U990" s="35">
        <v>0</v>
      </c>
      <c r="V990" s="35">
        <v>1.5172413793103448E-2</v>
      </c>
      <c r="W990" s="9" t="s">
        <v>152</v>
      </c>
      <c r="X990" s="15">
        <v>989</v>
      </c>
      <c r="Y990" s="39">
        <v>0.48846625729239862</v>
      </c>
      <c r="Z990" s="39">
        <v>0.48833701616928132</v>
      </c>
      <c r="AA990" s="39">
        <v>0.49018560017516283</v>
      </c>
      <c r="AB990" s="39">
        <v>0.49285302118841773</v>
      </c>
      <c r="AC990" s="39">
        <v>0.48095735400432194</v>
      </c>
      <c r="AD990" s="39">
        <v>0.48222592127033831</v>
      </c>
      <c r="AE990" s="39">
        <v>0.48255638390341571</v>
      </c>
      <c r="AF990" s="40">
        <v>0.49146141148766387</v>
      </c>
    </row>
    <row r="991" spans="1:32">
      <c r="A991" s="15">
        <v>989</v>
      </c>
      <c r="B991" s="16">
        <v>0</v>
      </c>
      <c r="C991" s="20">
        <v>0.02</v>
      </c>
      <c r="D991" s="20">
        <v>0.99835916395484214</v>
      </c>
      <c r="E991" s="20">
        <v>1</v>
      </c>
      <c r="F991" s="8" t="s">
        <v>436</v>
      </c>
      <c r="G991" s="24">
        <v>1.1743005069245382</v>
      </c>
      <c r="H991" s="24">
        <v>1.1810994071110925</v>
      </c>
      <c r="I991" s="25">
        <v>1.201755223730838</v>
      </c>
      <c r="L991" s="15">
        <v>989</v>
      </c>
      <c r="M991" s="16">
        <v>0</v>
      </c>
      <c r="N991" s="16">
        <v>3</v>
      </c>
      <c r="O991" s="16">
        <v>12</v>
      </c>
      <c r="P991" s="16">
        <v>212</v>
      </c>
      <c r="Q991" s="29">
        <v>8</v>
      </c>
      <c r="R991" s="20">
        <v>0.47729999999999995</v>
      </c>
      <c r="S991" s="32">
        <v>3.8183999999999996</v>
      </c>
      <c r="T991" s="35">
        <v>0.1</v>
      </c>
      <c r="U991" s="35">
        <v>0</v>
      </c>
      <c r="V991" s="35">
        <v>1.2500000000000001E-2</v>
      </c>
      <c r="W991" s="9" t="s">
        <v>152</v>
      </c>
      <c r="X991" s="15">
        <v>990</v>
      </c>
      <c r="Y991" s="39">
        <v>0.49511221507715031</v>
      </c>
      <c r="Z991" s="39">
        <v>0.47401633719144798</v>
      </c>
      <c r="AA991" s="39">
        <v>0.48568615071793647</v>
      </c>
      <c r="AB991" s="39">
        <v>0.48881719108294297</v>
      </c>
      <c r="AC991" s="39">
        <v>0.48992251638681034</v>
      </c>
      <c r="AD991" s="39">
        <v>0.46858848240892009</v>
      </c>
      <c r="AE991" s="39">
        <v>0.47915468870634331</v>
      </c>
      <c r="AF991" s="40">
        <v>0.48236849690253403</v>
      </c>
    </row>
    <row r="992" spans="1:32">
      <c r="A992" s="15">
        <v>990</v>
      </c>
      <c r="B992" s="16">
        <v>1</v>
      </c>
      <c r="C992" s="20">
        <v>0.94</v>
      </c>
      <c r="D992" s="20">
        <v>0.17188516685452584</v>
      </c>
      <c r="E992" s="20">
        <v>0.06</v>
      </c>
      <c r="F992" s="8" t="s">
        <v>434</v>
      </c>
      <c r="G992" s="24">
        <v>0.99121623512172041</v>
      </c>
      <c r="H992" s="24">
        <v>0.99695512410809617</v>
      </c>
      <c r="I992" s="25">
        <v>1.014390508545433</v>
      </c>
      <c r="L992" s="15">
        <v>990</v>
      </c>
      <c r="M992" s="16">
        <v>0</v>
      </c>
      <c r="N992" s="16">
        <v>3</v>
      </c>
      <c r="O992" s="16">
        <v>12</v>
      </c>
      <c r="P992" s="16">
        <v>213</v>
      </c>
      <c r="Q992" s="29">
        <v>35</v>
      </c>
      <c r="R992" s="20">
        <v>0.47729999999999995</v>
      </c>
      <c r="S992" s="32">
        <v>16.705499999999997</v>
      </c>
      <c r="T992" s="35">
        <v>0.86</v>
      </c>
      <c r="U992" s="35">
        <v>0.28000000000000003</v>
      </c>
      <c r="V992" s="35">
        <v>2.457142857142857E-2</v>
      </c>
      <c r="W992" s="9" t="s">
        <v>152</v>
      </c>
      <c r="X992" s="15">
        <v>991</v>
      </c>
      <c r="Y992" s="39">
        <v>0.47877621061147291</v>
      </c>
      <c r="Z992" s="39">
        <v>0.4932860452477309</v>
      </c>
      <c r="AA992" s="39">
        <v>0.48862439531556479</v>
      </c>
      <c r="AB992" s="39">
        <v>0.48728881856541939</v>
      </c>
      <c r="AC992" s="39">
        <v>0.47053762414773204</v>
      </c>
      <c r="AD992" s="39">
        <v>0.48499727615787974</v>
      </c>
      <c r="AE992" s="39">
        <v>0.48169811823914771</v>
      </c>
      <c r="AF992" s="40">
        <v>0.48503094095665378</v>
      </c>
    </row>
    <row r="993" spans="1:32">
      <c r="A993" s="15">
        <v>991</v>
      </c>
      <c r="B993" s="16">
        <v>0</v>
      </c>
      <c r="C993" s="20">
        <v>0.92</v>
      </c>
      <c r="D993" s="20">
        <v>0.20258497911151899</v>
      </c>
      <c r="E993" s="20">
        <v>0.08</v>
      </c>
      <c r="F993" s="8" t="s">
        <v>434</v>
      </c>
      <c r="G993" s="24">
        <v>1.5443189224779927</v>
      </c>
      <c r="H993" s="24">
        <v>1.5532601348407749</v>
      </c>
      <c r="I993" s="25">
        <v>1.5804245346490076</v>
      </c>
      <c r="L993" s="15">
        <v>991</v>
      </c>
      <c r="M993" s="16">
        <v>0</v>
      </c>
      <c r="N993" s="16">
        <v>3</v>
      </c>
      <c r="O993" s="16">
        <v>12</v>
      </c>
      <c r="P993" s="16">
        <v>214</v>
      </c>
      <c r="Q993" s="29">
        <v>30</v>
      </c>
      <c r="R993" s="20">
        <v>0.47729999999999995</v>
      </c>
      <c r="S993" s="32">
        <v>14.318999999999999</v>
      </c>
      <c r="T993" s="35">
        <v>0.84</v>
      </c>
      <c r="U993" s="35">
        <v>0.5</v>
      </c>
      <c r="V993" s="35">
        <v>2.8000000000000001E-2</v>
      </c>
      <c r="W993" s="9" t="s">
        <v>152</v>
      </c>
      <c r="X993" s="15">
        <v>992</v>
      </c>
      <c r="Y993" s="39">
        <v>0.49542729505282396</v>
      </c>
      <c r="Z993" s="39">
        <v>0.48231139012469787</v>
      </c>
      <c r="AA993" s="39">
        <v>0.46272551833878001</v>
      </c>
      <c r="AB993" s="39">
        <v>0.48368131613753768</v>
      </c>
      <c r="AC993" s="39">
        <v>0.48812915424029102</v>
      </c>
      <c r="AD993" s="39">
        <v>0.47686235042764258</v>
      </c>
      <c r="AE993" s="39">
        <v>0.45411456332854289</v>
      </c>
      <c r="AF993" s="40">
        <v>0.47829757253098643</v>
      </c>
    </row>
    <row r="994" spans="1:32">
      <c r="A994" s="15">
        <v>992</v>
      </c>
      <c r="B994" s="16">
        <v>0</v>
      </c>
      <c r="C994" s="20">
        <v>0.27</v>
      </c>
      <c r="D994" s="20">
        <v>0.73692260461518921</v>
      </c>
      <c r="E994" s="20">
        <v>0.08</v>
      </c>
      <c r="F994" s="8" t="s">
        <v>436</v>
      </c>
      <c r="G994" s="24">
        <v>0.75983149413432305</v>
      </c>
      <c r="H994" s="24">
        <v>0.76423072453297913</v>
      </c>
      <c r="I994" s="25">
        <v>0.77759607685310239</v>
      </c>
      <c r="L994" s="15">
        <v>992</v>
      </c>
      <c r="M994" s="16">
        <v>0</v>
      </c>
      <c r="N994" s="16">
        <v>3</v>
      </c>
      <c r="O994" s="16">
        <v>12</v>
      </c>
      <c r="P994" s="16">
        <v>215</v>
      </c>
      <c r="Q994" s="29">
        <v>37</v>
      </c>
      <c r="R994" s="20">
        <v>0.47729999999999995</v>
      </c>
      <c r="S994" s="32">
        <v>17.660099999999996</v>
      </c>
      <c r="T994" s="35">
        <v>0.73</v>
      </c>
      <c r="U994" s="35">
        <v>0.25</v>
      </c>
      <c r="V994" s="35">
        <v>1.9729729729729729E-2</v>
      </c>
      <c r="W994" s="9" t="s">
        <v>152</v>
      </c>
      <c r="X994" s="15">
        <v>993</v>
      </c>
      <c r="Y994" s="39">
        <v>0.484111485158424</v>
      </c>
      <c r="Z994" s="39">
        <v>0.48443800492499189</v>
      </c>
      <c r="AA994" s="39">
        <v>0.50067333592383556</v>
      </c>
      <c r="AB994" s="39">
        <v>0.49381021854683005</v>
      </c>
      <c r="AC994" s="39">
        <v>0.47762195350845055</v>
      </c>
      <c r="AD994" s="39">
        <v>0.48060401673313768</v>
      </c>
      <c r="AE994" s="39">
        <v>0.49630861962320044</v>
      </c>
      <c r="AF994" s="40">
        <v>0.48978958112613391</v>
      </c>
    </row>
    <row r="995" spans="1:32">
      <c r="A995" s="15">
        <v>993</v>
      </c>
      <c r="B995" s="16">
        <v>1</v>
      </c>
      <c r="C995" s="20">
        <v>0.36</v>
      </c>
      <c r="D995" s="20">
        <v>0.70219514980808861</v>
      </c>
      <c r="E995" s="20">
        <v>0.1</v>
      </c>
      <c r="F995" s="8" t="s">
        <v>436</v>
      </c>
      <c r="G995" s="24">
        <v>1.0229232309725775</v>
      </c>
      <c r="H995" s="24">
        <v>1.0288456953714942</v>
      </c>
      <c r="I995" s="25">
        <v>1.0468388023747297</v>
      </c>
      <c r="L995" s="15">
        <v>993</v>
      </c>
      <c r="M995" s="16">
        <v>0</v>
      </c>
      <c r="N995" s="16">
        <v>3</v>
      </c>
      <c r="O995" s="16">
        <v>12</v>
      </c>
      <c r="P995" s="16">
        <v>216</v>
      </c>
      <c r="Q995" s="29">
        <v>27</v>
      </c>
      <c r="R995" s="20">
        <v>0.47729999999999995</v>
      </c>
      <c r="S995" s="32">
        <v>12.887099999999998</v>
      </c>
      <c r="T995" s="35">
        <v>0.77</v>
      </c>
      <c r="U995" s="35">
        <v>0.45</v>
      </c>
      <c r="V995" s="35">
        <v>2.8518518518518519E-2</v>
      </c>
      <c r="W995" s="9" t="s">
        <v>152</v>
      </c>
      <c r="X995" s="15">
        <v>994</v>
      </c>
      <c r="Y995" s="39">
        <v>0.48890722294123912</v>
      </c>
      <c r="Z995" s="39">
        <v>0.49646941273612066</v>
      </c>
      <c r="AA995" s="39">
        <v>0.4991173018873708</v>
      </c>
      <c r="AB995" s="39">
        <v>0.49056912114481982</v>
      </c>
      <c r="AC995" s="39">
        <v>0.48263510087066347</v>
      </c>
      <c r="AD995" s="39">
        <v>0.49180367752299936</v>
      </c>
      <c r="AE995" s="39">
        <v>0.49363537225052051</v>
      </c>
      <c r="AF995" s="40">
        <v>0.48543857986555056</v>
      </c>
    </row>
    <row r="996" spans="1:32">
      <c r="A996" s="15">
        <v>994</v>
      </c>
      <c r="B996" s="16">
        <v>1</v>
      </c>
      <c r="C996" s="20">
        <v>0.35</v>
      </c>
      <c r="D996" s="20">
        <v>0.61982144920333249</v>
      </c>
      <c r="E996" s="20">
        <v>0.06</v>
      </c>
      <c r="F996" s="8" t="s">
        <v>436</v>
      </c>
      <c r="G996" s="24">
        <v>0.95291360441827799</v>
      </c>
      <c r="H996" s="24">
        <v>0.95843073094989917</v>
      </c>
      <c r="I996" s="25">
        <v>0.97519237633049638</v>
      </c>
      <c r="L996" s="15">
        <v>994</v>
      </c>
      <c r="M996" s="16">
        <v>0</v>
      </c>
      <c r="N996" s="16">
        <v>3</v>
      </c>
      <c r="O996" s="16">
        <v>12</v>
      </c>
      <c r="P996" s="16">
        <v>217</v>
      </c>
      <c r="Q996" s="29">
        <v>33</v>
      </c>
      <c r="R996" s="20">
        <v>0.47729999999999995</v>
      </c>
      <c r="S996" s="32">
        <v>15.750899999999998</v>
      </c>
      <c r="T996" s="35">
        <v>0.9</v>
      </c>
      <c r="U996" s="35">
        <v>0.52</v>
      </c>
      <c r="V996" s="35">
        <v>2.7272727272727275E-2</v>
      </c>
      <c r="W996" s="9" t="s">
        <v>152</v>
      </c>
      <c r="X996" s="15">
        <v>995</v>
      </c>
      <c r="Y996" s="39">
        <v>0.4879814022798894</v>
      </c>
      <c r="Z996" s="39">
        <v>0.47546746207681284</v>
      </c>
      <c r="AA996" s="39">
        <v>0.48044115245385338</v>
      </c>
      <c r="AB996" s="39">
        <v>0.49751923615932225</v>
      </c>
      <c r="AC996" s="39">
        <v>0.48040527953498152</v>
      </c>
      <c r="AD996" s="39">
        <v>0.46542211342757778</v>
      </c>
      <c r="AE996" s="39">
        <v>0.47368974340777775</v>
      </c>
      <c r="AF996" s="40">
        <v>0.49625637096109154</v>
      </c>
    </row>
    <row r="997" spans="1:32">
      <c r="A997" s="15">
        <v>995</v>
      </c>
      <c r="B997" s="16">
        <v>0</v>
      </c>
      <c r="C997" s="20">
        <v>0.02</v>
      </c>
      <c r="D997" s="20">
        <v>0.99917029198757767</v>
      </c>
      <c r="E997" s="20">
        <v>1</v>
      </c>
      <c r="F997" s="8" t="s">
        <v>436</v>
      </c>
      <c r="G997" s="24">
        <v>1.087982993200526</v>
      </c>
      <c r="H997" s="24">
        <v>1.0942821370157763</v>
      </c>
      <c r="I997" s="25">
        <v>1.1134196380731578</v>
      </c>
      <c r="L997" s="15">
        <v>995</v>
      </c>
      <c r="M997" s="16">
        <v>0</v>
      </c>
      <c r="N997" s="16">
        <v>3</v>
      </c>
      <c r="O997" s="16">
        <v>12</v>
      </c>
      <c r="P997" s="16">
        <v>218</v>
      </c>
      <c r="Q997" s="29">
        <v>27</v>
      </c>
      <c r="R997" s="20">
        <v>0.47729999999999995</v>
      </c>
      <c r="S997" s="32">
        <v>12.887099999999998</v>
      </c>
      <c r="T997" s="35">
        <v>0.35000000000000003</v>
      </c>
      <c r="U997" s="35">
        <v>0.03</v>
      </c>
      <c r="V997" s="35">
        <v>1.2962962962962964E-2</v>
      </c>
      <c r="W997" s="9" t="s">
        <v>152</v>
      </c>
      <c r="X997" s="15">
        <v>996</v>
      </c>
      <c r="Y997" s="39">
        <v>0.49716331721297025</v>
      </c>
      <c r="Z997" s="39">
        <v>0.49374058424000838</v>
      </c>
      <c r="AA997" s="39">
        <v>0.48835263740709889</v>
      </c>
      <c r="AB997" s="39">
        <v>0.48307271523234052</v>
      </c>
      <c r="AC997" s="39">
        <v>0.49071288073229369</v>
      </c>
      <c r="AD997" s="39">
        <v>0.48491232656467864</v>
      </c>
      <c r="AE997" s="39">
        <v>0.48073632025611912</v>
      </c>
      <c r="AF997" s="40">
        <v>0.48008771773020287</v>
      </c>
    </row>
    <row r="998" spans="1:32">
      <c r="A998" s="15">
        <v>996</v>
      </c>
      <c r="B998" s="16">
        <v>0</v>
      </c>
      <c r="C998" s="20">
        <v>0.02</v>
      </c>
      <c r="D998" s="20">
        <v>0.99835916395484214</v>
      </c>
      <c r="E998" s="20">
        <v>1</v>
      </c>
      <c r="F998" s="8" t="s">
        <v>436</v>
      </c>
      <c r="G998" s="24">
        <v>0.90412225157514481</v>
      </c>
      <c r="H998" s="24">
        <v>0.90935688862814334</v>
      </c>
      <c r="I998" s="25">
        <v>0.92526029948443089</v>
      </c>
      <c r="L998" s="15">
        <v>996</v>
      </c>
      <c r="M998" s="16">
        <v>0</v>
      </c>
      <c r="N998" s="16">
        <v>3</v>
      </c>
      <c r="O998" s="16">
        <v>12</v>
      </c>
      <c r="P998" s="16">
        <v>219</v>
      </c>
      <c r="Q998" s="29">
        <v>29</v>
      </c>
      <c r="R998" s="20">
        <v>0.47729999999999995</v>
      </c>
      <c r="S998" s="32">
        <v>13.841699999999998</v>
      </c>
      <c r="T998" s="35">
        <v>0.4</v>
      </c>
      <c r="U998" s="35">
        <v>0.02</v>
      </c>
      <c r="V998" s="35">
        <v>1.3793103448275864E-2</v>
      </c>
      <c r="W998" s="9" t="s">
        <v>152</v>
      </c>
      <c r="X998" s="15">
        <v>997</v>
      </c>
      <c r="Y998" s="39">
        <v>0.49161740958293482</v>
      </c>
      <c r="Z998" s="39">
        <v>0.49707880879530847</v>
      </c>
      <c r="AA998" s="39">
        <v>0.48738124304724201</v>
      </c>
      <c r="AB998" s="39">
        <v>0.48467763485532944</v>
      </c>
      <c r="AC998" s="39">
        <v>0.48674616275425031</v>
      </c>
      <c r="AD998" s="39">
        <v>0.49094993786002122</v>
      </c>
      <c r="AE998" s="39">
        <v>0.47839589870828081</v>
      </c>
      <c r="AF998" s="40">
        <v>0.48013234815929312</v>
      </c>
    </row>
    <row r="999" spans="1:32">
      <c r="A999" s="15">
        <v>997</v>
      </c>
      <c r="B999" s="16">
        <v>1</v>
      </c>
      <c r="C999" s="20">
        <v>0.92</v>
      </c>
      <c r="D999" s="20">
        <v>0.20258497911151899</v>
      </c>
      <c r="E999" s="20">
        <v>0.08</v>
      </c>
      <c r="F999" s="8" t="s">
        <v>434</v>
      </c>
      <c r="G999" s="24">
        <v>0.37070046164883719</v>
      </c>
      <c r="H999" s="24">
        <v>0.37284672269786018</v>
      </c>
      <c r="I999" s="25">
        <v>0.37936730300206795</v>
      </c>
      <c r="L999" s="15">
        <v>997</v>
      </c>
      <c r="M999" s="16">
        <v>0</v>
      </c>
      <c r="N999" s="16">
        <v>3</v>
      </c>
      <c r="O999" s="16">
        <v>12</v>
      </c>
      <c r="P999" s="16">
        <v>220</v>
      </c>
      <c r="Q999" s="29">
        <v>25</v>
      </c>
      <c r="R999" s="20">
        <v>0.47729999999999995</v>
      </c>
      <c r="S999" s="32">
        <v>11.932499999999999</v>
      </c>
      <c r="T999" s="35">
        <v>0.59</v>
      </c>
      <c r="U999" s="35">
        <v>0.16</v>
      </c>
      <c r="V999" s="35">
        <v>2.3599999999999999E-2</v>
      </c>
      <c r="W999" s="9" t="s">
        <v>152</v>
      </c>
      <c r="X999" s="15">
        <v>998</v>
      </c>
      <c r="Y999" s="39">
        <v>0.48668033516270659</v>
      </c>
      <c r="Z999" s="39">
        <v>0.48801851700641746</v>
      </c>
      <c r="AA999" s="39">
        <v>0.49091904607331982</v>
      </c>
      <c r="AB999" s="39">
        <v>0.49954165275236273</v>
      </c>
      <c r="AC999" s="39">
        <v>0.48200333091423536</v>
      </c>
      <c r="AD999" s="39">
        <v>0.4834117091289552</v>
      </c>
      <c r="AE999" s="39">
        <v>0.48204325883079557</v>
      </c>
      <c r="AF999" s="40">
        <v>0.49605653437470582</v>
      </c>
    </row>
    <row r="1000" spans="1:32">
      <c r="A1000" s="15">
        <v>998</v>
      </c>
      <c r="B1000" s="16">
        <v>0</v>
      </c>
      <c r="C1000" s="20">
        <v>0.92</v>
      </c>
      <c r="D1000" s="20">
        <v>0.20258497911151899</v>
      </c>
      <c r="E1000" s="20">
        <v>0.08</v>
      </c>
      <c r="F1000" s="8" t="s">
        <v>434</v>
      </c>
      <c r="G1000" s="24">
        <v>0.69784484657405443</v>
      </c>
      <c r="H1000" s="24">
        <v>0.70188519010586836</v>
      </c>
      <c r="I1000" s="25">
        <v>0.7141602041204832</v>
      </c>
      <c r="L1000" s="15">
        <v>998</v>
      </c>
      <c r="M1000" s="16">
        <v>0</v>
      </c>
      <c r="N1000" s="16">
        <v>3</v>
      </c>
      <c r="O1000" s="16">
        <v>13</v>
      </c>
      <c r="P1000" s="16">
        <v>221</v>
      </c>
      <c r="Q1000" s="29">
        <v>22</v>
      </c>
      <c r="R1000" s="20">
        <v>0.47729999999999995</v>
      </c>
      <c r="S1000" s="32">
        <v>10.500599999999999</v>
      </c>
      <c r="T1000" s="35">
        <v>0.48000000000000004</v>
      </c>
      <c r="U1000" s="35">
        <v>0.16</v>
      </c>
      <c r="V1000" s="35">
        <v>2.181818181818182E-2</v>
      </c>
      <c r="W1000" s="9" t="s">
        <v>152</v>
      </c>
      <c r="X1000" s="15">
        <v>999</v>
      </c>
      <c r="Y1000" s="39">
        <v>0.49039602565538892</v>
      </c>
      <c r="Z1000" s="39">
        <v>0.48319379933519108</v>
      </c>
      <c r="AA1000" s="39">
        <v>0.49110320284330994</v>
      </c>
      <c r="AB1000" s="39">
        <v>0.49579242501535903</v>
      </c>
      <c r="AC1000" s="39">
        <v>0.48124033700102786</v>
      </c>
      <c r="AD1000" s="39">
        <v>0.47464371749111345</v>
      </c>
      <c r="AE1000" s="39">
        <v>0.48342579880726733</v>
      </c>
      <c r="AF1000" s="40">
        <v>0.4925479047586257</v>
      </c>
    </row>
    <row r="1001" spans="1:32">
      <c r="A1001" s="15">
        <v>999</v>
      </c>
      <c r="B1001" s="16">
        <v>1</v>
      </c>
      <c r="C1001" s="20">
        <v>0.02</v>
      </c>
      <c r="D1001" s="20">
        <v>0.99917029198757767</v>
      </c>
      <c r="E1001" s="20">
        <v>1</v>
      </c>
      <c r="F1001" s="8" t="s">
        <v>436</v>
      </c>
      <c r="G1001" s="24">
        <v>1.1996953339045406</v>
      </c>
      <c r="H1001" s="24">
        <v>1.2066412636570993</v>
      </c>
      <c r="I1001" s="25">
        <v>1.2277437724873106</v>
      </c>
      <c r="L1001" s="15">
        <v>999</v>
      </c>
      <c r="M1001" s="16">
        <v>0</v>
      </c>
      <c r="N1001" s="16">
        <v>3</v>
      </c>
      <c r="O1001" s="16">
        <v>13</v>
      </c>
      <c r="P1001" s="16">
        <v>222</v>
      </c>
      <c r="Q1001" s="29">
        <v>16</v>
      </c>
      <c r="R1001" s="20">
        <v>0.47729999999999995</v>
      </c>
      <c r="S1001" s="32">
        <v>7.6367999999999991</v>
      </c>
      <c r="T1001" s="35">
        <v>0.66999999999999993</v>
      </c>
      <c r="U1001" s="35">
        <v>0.39</v>
      </c>
      <c r="V1001" s="35">
        <v>4.1874999999999996E-2</v>
      </c>
      <c r="W1001" s="9" t="s">
        <v>152</v>
      </c>
      <c r="X1001" s="15">
        <v>1000</v>
      </c>
      <c r="Y1001" s="39">
        <v>0.49574947746660369</v>
      </c>
      <c r="Z1001" s="39">
        <v>0.47288852447730612</v>
      </c>
      <c r="AA1001" s="39">
        <v>0.49572172315174251</v>
      </c>
      <c r="AB1001" s="39">
        <v>0.47761115710612684</v>
      </c>
      <c r="AC1001" s="39">
        <v>0.48843523918211257</v>
      </c>
      <c r="AD1001" s="39">
        <v>0.46709253432674946</v>
      </c>
      <c r="AE1001" s="39">
        <v>0.48760095582377716</v>
      </c>
      <c r="AF1001" s="40">
        <v>0.47457656061799375</v>
      </c>
    </row>
    <row r="1002" spans="1:32">
      <c r="A1002" s="15">
        <v>1000</v>
      </c>
      <c r="B1002" s="16">
        <v>0</v>
      </c>
      <c r="C1002" s="20">
        <v>0.88</v>
      </c>
      <c r="D1002" s="20">
        <v>0.25930874124763043</v>
      </c>
      <c r="E1002" s="20">
        <v>0.12</v>
      </c>
      <c r="F1002" s="8" t="s">
        <v>434</v>
      </c>
      <c r="G1002" s="24">
        <v>1.9792733075358337</v>
      </c>
      <c r="H1002" s="24">
        <v>1.990732794762907</v>
      </c>
      <c r="I1002" s="25">
        <v>1.6578926537592125</v>
      </c>
      <c r="L1002" s="15">
        <v>1000</v>
      </c>
      <c r="M1002" s="16">
        <v>0</v>
      </c>
      <c r="N1002" s="16">
        <v>3</v>
      </c>
      <c r="O1002" s="16">
        <v>13</v>
      </c>
      <c r="P1002" s="16">
        <v>223</v>
      </c>
      <c r="Q1002" s="29">
        <v>26</v>
      </c>
      <c r="R1002" s="20">
        <v>0.47729999999999995</v>
      </c>
      <c r="S1002" s="32">
        <v>12.409799999999999</v>
      </c>
      <c r="T1002" s="35">
        <v>1.53</v>
      </c>
      <c r="U1002" s="35">
        <v>1.1299999999999999</v>
      </c>
      <c r="V1002" s="35">
        <v>5.8846153846153847E-2</v>
      </c>
      <c r="W1002" s="9" t="s">
        <v>153</v>
      </c>
      <c r="X1002" s="15">
        <v>1001</v>
      </c>
      <c r="Y1002" s="39">
        <v>0.49560922485616293</v>
      </c>
      <c r="Z1002" s="39">
        <v>0.48422804649530726</v>
      </c>
      <c r="AA1002" s="39">
        <v>0.48595434814710164</v>
      </c>
      <c r="AB1002" s="39">
        <v>0.4951318636811905</v>
      </c>
      <c r="AC1002" s="39">
        <v>0.49056497366560015</v>
      </c>
      <c r="AD1002" s="39">
        <v>0.47570988798341801</v>
      </c>
      <c r="AE1002" s="39">
        <v>0.47805104177221558</v>
      </c>
      <c r="AF1002" s="40">
        <v>0.49087734215958567</v>
      </c>
    </row>
    <row r="1003" spans="1:32">
      <c r="A1003" s="15">
        <v>1001</v>
      </c>
      <c r="B1003" s="16">
        <v>1</v>
      </c>
      <c r="C1003" s="20">
        <v>0.05</v>
      </c>
      <c r="D1003" s="20">
        <v>0.95511952397876754</v>
      </c>
      <c r="E1003" s="20">
        <v>0.41</v>
      </c>
      <c r="F1003" s="8" t="s">
        <v>436</v>
      </c>
      <c r="G1003" s="24">
        <v>0.97569760266960959</v>
      </c>
      <c r="H1003" s="24">
        <v>0.98134664273532879</v>
      </c>
      <c r="I1003" s="25">
        <v>0.99850905613652119</v>
      </c>
      <c r="L1003" s="15">
        <v>1001</v>
      </c>
      <c r="M1003" s="16">
        <v>0</v>
      </c>
      <c r="N1003" s="16">
        <v>3</v>
      </c>
      <c r="O1003" s="16">
        <v>13</v>
      </c>
      <c r="P1003" s="16">
        <v>224</v>
      </c>
      <c r="Q1003" s="29">
        <v>22</v>
      </c>
      <c r="R1003" s="20">
        <v>0.47729999999999995</v>
      </c>
      <c r="S1003" s="32">
        <v>10.500599999999999</v>
      </c>
      <c r="T1003" s="35">
        <v>0.66</v>
      </c>
      <c r="U1003" s="35">
        <v>0.3</v>
      </c>
      <c r="V1003" s="35">
        <v>3.0000000000000002E-2</v>
      </c>
      <c r="W1003" s="9" t="s">
        <v>152</v>
      </c>
      <c r="X1003" s="15">
        <v>1002</v>
      </c>
      <c r="Y1003" s="39">
        <v>0.48337821804657805</v>
      </c>
      <c r="Z1003" s="39">
        <v>0.47731449840998402</v>
      </c>
      <c r="AA1003" s="39">
        <v>0.49077110118091904</v>
      </c>
      <c r="AB1003" s="39">
        <v>0.49029456458592874</v>
      </c>
      <c r="AC1003" s="39">
        <v>0.47850773550116726</v>
      </c>
      <c r="AD1003" s="39">
        <v>0.47122985085646296</v>
      </c>
      <c r="AE1003" s="39">
        <v>0.48510071230849366</v>
      </c>
      <c r="AF1003" s="40">
        <v>0.48945183881882881</v>
      </c>
    </row>
    <row r="1004" spans="1:32">
      <c r="A1004" s="15">
        <v>1002</v>
      </c>
      <c r="B1004" s="16">
        <v>0</v>
      </c>
      <c r="C1004" s="20">
        <v>0.02</v>
      </c>
      <c r="D1004" s="20">
        <v>0.99756714174924133</v>
      </c>
      <c r="E1004" s="20">
        <v>1</v>
      </c>
      <c r="F1004" s="8" t="s">
        <v>436</v>
      </c>
      <c r="G1004" s="24">
        <v>1.0420653270252489</v>
      </c>
      <c r="H1004" s="24">
        <v>1.0480986192741546</v>
      </c>
      <c r="I1004" s="25">
        <v>1.0664284336393048</v>
      </c>
      <c r="L1004" s="15">
        <v>1002</v>
      </c>
      <c r="M1004" s="16">
        <v>0</v>
      </c>
      <c r="N1004" s="16">
        <v>3</v>
      </c>
      <c r="O1004" s="16">
        <v>13</v>
      </c>
      <c r="P1004" s="16">
        <v>225</v>
      </c>
      <c r="Q1004" s="29">
        <v>25</v>
      </c>
      <c r="R1004" s="20">
        <v>0.47729999999999995</v>
      </c>
      <c r="S1004" s="32">
        <v>11.932499999999999</v>
      </c>
      <c r="T1004" s="35">
        <v>0.47000000000000003</v>
      </c>
      <c r="U1004" s="35">
        <v>0.05</v>
      </c>
      <c r="V1004" s="35">
        <v>1.8800000000000001E-2</v>
      </c>
      <c r="W1004" s="9" t="s">
        <v>152</v>
      </c>
      <c r="X1004" s="15">
        <v>1003</v>
      </c>
      <c r="Y1004" s="39">
        <v>0.49639518510775871</v>
      </c>
      <c r="Z1004" s="39">
        <v>0.48204145659918191</v>
      </c>
      <c r="AA1004" s="39">
        <v>0.48187969568047212</v>
      </c>
      <c r="AB1004" s="39">
        <v>0.48979383278385907</v>
      </c>
      <c r="AC1004" s="39">
        <v>0.48773915652066385</v>
      </c>
      <c r="AD1004" s="39">
        <v>0.4764108894200606</v>
      </c>
      <c r="AE1004" s="39">
        <v>0.47609952463250987</v>
      </c>
      <c r="AF1004" s="40">
        <v>0.48645490563473665</v>
      </c>
    </row>
    <row r="1005" spans="1:32">
      <c r="A1005" s="15">
        <v>1003</v>
      </c>
      <c r="B1005" s="16">
        <v>0</v>
      </c>
      <c r="C1005" s="20">
        <v>0.11</v>
      </c>
      <c r="D1005" s="20">
        <v>0.91798694751033372</v>
      </c>
      <c r="E1005" s="20">
        <v>0.02</v>
      </c>
      <c r="F1005" s="8" t="s">
        <v>436</v>
      </c>
      <c r="G1005" s="24">
        <v>1.201722673395466</v>
      </c>
      <c r="H1005" s="24">
        <v>1.2086803409261844</v>
      </c>
      <c r="I1005" s="25">
        <v>1.2298185104348196</v>
      </c>
      <c r="L1005" s="15">
        <v>1003</v>
      </c>
      <c r="M1005" s="16">
        <v>0</v>
      </c>
      <c r="N1005" s="16">
        <v>3</v>
      </c>
      <c r="O1005" s="16">
        <v>13</v>
      </c>
      <c r="P1005" s="16">
        <v>226</v>
      </c>
      <c r="Q1005" s="29">
        <v>34</v>
      </c>
      <c r="R1005" s="20">
        <v>0.47729999999999995</v>
      </c>
      <c r="S1005" s="32">
        <v>16.228199999999998</v>
      </c>
      <c r="T1005" s="35">
        <v>2.3199999999999998</v>
      </c>
      <c r="U1005" s="35">
        <v>1.81</v>
      </c>
      <c r="V1005" s="35">
        <v>6.8235294117647061E-2</v>
      </c>
      <c r="W1005" s="9" t="s">
        <v>154</v>
      </c>
      <c r="X1005" s="15">
        <v>1004</v>
      </c>
      <c r="Y1005" s="39">
        <v>0.48677990236770485</v>
      </c>
      <c r="Z1005" s="39">
        <v>0.48635248371554579</v>
      </c>
      <c r="AA1005" s="39">
        <v>0.47240416782972044</v>
      </c>
      <c r="AB1005" s="39">
        <v>0.47502827713177576</v>
      </c>
      <c r="AC1005" s="39">
        <v>0.48053086684900076</v>
      </c>
      <c r="AD1005" s="39">
        <v>0.48055787458519095</v>
      </c>
      <c r="AE1005" s="39">
        <v>0.46732268948573896</v>
      </c>
      <c r="AF1005" s="40">
        <v>0.47140882864456551</v>
      </c>
    </row>
    <row r="1006" spans="1:32">
      <c r="A1006" s="15">
        <v>1004</v>
      </c>
      <c r="B1006" s="16">
        <v>1</v>
      </c>
      <c r="C1006" s="20">
        <v>0.02</v>
      </c>
      <c r="D1006" s="20">
        <v>0.99917029198757767</v>
      </c>
      <c r="E1006" s="20">
        <v>1</v>
      </c>
      <c r="F1006" s="8" t="s">
        <v>436</v>
      </c>
      <c r="G1006" s="24">
        <v>1.1106766875968792</v>
      </c>
      <c r="H1006" s="24">
        <v>1.1171072221099578</v>
      </c>
      <c r="I1006" s="25">
        <v>1.1366439027530684</v>
      </c>
      <c r="L1006" s="15">
        <v>1004</v>
      </c>
      <c r="M1006" s="16">
        <v>0</v>
      </c>
      <c r="N1006" s="16">
        <v>3</v>
      </c>
      <c r="O1006" s="16">
        <v>13</v>
      </c>
      <c r="P1006" s="16">
        <v>227</v>
      </c>
      <c r="Q1006" s="29">
        <v>27</v>
      </c>
      <c r="R1006" s="20">
        <v>0.47729999999999995</v>
      </c>
      <c r="S1006" s="32">
        <v>12.887099999999998</v>
      </c>
      <c r="T1006" s="35">
        <v>1.64</v>
      </c>
      <c r="U1006" s="35">
        <v>1.1399999999999999</v>
      </c>
      <c r="V1006" s="35">
        <v>6.0740740740740734E-2</v>
      </c>
      <c r="W1006" s="9" t="s">
        <v>153</v>
      </c>
      <c r="X1006" s="15">
        <v>1005</v>
      </c>
      <c r="Y1006" s="39">
        <v>0.48679512752270121</v>
      </c>
      <c r="Z1006" s="39">
        <v>0.48400484146929407</v>
      </c>
      <c r="AA1006" s="39">
        <v>0.49796598402952824</v>
      </c>
      <c r="AB1006" s="39">
        <v>0.50365630119313565</v>
      </c>
      <c r="AC1006" s="39">
        <v>0.48205474159493783</v>
      </c>
      <c r="AD1006" s="39">
        <v>0.47841412950052331</v>
      </c>
      <c r="AE1006" s="39">
        <v>0.48834150843635776</v>
      </c>
      <c r="AF1006" s="40">
        <v>0.49815076953876603</v>
      </c>
    </row>
    <row r="1007" spans="1:32">
      <c r="A1007" s="15">
        <v>1005</v>
      </c>
      <c r="B1007" s="16">
        <v>0</v>
      </c>
      <c r="C1007" s="20">
        <v>0.15</v>
      </c>
      <c r="D1007" s="20">
        <v>0.88721445393733001</v>
      </c>
      <c r="E1007" s="20">
        <v>0.47</v>
      </c>
      <c r="F1007" s="8" t="s">
        <v>436</v>
      </c>
      <c r="G1007" s="24">
        <v>1.079471200556078</v>
      </c>
      <c r="H1007" s="24">
        <v>1.0857210632646124</v>
      </c>
      <c r="I1007" s="25">
        <v>1.1047088428265741</v>
      </c>
      <c r="L1007" s="15">
        <v>1005</v>
      </c>
      <c r="M1007" s="16">
        <v>0</v>
      </c>
      <c r="N1007" s="16">
        <v>3</v>
      </c>
      <c r="O1007" s="16">
        <v>13</v>
      </c>
      <c r="P1007" s="16">
        <v>228</v>
      </c>
      <c r="Q1007" s="29">
        <v>42</v>
      </c>
      <c r="R1007" s="20">
        <v>0.47729999999999995</v>
      </c>
      <c r="S1007" s="32">
        <v>20.046599999999998</v>
      </c>
      <c r="T1007" s="35">
        <v>0.81</v>
      </c>
      <c r="U1007" s="35">
        <v>0.26</v>
      </c>
      <c r="V1007" s="35">
        <v>1.9285714285714288E-2</v>
      </c>
      <c r="W1007" s="9" t="s">
        <v>152</v>
      </c>
      <c r="X1007" s="15">
        <v>1006</v>
      </c>
      <c r="Y1007" s="39">
        <v>0.48196210521920768</v>
      </c>
      <c r="Z1007" s="39">
        <v>0.48237348441634992</v>
      </c>
      <c r="AA1007" s="39">
        <v>0.47331247449795588</v>
      </c>
      <c r="AB1007" s="39">
        <v>0.4944888653266617</v>
      </c>
      <c r="AC1007" s="39">
        <v>0.47387456178040832</v>
      </c>
      <c r="AD1007" s="39">
        <v>0.47373246940055114</v>
      </c>
      <c r="AE1007" s="39">
        <v>0.46873224024757248</v>
      </c>
      <c r="AF1007" s="40">
        <v>0.49004549598480263</v>
      </c>
    </row>
    <row r="1008" spans="1:32">
      <c r="A1008" s="15">
        <v>1006</v>
      </c>
      <c r="B1008" s="16">
        <v>0</v>
      </c>
      <c r="C1008" s="20">
        <v>0.47</v>
      </c>
      <c r="D1008" s="20">
        <v>0.47078745680764889</v>
      </c>
      <c r="E1008" s="20">
        <v>7.0000000000000007E-2</v>
      </c>
      <c r="F1008" s="8" t="s">
        <v>436</v>
      </c>
      <c r="G1008" s="24">
        <v>1.2883304186081883</v>
      </c>
      <c r="H1008" s="24">
        <v>1.2957895228764467</v>
      </c>
      <c r="I1008" s="25">
        <v>1.3184511130873762</v>
      </c>
      <c r="L1008" s="15">
        <v>1006</v>
      </c>
      <c r="M1008" s="16">
        <v>0</v>
      </c>
      <c r="N1008" s="16">
        <v>3</v>
      </c>
      <c r="O1008" s="16">
        <v>13</v>
      </c>
      <c r="P1008" s="16">
        <v>229</v>
      </c>
      <c r="Q1008" s="29">
        <v>27</v>
      </c>
      <c r="R1008" s="20">
        <v>0.47729999999999995</v>
      </c>
      <c r="S1008" s="32">
        <v>12.887099999999998</v>
      </c>
      <c r="T1008" s="35">
        <v>0.33</v>
      </c>
      <c r="U1008" s="35">
        <v>0.02</v>
      </c>
      <c r="V1008" s="35">
        <v>1.2222222222222223E-2</v>
      </c>
      <c r="W1008" s="9" t="s">
        <v>152</v>
      </c>
      <c r="X1008" s="15">
        <v>1007</v>
      </c>
      <c r="Y1008" s="39">
        <v>0.49126652696434575</v>
      </c>
      <c r="Z1008" s="39">
        <v>0.48491340490744173</v>
      </c>
      <c r="AA1008" s="39">
        <v>0.48678664867014992</v>
      </c>
      <c r="AB1008" s="39">
        <v>0.47237598214643656</v>
      </c>
      <c r="AC1008" s="39">
        <v>0.48497708756698538</v>
      </c>
      <c r="AD1008" s="39">
        <v>0.47633785125641548</v>
      </c>
      <c r="AE1008" s="39">
        <v>0.47818449301059079</v>
      </c>
      <c r="AF1008" s="40">
        <v>0.46753641615376601</v>
      </c>
    </row>
    <row r="1009" spans="1:32">
      <c r="A1009" s="15">
        <v>1007</v>
      </c>
      <c r="B1009" s="16">
        <v>0</v>
      </c>
      <c r="C1009" s="20">
        <v>0.02</v>
      </c>
      <c r="D1009" s="20">
        <v>0.99835916395484214</v>
      </c>
      <c r="E1009" s="20">
        <v>1</v>
      </c>
      <c r="F1009" s="8" t="s">
        <v>436</v>
      </c>
      <c r="G1009" s="24">
        <v>1.0943483204708091</v>
      </c>
      <c r="H1009" s="24">
        <v>1.1006843179061594</v>
      </c>
      <c r="I1009" s="25">
        <v>1.1199337843693669</v>
      </c>
      <c r="L1009" s="15">
        <v>1007</v>
      </c>
      <c r="M1009" s="16">
        <v>0</v>
      </c>
      <c r="N1009" s="16">
        <v>3</v>
      </c>
      <c r="O1009" s="16">
        <v>13</v>
      </c>
      <c r="P1009" s="16">
        <v>230</v>
      </c>
      <c r="Q1009" s="29">
        <v>20</v>
      </c>
      <c r="R1009" s="20">
        <v>0.47729999999999995</v>
      </c>
      <c r="S1009" s="32">
        <v>9.5459999999999994</v>
      </c>
      <c r="T1009" s="35">
        <v>1.2</v>
      </c>
      <c r="U1009" s="35">
        <v>0.96</v>
      </c>
      <c r="V1009" s="35">
        <v>0.06</v>
      </c>
      <c r="W1009" s="9" t="s">
        <v>153</v>
      </c>
      <c r="X1009" s="15">
        <v>1008</v>
      </c>
      <c r="Y1009" s="39">
        <v>0.49507935947054371</v>
      </c>
      <c r="Z1009" s="39">
        <v>0.48019488759913054</v>
      </c>
      <c r="AA1009" s="39">
        <v>0.47630575115890988</v>
      </c>
      <c r="AB1009" s="39">
        <v>0.46950999844950192</v>
      </c>
      <c r="AC1009" s="39">
        <v>0.48716208157985991</v>
      </c>
      <c r="AD1009" s="39">
        <v>0.47265872373173912</v>
      </c>
      <c r="AE1009" s="39">
        <v>0.47029711334076685</v>
      </c>
      <c r="AF1009" s="40">
        <v>0.46696024466946384</v>
      </c>
    </row>
    <row r="1010" spans="1:32">
      <c r="A1010" s="15">
        <v>1008</v>
      </c>
      <c r="B1010" s="16">
        <v>0</v>
      </c>
      <c r="C1010" s="20">
        <v>0.88</v>
      </c>
      <c r="D1010" s="20">
        <v>0.25930874124763043</v>
      </c>
      <c r="E1010" s="20">
        <v>0.12</v>
      </c>
      <c r="F1010" s="8" t="s">
        <v>434</v>
      </c>
      <c r="G1010" s="24">
        <v>1.899831504791776</v>
      </c>
      <c r="H1010" s="24">
        <v>1.910831044259045</v>
      </c>
      <c r="I1010" s="25">
        <v>1.6578926537592125</v>
      </c>
      <c r="L1010" s="15">
        <v>1008</v>
      </c>
      <c r="M1010" s="16">
        <v>0</v>
      </c>
      <c r="N1010" s="16">
        <v>3</v>
      </c>
      <c r="O1010" s="16">
        <v>13</v>
      </c>
      <c r="P1010" s="16">
        <v>231</v>
      </c>
      <c r="Q1010" s="29">
        <v>24</v>
      </c>
      <c r="R1010" s="20">
        <v>0.47729999999999995</v>
      </c>
      <c r="S1010" s="32">
        <v>11.455199999999998</v>
      </c>
      <c r="T1010" s="35">
        <v>0.70000000000000007</v>
      </c>
      <c r="U1010" s="35">
        <v>0.39</v>
      </c>
      <c r="V1010" s="35">
        <v>2.9166666666666671E-2</v>
      </c>
      <c r="W1010" s="9" t="s">
        <v>152</v>
      </c>
      <c r="X1010" s="15">
        <v>1009</v>
      </c>
      <c r="Y1010" s="39">
        <v>0.49913147332646934</v>
      </c>
      <c r="Z1010" s="39">
        <v>0.48132546536026832</v>
      </c>
      <c r="AA1010" s="39">
        <v>0.49554545227844515</v>
      </c>
      <c r="AB1010" s="39">
        <v>0.48766181386239477</v>
      </c>
      <c r="AC1010" s="39">
        <v>0.49228723907740257</v>
      </c>
      <c r="AD1010" s="39">
        <v>0.47352604552300176</v>
      </c>
      <c r="AE1010" s="39">
        <v>0.48828605218284371</v>
      </c>
      <c r="AF1010" s="40">
        <v>0.48419694305098387</v>
      </c>
    </row>
    <row r="1011" spans="1:32">
      <c r="A1011" s="15">
        <v>1009</v>
      </c>
      <c r="B1011" s="16">
        <v>1</v>
      </c>
      <c r="C1011" s="20">
        <v>0.02</v>
      </c>
      <c r="D1011" s="20">
        <v>0.99835916395484214</v>
      </c>
      <c r="E1011" s="20">
        <v>1</v>
      </c>
      <c r="F1011" s="8" t="s">
        <v>436</v>
      </c>
      <c r="G1011" s="24">
        <v>1.1894948517240458</v>
      </c>
      <c r="H1011" s="24">
        <v>1.196381723288525</v>
      </c>
      <c r="I1011" s="25">
        <v>1.2173048067603114</v>
      </c>
      <c r="L1011" s="15">
        <v>1009</v>
      </c>
      <c r="M1011" s="16">
        <v>0</v>
      </c>
      <c r="N1011" s="16">
        <v>3</v>
      </c>
      <c r="O1011" s="16">
        <v>13</v>
      </c>
      <c r="P1011" s="16">
        <v>232</v>
      </c>
      <c r="Q1011" s="29">
        <v>18</v>
      </c>
      <c r="R1011" s="20">
        <v>0.47729999999999995</v>
      </c>
      <c r="S1011" s="32">
        <v>8.5913999999999984</v>
      </c>
      <c r="T1011" s="35">
        <v>0.74</v>
      </c>
      <c r="U1011" s="35">
        <v>0.42</v>
      </c>
      <c r="V1011" s="35">
        <v>4.1111111111111112E-2</v>
      </c>
      <c r="W1011" s="9" t="s">
        <v>152</v>
      </c>
      <c r="X1011" s="15">
        <v>1010</v>
      </c>
      <c r="Y1011" s="39">
        <v>0.48436097674867967</v>
      </c>
      <c r="Z1011" s="39">
        <v>0.49086662160460842</v>
      </c>
      <c r="AA1011" s="39">
        <v>0.48854030501716539</v>
      </c>
      <c r="AB1011" s="39">
        <v>0.49464528797529739</v>
      </c>
      <c r="AC1011" s="39">
        <v>0.47568316819451789</v>
      </c>
      <c r="AD1011" s="39">
        <v>0.48137984978680498</v>
      </c>
      <c r="AE1011" s="39">
        <v>0.48067120776608419</v>
      </c>
      <c r="AF1011" s="40">
        <v>0.48854153343336471</v>
      </c>
    </row>
    <row r="1012" spans="1:32">
      <c r="A1012" s="15">
        <v>1010</v>
      </c>
      <c r="B1012" s="16">
        <v>1</v>
      </c>
      <c r="C1012" s="20">
        <v>0.92</v>
      </c>
      <c r="D1012" s="20">
        <v>0.20258497911151899</v>
      </c>
      <c r="E1012" s="20">
        <v>0.08</v>
      </c>
      <c r="F1012" s="8" t="s">
        <v>434</v>
      </c>
      <c r="G1012" s="24">
        <v>0.67624039036753714</v>
      </c>
      <c r="H1012" s="24">
        <v>0.68015564961260611</v>
      </c>
      <c r="I1012" s="25">
        <v>0.69205064362131985</v>
      </c>
      <c r="L1012" s="15">
        <v>1010</v>
      </c>
      <c r="M1012" s="16">
        <v>0</v>
      </c>
      <c r="N1012" s="16">
        <v>3</v>
      </c>
      <c r="O1012" s="16">
        <v>13</v>
      </c>
      <c r="P1012" s="16">
        <v>233</v>
      </c>
      <c r="Q1012" s="29">
        <v>27</v>
      </c>
      <c r="R1012" s="20">
        <v>0.47729999999999995</v>
      </c>
      <c r="S1012" s="32">
        <v>12.887099999999998</v>
      </c>
      <c r="T1012" s="35">
        <v>1.71</v>
      </c>
      <c r="U1012" s="35">
        <v>1.28</v>
      </c>
      <c r="V1012" s="35">
        <v>6.3333333333333339E-2</v>
      </c>
      <c r="W1012" s="9" t="s">
        <v>153</v>
      </c>
      <c r="X1012" s="15">
        <v>1011</v>
      </c>
      <c r="Y1012" s="39">
        <v>0.48312604933104364</v>
      </c>
      <c r="Z1012" s="39">
        <v>0.48867775893370946</v>
      </c>
      <c r="AA1012" s="39">
        <v>0.49562279957644023</v>
      </c>
      <c r="AB1012" s="39">
        <v>0.49085182791088533</v>
      </c>
      <c r="AC1012" s="39">
        <v>0.47687174206194477</v>
      </c>
      <c r="AD1012" s="39">
        <v>0.48061761134837083</v>
      </c>
      <c r="AE1012" s="39">
        <v>0.48795266243472929</v>
      </c>
      <c r="AF1012" s="40">
        <v>0.48649803708007522</v>
      </c>
    </row>
    <row r="1013" spans="1:32">
      <c r="A1013" s="15">
        <v>1011</v>
      </c>
      <c r="B1013" s="16">
        <v>0</v>
      </c>
      <c r="C1013" s="20">
        <v>0.93</v>
      </c>
      <c r="D1013" s="20">
        <v>0.18747949848141848</v>
      </c>
      <c r="E1013" s="20">
        <v>7.0000000000000007E-2</v>
      </c>
      <c r="F1013" s="8" t="s">
        <v>434</v>
      </c>
      <c r="G1013" s="24">
        <v>0.72239370296551175</v>
      </c>
      <c r="H1013" s="24">
        <v>0.72657617810956232</v>
      </c>
      <c r="I1013" s="25">
        <v>0.73928300380513656</v>
      </c>
      <c r="L1013" s="15">
        <v>1011</v>
      </c>
      <c r="M1013" s="16">
        <v>0</v>
      </c>
      <c r="N1013" s="16">
        <v>3</v>
      </c>
      <c r="O1013" s="16">
        <v>13</v>
      </c>
      <c r="P1013" s="16">
        <v>234</v>
      </c>
      <c r="Q1013" s="29">
        <v>31</v>
      </c>
      <c r="R1013" s="20">
        <v>0.47729999999999995</v>
      </c>
      <c r="S1013" s="32">
        <v>14.796299999999999</v>
      </c>
      <c r="T1013" s="35">
        <v>0.6</v>
      </c>
      <c r="U1013" s="35">
        <v>0.03</v>
      </c>
      <c r="V1013" s="35">
        <v>1.935483870967742E-2</v>
      </c>
      <c r="W1013" s="9" t="s">
        <v>152</v>
      </c>
      <c r="X1013" s="15">
        <v>1012</v>
      </c>
      <c r="Y1013" s="39">
        <v>0.48228032026869033</v>
      </c>
      <c r="Z1013" s="39">
        <v>0.48431198037405082</v>
      </c>
      <c r="AA1013" s="39">
        <v>0.482096838887139</v>
      </c>
      <c r="AB1013" s="39">
        <v>0.4891229157162626</v>
      </c>
      <c r="AC1013" s="39">
        <v>0.47456979978206504</v>
      </c>
      <c r="AD1013" s="39">
        <v>0.47765659058991489</v>
      </c>
      <c r="AE1013" s="39">
        <v>0.47512695770213859</v>
      </c>
      <c r="AF1013" s="40">
        <v>0.48454569997384939</v>
      </c>
    </row>
    <row r="1014" spans="1:32">
      <c r="A1014" s="15">
        <v>1012</v>
      </c>
      <c r="B1014" s="16">
        <v>1</v>
      </c>
      <c r="C1014" s="20">
        <v>0.47</v>
      </c>
      <c r="D1014" s="20">
        <v>0.59464945828906224</v>
      </c>
      <c r="E1014" s="20">
        <v>0.06</v>
      </c>
      <c r="F1014" s="8" t="s">
        <v>436</v>
      </c>
      <c r="G1014" s="24">
        <v>0.60631705418097159</v>
      </c>
      <c r="H1014" s="24">
        <v>0.60982747515794811</v>
      </c>
      <c r="I1014" s="25">
        <v>0.62049252538209088</v>
      </c>
      <c r="L1014" s="15">
        <v>1012</v>
      </c>
      <c r="M1014" s="16">
        <v>0</v>
      </c>
      <c r="N1014" s="16">
        <v>3</v>
      </c>
      <c r="O1014" s="16">
        <v>13</v>
      </c>
      <c r="P1014" s="16">
        <v>235</v>
      </c>
      <c r="Q1014" s="29">
        <v>31</v>
      </c>
      <c r="R1014" s="20">
        <v>0.47729999999999995</v>
      </c>
      <c r="S1014" s="32">
        <v>14.796299999999999</v>
      </c>
      <c r="T1014" s="35">
        <v>0.64</v>
      </c>
      <c r="U1014" s="35">
        <v>0.12</v>
      </c>
      <c r="V1014" s="35">
        <v>2.0645161290322581E-2</v>
      </c>
      <c r="W1014" s="9" t="s">
        <v>152</v>
      </c>
      <c r="X1014" s="15">
        <v>1013</v>
      </c>
      <c r="Y1014" s="39">
        <v>0.49980309241400084</v>
      </c>
      <c r="Z1014" s="39">
        <v>0.47154589588670986</v>
      </c>
      <c r="AA1014" s="39">
        <v>0.48854001800935598</v>
      </c>
      <c r="AB1014" s="39">
        <v>0.50262674488058856</v>
      </c>
      <c r="AC1014" s="39">
        <v>0.49435951989863919</v>
      </c>
      <c r="AD1014" s="39">
        <v>0.46463787470966045</v>
      </c>
      <c r="AE1014" s="39">
        <v>0.48346045093096346</v>
      </c>
      <c r="AF1014" s="40">
        <v>0.49786562979442706</v>
      </c>
    </row>
    <row r="1015" spans="1:32">
      <c r="A1015" s="15">
        <v>1013</v>
      </c>
      <c r="B1015" s="16">
        <v>1</v>
      </c>
      <c r="C1015" s="20">
        <v>0.21</v>
      </c>
      <c r="D1015" s="20">
        <v>0.85861860331544215</v>
      </c>
      <c r="E1015" s="20">
        <v>0.08</v>
      </c>
      <c r="F1015" s="8" t="s">
        <v>436</v>
      </c>
      <c r="G1015" s="24">
        <v>0.8950090172735452</v>
      </c>
      <c r="H1015" s="24">
        <v>0.90019089102615524</v>
      </c>
      <c r="I1015" s="25">
        <v>0.91593400109449563</v>
      </c>
      <c r="L1015" s="15">
        <v>1013</v>
      </c>
      <c r="M1015" s="16">
        <v>0</v>
      </c>
      <c r="N1015" s="16">
        <v>3</v>
      </c>
      <c r="O1015" s="16">
        <v>13</v>
      </c>
      <c r="P1015" s="16">
        <v>236</v>
      </c>
      <c r="Q1015" s="29">
        <v>25</v>
      </c>
      <c r="R1015" s="20">
        <v>0.47729999999999995</v>
      </c>
      <c r="S1015" s="32">
        <v>11.932499999999999</v>
      </c>
      <c r="T1015" s="35">
        <v>1.23</v>
      </c>
      <c r="U1015" s="35">
        <v>0.93</v>
      </c>
      <c r="V1015" s="35">
        <v>4.9200000000000001E-2</v>
      </c>
      <c r="W1015" s="9" t="s">
        <v>153</v>
      </c>
      <c r="X1015" s="15">
        <v>1014</v>
      </c>
      <c r="Y1015" s="39">
        <v>0.48382911474245394</v>
      </c>
      <c r="Z1015" s="39">
        <v>0.48053381512593563</v>
      </c>
      <c r="AA1015" s="39">
        <v>0.49488554268159218</v>
      </c>
      <c r="AB1015" s="39">
        <v>0.49489295426738261</v>
      </c>
      <c r="AC1015" s="39">
        <v>0.47794513897856961</v>
      </c>
      <c r="AD1015" s="39">
        <v>0.47389891807888984</v>
      </c>
      <c r="AE1015" s="39">
        <v>0.48815304154811467</v>
      </c>
      <c r="AF1015" s="40">
        <v>0.48936355895391359</v>
      </c>
    </row>
    <row r="1016" spans="1:32">
      <c r="A1016" s="15">
        <v>1014</v>
      </c>
      <c r="B1016" s="16">
        <v>0</v>
      </c>
      <c r="C1016" s="20">
        <v>0.89</v>
      </c>
      <c r="D1016" s="20">
        <v>0.24559627500636821</v>
      </c>
      <c r="E1016" s="20">
        <v>0.11</v>
      </c>
      <c r="F1016" s="8" t="s">
        <v>434</v>
      </c>
      <c r="G1016" s="24">
        <v>0.73057397636219035</v>
      </c>
      <c r="H1016" s="24">
        <v>0.73480381320113486</v>
      </c>
      <c r="I1016" s="25">
        <v>0.7476545290050628</v>
      </c>
      <c r="L1016" s="15">
        <v>1014</v>
      </c>
      <c r="M1016" s="16">
        <v>0</v>
      </c>
      <c r="N1016" s="16">
        <v>3</v>
      </c>
      <c r="O1016" s="16">
        <v>13</v>
      </c>
      <c r="P1016" s="16">
        <v>237</v>
      </c>
      <c r="Q1016" s="29">
        <v>34</v>
      </c>
      <c r="R1016" s="20">
        <v>0.47729999999999995</v>
      </c>
      <c r="S1016" s="32">
        <v>16.228199999999998</v>
      </c>
      <c r="T1016" s="35">
        <v>2.36</v>
      </c>
      <c r="U1016" s="35">
        <v>1.97</v>
      </c>
      <c r="V1016" s="35">
        <v>6.9411764705882353E-2</v>
      </c>
      <c r="W1016" s="9" t="s">
        <v>154</v>
      </c>
      <c r="X1016" s="15">
        <v>1015</v>
      </c>
      <c r="Y1016" s="39">
        <v>0.47653218059999358</v>
      </c>
      <c r="Z1016" s="39">
        <v>0.48440547610029355</v>
      </c>
      <c r="AA1016" s="39">
        <v>0.48770138910625327</v>
      </c>
      <c r="AB1016" s="39">
        <v>0.4794994759808448</v>
      </c>
      <c r="AC1016" s="39">
        <v>0.47170191413277729</v>
      </c>
      <c r="AD1016" s="39">
        <v>0.47666486898404614</v>
      </c>
      <c r="AE1016" s="39">
        <v>0.48209195407783301</v>
      </c>
      <c r="AF1016" s="40">
        <v>0.47410920233976067</v>
      </c>
    </row>
    <row r="1017" spans="1:32">
      <c r="A1017" s="15">
        <v>1015</v>
      </c>
      <c r="B1017" s="16">
        <v>0</v>
      </c>
      <c r="C1017" s="20">
        <v>0.95</v>
      </c>
      <c r="D1017" s="20">
        <v>0.15570568692893463</v>
      </c>
      <c r="E1017" s="20">
        <v>0.05</v>
      </c>
      <c r="F1017" s="8" t="s">
        <v>434</v>
      </c>
      <c r="G1017" s="24">
        <v>2.0110749611141188</v>
      </c>
      <c r="H1017" s="24">
        <v>2.0227185717978124</v>
      </c>
      <c r="I1017" s="25">
        <v>1.6578926537592125</v>
      </c>
      <c r="L1017" s="15">
        <v>1015</v>
      </c>
      <c r="M1017" s="16">
        <v>0</v>
      </c>
      <c r="N1017" s="16">
        <v>3</v>
      </c>
      <c r="O1017" s="16">
        <v>13</v>
      </c>
      <c r="P1017" s="16">
        <v>238</v>
      </c>
      <c r="Q1017" s="29">
        <v>21</v>
      </c>
      <c r="R1017" s="20">
        <v>0.47729999999999995</v>
      </c>
      <c r="S1017" s="32">
        <v>10.023299999999999</v>
      </c>
      <c r="T1017" s="35">
        <v>0.60000000000000009</v>
      </c>
      <c r="U1017" s="35">
        <v>0.34</v>
      </c>
      <c r="V1017" s="35">
        <v>2.8571428571428574E-2</v>
      </c>
      <c r="W1017" s="9" t="s">
        <v>152</v>
      </c>
      <c r="X1017" s="15">
        <v>1016</v>
      </c>
      <c r="Y1017" s="39">
        <v>0.49189104907673703</v>
      </c>
      <c r="Z1017" s="39">
        <v>0.47959612598726276</v>
      </c>
      <c r="AA1017" s="39">
        <v>0.48743431671968201</v>
      </c>
      <c r="AB1017" s="39">
        <v>0.48214704708235867</v>
      </c>
      <c r="AC1017" s="39">
        <v>0.48282618038040431</v>
      </c>
      <c r="AD1017" s="39">
        <v>0.47176583672212885</v>
      </c>
      <c r="AE1017" s="39">
        <v>0.47979818492828724</v>
      </c>
      <c r="AF1017" s="40">
        <v>0.47555967150284084</v>
      </c>
    </row>
    <row r="1018" spans="1:32">
      <c r="A1018" s="15">
        <v>1016</v>
      </c>
      <c r="B1018" s="16">
        <v>0</v>
      </c>
      <c r="C1018" s="20">
        <v>0.88</v>
      </c>
      <c r="D1018" s="20">
        <v>0.25930874124763043</v>
      </c>
      <c r="E1018" s="20">
        <v>0.12</v>
      </c>
      <c r="F1018" s="8" t="s">
        <v>434</v>
      </c>
      <c r="G1018" s="24">
        <v>0.7202204003081637</v>
      </c>
      <c r="H1018" s="24">
        <v>0.72439029258457921</v>
      </c>
      <c r="I1018" s="25">
        <v>0.73705889012570336</v>
      </c>
      <c r="L1018" s="15">
        <v>1016</v>
      </c>
      <c r="M1018" s="16">
        <v>0</v>
      </c>
      <c r="N1018" s="16">
        <v>3</v>
      </c>
      <c r="O1018" s="16">
        <v>13</v>
      </c>
      <c r="P1018" s="16">
        <v>239</v>
      </c>
      <c r="Q1018" s="29">
        <v>35</v>
      </c>
      <c r="R1018" s="20">
        <v>0.47729999999999995</v>
      </c>
      <c r="S1018" s="32">
        <v>16.705499999999997</v>
      </c>
      <c r="T1018" s="35">
        <v>0.57000000000000006</v>
      </c>
      <c r="U1018" s="35">
        <v>0.18</v>
      </c>
      <c r="V1018" s="35">
        <v>1.6285714285714289E-2</v>
      </c>
      <c r="W1018" s="9" t="s">
        <v>152</v>
      </c>
      <c r="X1018" s="15">
        <v>1017</v>
      </c>
      <c r="Y1018" s="39">
        <v>0.49539852653278171</v>
      </c>
      <c r="Z1018" s="39">
        <v>0.47694358767906114</v>
      </c>
      <c r="AA1018" s="39">
        <v>0.47880245830619628</v>
      </c>
      <c r="AB1018" s="39">
        <v>0.49383539801924592</v>
      </c>
      <c r="AC1018" s="39">
        <v>0.48561824323274677</v>
      </c>
      <c r="AD1018" s="39">
        <v>0.46822995167292714</v>
      </c>
      <c r="AE1018" s="39">
        <v>0.4730491732178293</v>
      </c>
      <c r="AF1018" s="40">
        <v>0.48929333702727745</v>
      </c>
    </row>
    <row r="1019" spans="1:32">
      <c r="A1019" s="15">
        <v>1017</v>
      </c>
      <c r="B1019" s="16">
        <v>0</v>
      </c>
      <c r="C1019" s="20">
        <v>0.02</v>
      </c>
      <c r="D1019" s="20">
        <v>0.99835916395484214</v>
      </c>
      <c r="E1019" s="20">
        <v>1</v>
      </c>
      <c r="F1019" s="8" t="s">
        <v>436</v>
      </c>
      <c r="G1019" s="24">
        <v>1.042684752662141</v>
      </c>
      <c r="H1019" s="24">
        <v>1.0487216312273715</v>
      </c>
      <c r="I1019" s="25">
        <v>1.0670623412212725</v>
      </c>
      <c r="L1019" s="15">
        <v>1017</v>
      </c>
      <c r="M1019" s="16">
        <v>0</v>
      </c>
      <c r="N1019" s="16">
        <v>3</v>
      </c>
      <c r="O1019" s="16">
        <v>13</v>
      </c>
      <c r="P1019" s="16">
        <v>240</v>
      </c>
      <c r="Q1019" s="29">
        <v>29</v>
      </c>
      <c r="R1019" s="20">
        <v>0.47729999999999995</v>
      </c>
      <c r="S1019" s="32">
        <v>13.841699999999998</v>
      </c>
      <c r="T1019" s="35">
        <v>2.29</v>
      </c>
      <c r="U1019" s="35">
        <v>1.81</v>
      </c>
      <c r="V1019" s="35">
        <v>7.8965517241379318E-2</v>
      </c>
      <c r="W1019" s="9" t="s">
        <v>154</v>
      </c>
      <c r="X1019" s="15">
        <v>1018</v>
      </c>
      <c r="Y1019" s="39">
        <v>0.49130070630341199</v>
      </c>
      <c r="Z1019" s="39">
        <v>0.4885988547064255</v>
      </c>
      <c r="AA1019" s="39">
        <v>0.49992622711646462</v>
      </c>
      <c r="AB1019" s="39">
        <v>0.48262732660653779</v>
      </c>
      <c r="AC1019" s="39">
        <v>0.48255697516949314</v>
      </c>
      <c r="AD1019" s="39">
        <v>0.48226850204281141</v>
      </c>
      <c r="AE1019" s="39">
        <v>0.49076935265796034</v>
      </c>
      <c r="AF1019" s="40">
        <v>0.47520196895874445</v>
      </c>
    </row>
    <row r="1020" spans="1:32">
      <c r="A1020" s="15">
        <v>1018</v>
      </c>
      <c r="B1020" s="16">
        <v>1</v>
      </c>
      <c r="C1020" s="20">
        <v>0.27</v>
      </c>
      <c r="D1020" s="20">
        <v>0.75798570366077478</v>
      </c>
      <c r="E1020" s="20">
        <v>0.5</v>
      </c>
      <c r="F1020" s="8" t="s">
        <v>436</v>
      </c>
      <c r="G1020" s="24">
        <v>1.4125354242582888</v>
      </c>
      <c r="H1020" s="24">
        <v>1.4207136438050521</v>
      </c>
      <c r="I1020" s="25">
        <v>1.4455599863897006</v>
      </c>
      <c r="L1020" s="15">
        <v>1018</v>
      </c>
      <c r="M1020" s="16">
        <v>0</v>
      </c>
      <c r="N1020" s="16">
        <v>3</v>
      </c>
      <c r="O1020" s="16">
        <v>13</v>
      </c>
      <c r="P1020" s="16">
        <v>241</v>
      </c>
      <c r="Q1020" s="29">
        <v>32</v>
      </c>
      <c r="R1020" s="20">
        <v>0.47729999999999995</v>
      </c>
      <c r="S1020" s="32">
        <v>15.273599999999998</v>
      </c>
      <c r="T1020" s="35">
        <v>0.72</v>
      </c>
      <c r="U1020" s="35">
        <v>0.25</v>
      </c>
      <c r="V1020" s="35">
        <v>2.2499999999999999E-2</v>
      </c>
      <c r="W1020" s="9" t="s">
        <v>152</v>
      </c>
      <c r="X1020" s="15">
        <v>1019</v>
      </c>
      <c r="Y1020" s="39">
        <v>0.47675381540644235</v>
      </c>
      <c r="Z1020" s="39">
        <v>0.48937421422250926</v>
      </c>
      <c r="AA1020" s="39">
        <v>0.47369269491334276</v>
      </c>
      <c r="AB1020" s="39">
        <v>0.48849256974274879</v>
      </c>
      <c r="AC1020" s="39">
        <v>0.47145751820068449</v>
      </c>
      <c r="AD1020" s="39">
        <v>0.48187552473138967</v>
      </c>
      <c r="AE1020" s="39">
        <v>0.46947675510365677</v>
      </c>
      <c r="AF1020" s="40">
        <v>0.48427645953008841</v>
      </c>
    </row>
    <row r="1021" spans="1:32">
      <c r="A1021" s="15">
        <v>1019</v>
      </c>
      <c r="B1021" s="16">
        <v>0</v>
      </c>
      <c r="C1021" s="20">
        <v>0.08</v>
      </c>
      <c r="D1021" s="20">
        <v>0.90301874450236763</v>
      </c>
      <c r="E1021" s="20">
        <v>0.37</v>
      </c>
      <c r="F1021" s="8" t="s">
        <v>436</v>
      </c>
      <c r="G1021" s="24">
        <v>0.97467897419439908</v>
      </c>
      <c r="H1021" s="24">
        <v>0.9803221166612589</v>
      </c>
      <c r="I1021" s="25">
        <v>0.99746661249972912</v>
      </c>
      <c r="L1021" s="15">
        <v>1019</v>
      </c>
      <c r="M1021" s="16">
        <v>0</v>
      </c>
      <c r="N1021" s="16">
        <v>3</v>
      </c>
      <c r="O1021" s="16">
        <v>13</v>
      </c>
      <c r="P1021" s="16">
        <v>242</v>
      </c>
      <c r="Q1021" s="29">
        <v>32</v>
      </c>
      <c r="R1021" s="20">
        <v>0.47729999999999995</v>
      </c>
      <c r="S1021" s="32">
        <v>15.273599999999998</v>
      </c>
      <c r="T1021" s="35">
        <v>1.51</v>
      </c>
      <c r="U1021" s="35">
        <v>0.96</v>
      </c>
      <c r="V1021" s="35">
        <v>4.71875E-2</v>
      </c>
      <c r="W1021" s="9" t="s">
        <v>153</v>
      </c>
      <c r="X1021" s="15">
        <v>1020</v>
      </c>
      <c r="Y1021" s="39">
        <v>0.49529764770613294</v>
      </c>
      <c r="Z1021" s="39">
        <v>0.4840010873489784</v>
      </c>
      <c r="AA1021" s="39">
        <v>0.48647122950109645</v>
      </c>
      <c r="AB1021" s="39">
        <v>0.495487140065964</v>
      </c>
      <c r="AC1021" s="39">
        <v>0.4880020766368165</v>
      </c>
      <c r="AD1021" s="39">
        <v>0.47576276178156768</v>
      </c>
      <c r="AE1021" s="39">
        <v>0.47548670068543314</v>
      </c>
      <c r="AF1021" s="40">
        <v>0.49298329372268201</v>
      </c>
    </row>
    <row r="1022" spans="1:32">
      <c r="A1022" s="15">
        <v>1020</v>
      </c>
      <c r="B1022" s="16">
        <v>1</v>
      </c>
      <c r="C1022" s="20">
        <v>0.88</v>
      </c>
      <c r="D1022" s="20">
        <v>0.25930874124763043</v>
      </c>
      <c r="E1022" s="20">
        <v>0.12</v>
      </c>
      <c r="F1022" s="8" t="s">
        <v>434</v>
      </c>
      <c r="G1022" s="24">
        <v>2.027098540487879</v>
      </c>
      <c r="H1022" s="24">
        <v>2.0388349236060144</v>
      </c>
      <c r="I1022" s="25">
        <v>1.6578926537592125</v>
      </c>
      <c r="L1022" s="15">
        <v>1020</v>
      </c>
      <c r="M1022" s="16">
        <v>0</v>
      </c>
      <c r="N1022" s="16">
        <v>3</v>
      </c>
      <c r="O1022" s="16">
        <v>13</v>
      </c>
      <c r="P1022" s="16">
        <v>243</v>
      </c>
      <c r="Q1022" s="29">
        <v>50</v>
      </c>
      <c r="R1022" s="20">
        <v>0.47729999999999995</v>
      </c>
      <c r="S1022" s="32">
        <v>23.864999999999998</v>
      </c>
      <c r="T1022" s="35">
        <v>2.2400000000000002</v>
      </c>
      <c r="U1022" s="35">
        <v>1.63</v>
      </c>
      <c r="V1022" s="35">
        <v>4.4800000000000006E-2</v>
      </c>
      <c r="W1022" s="9" t="s">
        <v>154</v>
      </c>
      <c r="X1022" s="15">
        <v>1021</v>
      </c>
      <c r="Y1022" s="39">
        <v>0.47297553990633484</v>
      </c>
      <c r="Z1022" s="39">
        <v>0.47701116317988418</v>
      </c>
      <c r="AA1022" s="39">
        <v>0.49789235065205756</v>
      </c>
      <c r="AB1022" s="39">
        <v>0.47068111850865024</v>
      </c>
      <c r="AC1022" s="39">
        <v>0.46580552230434313</v>
      </c>
      <c r="AD1022" s="39">
        <v>0.46944232409295539</v>
      </c>
      <c r="AE1022" s="39">
        <v>0.48702386313539353</v>
      </c>
      <c r="AF1022" s="40">
        <v>0.46713571316764935</v>
      </c>
    </row>
    <row r="1023" spans="1:32">
      <c r="A1023" s="15">
        <v>1021</v>
      </c>
      <c r="B1023" s="16">
        <v>0</v>
      </c>
      <c r="C1023" s="20">
        <v>0.02</v>
      </c>
      <c r="D1023" s="20">
        <v>0.99835916395484214</v>
      </c>
      <c r="E1023" s="20">
        <v>1</v>
      </c>
      <c r="F1023" s="8" t="s">
        <v>436</v>
      </c>
      <c r="G1023" s="24">
        <v>1.0519935088949217</v>
      </c>
      <c r="H1023" s="24">
        <v>1.0580842827826138</v>
      </c>
      <c r="I1023" s="25">
        <v>1.0765887327737034</v>
      </c>
      <c r="L1023" s="15">
        <v>1021</v>
      </c>
      <c r="M1023" s="16">
        <v>0</v>
      </c>
      <c r="N1023" s="16">
        <v>3</v>
      </c>
      <c r="O1023" s="16">
        <v>13</v>
      </c>
      <c r="P1023" s="16">
        <v>244</v>
      </c>
      <c r="Q1023" s="29">
        <v>41</v>
      </c>
      <c r="R1023" s="20">
        <v>0.47729999999999995</v>
      </c>
      <c r="S1023" s="32">
        <v>19.569299999999998</v>
      </c>
      <c r="T1023" s="35">
        <v>0.77</v>
      </c>
      <c r="U1023" s="35">
        <v>0.22</v>
      </c>
      <c r="V1023" s="35">
        <v>1.8780487804878048E-2</v>
      </c>
      <c r="W1023" s="9" t="s">
        <v>152</v>
      </c>
      <c r="X1023" s="15">
        <v>1022</v>
      </c>
      <c r="Y1023" s="39">
        <v>0.48550739064023701</v>
      </c>
      <c r="Z1023" s="39">
        <v>0.48384224952601357</v>
      </c>
      <c r="AA1023" s="39">
        <v>0.49726306193716224</v>
      </c>
      <c r="AB1023" s="39">
        <v>0.48935769819263486</v>
      </c>
      <c r="AC1023" s="39">
        <v>0.48099806003327528</v>
      </c>
      <c r="AD1023" s="39">
        <v>0.47675801704041387</v>
      </c>
      <c r="AE1023" s="39">
        <v>0.49091922881878708</v>
      </c>
      <c r="AF1023" s="40">
        <v>0.48678253432224683</v>
      </c>
    </row>
    <row r="1024" spans="1:32">
      <c r="A1024" s="15">
        <v>1022</v>
      </c>
      <c r="B1024" s="16">
        <v>0</v>
      </c>
      <c r="C1024" s="20">
        <v>0.02</v>
      </c>
      <c r="D1024" s="20">
        <v>0.99756714174924133</v>
      </c>
      <c r="E1024" s="20">
        <v>1</v>
      </c>
      <c r="F1024" s="8" t="s">
        <v>436</v>
      </c>
      <c r="G1024" s="24">
        <v>1.0472113758115915</v>
      </c>
      <c r="H1024" s="24">
        <v>1.0532744623694046</v>
      </c>
      <c r="I1024" s="25">
        <v>1.0716947951660978</v>
      </c>
      <c r="L1024" s="15">
        <v>1022</v>
      </c>
      <c r="M1024" s="16">
        <v>0</v>
      </c>
      <c r="N1024" s="16">
        <v>3</v>
      </c>
      <c r="O1024" s="16">
        <v>13</v>
      </c>
      <c r="P1024" s="16">
        <v>245</v>
      </c>
      <c r="Q1024" s="29">
        <v>26</v>
      </c>
      <c r="R1024" s="20">
        <v>0.47729999999999995</v>
      </c>
      <c r="S1024" s="32">
        <v>12.409799999999999</v>
      </c>
      <c r="T1024" s="35">
        <v>2.68</v>
      </c>
      <c r="U1024" s="35">
        <v>2.33</v>
      </c>
      <c r="V1024" s="35">
        <v>0.10307692307692308</v>
      </c>
      <c r="W1024" s="9" t="s">
        <v>154</v>
      </c>
      <c r="X1024" s="15">
        <v>1023</v>
      </c>
      <c r="Y1024" s="39">
        <v>0.49588042477944977</v>
      </c>
      <c r="Z1024" s="39">
        <v>0.50473772898920954</v>
      </c>
      <c r="AA1024" s="39">
        <v>0.47763770585454651</v>
      </c>
      <c r="AB1024" s="39">
        <v>0.49014165345065847</v>
      </c>
      <c r="AC1024" s="39">
        <v>0.48780357000346553</v>
      </c>
      <c r="AD1024" s="39">
        <v>0.49610509521327556</v>
      </c>
      <c r="AE1024" s="39">
        <v>0.47047579199350009</v>
      </c>
      <c r="AF1024" s="40">
        <v>0.4849596857882163</v>
      </c>
    </row>
    <row r="1025" spans="1:32">
      <c r="A1025" s="15">
        <v>1023</v>
      </c>
      <c r="B1025" s="16">
        <v>0</v>
      </c>
      <c r="C1025" s="20">
        <v>0.94</v>
      </c>
      <c r="D1025" s="20">
        <v>0.17188516685452584</v>
      </c>
      <c r="E1025" s="20">
        <v>0.06</v>
      </c>
      <c r="F1025" s="8" t="s">
        <v>434</v>
      </c>
      <c r="G1025" s="24">
        <v>0.54304947344837851</v>
      </c>
      <c r="H1025" s="24">
        <v>0.54619359128241229</v>
      </c>
      <c r="I1025" s="25">
        <v>0.55574577172758344</v>
      </c>
      <c r="L1025" s="15">
        <v>1023</v>
      </c>
      <c r="M1025" s="16">
        <v>0</v>
      </c>
      <c r="N1025" s="16">
        <v>3</v>
      </c>
      <c r="O1025" s="16">
        <v>13</v>
      </c>
      <c r="P1025" s="16">
        <v>246</v>
      </c>
      <c r="Q1025" s="29">
        <v>27</v>
      </c>
      <c r="R1025" s="20">
        <v>0.47729999999999995</v>
      </c>
      <c r="S1025" s="32">
        <v>12.887099999999998</v>
      </c>
      <c r="T1025" s="35">
        <v>0.43</v>
      </c>
      <c r="U1025" s="35">
        <v>0</v>
      </c>
      <c r="V1025" s="35">
        <v>1.5925925925925927E-2</v>
      </c>
      <c r="W1025" s="9" t="s">
        <v>152</v>
      </c>
      <c r="X1025" s="15">
        <v>1024</v>
      </c>
      <c r="Y1025" s="39">
        <v>0.4954865865441207</v>
      </c>
      <c r="Z1025" s="39">
        <v>0.48815707630287336</v>
      </c>
      <c r="AA1025" s="39">
        <v>0.46577226876424549</v>
      </c>
      <c r="AB1025" s="39">
        <v>0.49091142001311261</v>
      </c>
      <c r="AC1025" s="39">
        <v>0.48634270821618936</v>
      </c>
      <c r="AD1025" s="39">
        <v>0.48185518782468145</v>
      </c>
      <c r="AE1025" s="39">
        <v>0.46025442562104468</v>
      </c>
      <c r="AF1025" s="40">
        <v>0.48876249730194232</v>
      </c>
    </row>
    <row r="1026" spans="1:32">
      <c r="A1026" s="15">
        <v>1024</v>
      </c>
      <c r="B1026" s="16">
        <v>1</v>
      </c>
      <c r="C1026" s="20">
        <v>0.02</v>
      </c>
      <c r="D1026" s="20">
        <v>0.99917029198757767</v>
      </c>
      <c r="E1026" s="20">
        <v>1</v>
      </c>
      <c r="F1026" s="8" t="s">
        <v>436</v>
      </c>
      <c r="G1026" s="24">
        <v>1.0278220273232903</v>
      </c>
      <c r="H1026" s="24">
        <v>1.033772854502625</v>
      </c>
      <c r="I1026" s="25">
        <v>1.0518521307942847</v>
      </c>
      <c r="L1026" s="15">
        <v>1024</v>
      </c>
      <c r="M1026" s="16">
        <v>0</v>
      </c>
      <c r="N1026" s="16">
        <v>3</v>
      </c>
      <c r="O1026" s="16">
        <v>14</v>
      </c>
      <c r="P1026" s="16">
        <v>247</v>
      </c>
      <c r="Q1026" s="29">
        <v>34</v>
      </c>
      <c r="R1026" s="20">
        <v>0.47729999999999995</v>
      </c>
      <c r="S1026" s="32">
        <v>16.228199999999998</v>
      </c>
      <c r="T1026" s="35">
        <v>0.72</v>
      </c>
      <c r="U1026" s="35">
        <v>0.19</v>
      </c>
      <c r="V1026" s="35">
        <v>2.1176470588235293E-2</v>
      </c>
      <c r="W1026" s="9" t="s">
        <v>152</v>
      </c>
      <c r="X1026" s="15">
        <v>1025</v>
      </c>
      <c r="Y1026" s="39">
        <v>0.48690832724983207</v>
      </c>
      <c r="Z1026" s="39">
        <v>0.49233810179452236</v>
      </c>
      <c r="AA1026" s="39">
        <v>0.48409995863072292</v>
      </c>
      <c r="AB1026" s="39">
        <v>0.48127580296090261</v>
      </c>
      <c r="AC1026" s="39">
        <v>0.48148939404271635</v>
      </c>
      <c r="AD1026" s="39">
        <v>0.48716037562052911</v>
      </c>
      <c r="AE1026" s="39">
        <v>0.47429630236425691</v>
      </c>
      <c r="AF1026" s="40">
        <v>0.47415104041780159</v>
      </c>
    </row>
    <row r="1027" spans="1:32">
      <c r="A1027" s="15">
        <v>1025</v>
      </c>
      <c r="B1027" s="16">
        <v>0</v>
      </c>
      <c r="C1027" s="20">
        <v>0.02</v>
      </c>
      <c r="D1027" s="20">
        <v>0.99917029198757767</v>
      </c>
      <c r="E1027" s="20">
        <v>1</v>
      </c>
      <c r="F1027" s="8" t="s">
        <v>436</v>
      </c>
      <c r="G1027" s="24">
        <v>0.98689771513745927</v>
      </c>
      <c r="H1027" s="24">
        <v>0.99261160099545909</v>
      </c>
      <c r="I1027" s="25">
        <v>1.009971023141766</v>
      </c>
      <c r="L1027" s="15">
        <v>1025</v>
      </c>
      <c r="M1027" s="16">
        <v>0</v>
      </c>
      <c r="N1027" s="16">
        <v>3</v>
      </c>
      <c r="O1027" s="16">
        <v>14</v>
      </c>
      <c r="P1027" s="16">
        <v>248</v>
      </c>
      <c r="Q1027" s="29">
        <v>37</v>
      </c>
      <c r="R1027" s="20">
        <v>0.47729999999999995</v>
      </c>
      <c r="S1027" s="32">
        <v>17.660099999999996</v>
      </c>
      <c r="T1027" s="35">
        <v>0.79</v>
      </c>
      <c r="U1027" s="35">
        <v>0.19</v>
      </c>
      <c r="V1027" s="35">
        <v>2.1351351351351352E-2</v>
      </c>
      <c r="W1027" s="9" t="s">
        <v>152</v>
      </c>
      <c r="X1027" s="15">
        <v>1026</v>
      </c>
      <c r="Y1027" s="39">
        <v>0.48675796069432514</v>
      </c>
      <c r="Z1027" s="39">
        <v>0.48319692783638407</v>
      </c>
      <c r="AA1027" s="39">
        <v>0.4958437331225754</v>
      </c>
      <c r="AB1027" s="39">
        <v>0.48328159349372846</v>
      </c>
      <c r="AC1027" s="39">
        <v>0.47984631516896153</v>
      </c>
      <c r="AD1027" s="39">
        <v>0.47545744164071113</v>
      </c>
      <c r="AE1027" s="39">
        <v>0.48730133794972791</v>
      </c>
      <c r="AF1027" s="40">
        <v>0.47896941401079118</v>
      </c>
    </row>
    <row r="1028" spans="1:32">
      <c r="A1028" s="15">
        <v>1026</v>
      </c>
      <c r="B1028" s="16">
        <v>0</v>
      </c>
      <c r="C1028" s="20">
        <v>0.93</v>
      </c>
      <c r="D1028" s="20">
        <v>0.18747949848141848</v>
      </c>
      <c r="E1028" s="20">
        <v>7.0000000000000007E-2</v>
      </c>
      <c r="F1028" s="8" t="s">
        <v>434</v>
      </c>
      <c r="G1028" s="24">
        <v>1.1903202876770078</v>
      </c>
      <c r="H1028" s="24">
        <v>1.1972119383049562</v>
      </c>
      <c r="I1028" s="25">
        <v>1.2181495411042702</v>
      </c>
      <c r="L1028" s="15">
        <v>1026</v>
      </c>
      <c r="M1028" s="16">
        <v>0</v>
      </c>
      <c r="N1028" s="16">
        <v>3</v>
      </c>
      <c r="O1028" s="16">
        <v>14</v>
      </c>
      <c r="P1028" s="16">
        <v>249</v>
      </c>
      <c r="Q1028" s="29">
        <v>29</v>
      </c>
      <c r="R1028" s="20">
        <v>0.47729999999999995</v>
      </c>
      <c r="S1028" s="32">
        <v>13.841699999999998</v>
      </c>
      <c r="T1028" s="35">
        <v>0.38</v>
      </c>
      <c r="U1028" s="35">
        <v>0.05</v>
      </c>
      <c r="V1028" s="35">
        <v>1.3103448275862069E-2</v>
      </c>
      <c r="W1028" s="9" t="s">
        <v>152</v>
      </c>
      <c r="X1028" s="15">
        <v>1027</v>
      </c>
      <c r="Y1028" s="39">
        <v>0.47679256444232671</v>
      </c>
      <c r="Z1028" s="39">
        <v>0.48110176275403865</v>
      </c>
      <c r="AA1028" s="39">
        <v>0.47813008350017244</v>
      </c>
      <c r="AB1028" s="39">
        <v>0.490870517758487</v>
      </c>
      <c r="AC1028" s="39">
        <v>0.4711149407853506</v>
      </c>
      <c r="AD1028" s="39">
        <v>0.47349008338350573</v>
      </c>
      <c r="AE1028" s="39">
        <v>0.47084288402804259</v>
      </c>
      <c r="AF1028" s="40">
        <v>0.48585491318299917</v>
      </c>
    </row>
    <row r="1029" spans="1:32">
      <c r="A1029" s="15">
        <v>1027</v>
      </c>
      <c r="B1029" s="16">
        <v>0</v>
      </c>
      <c r="C1029" s="20">
        <v>0.05</v>
      </c>
      <c r="D1029" s="20">
        <v>0.96459809181508638</v>
      </c>
      <c r="E1029" s="20">
        <v>0.51</v>
      </c>
      <c r="F1029" s="8" t="s">
        <v>436</v>
      </c>
      <c r="G1029" s="24">
        <v>0.98002071972804916</v>
      </c>
      <c r="H1029" s="24">
        <v>0.98569478953803036</v>
      </c>
      <c r="I1029" s="25">
        <v>1.0029332460922813</v>
      </c>
      <c r="L1029" s="15">
        <v>1027</v>
      </c>
      <c r="M1029" s="16">
        <v>0</v>
      </c>
      <c r="N1029" s="16">
        <v>3</v>
      </c>
      <c r="O1029" s="16">
        <v>14</v>
      </c>
      <c r="P1029" s="16">
        <v>250</v>
      </c>
      <c r="Q1029" s="29">
        <v>37</v>
      </c>
      <c r="R1029" s="20">
        <v>0.47729999999999995</v>
      </c>
      <c r="S1029" s="32">
        <v>17.660099999999996</v>
      </c>
      <c r="T1029" s="35">
        <v>0.52</v>
      </c>
      <c r="U1029" s="35">
        <v>0.01</v>
      </c>
      <c r="V1029" s="35">
        <v>1.4054054054054054E-2</v>
      </c>
      <c r="W1029" s="9" t="s">
        <v>152</v>
      </c>
      <c r="X1029" s="15">
        <v>1028</v>
      </c>
      <c r="Y1029" s="39">
        <v>0.49688882828959108</v>
      </c>
      <c r="Z1029" s="39">
        <v>0.49079204227624224</v>
      </c>
      <c r="AA1029" s="39">
        <v>0.49210284684962469</v>
      </c>
      <c r="AB1029" s="39">
        <v>0.47939429060525757</v>
      </c>
      <c r="AC1029" s="39">
        <v>0.48873881942513042</v>
      </c>
      <c r="AD1029" s="39">
        <v>0.48370690082960838</v>
      </c>
      <c r="AE1029" s="39">
        <v>0.48655219006071249</v>
      </c>
      <c r="AF1029" s="40">
        <v>0.47573738314563435</v>
      </c>
    </row>
    <row r="1030" spans="1:32">
      <c r="A1030" s="15">
        <v>1028</v>
      </c>
      <c r="B1030" s="16">
        <v>0</v>
      </c>
      <c r="C1030" s="20">
        <v>0.02</v>
      </c>
      <c r="D1030" s="20">
        <v>0.99679477127711513</v>
      </c>
      <c r="E1030" s="20">
        <v>1</v>
      </c>
      <c r="F1030" s="8" t="s">
        <v>436</v>
      </c>
      <c r="G1030" s="24">
        <v>1.014361649849812</v>
      </c>
      <c r="H1030" s="24">
        <v>1.0202345448794321</v>
      </c>
      <c r="I1030" s="25">
        <v>1.0380770546133964</v>
      </c>
      <c r="L1030" s="15">
        <v>1028</v>
      </c>
      <c r="M1030" s="16">
        <v>0</v>
      </c>
      <c r="N1030" s="16">
        <v>3</v>
      </c>
      <c r="O1030" s="16">
        <v>14</v>
      </c>
      <c r="P1030" s="16">
        <v>251</v>
      </c>
      <c r="Q1030" s="29">
        <v>26</v>
      </c>
      <c r="R1030" s="20">
        <v>0.47729999999999995</v>
      </c>
      <c r="S1030" s="32">
        <v>12.409799999999999</v>
      </c>
      <c r="T1030" s="35">
        <v>0.66</v>
      </c>
      <c r="U1030" s="35">
        <v>0.28000000000000003</v>
      </c>
      <c r="V1030" s="35">
        <v>2.5384615384615387E-2</v>
      </c>
      <c r="W1030" s="9" t="s">
        <v>152</v>
      </c>
      <c r="X1030" s="15">
        <v>1029</v>
      </c>
      <c r="Y1030" s="39">
        <v>0.48211661673018791</v>
      </c>
      <c r="Z1030" s="39">
        <v>0.48184002075636956</v>
      </c>
      <c r="AA1030" s="39">
        <v>0.47668040586719873</v>
      </c>
      <c r="AB1030" s="39">
        <v>0.48889331378388678</v>
      </c>
      <c r="AC1030" s="39">
        <v>0.4760126607722539</v>
      </c>
      <c r="AD1030" s="39">
        <v>0.47323899394122043</v>
      </c>
      <c r="AE1030" s="39">
        <v>0.46986414221006934</v>
      </c>
      <c r="AF1030" s="40">
        <v>0.48899329055772289</v>
      </c>
    </row>
    <row r="1031" spans="1:32">
      <c r="A1031" s="15">
        <v>1029</v>
      </c>
      <c r="B1031" s="16">
        <v>0</v>
      </c>
      <c r="C1031" s="20">
        <v>0.06</v>
      </c>
      <c r="D1031" s="20">
        <v>0.95477130555408118</v>
      </c>
      <c r="E1031" s="20">
        <v>0.45</v>
      </c>
      <c r="F1031" s="8" t="s">
        <v>436</v>
      </c>
      <c r="G1031" s="24">
        <v>0.98996114287758719</v>
      </c>
      <c r="H1031" s="24">
        <v>0.99569276520024064</v>
      </c>
      <c r="I1031" s="25">
        <v>1.0131060727031957</v>
      </c>
      <c r="L1031" s="15">
        <v>1029</v>
      </c>
      <c r="M1031" s="16">
        <v>0</v>
      </c>
      <c r="N1031" s="16">
        <v>3</v>
      </c>
      <c r="O1031" s="16">
        <v>14</v>
      </c>
      <c r="P1031" s="16">
        <v>252</v>
      </c>
      <c r="Q1031" s="29">
        <v>33</v>
      </c>
      <c r="R1031" s="20">
        <v>0.47729999999999995</v>
      </c>
      <c r="S1031" s="32">
        <v>15.750899999999998</v>
      </c>
      <c r="T1031" s="35">
        <v>0.62</v>
      </c>
      <c r="U1031" s="35">
        <v>0.05</v>
      </c>
      <c r="V1031" s="35">
        <v>1.8787878787878787E-2</v>
      </c>
      <c r="W1031" s="9" t="s">
        <v>152</v>
      </c>
      <c r="X1031" s="15">
        <v>1030</v>
      </c>
      <c r="Y1031" s="39">
        <v>0.47531213111002973</v>
      </c>
      <c r="Z1031" s="39">
        <v>0.49398993670047614</v>
      </c>
      <c r="AA1031" s="39">
        <v>0.47623672314974547</v>
      </c>
      <c r="AB1031" s="39">
        <v>0.49520439998590376</v>
      </c>
      <c r="AC1031" s="39">
        <v>0.47011824290336901</v>
      </c>
      <c r="AD1031" s="39">
        <v>0.48876040160358869</v>
      </c>
      <c r="AE1031" s="39">
        <v>0.46997221765091785</v>
      </c>
      <c r="AF1031" s="40">
        <v>0.48882785742935791</v>
      </c>
    </row>
    <row r="1032" spans="1:32">
      <c r="A1032" s="15">
        <v>1030</v>
      </c>
      <c r="B1032" s="16">
        <v>0</v>
      </c>
      <c r="C1032" s="20">
        <v>0.01</v>
      </c>
      <c r="D1032" s="20">
        <v>0.99999999999999978</v>
      </c>
      <c r="E1032" s="20">
        <v>1</v>
      </c>
      <c r="F1032" s="8" t="s">
        <v>436</v>
      </c>
      <c r="G1032" s="24">
        <v>1.0616388026864025</v>
      </c>
      <c r="H1032" s="24">
        <v>1.0677854203631176</v>
      </c>
      <c r="I1032" s="25">
        <v>1.0864595300099984</v>
      </c>
      <c r="L1032" s="15">
        <v>1030</v>
      </c>
      <c r="M1032" s="16">
        <v>0</v>
      </c>
      <c r="N1032" s="16">
        <v>3</v>
      </c>
      <c r="O1032" s="16">
        <v>14</v>
      </c>
      <c r="P1032" s="16">
        <v>253</v>
      </c>
      <c r="Q1032" s="29">
        <v>32</v>
      </c>
      <c r="R1032" s="20">
        <v>0.47729999999999995</v>
      </c>
      <c r="S1032" s="32">
        <v>15.273599999999998</v>
      </c>
      <c r="T1032" s="35">
        <v>0.91</v>
      </c>
      <c r="U1032" s="35">
        <v>0.38</v>
      </c>
      <c r="V1032" s="35">
        <v>2.8437500000000001E-2</v>
      </c>
      <c r="W1032" s="9" t="s">
        <v>152</v>
      </c>
      <c r="X1032" s="15">
        <v>1031</v>
      </c>
      <c r="Y1032" s="39">
        <v>0.49064952335264039</v>
      </c>
      <c r="Z1032" s="39">
        <v>0.48115921420042784</v>
      </c>
      <c r="AA1032" s="39">
        <v>0.48894698931794689</v>
      </c>
      <c r="AB1032" s="39">
        <v>0.4831040844501453</v>
      </c>
      <c r="AC1032" s="39">
        <v>0.48185462218980685</v>
      </c>
      <c r="AD1032" s="39">
        <v>0.47613074156715396</v>
      </c>
      <c r="AE1032" s="39">
        <v>0.48104048745973516</v>
      </c>
      <c r="AF1032" s="40">
        <v>0.4808242036894449</v>
      </c>
    </row>
    <row r="1033" spans="1:32">
      <c r="A1033" s="15">
        <v>1031</v>
      </c>
      <c r="B1033" s="16">
        <v>0</v>
      </c>
      <c r="C1033" s="20">
        <v>0.33</v>
      </c>
      <c r="D1033" s="20">
        <v>0.67390519647797009</v>
      </c>
      <c r="E1033" s="20">
        <v>0.09</v>
      </c>
      <c r="F1033" s="8" t="s">
        <v>436</v>
      </c>
      <c r="G1033" s="24">
        <v>0.90979567463648503</v>
      </c>
      <c r="H1033" s="24">
        <v>0.91506315936082727</v>
      </c>
      <c r="I1033" s="25">
        <v>0.93106636510408813</v>
      </c>
      <c r="L1033" s="15">
        <v>1031</v>
      </c>
      <c r="M1033" s="16">
        <v>0</v>
      </c>
      <c r="N1033" s="16">
        <v>3</v>
      </c>
      <c r="O1033" s="16">
        <v>14</v>
      </c>
      <c r="P1033" s="16">
        <v>254</v>
      </c>
      <c r="Q1033" s="29">
        <v>33</v>
      </c>
      <c r="R1033" s="20">
        <v>0.47729999999999995</v>
      </c>
      <c r="S1033" s="32">
        <v>15.750899999999998</v>
      </c>
      <c r="T1033" s="35">
        <v>0.54</v>
      </c>
      <c r="U1033" s="35">
        <v>0.08</v>
      </c>
      <c r="V1033" s="35">
        <v>1.6363636363636365E-2</v>
      </c>
      <c r="W1033" s="9" t="s">
        <v>152</v>
      </c>
      <c r="X1033" s="15">
        <v>1032</v>
      </c>
      <c r="Y1033" s="39">
        <v>0.47739228716846949</v>
      </c>
      <c r="Z1033" s="39">
        <v>0.47272936844113883</v>
      </c>
      <c r="AA1033" s="39">
        <v>0.48009179895218368</v>
      </c>
      <c r="AB1033" s="39">
        <v>0.48606146779167225</v>
      </c>
      <c r="AC1033" s="39">
        <v>0.47128533498538849</v>
      </c>
      <c r="AD1033" s="39">
        <v>0.47051692927041255</v>
      </c>
      <c r="AE1033" s="39">
        <v>0.47221754510786573</v>
      </c>
      <c r="AF1033" s="40">
        <v>0.48048903921712444</v>
      </c>
    </row>
    <row r="1034" spans="1:32">
      <c r="A1034" s="15">
        <v>1032</v>
      </c>
      <c r="B1034" s="16">
        <v>0</v>
      </c>
      <c r="C1034" s="20">
        <v>0.1</v>
      </c>
      <c r="D1034" s="20">
        <v>0.92700141592651841</v>
      </c>
      <c r="E1034" s="20">
        <v>0.1</v>
      </c>
      <c r="F1034" s="8" t="s">
        <v>436</v>
      </c>
      <c r="G1034" s="24">
        <v>0.98230884882870351</v>
      </c>
      <c r="H1034" s="24">
        <v>0.98799616632211629</v>
      </c>
      <c r="I1034" s="25">
        <v>1.0052748708153121</v>
      </c>
      <c r="L1034" s="15">
        <v>1032</v>
      </c>
      <c r="M1034" s="16">
        <v>0</v>
      </c>
      <c r="N1034" s="16">
        <v>3</v>
      </c>
      <c r="O1034" s="16">
        <v>14</v>
      </c>
      <c r="P1034" s="16">
        <v>255</v>
      </c>
      <c r="Q1034" s="29">
        <v>13</v>
      </c>
      <c r="R1034" s="20">
        <v>0.47729999999999995</v>
      </c>
      <c r="S1034" s="32">
        <v>6.2048999999999994</v>
      </c>
      <c r="T1034" s="35">
        <v>0.19</v>
      </c>
      <c r="U1034" s="35">
        <v>0.05</v>
      </c>
      <c r="V1034" s="35">
        <v>1.4615384615384615E-2</v>
      </c>
      <c r="W1034" s="9" t="s">
        <v>152</v>
      </c>
      <c r="X1034" s="15">
        <v>1033</v>
      </c>
      <c r="Y1034" s="39">
        <v>0.48555540593135621</v>
      </c>
      <c r="Z1034" s="39">
        <v>0.48616391605230624</v>
      </c>
      <c r="AA1034" s="39">
        <v>0.47368169493280043</v>
      </c>
      <c r="AB1034" s="39">
        <v>0.47770828033090634</v>
      </c>
      <c r="AC1034" s="39">
        <v>0.48041925014646164</v>
      </c>
      <c r="AD1034" s="39">
        <v>0.47997780624459163</v>
      </c>
      <c r="AE1034" s="39">
        <v>0.47079244491650174</v>
      </c>
      <c r="AF1034" s="40">
        <v>0.47113160316678315</v>
      </c>
    </row>
    <row r="1035" spans="1:32">
      <c r="A1035" s="15">
        <v>1033</v>
      </c>
      <c r="B1035" s="16">
        <v>1</v>
      </c>
      <c r="C1035" s="20">
        <v>0.02</v>
      </c>
      <c r="D1035" s="20">
        <v>0.99756714174924133</v>
      </c>
      <c r="E1035" s="20">
        <v>1</v>
      </c>
      <c r="F1035" s="8" t="s">
        <v>436</v>
      </c>
      <c r="G1035" s="24">
        <v>1.0961328909329848</v>
      </c>
      <c r="H1035" s="24">
        <v>1.1024792205757867</v>
      </c>
      <c r="I1035" s="25">
        <v>1.121760077436933</v>
      </c>
      <c r="L1035" s="15">
        <v>1033</v>
      </c>
      <c r="M1035" s="16">
        <v>0</v>
      </c>
      <c r="N1035" s="16">
        <v>3</v>
      </c>
      <c r="O1035" s="16">
        <v>15</v>
      </c>
      <c r="P1035" s="16">
        <v>256</v>
      </c>
      <c r="Q1035" s="29">
        <v>17</v>
      </c>
      <c r="R1035" s="20">
        <v>0.47729999999999995</v>
      </c>
      <c r="S1035" s="32">
        <v>8.1140999999999988</v>
      </c>
      <c r="T1035" s="35">
        <v>0.24</v>
      </c>
      <c r="U1035" s="35">
        <v>0</v>
      </c>
      <c r="V1035" s="35">
        <v>1.4117647058823528E-2</v>
      </c>
      <c r="W1035" s="9" t="s">
        <v>152</v>
      </c>
      <c r="X1035" s="15">
        <v>1034</v>
      </c>
      <c r="Y1035" s="39">
        <v>0.49016898097782902</v>
      </c>
      <c r="Z1035" s="39">
        <v>0.48427893421066875</v>
      </c>
      <c r="AA1035" s="39">
        <v>0.47089190486557098</v>
      </c>
      <c r="AB1035" s="39">
        <v>0.49176114424309919</v>
      </c>
      <c r="AC1035" s="39">
        <v>0.48324881710100182</v>
      </c>
      <c r="AD1035" s="39">
        <v>0.47520500263894061</v>
      </c>
      <c r="AE1035" s="39">
        <v>0.46466351675016648</v>
      </c>
      <c r="AF1035" s="40">
        <v>0.48880018707235523</v>
      </c>
    </row>
    <row r="1036" spans="1:32">
      <c r="A1036" s="15">
        <v>1034</v>
      </c>
      <c r="B1036" s="16">
        <v>1</v>
      </c>
      <c r="C1036" s="20">
        <v>0.02</v>
      </c>
      <c r="D1036" s="20">
        <v>0.99756714174924133</v>
      </c>
      <c r="E1036" s="20">
        <v>1</v>
      </c>
      <c r="F1036" s="8" t="s">
        <v>436</v>
      </c>
      <c r="G1036" s="24">
        <v>1.0838678025882578</v>
      </c>
      <c r="H1036" s="24">
        <v>1.0901431205002947</v>
      </c>
      <c r="I1036" s="25">
        <v>1.1092082358079118</v>
      </c>
      <c r="L1036" s="15">
        <v>1034</v>
      </c>
      <c r="M1036" s="16">
        <v>0</v>
      </c>
      <c r="N1036" s="16">
        <v>3</v>
      </c>
      <c r="O1036" s="16">
        <v>16</v>
      </c>
      <c r="P1036" s="16">
        <v>257</v>
      </c>
      <c r="Q1036" s="29">
        <v>29</v>
      </c>
      <c r="R1036" s="20">
        <v>0.47729999999999995</v>
      </c>
      <c r="S1036" s="32">
        <v>13.841699999999998</v>
      </c>
      <c r="T1036" s="35">
        <v>0.9</v>
      </c>
      <c r="U1036" s="35">
        <v>0.46</v>
      </c>
      <c r="V1036" s="35">
        <v>3.1034482758620689E-2</v>
      </c>
      <c r="W1036" s="9" t="s">
        <v>152</v>
      </c>
      <c r="X1036" s="15">
        <v>1035</v>
      </c>
      <c r="Y1036" s="39">
        <v>0.49453413860351336</v>
      </c>
      <c r="Z1036" s="39">
        <v>0.48058660302540451</v>
      </c>
      <c r="AA1036" s="39">
        <v>0.49165593989554696</v>
      </c>
      <c r="AB1036" s="39">
        <v>0.48633057721661455</v>
      </c>
      <c r="AC1036" s="39">
        <v>0.4851830790396835</v>
      </c>
      <c r="AD1036" s="39">
        <v>0.47343752188175492</v>
      </c>
      <c r="AE1036" s="39">
        <v>0.48561302457176508</v>
      </c>
      <c r="AF1036" s="40">
        <v>0.48185486217093937</v>
      </c>
    </row>
    <row r="1037" spans="1:32">
      <c r="A1037" s="15">
        <v>1035</v>
      </c>
      <c r="B1037" s="16">
        <v>0</v>
      </c>
      <c r="C1037" s="20">
        <v>0.89</v>
      </c>
      <c r="D1037" s="20">
        <v>0.24559627500636821</v>
      </c>
      <c r="E1037" s="20">
        <v>0.11</v>
      </c>
      <c r="F1037" s="8" t="s">
        <v>434</v>
      </c>
      <c r="G1037" s="24">
        <v>1.1564621333993299</v>
      </c>
      <c r="H1037" s="24">
        <v>1.1631577539565447</v>
      </c>
      <c r="I1037" s="25">
        <v>1.1834997955500866</v>
      </c>
      <c r="L1037" s="15">
        <v>1035</v>
      </c>
      <c r="M1037" s="16">
        <v>0</v>
      </c>
      <c r="N1037" s="16">
        <v>3</v>
      </c>
      <c r="O1037" s="16">
        <v>16</v>
      </c>
      <c r="P1037" s="16">
        <v>258</v>
      </c>
      <c r="Q1037" s="29">
        <v>34</v>
      </c>
      <c r="R1037" s="20">
        <v>0.47729999999999995</v>
      </c>
      <c r="S1037" s="32">
        <v>16.228199999999998</v>
      </c>
      <c r="T1037" s="35">
        <v>0.52</v>
      </c>
      <c r="U1037" s="35">
        <v>0.03</v>
      </c>
      <c r="V1037" s="35">
        <v>1.5294117647058824E-2</v>
      </c>
      <c r="W1037" s="9" t="s">
        <v>152</v>
      </c>
      <c r="X1037" s="15">
        <v>1036</v>
      </c>
      <c r="Y1037" s="39">
        <v>0.48223370034102048</v>
      </c>
      <c r="Z1037" s="39">
        <v>0.48614396456731446</v>
      </c>
      <c r="AA1037" s="39">
        <v>0.47384757824781948</v>
      </c>
      <c r="AB1037" s="39">
        <v>0.49154790979207663</v>
      </c>
      <c r="AC1037" s="39">
        <v>0.47645116108465324</v>
      </c>
      <c r="AD1037" s="39">
        <v>0.47703058770682993</v>
      </c>
      <c r="AE1037" s="39">
        <v>0.46629003031563848</v>
      </c>
      <c r="AF1037" s="40">
        <v>0.48626576852987663</v>
      </c>
    </row>
    <row r="1038" spans="1:32">
      <c r="A1038" s="15">
        <v>1036</v>
      </c>
      <c r="B1038" s="16">
        <v>0</v>
      </c>
      <c r="C1038" s="20">
        <v>0.86</v>
      </c>
      <c r="D1038" s="20">
        <v>0.28597383862931031</v>
      </c>
      <c r="E1038" s="20">
        <v>0.14000000000000001</v>
      </c>
      <c r="F1038" s="8" t="s">
        <v>434</v>
      </c>
      <c r="G1038" s="24">
        <v>0.63219675651764484</v>
      </c>
      <c r="H1038" s="24">
        <v>0.63585701436517306</v>
      </c>
      <c r="I1038" s="25">
        <v>0.64697728570391777</v>
      </c>
      <c r="L1038" s="15">
        <v>1036</v>
      </c>
      <c r="M1038" s="16">
        <v>0</v>
      </c>
      <c r="N1038" s="16">
        <v>3</v>
      </c>
      <c r="O1038" s="16">
        <v>16</v>
      </c>
      <c r="P1038" s="16">
        <v>259</v>
      </c>
      <c r="Q1038" s="29">
        <v>11</v>
      </c>
      <c r="R1038" s="20">
        <v>0.47729999999999995</v>
      </c>
      <c r="S1038" s="32">
        <v>5.2502999999999993</v>
      </c>
      <c r="T1038" s="35">
        <v>0.18</v>
      </c>
      <c r="U1038" s="35">
        <v>0.03</v>
      </c>
      <c r="V1038" s="35">
        <v>1.6363636363636361E-2</v>
      </c>
      <c r="W1038" s="9" t="s">
        <v>152</v>
      </c>
      <c r="X1038" s="15">
        <v>1037</v>
      </c>
      <c r="Y1038" s="39">
        <v>0.48767750013414241</v>
      </c>
      <c r="Z1038" s="39">
        <v>0.49617769969102821</v>
      </c>
      <c r="AA1038" s="39">
        <v>0.49781061707040142</v>
      </c>
      <c r="AB1038" s="39">
        <v>0.50124253349277903</v>
      </c>
      <c r="AC1038" s="39">
        <v>0.4811689322819615</v>
      </c>
      <c r="AD1038" s="39">
        <v>0.48872031327284288</v>
      </c>
      <c r="AE1038" s="39">
        <v>0.49434802224462804</v>
      </c>
      <c r="AF1038" s="40">
        <v>0.49669056060938038</v>
      </c>
    </row>
    <row r="1039" spans="1:32">
      <c r="A1039" s="15">
        <v>1037</v>
      </c>
      <c r="B1039" s="16">
        <v>0</v>
      </c>
      <c r="C1039" s="20">
        <v>0.18</v>
      </c>
      <c r="D1039" s="20">
        <v>0.81771918034972713</v>
      </c>
      <c r="E1039" s="20">
        <v>0.22</v>
      </c>
      <c r="F1039" s="8" t="s">
        <v>436</v>
      </c>
      <c r="G1039" s="24">
        <v>0.79674126840720971</v>
      </c>
      <c r="H1039" s="24">
        <v>0.80135419697742405</v>
      </c>
      <c r="I1039" s="25">
        <v>0.8153687881630346</v>
      </c>
      <c r="L1039" s="15">
        <v>1037</v>
      </c>
      <c r="M1039" s="16">
        <v>1</v>
      </c>
      <c r="N1039" s="16">
        <v>0</v>
      </c>
      <c r="O1039" s="16">
        <v>0</v>
      </c>
      <c r="P1039" s="16">
        <v>56</v>
      </c>
      <c r="Q1039" s="29">
        <v>96</v>
      </c>
      <c r="R1039" s="20">
        <v>0.48229999999999995</v>
      </c>
      <c r="S1039" s="32">
        <v>46.300799999999995</v>
      </c>
      <c r="T1039" s="35">
        <v>2.79</v>
      </c>
      <c r="U1039" s="35">
        <v>1.42</v>
      </c>
      <c r="V1039" s="35">
        <v>2.9062500000000002E-2</v>
      </c>
      <c r="W1039" s="9" t="s">
        <v>154</v>
      </c>
      <c r="X1039" s="15">
        <v>1038</v>
      </c>
      <c r="Y1039" s="39">
        <v>0.47289339678802994</v>
      </c>
      <c r="Z1039" s="39">
        <v>0.48807941170079733</v>
      </c>
      <c r="AA1039" s="39">
        <v>0.47926046450035004</v>
      </c>
      <c r="AB1039" s="39">
        <v>0.48835250412875247</v>
      </c>
      <c r="AC1039" s="39">
        <v>0.46579998122240601</v>
      </c>
      <c r="AD1039" s="39">
        <v>0.48159668107919001</v>
      </c>
      <c r="AE1039" s="39">
        <v>0.47546618872902219</v>
      </c>
      <c r="AF1039" s="40">
        <v>0.48737057830323255</v>
      </c>
    </row>
    <row r="1040" spans="1:32">
      <c r="A1040" s="15">
        <v>1038</v>
      </c>
      <c r="B1040" s="16">
        <v>0</v>
      </c>
      <c r="C1040" s="20">
        <v>0.02</v>
      </c>
      <c r="D1040" s="20">
        <v>0.99679477127711513</v>
      </c>
      <c r="E1040" s="20">
        <v>1</v>
      </c>
      <c r="F1040" s="8" t="s">
        <v>436</v>
      </c>
      <c r="G1040" s="24">
        <v>1.0226516094449605</v>
      </c>
      <c r="H1040" s="24">
        <v>1.0285725012245654</v>
      </c>
      <c r="I1040" s="25">
        <v>1.0465608304350373</v>
      </c>
      <c r="L1040" s="15">
        <v>1038</v>
      </c>
      <c r="M1040" s="16">
        <v>1</v>
      </c>
      <c r="N1040" s="16">
        <v>0</v>
      </c>
      <c r="O1040" s="16">
        <v>0</v>
      </c>
      <c r="P1040" s="16">
        <v>57</v>
      </c>
      <c r="Q1040" s="29">
        <v>100</v>
      </c>
      <c r="R1040" s="20">
        <v>0.48229999999999995</v>
      </c>
      <c r="S1040" s="32">
        <v>48.23</v>
      </c>
      <c r="T1040" s="35">
        <v>4.4800000000000004</v>
      </c>
      <c r="U1040" s="35">
        <v>3.06</v>
      </c>
      <c r="V1040" s="35">
        <v>4.4800000000000006E-2</v>
      </c>
      <c r="W1040" s="9" t="s">
        <v>155</v>
      </c>
      <c r="X1040" s="15">
        <v>1039</v>
      </c>
      <c r="Y1040" s="39">
        <v>0.48155577757057116</v>
      </c>
      <c r="Z1040" s="39">
        <v>0.49296087890427104</v>
      </c>
      <c r="AA1040" s="39">
        <v>0.49015199492357314</v>
      </c>
      <c r="AB1040" s="39">
        <v>0.4931357182872998</v>
      </c>
      <c r="AC1040" s="39">
        <v>0.47420433640160542</v>
      </c>
      <c r="AD1040" s="39">
        <v>0.48826163953029489</v>
      </c>
      <c r="AE1040" s="39">
        <v>0.48175618341029758</v>
      </c>
      <c r="AF1040" s="40">
        <v>0.48790395901119415</v>
      </c>
    </row>
    <row r="1041" spans="1:32">
      <c r="A1041" s="15">
        <v>1039</v>
      </c>
      <c r="B1041" s="16">
        <v>1</v>
      </c>
      <c r="C1041" s="20">
        <v>0.02</v>
      </c>
      <c r="D1041" s="20">
        <v>0.99917029198757767</v>
      </c>
      <c r="E1041" s="20">
        <v>1</v>
      </c>
      <c r="F1041" s="8" t="s">
        <v>436</v>
      </c>
      <c r="G1041" s="24">
        <v>1.0354890467113362</v>
      </c>
      <c r="H1041" s="24">
        <v>1.0414842639758666</v>
      </c>
      <c r="I1041" s="25">
        <v>1.0596984022943803</v>
      </c>
      <c r="L1041" s="15">
        <v>1039</v>
      </c>
      <c r="M1041" s="16">
        <v>1</v>
      </c>
      <c r="N1041" s="16">
        <v>0</v>
      </c>
      <c r="O1041" s="16">
        <v>0</v>
      </c>
      <c r="P1041" s="16">
        <v>58</v>
      </c>
      <c r="Q1041" s="29">
        <v>82</v>
      </c>
      <c r="R1041" s="20">
        <v>0.48229999999999995</v>
      </c>
      <c r="S1041" s="32">
        <v>39.548599999999993</v>
      </c>
      <c r="T1041" s="35">
        <v>3.02</v>
      </c>
      <c r="U1041" s="35">
        <v>1.85</v>
      </c>
      <c r="V1041" s="35">
        <v>3.6829268292682925E-2</v>
      </c>
      <c r="W1041" s="9" t="s">
        <v>155</v>
      </c>
      <c r="X1041" s="15">
        <v>1040</v>
      </c>
      <c r="Y1041" s="39">
        <v>0.48907954139734738</v>
      </c>
      <c r="Z1041" s="39">
        <v>0.4817645372930936</v>
      </c>
      <c r="AA1041" s="39">
        <v>0.49462654328328665</v>
      </c>
      <c r="AB1041" s="39">
        <v>0.49989115792751793</v>
      </c>
      <c r="AC1041" s="39">
        <v>0.48278513957919189</v>
      </c>
      <c r="AD1041" s="39">
        <v>0.47538405613778351</v>
      </c>
      <c r="AE1041" s="39">
        <v>0.48804323712196834</v>
      </c>
      <c r="AF1041" s="40">
        <v>0.49603556005870403</v>
      </c>
    </row>
    <row r="1042" spans="1:32">
      <c r="A1042" s="15">
        <v>1040</v>
      </c>
      <c r="B1042" s="16">
        <v>0</v>
      </c>
      <c r="C1042" s="20">
        <v>0.02</v>
      </c>
      <c r="D1042" s="20">
        <v>0.99679477127711513</v>
      </c>
      <c r="E1042" s="20">
        <v>1</v>
      </c>
      <c r="F1042" s="8" t="s">
        <v>436</v>
      </c>
      <c r="G1042" s="24">
        <v>1.0619087524531035</v>
      </c>
      <c r="H1042" s="24">
        <v>1.0680569330700611</v>
      </c>
      <c r="I1042" s="25">
        <v>1.0867357911036153</v>
      </c>
      <c r="L1042" s="15">
        <v>1040</v>
      </c>
      <c r="M1042" s="16">
        <v>1</v>
      </c>
      <c r="N1042" s="16">
        <v>0</v>
      </c>
      <c r="O1042" s="16">
        <v>0</v>
      </c>
      <c r="P1042" s="16">
        <v>59</v>
      </c>
      <c r="Q1042" s="29">
        <v>78</v>
      </c>
      <c r="R1042" s="20">
        <v>0.48229999999999995</v>
      </c>
      <c r="S1042" s="32">
        <v>37.619399999999999</v>
      </c>
      <c r="T1042" s="35">
        <v>2.81</v>
      </c>
      <c r="U1042" s="35">
        <v>1.63</v>
      </c>
      <c r="V1042" s="35">
        <v>3.6025641025641028E-2</v>
      </c>
      <c r="W1042" s="9" t="s">
        <v>154</v>
      </c>
      <c r="X1042" s="15">
        <v>1041</v>
      </c>
      <c r="Y1042" s="39">
        <v>0.48983392901966516</v>
      </c>
      <c r="Z1042" s="39">
        <v>0.49229369712187521</v>
      </c>
      <c r="AA1042" s="39">
        <v>0.4799386476730485</v>
      </c>
      <c r="AB1042" s="39">
        <v>0.4846618523134813</v>
      </c>
      <c r="AC1042" s="39">
        <v>0.4847811046701398</v>
      </c>
      <c r="AD1042" s="39">
        <v>0.48548805871750544</v>
      </c>
      <c r="AE1042" s="39">
        <v>0.47548744862000802</v>
      </c>
      <c r="AF1042" s="40">
        <v>0.48163570645008241</v>
      </c>
    </row>
    <row r="1043" spans="1:32">
      <c r="A1043" s="15">
        <v>1041</v>
      </c>
      <c r="B1043" s="16">
        <v>1</v>
      </c>
      <c r="C1043" s="20">
        <v>0.48</v>
      </c>
      <c r="D1043" s="20">
        <v>0.47059166869925179</v>
      </c>
      <c r="E1043" s="20">
        <v>7.0000000000000007E-2</v>
      </c>
      <c r="F1043" s="8" t="s">
        <v>436</v>
      </c>
      <c r="G1043" s="24">
        <v>0.8820397905259646</v>
      </c>
      <c r="H1043" s="24">
        <v>0.88714657576619327</v>
      </c>
      <c r="I1043" s="25">
        <v>0.9026615585640283</v>
      </c>
      <c r="L1043" s="15">
        <v>1041</v>
      </c>
      <c r="M1043" s="16">
        <v>1</v>
      </c>
      <c r="N1043" s="16">
        <v>0</v>
      </c>
      <c r="O1043" s="16">
        <v>0</v>
      </c>
      <c r="P1043" s="16">
        <v>60</v>
      </c>
      <c r="Q1043" s="29">
        <v>94</v>
      </c>
      <c r="R1043" s="20">
        <v>0.48229999999999995</v>
      </c>
      <c r="S1043" s="32">
        <v>45.336199999999998</v>
      </c>
      <c r="T1043" s="35">
        <v>3.68</v>
      </c>
      <c r="U1043" s="35">
        <v>1.96</v>
      </c>
      <c r="V1043" s="35">
        <v>3.914893617021277E-2</v>
      </c>
      <c r="W1043" s="9" t="s">
        <v>155</v>
      </c>
      <c r="X1043" s="15">
        <v>1042</v>
      </c>
      <c r="Y1043" s="39">
        <v>0.49115449478975509</v>
      </c>
      <c r="Z1043" s="39">
        <v>0.50320689587201262</v>
      </c>
      <c r="AA1043" s="39">
        <v>0.50029384298841495</v>
      </c>
      <c r="AB1043" s="39">
        <v>0.49036858232989416</v>
      </c>
      <c r="AC1043" s="39">
        <v>0.48284387197803313</v>
      </c>
      <c r="AD1043" s="39">
        <v>0.49288293413852674</v>
      </c>
      <c r="AE1043" s="39">
        <v>0.49108381767627707</v>
      </c>
      <c r="AF1043" s="40">
        <v>0.48563111984083979</v>
      </c>
    </row>
    <row r="1044" spans="1:32">
      <c r="A1044" s="15">
        <v>1042</v>
      </c>
      <c r="B1044" s="16">
        <v>0</v>
      </c>
      <c r="C1044" s="20">
        <v>0.3</v>
      </c>
      <c r="D1044" s="20">
        <v>0.79467545469010503</v>
      </c>
      <c r="E1044" s="20">
        <v>0.11</v>
      </c>
      <c r="F1044" s="8" t="s">
        <v>436</v>
      </c>
      <c r="G1044" s="24">
        <v>0.76252044912616745</v>
      </c>
      <c r="H1044" s="24">
        <v>0.7669352478878515</v>
      </c>
      <c r="I1044" s="25">
        <v>0.78034789863021237</v>
      </c>
      <c r="L1044" s="15">
        <v>1042</v>
      </c>
      <c r="M1044" s="16">
        <v>1</v>
      </c>
      <c r="N1044" s="16">
        <v>0</v>
      </c>
      <c r="O1044" s="16">
        <v>0</v>
      </c>
      <c r="P1044" s="16">
        <v>61</v>
      </c>
      <c r="Q1044" s="29">
        <v>91</v>
      </c>
      <c r="R1044" s="20">
        <v>0.48229999999999995</v>
      </c>
      <c r="S1044" s="32">
        <v>43.889299999999999</v>
      </c>
      <c r="T1044" s="35">
        <v>2.81</v>
      </c>
      <c r="U1044" s="35">
        <v>1.34</v>
      </c>
      <c r="V1044" s="35">
        <v>3.087912087912088E-2</v>
      </c>
      <c r="W1044" s="9" t="s">
        <v>154</v>
      </c>
      <c r="X1044" s="15">
        <v>1043</v>
      </c>
      <c r="Y1044" s="39">
        <v>0.47220020255025574</v>
      </c>
      <c r="Z1044" s="39">
        <v>0.49485694837984501</v>
      </c>
      <c r="AA1044" s="39">
        <v>0.47572434433753297</v>
      </c>
      <c r="AB1044" s="39">
        <v>0.49268499600072618</v>
      </c>
      <c r="AC1044" s="39">
        <v>0.46616045459709077</v>
      </c>
      <c r="AD1044" s="39">
        <v>0.48757910402177418</v>
      </c>
      <c r="AE1044" s="39">
        <v>0.46852873312094295</v>
      </c>
      <c r="AF1044" s="40">
        <v>0.49026050666287224</v>
      </c>
    </row>
    <row r="1045" spans="1:32">
      <c r="A1045" s="15">
        <v>1043</v>
      </c>
      <c r="B1045" s="16">
        <v>0</v>
      </c>
      <c r="C1045" s="20">
        <v>0.9</v>
      </c>
      <c r="D1045" s="20">
        <v>0.231595386583653</v>
      </c>
      <c r="E1045" s="20">
        <v>0.1</v>
      </c>
      <c r="F1045" s="8" t="s">
        <v>434</v>
      </c>
      <c r="G1045" s="24">
        <v>0.48485035584230779</v>
      </c>
      <c r="H1045" s="24">
        <v>0.48765751564114029</v>
      </c>
      <c r="I1045" s="25">
        <v>0.4961859800156691</v>
      </c>
      <c r="L1045" s="15">
        <v>1043</v>
      </c>
      <c r="M1045" s="16">
        <v>1</v>
      </c>
      <c r="N1045" s="16">
        <v>0</v>
      </c>
      <c r="O1045" s="16">
        <v>0</v>
      </c>
      <c r="P1045" s="16">
        <v>62</v>
      </c>
      <c r="Q1045" s="29">
        <v>90</v>
      </c>
      <c r="R1045" s="20">
        <v>0.48229999999999995</v>
      </c>
      <c r="S1045" s="32">
        <v>43.406999999999996</v>
      </c>
      <c r="T1045" s="35">
        <v>4.82</v>
      </c>
      <c r="U1045" s="35">
        <v>3.55</v>
      </c>
      <c r="V1045" s="35">
        <v>5.3555555555555558E-2</v>
      </c>
      <c r="W1045" s="9" t="s">
        <v>155</v>
      </c>
      <c r="X1045" s="15">
        <v>1044</v>
      </c>
      <c r="Y1045" s="39">
        <v>0.48922055254132785</v>
      </c>
      <c r="Z1045" s="39">
        <v>0.4776894637925837</v>
      </c>
      <c r="AA1045" s="39">
        <v>0.48599915362171486</v>
      </c>
      <c r="AB1045" s="39">
        <v>0.49656730392934356</v>
      </c>
      <c r="AC1045" s="39">
        <v>0.48055696659389135</v>
      </c>
      <c r="AD1045" s="39">
        <v>0.47092470554156396</v>
      </c>
      <c r="AE1045" s="39">
        <v>0.47872821044330877</v>
      </c>
      <c r="AF1045" s="40">
        <v>0.49040946078117714</v>
      </c>
    </row>
    <row r="1046" spans="1:32">
      <c r="A1046" s="15">
        <v>1044</v>
      </c>
      <c r="B1046" s="16">
        <v>1</v>
      </c>
      <c r="C1046" s="20">
        <v>0.56000000000000005</v>
      </c>
      <c r="D1046" s="20">
        <v>0.48858201815893942</v>
      </c>
      <c r="E1046" s="20">
        <v>0.04</v>
      </c>
      <c r="F1046" s="8" t="s">
        <v>438</v>
      </c>
      <c r="G1046" s="24">
        <v>0.61657759911764043</v>
      </c>
      <c r="H1046" s="24">
        <v>0.62014742603072337</v>
      </c>
      <c r="I1046" s="25">
        <v>0.63099295811055867</v>
      </c>
      <c r="L1046" s="15">
        <v>1044</v>
      </c>
      <c r="M1046" s="16">
        <v>1</v>
      </c>
      <c r="N1046" s="16">
        <v>0</v>
      </c>
      <c r="O1046" s="16">
        <v>0</v>
      </c>
      <c r="P1046" s="16">
        <v>63</v>
      </c>
      <c r="Q1046" s="29">
        <v>91</v>
      </c>
      <c r="R1046" s="20">
        <v>0.48229999999999995</v>
      </c>
      <c r="S1046" s="32">
        <v>43.889299999999999</v>
      </c>
      <c r="T1046" s="35">
        <v>3.66</v>
      </c>
      <c r="U1046" s="35">
        <v>2.2799999999999998</v>
      </c>
      <c r="V1046" s="35">
        <v>4.0219780219780218E-2</v>
      </c>
      <c r="W1046" s="9" t="s">
        <v>155</v>
      </c>
      <c r="X1046" s="15">
        <v>1045</v>
      </c>
      <c r="Y1046" s="39">
        <v>0.47642796665212184</v>
      </c>
      <c r="Z1046" s="39">
        <v>0.49091772728661798</v>
      </c>
      <c r="AA1046" s="39">
        <v>0.48752946531263081</v>
      </c>
      <c r="AB1046" s="39">
        <v>0.49533930608210158</v>
      </c>
      <c r="AC1046" s="39">
        <v>0.47022934625872542</v>
      </c>
      <c r="AD1046" s="39">
        <v>0.48466542139062441</v>
      </c>
      <c r="AE1046" s="39">
        <v>0.48232768921012936</v>
      </c>
      <c r="AF1046" s="40">
        <v>0.49081140057284151</v>
      </c>
    </row>
    <row r="1047" spans="1:32">
      <c r="A1047" s="15">
        <v>1045</v>
      </c>
      <c r="B1047" s="16">
        <v>0</v>
      </c>
      <c r="C1047" s="20">
        <v>0.2</v>
      </c>
      <c r="D1047" s="20">
        <v>0.88895083886372328</v>
      </c>
      <c r="E1047" s="20">
        <v>0.09</v>
      </c>
      <c r="F1047" s="8" t="s">
        <v>436</v>
      </c>
      <c r="G1047" s="24">
        <v>1.3932536994482412</v>
      </c>
      <c r="H1047" s="24">
        <v>1.4013202827301514</v>
      </c>
      <c r="I1047" s="25">
        <v>1.425827461898417</v>
      </c>
      <c r="L1047" s="15">
        <v>1045</v>
      </c>
      <c r="M1047" s="16">
        <v>1</v>
      </c>
      <c r="N1047" s="16">
        <v>0</v>
      </c>
      <c r="O1047" s="16">
        <v>0</v>
      </c>
      <c r="P1047" s="16">
        <v>64</v>
      </c>
      <c r="Q1047" s="29">
        <v>75</v>
      </c>
      <c r="R1047" s="20">
        <v>0.48229999999999995</v>
      </c>
      <c r="S1047" s="32">
        <v>36.172499999999999</v>
      </c>
      <c r="T1047" s="35">
        <v>2.12</v>
      </c>
      <c r="U1047" s="35">
        <v>1.0900000000000001</v>
      </c>
      <c r="V1047" s="35">
        <v>2.8266666666666669E-2</v>
      </c>
      <c r="W1047" s="9" t="s">
        <v>154</v>
      </c>
      <c r="X1047" s="15">
        <v>1046</v>
      </c>
      <c r="Y1047" s="39">
        <v>0.48663371178065229</v>
      </c>
      <c r="Z1047" s="39">
        <v>0.47993285420269322</v>
      </c>
      <c r="AA1047" s="39">
        <v>0.48414425888306234</v>
      </c>
      <c r="AB1047" s="39">
        <v>0.48734515562195885</v>
      </c>
      <c r="AC1047" s="39">
        <v>0.48038947027298567</v>
      </c>
      <c r="AD1047" s="39">
        <v>0.47099034877385038</v>
      </c>
      <c r="AE1047" s="39">
        <v>0.47886256432088403</v>
      </c>
      <c r="AF1047" s="40">
        <v>0.48280338208073564</v>
      </c>
    </row>
    <row r="1048" spans="1:32">
      <c r="A1048" s="15">
        <v>1046</v>
      </c>
      <c r="B1048" s="16">
        <v>1</v>
      </c>
      <c r="C1048" s="20">
        <v>0.24</v>
      </c>
      <c r="D1048" s="20">
        <v>0.72967160055455926</v>
      </c>
      <c r="E1048" s="20">
        <v>0.1</v>
      </c>
      <c r="F1048" s="8" t="s">
        <v>436</v>
      </c>
      <c r="G1048" s="24">
        <v>0.92978739443517111</v>
      </c>
      <c r="H1048" s="24">
        <v>0.93517062611411939</v>
      </c>
      <c r="I1048" s="25">
        <v>0.95152548400743886</v>
      </c>
      <c r="L1048" s="15">
        <v>1046</v>
      </c>
      <c r="M1048" s="16">
        <v>1</v>
      </c>
      <c r="N1048" s="16">
        <v>0</v>
      </c>
      <c r="O1048" s="16">
        <v>0</v>
      </c>
      <c r="P1048" s="16">
        <v>65</v>
      </c>
      <c r="Q1048" s="29">
        <v>102</v>
      </c>
      <c r="R1048" s="20">
        <v>0.48229999999999995</v>
      </c>
      <c r="S1048" s="32">
        <v>49.194599999999994</v>
      </c>
      <c r="T1048" s="35">
        <v>3.56</v>
      </c>
      <c r="U1048" s="35">
        <v>2.15</v>
      </c>
      <c r="V1048" s="35">
        <v>3.4901960784313728E-2</v>
      </c>
      <c r="W1048" s="9" t="s">
        <v>155</v>
      </c>
      <c r="X1048" s="15">
        <v>1047</v>
      </c>
      <c r="Y1048" s="39">
        <v>0.48181185292411982</v>
      </c>
      <c r="Z1048" s="39">
        <v>0.47689638510885057</v>
      </c>
      <c r="AA1048" s="39">
        <v>0.47395227639711057</v>
      </c>
      <c r="AB1048" s="39">
        <v>0.49703543866828342</v>
      </c>
      <c r="AC1048" s="39">
        <v>0.47654881502366375</v>
      </c>
      <c r="AD1048" s="39">
        <v>0.47216331422262781</v>
      </c>
      <c r="AE1048" s="39">
        <v>0.46940904643494757</v>
      </c>
      <c r="AF1048" s="40">
        <v>0.49244762034517076</v>
      </c>
    </row>
    <row r="1049" spans="1:32">
      <c r="A1049" s="15">
        <v>1047</v>
      </c>
      <c r="B1049" s="16">
        <v>0</v>
      </c>
      <c r="C1049" s="20">
        <v>0.93</v>
      </c>
      <c r="D1049" s="20">
        <v>0.18747949848141848</v>
      </c>
      <c r="E1049" s="20">
        <v>7.0000000000000007E-2</v>
      </c>
      <c r="F1049" s="8" t="s">
        <v>434</v>
      </c>
      <c r="G1049" s="24">
        <v>0.67916588733665328</v>
      </c>
      <c r="H1049" s="24">
        <v>0.68309808446241949</v>
      </c>
      <c r="I1049" s="25">
        <v>0.69504453764070651</v>
      </c>
      <c r="L1049" s="15">
        <v>1047</v>
      </c>
      <c r="M1049" s="16">
        <v>1</v>
      </c>
      <c r="N1049" s="16">
        <v>0</v>
      </c>
      <c r="O1049" s="16">
        <v>0</v>
      </c>
      <c r="P1049" s="16">
        <v>66</v>
      </c>
      <c r="Q1049" s="29">
        <v>89</v>
      </c>
      <c r="R1049" s="20">
        <v>0.48229999999999995</v>
      </c>
      <c r="S1049" s="32">
        <v>42.924699999999994</v>
      </c>
      <c r="T1049" s="35">
        <v>2.7600000000000002</v>
      </c>
      <c r="U1049" s="35">
        <v>1.6</v>
      </c>
      <c r="V1049" s="35">
        <v>3.1011235955056182E-2</v>
      </c>
      <c r="W1049" s="9" t="s">
        <v>154</v>
      </c>
      <c r="X1049" s="15">
        <v>1048</v>
      </c>
      <c r="Y1049" s="39">
        <v>0.46875353624580091</v>
      </c>
      <c r="Z1049" s="39">
        <v>0.48422241562902685</v>
      </c>
      <c r="AA1049" s="39">
        <v>0.50057989911945533</v>
      </c>
      <c r="AB1049" s="39">
        <v>0.48524896024955161</v>
      </c>
      <c r="AC1049" s="39">
        <v>0.46006929930977547</v>
      </c>
      <c r="AD1049" s="39">
        <v>0.4783159207844937</v>
      </c>
      <c r="AE1049" s="39">
        <v>0.49586858734285993</v>
      </c>
      <c r="AF1049" s="40">
        <v>0.48092105911994776</v>
      </c>
    </row>
    <row r="1050" spans="1:32">
      <c r="A1050" s="15">
        <v>1048</v>
      </c>
      <c r="B1050" s="16">
        <v>0</v>
      </c>
      <c r="C1050" s="20">
        <v>0.87</v>
      </c>
      <c r="D1050" s="20">
        <v>0.27276032039195819</v>
      </c>
      <c r="E1050" s="20">
        <v>0.13</v>
      </c>
      <c r="F1050" s="8" t="s">
        <v>434</v>
      </c>
      <c r="G1050" s="24">
        <v>0.4645567155530011</v>
      </c>
      <c r="H1050" s="24">
        <v>0.46724638035465427</v>
      </c>
      <c r="I1050" s="25">
        <v>0.47541788183093753</v>
      </c>
      <c r="L1050" s="15">
        <v>1048</v>
      </c>
      <c r="M1050" s="16">
        <v>1</v>
      </c>
      <c r="N1050" s="16">
        <v>0</v>
      </c>
      <c r="O1050" s="16">
        <v>0</v>
      </c>
      <c r="P1050" s="16">
        <v>67</v>
      </c>
      <c r="Q1050" s="29">
        <v>100</v>
      </c>
      <c r="R1050" s="20">
        <v>0.48229999999999995</v>
      </c>
      <c r="S1050" s="32">
        <v>48.23</v>
      </c>
      <c r="T1050" s="35">
        <v>1.95</v>
      </c>
      <c r="U1050" s="35">
        <v>0.52</v>
      </c>
      <c r="V1050" s="35">
        <v>1.95E-2</v>
      </c>
      <c r="W1050" s="9" t="s">
        <v>153</v>
      </c>
      <c r="X1050" s="15">
        <v>1049</v>
      </c>
      <c r="Y1050" s="39">
        <v>0.49503964256163951</v>
      </c>
      <c r="Z1050" s="39">
        <v>0.49559810856993602</v>
      </c>
      <c r="AA1050" s="39">
        <v>0.49679952228420338</v>
      </c>
      <c r="AB1050" s="39">
        <v>0.4827228375371726</v>
      </c>
      <c r="AC1050" s="39">
        <v>0.48794118965528088</v>
      </c>
      <c r="AD1050" s="39">
        <v>0.49092435453827082</v>
      </c>
      <c r="AE1050" s="39">
        <v>0.49257057641181373</v>
      </c>
      <c r="AF1050" s="40">
        <v>0.47851464878400402</v>
      </c>
    </row>
    <row r="1051" spans="1:32">
      <c r="A1051" s="15">
        <v>1049</v>
      </c>
      <c r="B1051" s="16">
        <v>1</v>
      </c>
      <c r="C1051" s="20">
        <v>0.03</v>
      </c>
      <c r="D1051" s="20">
        <v>0.9956483904099791</v>
      </c>
      <c r="E1051" s="20">
        <v>1</v>
      </c>
      <c r="F1051" s="8" t="s">
        <v>436</v>
      </c>
      <c r="G1051" s="24">
        <v>1.0690668987796592</v>
      </c>
      <c r="H1051" s="24">
        <v>1.07525652323668</v>
      </c>
      <c r="I1051" s="25">
        <v>1.0940612922759663</v>
      </c>
      <c r="L1051" s="15">
        <v>1049</v>
      </c>
      <c r="M1051" s="16">
        <v>1</v>
      </c>
      <c r="N1051" s="16">
        <v>0</v>
      </c>
      <c r="O1051" s="16">
        <v>0</v>
      </c>
      <c r="P1051" s="16">
        <v>68</v>
      </c>
      <c r="Q1051" s="29">
        <v>107</v>
      </c>
      <c r="R1051" s="20">
        <v>0.48229999999999995</v>
      </c>
      <c r="S1051" s="32">
        <v>51.606099999999998</v>
      </c>
      <c r="T1051" s="35">
        <v>2.5300000000000002</v>
      </c>
      <c r="U1051" s="35">
        <v>1.08</v>
      </c>
      <c r="V1051" s="35">
        <v>2.3644859813084115E-2</v>
      </c>
      <c r="W1051" s="9" t="s">
        <v>154</v>
      </c>
      <c r="X1051" s="15">
        <v>1050</v>
      </c>
      <c r="Y1051" s="39">
        <v>0.48464757021408689</v>
      </c>
      <c r="Z1051" s="39">
        <v>0.48851469578901668</v>
      </c>
      <c r="AA1051" s="39">
        <v>0.48045832672343874</v>
      </c>
      <c r="AB1051" s="39">
        <v>0.49295245798084214</v>
      </c>
      <c r="AC1051" s="39">
        <v>0.47562494623250878</v>
      </c>
      <c r="AD1051" s="39">
        <v>0.48400662514240972</v>
      </c>
      <c r="AE1051" s="39">
        <v>0.47517172827632131</v>
      </c>
      <c r="AF1051" s="40">
        <v>0.48971839540366052</v>
      </c>
    </row>
    <row r="1052" spans="1:32">
      <c r="A1052" s="15">
        <v>1050</v>
      </c>
      <c r="B1052" s="16">
        <v>1</v>
      </c>
      <c r="C1052" s="20">
        <v>0.9</v>
      </c>
      <c r="D1052" s="20">
        <v>0.23159538658365303</v>
      </c>
      <c r="E1052" s="20">
        <v>0.1</v>
      </c>
      <c r="F1052" s="8" t="s">
        <v>434</v>
      </c>
      <c r="G1052" s="24">
        <v>0.67606374911845779</v>
      </c>
      <c r="H1052" s="24">
        <v>0.67997798565578349</v>
      </c>
      <c r="I1052" s="25">
        <v>0.69186987256437515</v>
      </c>
      <c r="L1052" s="15">
        <v>1050</v>
      </c>
      <c r="M1052" s="16">
        <v>1</v>
      </c>
      <c r="N1052" s="16">
        <v>0</v>
      </c>
      <c r="O1052" s="16">
        <v>0</v>
      </c>
      <c r="P1052" s="16">
        <v>69</v>
      </c>
      <c r="Q1052" s="29">
        <v>93</v>
      </c>
      <c r="R1052" s="20">
        <v>0.48229999999999995</v>
      </c>
      <c r="S1052" s="32">
        <v>44.853899999999996</v>
      </c>
      <c r="T1052" s="35">
        <v>2.68</v>
      </c>
      <c r="U1052" s="35">
        <v>1.43</v>
      </c>
      <c r="V1052" s="35">
        <v>2.8817204301075271E-2</v>
      </c>
      <c r="W1052" s="9" t="s">
        <v>154</v>
      </c>
      <c r="X1052" s="15">
        <v>1051</v>
      </c>
      <c r="Y1052" s="39">
        <v>0.47809711577775993</v>
      </c>
      <c r="Z1052" s="39">
        <v>0.48033379953922245</v>
      </c>
      <c r="AA1052" s="39">
        <v>0.49406224431953039</v>
      </c>
      <c r="AB1052" s="39">
        <v>0.49544641309733589</v>
      </c>
      <c r="AC1052" s="39">
        <v>0.47072737572406009</v>
      </c>
      <c r="AD1052" s="39">
        <v>0.47290491737590362</v>
      </c>
      <c r="AE1052" s="39">
        <v>0.48619062625117737</v>
      </c>
      <c r="AF1052" s="40">
        <v>0.49119795174986058</v>
      </c>
    </row>
    <row r="1053" spans="1:32">
      <c r="A1053" s="15">
        <v>1051</v>
      </c>
      <c r="B1053" s="16">
        <v>0</v>
      </c>
      <c r="C1053" s="20">
        <v>0.96</v>
      </c>
      <c r="D1053" s="20">
        <v>0.13880369068795359</v>
      </c>
      <c r="E1053" s="20">
        <v>0.04</v>
      </c>
      <c r="F1053" s="8" t="s">
        <v>434</v>
      </c>
      <c r="G1053" s="24">
        <v>0.37512751258405785</v>
      </c>
      <c r="H1053" s="24">
        <v>0.37729940512795956</v>
      </c>
      <c r="I1053" s="25">
        <v>0.38389785677067484</v>
      </c>
      <c r="L1053" s="15">
        <v>1051</v>
      </c>
      <c r="M1053" s="16">
        <v>1</v>
      </c>
      <c r="N1053" s="16">
        <v>0</v>
      </c>
      <c r="O1053" s="16">
        <v>0</v>
      </c>
      <c r="P1053" s="16">
        <v>70</v>
      </c>
      <c r="Q1053" s="29">
        <v>76</v>
      </c>
      <c r="R1053" s="20">
        <v>0.48229999999999995</v>
      </c>
      <c r="S1053" s="32">
        <v>36.654799999999994</v>
      </c>
      <c r="T1053" s="35">
        <v>4.21</v>
      </c>
      <c r="U1053" s="35">
        <v>3.14</v>
      </c>
      <c r="V1053" s="35">
        <v>5.539473684210526E-2</v>
      </c>
      <c r="W1053" s="9" t="s">
        <v>155</v>
      </c>
      <c r="X1053" s="15">
        <v>1052</v>
      </c>
      <c r="Y1053" s="39">
        <v>0.48411441577059494</v>
      </c>
      <c r="Z1053" s="39">
        <v>0.47593240655474184</v>
      </c>
      <c r="AA1053" s="39">
        <v>0.48915513299903307</v>
      </c>
      <c r="AB1053" s="39">
        <v>0.49742441834239914</v>
      </c>
      <c r="AC1053" s="39">
        <v>0.47529238366330662</v>
      </c>
      <c r="AD1053" s="39">
        <v>0.4675335154644305</v>
      </c>
      <c r="AE1053" s="39">
        <v>0.48187343604367522</v>
      </c>
      <c r="AF1053" s="40">
        <v>0.49034510981062024</v>
      </c>
    </row>
    <row r="1054" spans="1:32">
      <c r="A1054" s="15">
        <v>1052</v>
      </c>
      <c r="B1054" s="16">
        <v>0</v>
      </c>
      <c r="C1054" s="20">
        <v>0.22</v>
      </c>
      <c r="D1054" s="20">
        <v>0.76099781676978917</v>
      </c>
      <c r="E1054" s="20">
        <v>0.13</v>
      </c>
      <c r="F1054" s="8" t="s">
        <v>436</v>
      </c>
      <c r="G1054" s="24">
        <v>0.88811444960270824</v>
      </c>
      <c r="H1054" s="24">
        <v>0.89325640556839148</v>
      </c>
      <c r="I1054" s="25">
        <v>0.90887824095053238</v>
      </c>
      <c r="L1054" s="15">
        <v>1052</v>
      </c>
      <c r="M1054" s="16">
        <v>1</v>
      </c>
      <c r="N1054" s="16">
        <v>0</v>
      </c>
      <c r="O1054" s="16">
        <v>0</v>
      </c>
      <c r="P1054" s="16">
        <v>71</v>
      </c>
      <c r="Q1054" s="29">
        <v>84</v>
      </c>
      <c r="R1054" s="20">
        <v>0.48229999999999995</v>
      </c>
      <c r="S1054" s="32">
        <v>40.513199999999998</v>
      </c>
      <c r="T1054" s="35">
        <v>2.82</v>
      </c>
      <c r="U1054" s="35">
        <v>1.67</v>
      </c>
      <c r="V1054" s="35">
        <v>3.3571428571428572E-2</v>
      </c>
      <c r="W1054" s="9" t="s">
        <v>154</v>
      </c>
      <c r="X1054" s="15">
        <v>1053</v>
      </c>
      <c r="Y1054" s="39">
        <v>0.48637939418141807</v>
      </c>
      <c r="Z1054" s="39">
        <v>0.480448405547727</v>
      </c>
      <c r="AA1054" s="39">
        <v>0.47637864470875213</v>
      </c>
      <c r="AB1054" s="39">
        <v>0.48115430236801232</v>
      </c>
      <c r="AC1054" s="39">
        <v>0.48243650627637685</v>
      </c>
      <c r="AD1054" s="39">
        <v>0.47485089727797236</v>
      </c>
      <c r="AE1054" s="39">
        <v>0.47166995001562179</v>
      </c>
      <c r="AF1054" s="40">
        <v>0.47709213084771962</v>
      </c>
    </row>
    <row r="1055" spans="1:32">
      <c r="A1055" s="15">
        <v>1053</v>
      </c>
      <c r="B1055" s="16">
        <v>0</v>
      </c>
      <c r="C1055" s="20">
        <v>0.08</v>
      </c>
      <c r="D1055" s="20">
        <v>0.950048329328672</v>
      </c>
      <c r="E1055" s="20">
        <v>0.45</v>
      </c>
      <c r="F1055" s="8" t="s">
        <v>436</v>
      </c>
      <c r="G1055" s="24">
        <v>0.85364658001943561</v>
      </c>
      <c r="H1055" s="24">
        <v>0.85858897581839999</v>
      </c>
      <c r="I1055" s="25">
        <v>0.87360452516967646</v>
      </c>
      <c r="L1055" s="15">
        <v>1053</v>
      </c>
      <c r="M1055" s="16">
        <v>1</v>
      </c>
      <c r="N1055" s="16">
        <v>0</v>
      </c>
      <c r="O1055" s="16">
        <v>0</v>
      </c>
      <c r="P1055" s="16">
        <v>72</v>
      </c>
      <c r="Q1055" s="29">
        <v>96</v>
      </c>
      <c r="R1055" s="20">
        <v>0.48229999999999995</v>
      </c>
      <c r="S1055" s="32">
        <v>46.300799999999995</v>
      </c>
      <c r="T1055" s="35">
        <v>2.3199999999999998</v>
      </c>
      <c r="U1055" s="35">
        <v>1.1299999999999999</v>
      </c>
      <c r="V1055" s="35">
        <v>2.4166666666666666E-2</v>
      </c>
      <c r="W1055" s="9" t="s">
        <v>154</v>
      </c>
      <c r="X1055" s="15">
        <v>1054</v>
      </c>
      <c r="Y1055" s="39">
        <v>0.48725996693401991</v>
      </c>
      <c r="Z1055" s="39">
        <v>0.4877589575989984</v>
      </c>
      <c r="AA1055" s="39">
        <v>0.49121046087194398</v>
      </c>
      <c r="AB1055" s="39">
        <v>0.4823671055416856</v>
      </c>
      <c r="AC1055" s="39">
        <v>0.4818709360006766</v>
      </c>
      <c r="AD1055" s="39">
        <v>0.48009744220779249</v>
      </c>
      <c r="AE1055" s="39">
        <v>0.48205569854220898</v>
      </c>
      <c r="AF1055" s="40">
        <v>0.47727808871291055</v>
      </c>
    </row>
    <row r="1056" spans="1:32">
      <c r="A1056" s="15">
        <v>1054</v>
      </c>
      <c r="B1056" s="16">
        <v>1</v>
      </c>
      <c r="C1056" s="20">
        <v>0.16</v>
      </c>
      <c r="D1056" s="20">
        <v>0.8677604576245912</v>
      </c>
      <c r="E1056" s="20">
        <v>0.45</v>
      </c>
      <c r="F1056" s="8" t="s">
        <v>436</v>
      </c>
      <c r="G1056" s="24">
        <v>1.3388921269870102</v>
      </c>
      <c r="H1056" s="24">
        <v>1.3466439706405471</v>
      </c>
      <c r="I1056" s="25">
        <v>1.3701949357347332</v>
      </c>
      <c r="L1056" s="15">
        <v>1054</v>
      </c>
      <c r="M1056" s="16">
        <v>1</v>
      </c>
      <c r="N1056" s="16">
        <v>0</v>
      </c>
      <c r="O1056" s="16">
        <v>0</v>
      </c>
      <c r="P1056" s="16">
        <v>73</v>
      </c>
      <c r="Q1056" s="29">
        <v>79</v>
      </c>
      <c r="R1056" s="20">
        <v>0.48229999999999995</v>
      </c>
      <c r="S1056" s="32">
        <v>38.101699999999994</v>
      </c>
      <c r="T1056" s="35">
        <v>2.21</v>
      </c>
      <c r="U1056" s="35">
        <v>1.05</v>
      </c>
      <c r="V1056" s="35">
        <v>2.7974683544303797E-2</v>
      </c>
      <c r="W1056" s="9" t="s">
        <v>154</v>
      </c>
      <c r="X1056" s="15">
        <v>1055</v>
      </c>
      <c r="Y1056" s="39">
        <v>0.49520838462735106</v>
      </c>
      <c r="Z1056" s="39">
        <v>0.48799912989356592</v>
      </c>
      <c r="AA1056" s="39">
        <v>0.47736097117394904</v>
      </c>
      <c r="AB1056" s="39">
        <v>0.49651508258747712</v>
      </c>
      <c r="AC1056" s="39">
        <v>0.48707074419661633</v>
      </c>
      <c r="AD1056" s="39">
        <v>0.48133773800695612</v>
      </c>
      <c r="AE1056" s="39">
        <v>0.47047788293961473</v>
      </c>
      <c r="AF1056" s="40">
        <v>0.49161001390509179</v>
      </c>
    </row>
    <row r="1057" spans="1:32">
      <c r="A1057" s="15">
        <v>1055</v>
      </c>
      <c r="B1057" s="16">
        <v>0</v>
      </c>
      <c r="C1057" s="20">
        <v>0.02</v>
      </c>
      <c r="D1057" s="20">
        <v>0.99835916395484214</v>
      </c>
      <c r="E1057" s="20">
        <v>1</v>
      </c>
      <c r="F1057" s="8" t="s">
        <v>436</v>
      </c>
      <c r="G1057" s="24">
        <v>1.2283312380282045</v>
      </c>
      <c r="H1057" s="24">
        <v>1.2354429623561216</v>
      </c>
      <c r="I1057" s="25">
        <v>1.2570491735868947</v>
      </c>
      <c r="L1057" s="15">
        <v>1055</v>
      </c>
      <c r="M1057" s="16">
        <v>1</v>
      </c>
      <c r="N1057" s="16">
        <v>0</v>
      </c>
      <c r="O1057" s="16">
        <v>0</v>
      </c>
      <c r="P1057" s="16">
        <v>74</v>
      </c>
      <c r="Q1057" s="29">
        <v>93</v>
      </c>
      <c r="R1057" s="20">
        <v>0.48229999999999995</v>
      </c>
      <c r="S1057" s="32">
        <v>44.853899999999996</v>
      </c>
      <c r="T1057" s="35">
        <v>2.97</v>
      </c>
      <c r="U1057" s="35">
        <v>1.46</v>
      </c>
      <c r="V1057" s="35">
        <v>3.1935483870967743E-2</v>
      </c>
      <c r="W1057" s="9" t="s">
        <v>154</v>
      </c>
      <c r="X1057" s="15">
        <v>1056</v>
      </c>
      <c r="Y1057" s="39">
        <v>0.48617823030472879</v>
      </c>
      <c r="Z1057" s="39">
        <v>0.49067651728635187</v>
      </c>
      <c r="AA1057" s="39">
        <v>0.49179305748748398</v>
      </c>
      <c r="AB1057" s="39">
        <v>0.49290155530046187</v>
      </c>
      <c r="AC1057" s="39">
        <v>0.48139354124283484</v>
      </c>
      <c r="AD1057" s="39">
        <v>0.48272000130781384</v>
      </c>
      <c r="AE1057" s="39">
        <v>0.4857409344158804</v>
      </c>
      <c r="AF1057" s="40">
        <v>0.48566288587006384</v>
      </c>
    </row>
    <row r="1058" spans="1:32">
      <c r="A1058" s="15">
        <v>1056</v>
      </c>
      <c r="B1058" s="16">
        <v>0</v>
      </c>
      <c r="C1058" s="20">
        <v>0.13</v>
      </c>
      <c r="D1058" s="20">
        <v>0.90689918712008055</v>
      </c>
      <c r="E1058" s="20">
        <v>7.0000000000000007E-2</v>
      </c>
      <c r="F1058" s="8" t="s">
        <v>436</v>
      </c>
      <c r="G1058" s="24">
        <v>0.98260829106554837</v>
      </c>
      <c r="H1058" s="24">
        <v>0.98829734225307775</v>
      </c>
      <c r="I1058" s="25">
        <v>1.0055813139022494</v>
      </c>
      <c r="L1058" s="15">
        <v>1056</v>
      </c>
      <c r="M1058" s="16">
        <v>1</v>
      </c>
      <c r="N1058" s="16">
        <v>0</v>
      </c>
      <c r="O1058" s="16">
        <v>0</v>
      </c>
      <c r="P1058" s="16">
        <v>75</v>
      </c>
      <c r="Q1058" s="29">
        <v>80</v>
      </c>
      <c r="R1058" s="20">
        <v>0.48229999999999995</v>
      </c>
      <c r="S1058" s="32">
        <v>38.583999999999996</v>
      </c>
      <c r="T1058" s="35">
        <v>3.54</v>
      </c>
      <c r="U1058" s="35">
        <v>2.4700000000000002</v>
      </c>
      <c r="V1058" s="35">
        <v>4.4249999999999998E-2</v>
      </c>
      <c r="W1058" s="9" t="s">
        <v>155</v>
      </c>
      <c r="X1058" s="15">
        <v>1057</v>
      </c>
      <c r="Y1058" s="39">
        <v>0.48239635937860142</v>
      </c>
      <c r="Z1058" s="39">
        <v>0.4822541545251437</v>
      </c>
      <c r="AA1058" s="39">
        <v>0.48905458335769852</v>
      </c>
      <c r="AB1058" s="39">
        <v>0.49835338396609152</v>
      </c>
      <c r="AC1058" s="39">
        <v>0.4755994005195161</v>
      </c>
      <c r="AD1058" s="39">
        <v>0.47679414368951512</v>
      </c>
      <c r="AE1058" s="39">
        <v>0.48389582233989376</v>
      </c>
      <c r="AF1058" s="40">
        <v>0.49415145569636448</v>
      </c>
    </row>
    <row r="1059" spans="1:32">
      <c r="A1059" s="15">
        <v>1057</v>
      </c>
      <c r="B1059" s="16">
        <v>1</v>
      </c>
      <c r="C1059" s="20">
        <v>0.88</v>
      </c>
      <c r="D1059" s="20">
        <v>0.25930874124763043</v>
      </c>
      <c r="E1059" s="20">
        <v>0.12</v>
      </c>
      <c r="F1059" s="8" t="s">
        <v>434</v>
      </c>
      <c r="G1059" s="24">
        <v>0.74228097262327364</v>
      </c>
      <c r="H1059" s="24">
        <v>0.746578589982276</v>
      </c>
      <c r="I1059" s="25">
        <v>0.75963523056143045</v>
      </c>
      <c r="L1059" s="15">
        <v>1057</v>
      </c>
      <c r="M1059" s="16">
        <v>1</v>
      </c>
      <c r="N1059" s="16">
        <v>0</v>
      </c>
      <c r="O1059" s="16">
        <v>0</v>
      </c>
      <c r="P1059" s="16">
        <v>76</v>
      </c>
      <c r="Q1059" s="29">
        <v>91</v>
      </c>
      <c r="R1059" s="20">
        <v>0.48229999999999995</v>
      </c>
      <c r="S1059" s="32">
        <v>43.889299999999999</v>
      </c>
      <c r="T1059" s="35">
        <v>2.4700000000000002</v>
      </c>
      <c r="U1059" s="35">
        <v>1.21</v>
      </c>
      <c r="V1059" s="35">
        <v>2.7142857142857146E-2</v>
      </c>
      <c r="W1059" s="9" t="s">
        <v>154</v>
      </c>
      <c r="X1059" s="15">
        <v>1058</v>
      </c>
      <c r="Y1059" s="39">
        <v>0.47543393355272845</v>
      </c>
      <c r="Z1059" s="39">
        <v>0.48422449993670136</v>
      </c>
      <c r="AA1059" s="39">
        <v>0.48514109117129534</v>
      </c>
      <c r="AB1059" s="39">
        <v>0.48364280927248354</v>
      </c>
      <c r="AC1059" s="39">
        <v>0.46948194679002547</v>
      </c>
      <c r="AD1059" s="39">
        <v>0.4782576917771299</v>
      </c>
      <c r="AE1059" s="39">
        <v>0.47688079325938493</v>
      </c>
      <c r="AF1059" s="40">
        <v>0.48231898061233192</v>
      </c>
    </row>
    <row r="1060" spans="1:32">
      <c r="A1060" s="15">
        <v>1058</v>
      </c>
      <c r="B1060" s="16">
        <v>0</v>
      </c>
      <c r="C1060" s="20">
        <v>0.28999999999999998</v>
      </c>
      <c r="D1060" s="20">
        <v>0.7222893839730602</v>
      </c>
      <c r="E1060" s="20">
        <v>0.11</v>
      </c>
      <c r="F1060" s="8" t="s">
        <v>436</v>
      </c>
      <c r="G1060" s="24">
        <v>1.5912507060429371</v>
      </c>
      <c r="H1060" s="24">
        <v>1.6004636414528894</v>
      </c>
      <c r="I1060" s="25">
        <v>1.6284535661665773</v>
      </c>
      <c r="L1060" s="15">
        <v>1058</v>
      </c>
      <c r="M1060" s="16">
        <v>1</v>
      </c>
      <c r="N1060" s="16">
        <v>0</v>
      </c>
      <c r="O1060" s="16">
        <v>0</v>
      </c>
      <c r="P1060" s="16">
        <v>77</v>
      </c>
      <c r="Q1060" s="29">
        <v>78</v>
      </c>
      <c r="R1060" s="20">
        <v>0.48229999999999995</v>
      </c>
      <c r="S1060" s="32">
        <v>37.619399999999999</v>
      </c>
      <c r="T1060" s="35">
        <v>3.86</v>
      </c>
      <c r="U1060" s="35">
        <v>2.82</v>
      </c>
      <c r="V1060" s="35">
        <v>4.9487179487179483E-2</v>
      </c>
      <c r="W1060" s="9" t="s">
        <v>155</v>
      </c>
      <c r="X1060" s="15">
        <v>1059</v>
      </c>
      <c r="Y1060" s="39">
        <v>0.49047574618507261</v>
      </c>
      <c r="Z1060" s="39">
        <v>0.49160023538472264</v>
      </c>
      <c r="AA1060" s="39">
        <v>0.48251973641270923</v>
      </c>
      <c r="AB1060" s="39">
        <v>0.49394452357838231</v>
      </c>
      <c r="AC1060" s="39">
        <v>0.48408996081509104</v>
      </c>
      <c r="AD1060" s="39">
        <v>0.48619343697034062</v>
      </c>
      <c r="AE1060" s="39">
        <v>0.47732192737180845</v>
      </c>
      <c r="AF1060" s="40">
        <v>0.49006649631996413</v>
      </c>
    </row>
    <row r="1061" spans="1:32">
      <c r="A1061" s="15">
        <v>1059</v>
      </c>
      <c r="B1061" s="16">
        <v>1</v>
      </c>
      <c r="C1061" s="20">
        <v>0.02</v>
      </c>
      <c r="D1061" s="20">
        <v>0.99835916395484214</v>
      </c>
      <c r="E1061" s="20">
        <v>1</v>
      </c>
      <c r="F1061" s="8" t="s">
        <v>436</v>
      </c>
      <c r="G1061" s="24">
        <v>1.0725394810390243</v>
      </c>
      <c r="H1061" s="24">
        <v>1.0787492108609256</v>
      </c>
      <c r="I1061" s="25">
        <v>1.0976150622398033</v>
      </c>
      <c r="L1061" s="15">
        <v>1059</v>
      </c>
      <c r="M1061" s="16">
        <v>1</v>
      </c>
      <c r="N1061" s="16">
        <v>0</v>
      </c>
      <c r="O1061" s="16">
        <v>0</v>
      </c>
      <c r="P1061" s="16">
        <v>78</v>
      </c>
      <c r="Q1061" s="29">
        <v>96</v>
      </c>
      <c r="R1061" s="20">
        <v>0.48229999999999995</v>
      </c>
      <c r="S1061" s="32">
        <v>46.300799999999995</v>
      </c>
      <c r="T1061" s="35">
        <v>2.4700000000000002</v>
      </c>
      <c r="U1061" s="35">
        <v>1.18</v>
      </c>
      <c r="V1061" s="35">
        <v>2.5729166666666668E-2</v>
      </c>
      <c r="W1061" s="9" t="s">
        <v>154</v>
      </c>
      <c r="X1061" s="15">
        <v>1060</v>
      </c>
      <c r="Y1061" s="39">
        <v>0.49698133361743152</v>
      </c>
      <c r="Z1061" s="39">
        <v>0.47526938836730065</v>
      </c>
      <c r="AA1061" s="39">
        <v>0.48474449829201177</v>
      </c>
      <c r="AB1061" s="39">
        <v>0.48979746752626724</v>
      </c>
      <c r="AC1061" s="39">
        <v>0.48788687116100138</v>
      </c>
      <c r="AD1061" s="39">
        <v>0.46712111017596442</v>
      </c>
      <c r="AE1061" s="39">
        <v>0.48018566569582455</v>
      </c>
      <c r="AF1061" s="40">
        <v>0.48573078592570323</v>
      </c>
    </row>
    <row r="1062" spans="1:32">
      <c r="A1062" s="15">
        <v>1060</v>
      </c>
      <c r="B1062" s="16">
        <v>0</v>
      </c>
      <c r="C1062" s="20">
        <v>0.97</v>
      </c>
      <c r="D1062" s="20">
        <v>0.12097036642660543</v>
      </c>
      <c r="E1062" s="20">
        <v>0.03</v>
      </c>
      <c r="F1062" s="8" t="s">
        <v>434</v>
      </c>
      <c r="G1062" s="24">
        <v>2.1826904317676235</v>
      </c>
      <c r="H1062" s="24">
        <v>2.195327652220334</v>
      </c>
      <c r="I1062" s="25">
        <v>1.6578926537592125</v>
      </c>
      <c r="L1062" s="15">
        <v>1060</v>
      </c>
      <c r="M1062" s="16">
        <v>1</v>
      </c>
      <c r="N1062" s="16">
        <v>0</v>
      </c>
      <c r="O1062" s="16">
        <v>0</v>
      </c>
      <c r="P1062" s="16">
        <v>79</v>
      </c>
      <c r="Q1062" s="29">
        <v>91</v>
      </c>
      <c r="R1062" s="20">
        <v>0.48229999999999995</v>
      </c>
      <c r="S1062" s="32">
        <v>43.889299999999999</v>
      </c>
      <c r="T1062" s="35">
        <v>3.0300000000000002</v>
      </c>
      <c r="U1062" s="35">
        <v>1.53</v>
      </c>
      <c r="V1062" s="35">
        <v>3.3296703296703298E-2</v>
      </c>
      <c r="W1062" s="9" t="s">
        <v>155</v>
      </c>
      <c r="X1062" s="15">
        <v>1061</v>
      </c>
      <c r="Y1062" s="39">
        <v>0.49008484348179121</v>
      </c>
      <c r="Z1062" s="39">
        <v>0.47452280416100223</v>
      </c>
      <c r="AA1062" s="39">
        <v>0.49485993649310056</v>
      </c>
      <c r="AB1062" s="39">
        <v>0.49038861921308363</v>
      </c>
      <c r="AC1062" s="39">
        <v>0.4849792878086514</v>
      </c>
      <c r="AD1062" s="39">
        <v>0.46666286222988901</v>
      </c>
      <c r="AE1062" s="39">
        <v>0.48829295573719717</v>
      </c>
      <c r="AF1062" s="40">
        <v>0.48768715840093779</v>
      </c>
    </row>
    <row r="1063" spans="1:32">
      <c r="A1063" s="15">
        <v>1061</v>
      </c>
      <c r="B1063" s="16">
        <v>1</v>
      </c>
      <c r="C1063" s="20">
        <v>0.12</v>
      </c>
      <c r="D1063" s="20">
        <v>0.90593016526025638</v>
      </c>
      <c r="E1063" s="20">
        <v>7.0000000000000007E-2</v>
      </c>
      <c r="F1063" s="8" t="s">
        <v>436</v>
      </c>
      <c r="G1063" s="24">
        <v>1.267319364909741</v>
      </c>
      <c r="H1063" s="24">
        <v>1.2746568205403059</v>
      </c>
      <c r="I1063" s="25">
        <v>1.2969488286301143</v>
      </c>
      <c r="L1063" s="15">
        <v>1061</v>
      </c>
      <c r="M1063" s="16">
        <v>1</v>
      </c>
      <c r="N1063" s="16">
        <v>0</v>
      </c>
      <c r="O1063" s="16">
        <v>0</v>
      </c>
      <c r="P1063" s="16">
        <v>80</v>
      </c>
      <c r="Q1063" s="29">
        <v>86</v>
      </c>
      <c r="R1063" s="20">
        <v>0.48229999999999995</v>
      </c>
      <c r="S1063" s="32">
        <v>41.477799999999995</v>
      </c>
      <c r="T1063" s="35">
        <v>3.0100000000000002</v>
      </c>
      <c r="U1063" s="35">
        <v>1.87</v>
      </c>
      <c r="V1063" s="35">
        <v>3.5000000000000003E-2</v>
      </c>
      <c r="W1063" s="9" t="s">
        <v>155</v>
      </c>
      <c r="X1063" s="15">
        <v>1062</v>
      </c>
      <c r="Y1063" s="39">
        <v>0.47242418674973119</v>
      </c>
      <c r="Z1063" s="39">
        <v>0.48369892420089283</v>
      </c>
      <c r="AA1063" s="39">
        <v>0.49392766238863961</v>
      </c>
      <c r="AB1063" s="39">
        <v>0.47738928382771484</v>
      </c>
      <c r="AC1063" s="39">
        <v>0.46610124579616391</v>
      </c>
      <c r="AD1063" s="39">
        <v>0.47620549189139549</v>
      </c>
      <c r="AE1063" s="39">
        <v>0.48737611768971006</v>
      </c>
      <c r="AF1063" s="40">
        <v>0.47339255416099335</v>
      </c>
    </row>
    <row r="1064" spans="1:32">
      <c r="A1064" s="15">
        <v>1062</v>
      </c>
      <c r="B1064" s="16">
        <v>1</v>
      </c>
      <c r="C1064" s="20">
        <v>0.02</v>
      </c>
      <c r="D1064" s="20">
        <v>0.99460135128185911</v>
      </c>
      <c r="E1064" s="20">
        <v>1</v>
      </c>
      <c r="F1064" s="8" t="s">
        <v>436</v>
      </c>
      <c r="G1064" s="24">
        <v>0.99448416390394145</v>
      </c>
      <c r="H1064" s="24">
        <v>1.0002419733638044</v>
      </c>
      <c r="I1064" s="25">
        <v>1.0177348403086031</v>
      </c>
      <c r="L1064" s="15">
        <v>1062</v>
      </c>
      <c r="M1064" s="16">
        <v>1</v>
      </c>
      <c r="N1064" s="16">
        <v>0</v>
      </c>
      <c r="O1064" s="16">
        <v>0</v>
      </c>
      <c r="P1064" s="16">
        <v>81</v>
      </c>
      <c r="Q1064" s="29">
        <v>93</v>
      </c>
      <c r="R1064" s="20">
        <v>0.48229999999999995</v>
      </c>
      <c r="S1064" s="32">
        <v>44.853899999999996</v>
      </c>
      <c r="T1064" s="35">
        <v>2.67</v>
      </c>
      <c r="U1064" s="35">
        <v>1.37</v>
      </c>
      <c r="V1064" s="35">
        <v>2.8709677419354838E-2</v>
      </c>
      <c r="W1064" s="9" t="s">
        <v>154</v>
      </c>
      <c r="X1064" s="15">
        <v>1063</v>
      </c>
      <c r="Y1064" s="39">
        <v>0.48472910801505037</v>
      </c>
      <c r="Z1064" s="39">
        <v>0.47833545470741251</v>
      </c>
      <c r="AA1064" s="39">
        <v>0.47878461268046507</v>
      </c>
      <c r="AB1064" s="39">
        <v>0.48239081322351712</v>
      </c>
      <c r="AC1064" s="39">
        <v>0.47780154453625906</v>
      </c>
      <c r="AD1064" s="39">
        <v>0.47346288931553809</v>
      </c>
      <c r="AE1064" s="39">
        <v>0.47189420465129644</v>
      </c>
      <c r="AF1064" s="40">
        <v>0.48079974728909169</v>
      </c>
    </row>
    <row r="1065" spans="1:32">
      <c r="A1065" s="15">
        <v>1063</v>
      </c>
      <c r="B1065" s="16">
        <v>1</v>
      </c>
      <c r="C1065" s="20">
        <v>0.93</v>
      </c>
      <c r="D1065" s="20">
        <v>0.18747949848141848</v>
      </c>
      <c r="E1065" s="20">
        <v>7.0000000000000007E-2</v>
      </c>
      <c r="F1065" s="8" t="s">
        <v>434</v>
      </c>
      <c r="G1065" s="24">
        <v>0.67564143581425662</v>
      </c>
      <c r="H1065" s="24">
        <v>0.6795532272653495</v>
      </c>
      <c r="I1065" s="25">
        <v>0.69143768572941933</v>
      </c>
      <c r="L1065" s="15">
        <v>1063</v>
      </c>
      <c r="M1065" s="16">
        <v>1</v>
      </c>
      <c r="N1065" s="16">
        <v>0</v>
      </c>
      <c r="O1065" s="16">
        <v>0</v>
      </c>
      <c r="P1065" s="16">
        <v>82</v>
      </c>
      <c r="Q1065" s="29">
        <v>88</v>
      </c>
      <c r="R1065" s="20">
        <v>0.48229999999999995</v>
      </c>
      <c r="S1065" s="32">
        <v>42.442399999999992</v>
      </c>
      <c r="T1065" s="35">
        <v>3.7800000000000002</v>
      </c>
      <c r="U1065" s="35">
        <v>2.37</v>
      </c>
      <c r="V1065" s="35">
        <v>4.2954545454545461E-2</v>
      </c>
      <c r="W1065" s="9" t="s">
        <v>155</v>
      </c>
      <c r="X1065" s="15">
        <v>1064</v>
      </c>
      <c r="Y1065" s="39">
        <v>0.49024865493449998</v>
      </c>
      <c r="Z1065" s="39">
        <v>0.46905111470318755</v>
      </c>
      <c r="AA1065" s="39">
        <v>0.49006483094002018</v>
      </c>
      <c r="AB1065" s="39">
        <v>0.49225189690903193</v>
      </c>
      <c r="AC1065" s="39">
        <v>0.4799429764047411</v>
      </c>
      <c r="AD1065" s="39">
        <v>0.46476883411076292</v>
      </c>
      <c r="AE1065" s="39">
        <v>0.48398874211086701</v>
      </c>
      <c r="AF1065" s="40">
        <v>0.48922049686324459</v>
      </c>
    </row>
    <row r="1066" spans="1:32">
      <c r="A1066" s="15">
        <v>1064</v>
      </c>
      <c r="B1066" s="16">
        <v>0</v>
      </c>
      <c r="C1066" s="20">
        <v>0.93</v>
      </c>
      <c r="D1066" s="20">
        <v>0.18747949848141848</v>
      </c>
      <c r="E1066" s="20">
        <v>7.0000000000000007E-2</v>
      </c>
      <c r="F1066" s="8" t="s">
        <v>434</v>
      </c>
      <c r="G1066" s="24">
        <v>1.2812203057268421</v>
      </c>
      <c r="H1066" s="24">
        <v>1.2886382442564244</v>
      </c>
      <c r="I1066" s="25">
        <v>1.3111747683646342</v>
      </c>
      <c r="L1066" s="15">
        <v>1064</v>
      </c>
      <c r="M1066" s="16">
        <v>1</v>
      </c>
      <c r="N1066" s="16">
        <v>0</v>
      </c>
      <c r="O1066" s="16">
        <v>0</v>
      </c>
      <c r="P1066" s="16">
        <v>83</v>
      </c>
      <c r="Q1066" s="29">
        <v>78</v>
      </c>
      <c r="R1066" s="20">
        <v>0.48229999999999995</v>
      </c>
      <c r="S1066" s="32">
        <v>37.619399999999999</v>
      </c>
      <c r="T1066" s="35">
        <v>2.17</v>
      </c>
      <c r="U1066" s="35">
        <v>1.1000000000000001</v>
      </c>
      <c r="V1066" s="35">
        <v>2.782051282051282E-2</v>
      </c>
      <c r="W1066" s="9" t="s">
        <v>154</v>
      </c>
      <c r="X1066" s="15">
        <v>1065</v>
      </c>
      <c r="Y1066" s="39">
        <v>0.48409118725118433</v>
      </c>
      <c r="Z1066" s="39">
        <v>0.46578809799412901</v>
      </c>
      <c r="AA1066" s="39">
        <v>0.48903554772985863</v>
      </c>
      <c r="AB1066" s="39">
        <v>0.4913997835738409</v>
      </c>
      <c r="AC1066" s="39">
        <v>0.4770333573744901</v>
      </c>
      <c r="AD1066" s="39">
        <v>0.46209675519503274</v>
      </c>
      <c r="AE1066" s="39">
        <v>0.48329973033561274</v>
      </c>
      <c r="AF1066" s="40">
        <v>0.48809777290815781</v>
      </c>
    </row>
    <row r="1067" spans="1:32">
      <c r="A1067" s="15">
        <v>1065</v>
      </c>
      <c r="B1067" s="16">
        <v>0</v>
      </c>
      <c r="C1067" s="20">
        <v>0.91</v>
      </c>
      <c r="D1067" s="20">
        <v>0.21727233298780477</v>
      </c>
      <c r="E1067" s="20">
        <v>0.09</v>
      </c>
      <c r="F1067" s="8" t="s">
        <v>434</v>
      </c>
      <c r="G1067" s="24">
        <v>0.48895423620269951</v>
      </c>
      <c r="H1067" s="24">
        <v>0.49178515642127413</v>
      </c>
      <c r="I1067" s="25">
        <v>0.50038580759948204</v>
      </c>
      <c r="L1067" s="15">
        <v>1065</v>
      </c>
      <c r="M1067" s="16">
        <v>1</v>
      </c>
      <c r="N1067" s="16">
        <v>0</v>
      </c>
      <c r="O1067" s="16">
        <v>1</v>
      </c>
      <c r="P1067" s="16">
        <v>0</v>
      </c>
      <c r="Q1067" s="29">
        <v>53</v>
      </c>
      <c r="R1067" s="20">
        <v>0.48229999999999995</v>
      </c>
      <c r="S1067" s="32">
        <v>25.561899999999998</v>
      </c>
      <c r="T1067" s="35">
        <v>2.36</v>
      </c>
      <c r="U1067" s="35">
        <v>1.5</v>
      </c>
      <c r="V1067" s="35">
        <v>4.4528301886792451E-2</v>
      </c>
      <c r="W1067" s="9" t="s">
        <v>154</v>
      </c>
      <c r="X1067" s="15">
        <v>1066</v>
      </c>
      <c r="Y1067" s="39">
        <v>0.49088039794079474</v>
      </c>
      <c r="Z1067" s="39">
        <v>0.49016914047196652</v>
      </c>
      <c r="AA1067" s="39">
        <v>0.48023917639735986</v>
      </c>
      <c r="AB1067" s="39">
        <v>0.50320036012517544</v>
      </c>
      <c r="AC1067" s="39">
        <v>0.48574109355430622</v>
      </c>
      <c r="AD1067" s="39">
        <v>0.48245308948538551</v>
      </c>
      <c r="AE1067" s="39">
        <v>0.47382719711565047</v>
      </c>
      <c r="AF1067" s="40">
        <v>0.49613596351865713</v>
      </c>
    </row>
    <row r="1068" spans="1:32">
      <c r="A1068" s="15">
        <v>1066</v>
      </c>
      <c r="B1068" s="16">
        <v>0</v>
      </c>
      <c r="C1068" s="20">
        <v>0.6</v>
      </c>
      <c r="D1068" s="20">
        <v>0.45207454535717212</v>
      </c>
      <c r="E1068" s="20">
        <v>0.09</v>
      </c>
      <c r="F1068" s="8" t="s">
        <v>438</v>
      </c>
      <c r="G1068" s="24">
        <v>1.470471611534697</v>
      </c>
      <c r="H1068" s="24">
        <v>1.4789852668171677</v>
      </c>
      <c r="I1068" s="25">
        <v>1.5048507005569098</v>
      </c>
      <c r="L1068" s="15">
        <v>1066</v>
      </c>
      <c r="M1068" s="16">
        <v>1</v>
      </c>
      <c r="N1068" s="16">
        <v>0</v>
      </c>
      <c r="O1068" s="16">
        <v>1</v>
      </c>
      <c r="P1068" s="16">
        <v>1</v>
      </c>
      <c r="Q1068" s="29">
        <v>56</v>
      </c>
      <c r="R1068" s="20">
        <v>0.48229999999999995</v>
      </c>
      <c r="S1068" s="32">
        <v>27.008799999999997</v>
      </c>
      <c r="T1068" s="35">
        <v>3.13</v>
      </c>
      <c r="U1068" s="35">
        <v>2.35</v>
      </c>
      <c r="V1068" s="35">
        <v>5.589285714285714E-2</v>
      </c>
      <c r="W1068" s="9" t="s">
        <v>155</v>
      </c>
      <c r="X1068" s="15">
        <v>1067</v>
      </c>
      <c r="Y1068" s="39">
        <v>0.50314427128449335</v>
      </c>
      <c r="Z1068" s="39">
        <v>0.48528012446691765</v>
      </c>
      <c r="AA1068" s="39">
        <v>0.49060277093177246</v>
      </c>
      <c r="AB1068" s="39">
        <v>0.48303638498915619</v>
      </c>
      <c r="AC1068" s="39">
        <v>0.49457489399465593</v>
      </c>
      <c r="AD1068" s="39">
        <v>0.47867708612056714</v>
      </c>
      <c r="AE1068" s="39">
        <v>0.48283858579222777</v>
      </c>
      <c r="AF1068" s="40">
        <v>0.47745527921226982</v>
      </c>
    </row>
    <row r="1069" spans="1:32">
      <c r="A1069" s="15">
        <v>1067</v>
      </c>
      <c r="B1069" s="16">
        <v>0</v>
      </c>
      <c r="C1069" s="20">
        <v>0.27</v>
      </c>
      <c r="D1069" s="20">
        <v>0.75362836514838882</v>
      </c>
      <c r="E1069" s="20">
        <v>0.28999999999999998</v>
      </c>
      <c r="F1069" s="8" t="s">
        <v>436</v>
      </c>
      <c r="G1069" s="24">
        <v>1.1840785452448424</v>
      </c>
      <c r="H1069" s="24">
        <v>1.1909340577773575</v>
      </c>
      <c r="I1069" s="25">
        <v>1.2117618690145404</v>
      </c>
      <c r="L1069" s="15">
        <v>1067</v>
      </c>
      <c r="M1069" s="16">
        <v>1</v>
      </c>
      <c r="N1069" s="16">
        <v>0</v>
      </c>
      <c r="O1069" s="16">
        <v>1</v>
      </c>
      <c r="P1069" s="16">
        <v>2</v>
      </c>
      <c r="Q1069" s="29">
        <v>31</v>
      </c>
      <c r="R1069" s="20">
        <v>0.48229999999999995</v>
      </c>
      <c r="S1069" s="32">
        <v>14.951299999999998</v>
      </c>
      <c r="T1069" s="35">
        <v>0.44</v>
      </c>
      <c r="U1069" s="35">
        <v>0.03</v>
      </c>
      <c r="V1069" s="35">
        <v>1.4193548387096775E-2</v>
      </c>
      <c r="W1069" s="9" t="s">
        <v>152</v>
      </c>
      <c r="X1069" s="15">
        <v>1068</v>
      </c>
      <c r="Y1069" s="39">
        <v>0.48125624938079264</v>
      </c>
      <c r="Z1069" s="39">
        <v>0.48826965734280364</v>
      </c>
      <c r="AA1069" s="39">
        <v>0.48205455275189601</v>
      </c>
      <c r="AB1069" s="39">
        <v>0.46903339671628008</v>
      </c>
      <c r="AC1069" s="39">
        <v>0.47542203967490676</v>
      </c>
      <c r="AD1069" s="39">
        <v>0.48109549101506055</v>
      </c>
      <c r="AE1069" s="39">
        <v>0.47374622654691873</v>
      </c>
      <c r="AF1069" s="40">
        <v>0.46583930833375142</v>
      </c>
    </row>
    <row r="1070" spans="1:32">
      <c r="A1070" s="15">
        <v>1068</v>
      </c>
      <c r="B1070" s="16">
        <v>0</v>
      </c>
      <c r="C1070" s="20">
        <v>0.02</v>
      </c>
      <c r="D1070" s="20">
        <v>0.99679477127711513</v>
      </c>
      <c r="E1070" s="20">
        <v>1</v>
      </c>
      <c r="F1070" s="8" t="s">
        <v>436</v>
      </c>
      <c r="G1070" s="24">
        <v>1.0989835174009424</v>
      </c>
      <c r="H1070" s="24">
        <v>1.1053463514433512</v>
      </c>
      <c r="I1070" s="25">
        <v>1.1246773505101986</v>
      </c>
      <c r="L1070" s="15">
        <v>1068</v>
      </c>
      <c r="M1070" s="16">
        <v>1</v>
      </c>
      <c r="N1070" s="16">
        <v>0</v>
      </c>
      <c r="O1070" s="16">
        <v>1</v>
      </c>
      <c r="P1070" s="16">
        <v>3</v>
      </c>
      <c r="Q1070" s="29">
        <v>58</v>
      </c>
      <c r="R1070" s="20">
        <v>0.48229999999999995</v>
      </c>
      <c r="S1070" s="32">
        <v>27.973399999999998</v>
      </c>
      <c r="T1070" s="35">
        <v>1.6400000000000001</v>
      </c>
      <c r="U1070" s="35">
        <v>0.59</v>
      </c>
      <c r="V1070" s="35">
        <v>2.827586206896552E-2</v>
      </c>
      <c r="W1070" s="9" t="s">
        <v>153</v>
      </c>
      <c r="X1070" s="15">
        <v>1069</v>
      </c>
      <c r="Y1070" s="39">
        <v>0.47737072480224735</v>
      </c>
      <c r="Z1070" s="39">
        <v>0.48895976110357481</v>
      </c>
      <c r="AA1070" s="39">
        <v>0.48141844001293554</v>
      </c>
      <c r="AB1070" s="39">
        <v>0.48663135662565471</v>
      </c>
      <c r="AC1070" s="39">
        <v>0.4712775706056459</v>
      </c>
      <c r="AD1070" s="39">
        <v>0.4824655700574132</v>
      </c>
      <c r="AE1070" s="39">
        <v>0.47399713670342636</v>
      </c>
      <c r="AF1070" s="40">
        <v>0.4803187161049472</v>
      </c>
    </row>
    <row r="1071" spans="1:32">
      <c r="A1071" s="15">
        <v>1069</v>
      </c>
      <c r="B1071" s="16">
        <v>1</v>
      </c>
      <c r="C1071" s="20">
        <v>7.0000000000000007E-2</v>
      </c>
      <c r="D1071" s="20">
        <v>0.95213907897108607</v>
      </c>
      <c r="E1071" s="20">
        <v>7.0000000000000007E-2</v>
      </c>
      <c r="F1071" s="8" t="s">
        <v>436</v>
      </c>
      <c r="G1071" s="24">
        <v>0.92932476305317302</v>
      </c>
      <c r="H1071" s="24">
        <v>0.93470531621450947</v>
      </c>
      <c r="I1071" s="25">
        <v>0.95105203647275793</v>
      </c>
      <c r="L1071" s="15">
        <v>1069</v>
      </c>
      <c r="M1071" s="16">
        <v>1</v>
      </c>
      <c r="N1071" s="16">
        <v>0</v>
      </c>
      <c r="O1071" s="16">
        <v>1</v>
      </c>
      <c r="P1071" s="16">
        <v>4</v>
      </c>
      <c r="Q1071" s="29">
        <v>58</v>
      </c>
      <c r="R1071" s="20">
        <v>0.48229999999999995</v>
      </c>
      <c r="S1071" s="32">
        <v>27.973399999999998</v>
      </c>
      <c r="T1071" s="35">
        <v>2.2000000000000002</v>
      </c>
      <c r="U1071" s="35">
        <v>1.1599999999999999</v>
      </c>
      <c r="V1071" s="35">
        <v>3.7931034482758627E-2</v>
      </c>
      <c r="W1071" s="9" t="s">
        <v>154</v>
      </c>
      <c r="X1071" s="15">
        <v>1070</v>
      </c>
      <c r="Y1071" s="39">
        <v>0.48686623526883049</v>
      </c>
      <c r="Z1071" s="39">
        <v>0.48437785780767423</v>
      </c>
      <c r="AA1071" s="39">
        <v>0.48514050205354325</v>
      </c>
      <c r="AB1071" s="39">
        <v>0.49205363316712036</v>
      </c>
      <c r="AC1071" s="39">
        <v>0.47888558546144522</v>
      </c>
      <c r="AD1071" s="39">
        <v>0.47767192238994699</v>
      </c>
      <c r="AE1071" s="39">
        <v>0.47833054057364255</v>
      </c>
      <c r="AF1071" s="40">
        <v>0.4881168108532985</v>
      </c>
    </row>
    <row r="1072" spans="1:32">
      <c r="A1072" s="15">
        <v>1070</v>
      </c>
      <c r="B1072" s="16">
        <v>1</v>
      </c>
      <c r="C1072" s="20">
        <v>0.89</v>
      </c>
      <c r="D1072" s="20">
        <v>0.24559627500636821</v>
      </c>
      <c r="E1072" s="20">
        <v>0.11</v>
      </c>
      <c r="F1072" s="8" t="s">
        <v>434</v>
      </c>
      <c r="G1072" s="24">
        <v>1.1660892430003773</v>
      </c>
      <c r="H1072" s="24">
        <v>1.1728406020647941</v>
      </c>
      <c r="I1072" s="25">
        <v>1.1933519834562198</v>
      </c>
      <c r="L1072" s="15">
        <v>1070</v>
      </c>
      <c r="M1072" s="16">
        <v>1</v>
      </c>
      <c r="N1072" s="16">
        <v>0</v>
      </c>
      <c r="O1072" s="16">
        <v>1</v>
      </c>
      <c r="P1072" s="16">
        <v>5</v>
      </c>
      <c r="Q1072" s="29">
        <v>53</v>
      </c>
      <c r="R1072" s="20">
        <v>0.48229999999999995</v>
      </c>
      <c r="S1072" s="32">
        <v>25.561899999999998</v>
      </c>
      <c r="T1072" s="35">
        <v>2.3000000000000003</v>
      </c>
      <c r="U1072" s="35">
        <v>1.54</v>
      </c>
      <c r="V1072" s="35">
        <v>4.3396226415094344E-2</v>
      </c>
      <c r="W1072" s="9" t="s">
        <v>154</v>
      </c>
      <c r="X1072" s="15">
        <v>1071</v>
      </c>
      <c r="Y1072" s="39">
        <v>0.4829627120485267</v>
      </c>
      <c r="Z1072" s="39">
        <v>0.49446382229595998</v>
      </c>
      <c r="AA1072" s="39">
        <v>0.48231376873131032</v>
      </c>
      <c r="AB1072" s="39">
        <v>0.4866134757358781</v>
      </c>
      <c r="AC1072" s="39">
        <v>0.47779977258452472</v>
      </c>
      <c r="AD1072" s="39">
        <v>0.48877917072646243</v>
      </c>
      <c r="AE1072" s="39">
        <v>0.47747053355831859</v>
      </c>
      <c r="AF1072" s="40">
        <v>0.4818502974342635</v>
      </c>
    </row>
    <row r="1073" spans="1:32">
      <c r="A1073" s="15">
        <v>1071</v>
      </c>
      <c r="B1073" s="16">
        <v>0</v>
      </c>
      <c r="C1073" s="20">
        <v>0.59</v>
      </c>
      <c r="D1073" s="20">
        <v>0.4553292030472002</v>
      </c>
      <c r="E1073" s="20">
        <v>7.0000000000000007E-2</v>
      </c>
      <c r="F1073" s="8" t="s">
        <v>438</v>
      </c>
      <c r="G1073" s="24">
        <v>0.80116221098833684</v>
      </c>
      <c r="H1073" s="24">
        <v>0.8058007356876189</v>
      </c>
      <c r="I1073" s="25">
        <v>0.819893090766461</v>
      </c>
      <c r="L1073" s="15">
        <v>1071</v>
      </c>
      <c r="M1073" s="16">
        <v>1</v>
      </c>
      <c r="N1073" s="16">
        <v>0</v>
      </c>
      <c r="O1073" s="16">
        <v>1</v>
      </c>
      <c r="P1073" s="16">
        <v>6</v>
      </c>
      <c r="Q1073" s="29">
        <v>69</v>
      </c>
      <c r="R1073" s="20">
        <v>0.48229999999999995</v>
      </c>
      <c r="S1073" s="32">
        <v>33.278699999999994</v>
      </c>
      <c r="T1073" s="35">
        <v>1.68</v>
      </c>
      <c r="U1073" s="35">
        <v>0.81</v>
      </c>
      <c r="V1073" s="35">
        <v>2.4347826086956521E-2</v>
      </c>
      <c r="W1073" s="9" t="s">
        <v>153</v>
      </c>
      <c r="X1073" s="15">
        <v>1072</v>
      </c>
      <c r="Y1073" s="39">
        <v>0.49101782345360773</v>
      </c>
      <c r="Z1073" s="39">
        <v>0.48024627892883426</v>
      </c>
      <c r="AA1073" s="39">
        <v>0.49188912783642452</v>
      </c>
      <c r="AB1073" s="39">
        <v>0.49025514737662529</v>
      </c>
      <c r="AC1073" s="39">
        <v>0.48497179969049425</v>
      </c>
      <c r="AD1073" s="39">
        <v>0.47265961890705377</v>
      </c>
      <c r="AE1073" s="39">
        <v>0.48285703648193201</v>
      </c>
      <c r="AF1073" s="40">
        <v>0.48622827599070978</v>
      </c>
    </row>
    <row r="1074" spans="1:32">
      <c r="A1074" s="15">
        <v>1072</v>
      </c>
      <c r="B1074" s="16">
        <v>0</v>
      </c>
      <c r="C1074" s="20">
        <v>0.4</v>
      </c>
      <c r="D1074" s="20">
        <v>0.59194111143834227</v>
      </c>
      <c r="E1074" s="20">
        <v>0.11</v>
      </c>
      <c r="F1074" s="8" t="s">
        <v>436</v>
      </c>
      <c r="G1074" s="24">
        <v>0.82457098949959995</v>
      </c>
      <c r="H1074" s="24">
        <v>0.82934504505120532</v>
      </c>
      <c r="I1074" s="25">
        <v>0.84384915796662308</v>
      </c>
      <c r="L1074" s="15">
        <v>1072</v>
      </c>
      <c r="M1074" s="16">
        <v>1</v>
      </c>
      <c r="N1074" s="16">
        <v>0</v>
      </c>
      <c r="O1074" s="16">
        <v>1</v>
      </c>
      <c r="P1074" s="16">
        <v>7</v>
      </c>
      <c r="Q1074" s="29">
        <v>71</v>
      </c>
      <c r="R1074" s="20">
        <v>0.48229999999999995</v>
      </c>
      <c r="S1074" s="32">
        <v>34.243299999999998</v>
      </c>
      <c r="T1074" s="35">
        <v>1.28</v>
      </c>
      <c r="U1074" s="35">
        <v>0.23</v>
      </c>
      <c r="V1074" s="35">
        <v>1.8028169014084508E-2</v>
      </c>
      <c r="W1074" s="9" t="s">
        <v>153</v>
      </c>
      <c r="X1074" s="15">
        <v>1073</v>
      </c>
      <c r="Y1074" s="39">
        <v>0.48170524609547</v>
      </c>
      <c r="Z1074" s="39">
        <v>0.47947365020027577</v>
      </c>
      <c r="AA1074" s="39">
        <v>0.48117959917828579</v>
      </c>
      <c r="AB1074" s="39">
        <v>0.47745901338008034</v>
      </c>
      <c r="AC1074" s="39">
        <v>0.47454729251661049</v>
      </c>
      <c r="AD1074" s="39">
        <v>0.47175103893365694</v>
      </c>
      <c r="AE1074" s="39">
        <v>0.4754969394314878</v>
      </c>
      <c r="AF1074" s="40">
        <v>0.47337460361458317</v>
      </c>
    </row>
    <row r="1075" spans="1:32">
      <c r="A1075" s="15">
        <v>1073</v>
      </c>
      <c r="B1075" s="16">
        <v>0</v>
      </c>
      <c r="C1075" s="20">
        <v>0.94</v>
      </c>
      <c r="D1075" s="20">
        <v>0.17188516685452584</v>
      </c>
      <c r="E1075" s="20">
        <v>0.06</v>
      </c>
      <c r="F1075" s="8" t="s">
        <v>434</v>
      </c>
      <c r="G1075" s="24">
        <v>2.4243124189523462</v>
      </c>
      <c r="H1075" s="24">
        <v>2.3557193791407478</v>
      </c>
      <c r="I1075" s="25">
        <v>1.6578926537592125</v>
      </c>
      <c r="L1075" s="15">
        <v>1073</v>
      </c>
      <c r="M1075" s="16">
        <v>1</v>
      </c>
      <c r="N1075" s="16">
        <v>0</v>
      </c>
      <c r="O1075" s="16">
        <v>1</v>
      </c>
      <c r="P1075" s="16">
        <v>8</v>
      </c>
      <c r="Q1075" s="29">
        <v>64</v>
      </c>
      <c r="R1075" s="20">
        <v>0.48229999999999995</v>
      </c>
      <c r="S1075" s="32">
        <v>30.867199999999997</v>
      </c>
      <c r="T1075" s="35">
        <v>2.8200000000000003</v>
      </c>
      <c r="U1075" s="35">
        <v>1.78</v>
      </c>
      <c r="V1075" s="35">
        <v>4.4062500000000004E-2</v>
      </c>
      <c r="W1075" s="9" t="s">
        <v>154</v>
      </c>
      <c r="X1075" s="15">
        <v>1074</v>
      </c>
      <c r="Y1075" s="39">
        <v>0.47228891227825121</v>
      </c>
      <c r="Z1075" s="39">
        <v>0.46351574257236594</v>
      </c>
      <c r="AA1075" s="39">
        <v>0.48346834417709156</v>
      </c>
      <c r="AB1075" s="39">
        <v>0.49203733880681316</v>
      </c>
      <c r="AC1075" s="39">
        <v>0.46594109687030372</v>
      </c>
      <c r="AD1075" s="39">
        <v>0.45886837332310326</v>
      </c>
      <c r="AE1075" s="39">
        <v>0.47734937186225773</v>
      </c>
      <c r="AF1075" s="40">
        <v>0.48630944849244362</v>
      </c>
    </row>
    <row r="1076" spans="1:32">
      <c r="A1076" s="15">
        <v>1074</v>
      </c>
      <c r="B1076" s="16">
        <v>1</v>
      </c>
      <c r="C1076" s="20">
        <v>0.16</v>
      </c>
      <c r="D1076" s="20">
        <v>0.90066635476572354</v>
      </c>
      <c r="E1076" s="20">
        <v>0.04</v>
      </c>
      <c r="F1076" s="8" t="s">
        <v>436</v>
      </c>
      <c r="G1076" s="24">
        <v>1.0257348376814743</v>
      </c>
      <c r="H1076" s="24">
        <v>1.0316735805655528</v>
      </c>
      <c r="I1076" s="25">
        <v>1.0497161434212243</v>
      </c>
      <c r="L1076" s="15">
        <v>1074</v>
      </c>
      <c r="M1076" s="16">
        <v>1</v>
      </c>
      <c r="N1076" s="16">
        <v>0</v>
      </c>
      <c r="O1076" s="16">
        <v>1</v>
      </c>
      <c r="P1076" s="16">
        <v>9</v>
      </c>
      <c r="Q1076" s="29">
        <v>48</v>
      </c>
      <c r="R1076" s="20">
        <v>0.48229999999999995</v>
      </c>
      <c r="S1076" s="32">
        <v>23.150399999999998</v>
      </c>
      <c r="T1076" s="35">
        <v>1.05</v>
      </c>
      <c r="U1076" s="35">
        <v>0.33</v>
      </c>
      <c r="V1076" s="35">
        <v>2.1875000000000002E-2</v>
      </c>
      <c r="W1076" s="9" t="s">
        <v>153</v>
      </c>
      <c r="X1076" s="15">
        <v>1075</v>
      </c>
      <c r="Y1076" s="39">
        <v>0.50776333234208515</v>
      </c>
      <c r="Z1076" s="39">
        <v>0.48081670894510764</v>
      </c>
      <c r="AA1076" s="39">
        <v>0.4958625463375258</v>
      </c>
      <c r="AB1076" s="39">
        <v>0.48012853764792141</v>
      </c>
      <c r="AC1076" s="39">
        <v>0.49758084516243051</v>
      </c>
      <c r="AD1076" s="39">
        <v>0.47467124141418854</v>
      </c>
      <c r="AE1076" s="39">
        <v>0.48899845500239147</v>
      </c>
      <c r="AF1076" s="40">
        <v>0.47532419774844548</v>
      </c>
    </row>
    <row r="1077" spans="1:32">
      <c r="A1077" s="15">
        <v>1075</v>
      </c>
      <c r="B1077" s="16">
        <v>0</v>
      </c>
      <c r="C1077" s="20">
        <v>0.94</v>
      </c>
      <c r="D1077" s="20">
        <v>0.17188516685452584</v>
      </c>
      <c r="E1077" s="20">
        <v>0.06</v>
      </c>
      <c r="F1077" s="8" t="s">
        <v>434</v>
      </c>
      <c r="G1077" s="24">
        <v>1.2071426366032765</v>
      </c>
      <c r="H1077" s="24">
        <v>1.2141316843374841</v>
      </c>
      <c r="I1077" s="25">
        <v>1.2353651904021763</v>
      </c>
      <c r="L1077" s="15">
        <v>1075</v>
      </c>
      <c r="M1077" s="16">
        <v>1</v>
      </c>
      <c r="N1077" s="16">
        <v>0</v>
      </c>
      <c r="O1077" s="16">
        <v>1</v>
      </c>
      <c r="P1077" s="16">
        <v>10</v>
      </c>
      <c r="Q1077" s="29">
        <v>56</v>
      </c>
      <c r="R1077" s="20">
        <v>0.48229999999999995</v>
      </c>
      <c r="S1077" s="32">
        <v>27.008799999999997</v>
      </c>
      <c r="T1077" s="35">
        <v>2.5</v>
      </c>
      <c r="U1077" s="35">
        <v>1.75</v>
      </c>
      <c r="V1077" s="35">
        <v>4.4642857142857144E-2</v>
      </c>
      <c r="W1077" s="9" t="s">
        <v>154</v>
      </c>
      <c r="X1077" s="15">
        <v>1076</v>
      </c>
      <c r="Y1077" s="39">
        <v>0.47709199498785659</v>
      </c>
      <c r="Z1077" s="39">
        <v>0.46654311623802991</v>
      </c>
      <c r="AA1077" s="39">
        <v>0.48127659164428443</v>
      </c>
      <c r="AB1077" s="39">
        <v>0.50701832705900751</v>
      </c>
      <c r="AC1077" s="39">
        <v>0.47035588582893956</v>
      </c>
      <c r="AD1077" s="39">
        <v>0.46034943550998914</v>
      </c>
      <c r="AE1077" s="39">
        <v>0.47390224357557742</v>
      </c>
      <c r="AF1077" s="40">
        <v>0.50266441439177967</v>
      </c>
    </row>
    <row r="1078" spans="1:32">
      <c r="A1078" s="15">
        <v>1076</v>
      </c>
      <c r="B1078" s="16">
        <v>1</v>
      </c>
      <c r="C1078" s="20">
        <v>0.67</v>
      </c>
      <c r="D1078" s="20">
        <v>0.42933703824385477</v>
      </c>
      <c r="E1078" s="20">
        <v>0.1</v>
      </c>
      <c r="F1078" s="8" t="s">
        <v>438</v>
      </c>
      <c r="G1078" s="24">
        <v>2.2660384233154089</v>
      </c>
      <c r="H1078" s="24">
        <v>2.2791582073640151</v>
      </c>
      <c r="I1078" s="25">
        <v>1.6578926537592125</v>
      </c>
      <c r="L1078" s="15">
        <v>1076</v>
      </c>
      <c r="M1078" s="16">
        <v>1</v>
      </c>
      <c r="N1078" s="16">
        <v>0</v>
      </c>
      <c r="O1078" s="16">
        <v>2</v>
      </c>
      <c r="P1078" s="16">
        <v>11</v>
      </c>
      <c r="Q1078" s="29">
        <v>81</v>
      </c>
      <c r="R1078" s="20">
        <v>0.48229999999999995</v>
      </c>
      <c r="S1078" s="32">
        <v>39.066299999999998</v>
      </c>
      <c r="T1078" s="35">
        <v>4.26</v>
      </c>
      <c r="U1078" s="35">
        <v>3</v>
      </c>
      <c r="V1078" s="35">
        <v>5.2592592592592587E-2</v>
      </c>
      <c r="W1078" s="9" t="s">
        <v>155</v>
      </c>
      <c r="X1078" s="15">
        <v>1077</v>
      </c>
      <c r="Y1078" s="39">
        <v>0.48116220395589582</v>
      </c>
      <c r="Z1078" s="39">
        <v>0.47407287703762063</v>
      </c>
      <c r="AA1078" s="39">
        <v>0.48238529109741179</v>
      </c>
      <c r="AB1078" s="39">
        <v>0.47982965334711603</v>
      </c>
      <c r="AC1078" s="39">
        <v>0.47351480003703245</v>
      </c>
      <c r="AD1078" s="39">
        <v>0.46789646786676664</v>
      </c>
      <c r="AE1078" s="39">
        <v>0.47656030747228839</v>
      </c>
      <c r="AF1078" s="40">
        <v>0.47374200521604465</v>
      </c>
    </row>
    <row r="1079" spans="1:32">
      <c r="A1079" s="15">
        <v>1077</v>
      </c>
      <c r="B1079" s="16">
        <v>0</v>
      </c>
      <c r="C1079" s="20">
        <v>0.16</v>
      </c>
      <c r="D1079" s="20">
        <v>0.85240280499007492</v>
      </c>
      <c r="E1079" s="20">
        <v>0.45</v>
      </c>
      <c r="F1079" s="8" t="s">
        <v>436</v>
      </c>
      <c r="G1079" s="24">
        <v>0.93257658223807671</v>
      </c>
      <c r="H1079" s="24">
        <v>0.93797596260244376</v>
      </c>
      <c r="I1079" s="25">
        <v>0.95437988200211121</v>
      </c>
      <c r="L1079" s="15">
        <v>1077</v>
      </c>
      <c r="M1079" s="16">
        <v>1</v>
      </c>
      <c r="N1079" s="16">
        <v>0</v>
      </c>
      <c r="O1079" s="16">
        <v>2</v>
      </c>
      <c r="P1079" s="16">
        <v>12</v>
      </c>
      <c r="Q1079" s="29">
        <v>97</v>
      </c>
      <c r="R1079" s="20">
        <v>0.48229999999999995</v>
      </c>
      <c r="S1079" s="32">
        <v>46.783099999999997</v>
      </c>
      <c r="T1079" s="35">
        <v>5.2</v>
      </c>
      <c r="U1079" s="35">
        <v>3.8</v>
      </c>
      <c r="V1079" s="35">
        <v>5.3608247422680416E-2</v>
      </c>
      <c r="W1079" s="9" t="s">
        <v>156</v>
      </c>
      <c r="X1079" s="15">
        <v>1078</v>
      </c>
      <c r="Y1079" s="39">
        <v>0.49228076744444993</v>
      </c>
      <c r="Z1079" s="39">
        <v>0.50094799945316026</v>
      </c>
      <c r="AA1079" s="39">
        <v>0.49537124587292808</v>
      </c>
      <c r="AB1079" s="39">
        <v>0.48054633873335301</v>
      </c>
      <c r="AC1079" s="39">
        <v>0.48580685254628458</v>
      </c>
      <c r="AD1079" s="39">
        <v>0.49394484300674157</v>
      </c>
      <c r="AE1079" s="39">
        <v>0.48877273926903037</v>
      </c>
      <c r="AF1079" s="40">
        <v>0.47541396335477115</v>
      </c>
    </row>
    <row r="1080" spans="1:32">
      <c r="A1080" s="15">
        <v>1078</v>
      </c>
      <c r="B1080" s="16">
        <v>0</v>
      </c>
      <c r="C1080" s="20">
        <v>0.11</v>
      </c>
      <c r="D1080" s="20">
        <v>0.91429159525332215</v>
      </c>
      <c r="E1080" s="20">
        <v>0.08</v>
      </c>
      <c r="F1080" s="8" t="s">
        <v>436</v>
      </c>
      <c r="G1080" s="24">
        <v>1.6167017298128024</v>
      </c>
      <c r="H1080" s="24">
        <v>1.6260620201538278</v>
      </c>
      <c r="I1080" s="25">
        <v>1.6544996255733275</v>
      </c>
      <c r="L1080" s="15">
        <v>1078</v>
      </c>
      <c r="M1080" s="16">
        <v>1</v>
      </c>
      <c r="N1080" s="16">
        <v>0</v>
      </c>
      <c r="O1080" s="16">
        <v>2</v>
      </c>
      <c r="P1080" s="16">
        <v>13</v>
      </c>
      <c r="Q1080" s="29">
        <v>86</v>
      </c>
      <c r="R1080" s="20">
        <v>0.48229999999999995</v>
      </c>
      <c r="S1080" s="32">
        <v>41.477799999999995</v>
      </c>
      <c r="T1080" s="35">
        <v>3.22</v>
      </c>
      <c r="U1080" s="35">
        <v>2.08</v>
      </c>
      <c r="V1080" s="35">
        <v>3.7441860465116279E-2</v>
      </c>
      <c r="W1080" s="9" t="s">
        <v>155</v>
      </c>
      <c r="X1080" s="15">
        <v>1079</v>
      </c>
      <c r="Y1080" s="39">
        <v>0.48953122092683871</v>
      </c>
      <c r="Z1080" s="39">
        <v>0.48557069508647605</v>
      </c>
      <c r="AA1080" s="39">
        <v>0.47611803902255145</v>
      </c>
      <c r="AB1080" s="39">
        <v>0.48577030488848633</v>
      </c>
      <c r="AC1080" s="39">
        <v>0.48070089122727505</v>
      </c>
      <c r="AD1080" s="39">
        <v>0.47822032167091882</v>
      </c>
      <c r="AE1080" s="39">
        <v>0.46890929638212941</v>
      </c>
      <c r="AF1080" s="40">
        <v>0.48244869217580694</v>
      </c>
    </row>
    <row r="1081" spans="1:32">
      <c r="A1081" s="15">
        <v>1079</v>
      </c>
      <c r="B1081" s="16">
        <v>1</v>
      </c>
      <c r="C1081" s="20">
        <v>0.28000000000000003</v>
      </c>
      <c r="D1081" s="20">
        <v>0.7029927855160325</v>
      </c>
      <c r="E1081" s="20">
        <v>7.0000000000000007E-2</v>
      </c>
      <c r="F1081" s="8" t="s">
        <v>436</v>
      </c>
      <c r="G1081" s="24">
        <v>0.93480183058534838</v>
      </c>
      <c r="H1081" s="24">
        <v>0.94021409456963578</v>
      </c>
      <c r="I1081" s="25">
        <v>0.95665715584271938</v>
      </c>
      <c r="L1081" s="15">
        <v>1079</v>
      </c>
      <c r="M1081" s="16">
        <v>1</v>
      </c>
      <c r="N1081" s="16">
        <v>0</v>
      </c>
      <c r="O1081" s="16">
        <v>2</v>
      </c>
      <c r="P1081" s="16">
        <v>14</v>
      </c>
      <c r="Q1081" s="29">
        <v>93</v>
      </c>
      <c r="R1081" s="20">
        <v>0.48229999999999995</v>
      </c>
      <c r="S1081" s="32">
        <v>44.853899999999996</v>
      </c>
      <c r="T1081" s="35">
        <v>3.28</v>
      </c>
      <c r="U1081" s="35">
        <v>1.83</v>
      </c>
      <c r="V1081" s="35">
        <v>3.526881720430107E-2</v>
      </c>
      <c r="W1081" s="9" t="s">
        <v>155</v>
      </c>
      <c r="X1081" s="15">
        <v>1080</v>
      </c>
      <c r="Y1081" s="39">
        <v>0.47269515890022651</v>
      </c>
      <c r="Z1081" s="39">
        <v>0.4843740438229947</v>
      </c>
      <c r="AA1081" s="39">
        <v>0.49067453431184499</v>
      </c>
      <c r="AB1081" s="39">
        <v>0.48897572714704235</v>
      </c>
      <c r="AC1081" s="39">
        <v>0.463988868218904</v>
      </c>
      <c r="AD1081" s="39">
        <v>0.47793624749311669</v>
      </c>
      <c r="AE1081" s="39">
        <v>0.48530736915708922</v>
      </c>
      <c r="AF1081" s="40">
        <v>0.48137865629508048</v>
      </c>
    </row>
    <row r="1082" spans="1:32">
      <c r="A1082" s="15">
        <v>1080</v>
      </c>
      <c r="B1082" s="16">
        <v>1</v>
      </c>
      <c r="C1082" s="20">
        <v>0.93</v>
      </c>
      <c r="D1082" s="20">
        <v>0.18747949848141848</v>
      </c>
      <c r="E1082" s="20">
        <v>7.0000000000000007E-2</v>
      </c>
      <c r="F1082" s="8" t="s">
        <v>434</v>
      </c>
      <c r="G1082" s="24">
        <v>1.4282751313922157</v>
      </c>
      <c r="H1082" s="24">
        <v>1.4365444798256126</v>
      </c>
      <c r="I1082" s="25">
        <v>1.4616676821257171</v>
      </c>
      <c r="L1082" s="15">
        <v>1080</v>
      </c>
      <c r="M1082" s="16">
        <v>1</v>
      </c>
      <c r="N1082" s="16">
        <v>0</v>
      </c>
      <c r="O1082" s="16">
        <v>2</v>
      </c>
      <c r="P1082" s="16">
        <v>15</v>
      </c>
      <c r="Q1082" s="29">
        <v>82</v>
      </c>
      <c r="R1082" s="20">
        <v>0.48229999999999995</v>
      </c>
      <c r="S1082" s="32">
        <v>39.548599999999993</v>
      </c>
      <c r="T1082" s="35">
        <v>1.82</v>
      </c>
      <c r="U1082" s="35">
        <v>0.53</v>
      </c>
      <c r="V1082" s="35">
        <v>2.2195121951219515E-2</v>
      </c>
      <c r="W1082" s="9" t="s">
        <v>153</v>
      </c>
      <c r="X1082" s="15">
        <v>1081</v>
      </c>
      <c r="Y1082" s="39">
        <v>0.49940902244213597</v>
      </c>
      <c r="Z1082" s="39">
        <v>0.48110226155265517</v>
      </c>
      <c r="AA1082" s="39">
        <v>0.48897431784672662</v>
      </c>
      <c r="AB1082" s="39">
        <v>0.48223115832192792</v>
      </c>
      <c r="AC1082" s="39">
        <v>0.4948748317333333</v>
      </c>
      <c r="AD1082" s="39">
        <v>0.47511563343538227</v>
      </c>
      <c r="AE1082" s="39">
        <v>0.47968358128362665</v>
      </c>
      <c r="AF1082" s="40">
        <v>0.4780947392895038</v>
      </c>
    </row>
    <row r="1083" spans="1:32">
      <c r="A1083" s="15">
        <v>1081</v>
      </c>
      <c r="B1083" s="16">
        <v>1</v>
      </c>
      <c r="C1083" s="20">
        <v>0.28000000000000003</v>
      </c>
      <c r="D1083" s="20">
        <v>0.78492942260455478</v>
      </c>
      <c r="E1083" s="20">
        <v>0.06</v>
      </c>
      <c r="F1083" s="8" t="s">
        <v>436</v>
      </c>
      <c r="G1083" s="24">
        <v>0.94410110675035741</v>
      </c>
      <c r="H1083" s="24">
        <v>0.94956721116993392</v>
      </c>
      <c r="I1083" s="25">
        <v>0.96617384568685771</v>
      </c>
      <c r="L1083" s="15">
        <v>1081</v>
      </c>
      <c r="M1083" s="16">
        <v>1</v>
      </c>
      <c r="N1083" s="16">
        <v>0</v>
      </c>
      <c r="O1083" s="16">
        <v>2</v>
      </c>
      <c r="P1083" s="16">
        <v>16</v>
      </c>
      <c r="Q1083" s="29">
        <v>82</v>
      </c>
      <c r="R1083" s="20">
        <v>0.48229999999999995</v>
      </c>
      <c r="S1083" s="32">
        <v>39.548599999999993</v>
      </c>
      <c r="T1083" s="35">
        <v>3.0100000000000002</v>
      </c>
      <c r="U1083" s="35">
        <v>1.92</v>
      </c>
      <c r="V1083" s="35">
        <v>3.6707317073170737E-2</v>
      </c>
      <c r="W1083" s="9" t="s">
        <v>155</v>
      </c>
      <c r="X1083" s="15">
        <v>1082</v>
      </c>
      <c r="Y1083" s="39">
        <v>0.49298541705896259</v>
      </c>
      <c r="Z1083" s="39">
        <v>0.49088916418241713</v>
      </c>
      <c r="AA1083" s="39">
        <v>0.48067639102172993</v>
      </c>
      <c r="AB1083" s="39">
        <v>0.50142591324513164</v>
      </c>
      <c r="AC1083" s="39">
        <v>0.48476041127386171</v>
      </c>
      <c r="AD1083" s="39">
        <v>0.48335575385819374</v>
      </c>
      <c r="AE1083" s="39">
        <v>0.47733851206681904</v>
      </c>
      <c r="AF1083" s="40">
        <v>0.49734667399452598</v>
      </c>
    </row>
    <row r="1084" spans="1:32">
      <c r="A1084" s="15">
        <v>1082</v>
      </c>
      <c r="B1084" s="16">
        <v>1</v>
      </c>
      <c r="C1084" s="20">
        <v>0.02</v>
      </c>
      <c r="D1084" s="20">
        <v>0.99460135128185911</v>
      </c>
      <c r="E1084" s="20">
        <v>1</v>
      </c>
      <c r="F1084" s="8" t="s">
        <v>436</v>
      </c>
      <c r="G1084" s="24">
        <v>1.0867286532155969</v>
      </c>
      <c r="H1084" s="24">
        <v>1.0930205347225137</v>
      </c>
      <c r="I1084" s="25">
        <v>1.11213597207767</v>
      </c>
      <c r="L1084" s="15">
        <v>1082</v>
      </c>
      <c r="M1084" s="16">
        <v>1</v>
      </c>
      <c r="N1084" s="16">
        <v>0</v>
      </c>
      <c r="O1084" s="16">
        <v>2</v>
      </c>
      <c r="P1084" s="16">
        <v>17</v>
      </c>
      <c r="Q1084" s="29">
        <v>74</v>
      </c>
      <c r="R1084" s="20">
        <v>0.48229999999999995</v>
      </c>
      <c r="S1084" s="32">
        <v>35.690199999999997</v>
      </c>
      <c r="T1084" s="35">
        <v>4.2300000000000004</v>
      </c>
      <c r="U1084" s="35">
        <v>3.23</v>
      </c>
      <c r="V1084" s="35">
        <v>5.7162162162162168E-2</v>
      </c>
      <c r="W1084" s="9" t="s">
        <v>155</v>
      </c>
      <c r="X1084" s="15">
        <v>1083</v>
      </c>
      <c r="Y1084" s="39">
        <v>0.49272605816580178</v>
      </c>
      <c r="Z1084" s="39">
        <v>0.48714714354035477</v>
      </c>
      <c r="AA1084" s="39">
        <v>0.48710519128882035</v>
      </c>
      <c r="AB1084" s="39">
        <v>0.50101910669948246</v>
      </c>
      <c r="AC1084" s="39">
        <v>0.48622163445804173</v>
      </c>
      <c r="AD1084" s="39">
        <v>0.48089333059329631</v>
      </c>
      <c r="AE1084" s="39">
        <v>0.4780312859172689</v>
      </c>
      <c r="AF1084" s="40">
        <v>0.4979054223821856</v>
      </c>
    </row>
    <row r="1085" spans="1:32">
      <c r="A1085" s="15">
        <v>1083</v>
      </c>
      <c r="B1085" s="16">
        <v>0</v>
      </c>
      <c r="C1085" s="20">
        <v>0.9</v>
      </c>
      <c r="D1085" s="20">
        <v>0.231595386583653</v>
      </c>
      <c r="E1085" s="20">
        <v>0.1</v>
      </c>
      <c r="F1085" s="8" t="s">
        <v>434</v>
      </c>
      <c r="G1085" s="24">
        <v>0.46251478062773421</v>
      </c>
      <c r="H1085" s="24">
        <v>0.46519262314738846</v>
      </c>
      <c r="I1085" s="25">
        <v>0.47332820721316471</v>
      </c>
      <c r="L1085" s="15">
        <v>1083</v>
      </c>
      <c r="M1085" s="16">
        <v>1</v>
      </c>
      <c r="N1085" s="16">
        <v>0</v>
      </c>
      <c r="O1085" s="16">
        <v>2</v>
      </c>
      <c r="P1085" s="16">
        <v>18</v>
      </c>
      <c r="Q1085" s="29">
        <v>82</v>
      </c>
      <c r="R1085" s="20">
        <v>0.48229999999999995</v>
      </c>
      <c r="S1085" s="32">
        <v>39.548599999999993</v>
      </c>
      <c r="T1085" s="35">
        <v>2.31</v>
      </c>
      <c r="U1085" s="35">
        <v>1.08</v>
      </c>
      <c r="V1085" s="35">
        <v>2.8170731707317074E-2</v>
      </c>
      <c r="W1085" s="9" t="s">
        <v>154</v>
      </c>
      <c r="X1085" s="15">
        <v>1084</v>
      </c>
      <c r="Y1085" s="39">
        <v>0.4977314475023587</v>
      </c>
      <c r="Z1085" s="39">
        <v>0.49068680836135814</v>
      </c>
      <c r="AA1085" s="39">
        <v>0.4846152362549222</v>
      </c>
      <c r="AB1085" s="39">
        <v>0.48623154704796923</v>
      </c>
      <c r="AC1085" s="39">
        <v>0.49119688032784753</v>
      </c>
      <c r="AD1085" s="39">
        <v>0.48182384166340603</v>
      </c>
      <c r="AE1085" s="39">
        <v>0.47927887761197058</v>
      </c>
      <c r="AF1085" s="40">
        <v>0.48335668396011083</v>
      </c>
    </row>
    <row r="1086" spans="1:32">
      <c r="A1086" s="15">
        <v>1084</v>
      </c>
      <c r="B1086" s="16">
        <v>1</v>
      </c>
      <c r="C1086" s="20">
        <v>0.19</v>
      </c>
      <c r="D1086" s="20">
        <v>0.89270361434905043</v>
      </c>
      <c r="E1086" s="20">
        <v>0.39</v>
      </c>
      <c r="F1086" s="8" t="s">
        <v>436</v>
      </c>
      <c r="G1086" s="24">
        <v>1.1321097945418113</v>
      </c>
      <c r="H1086" s="24">
        <v>1.1386644212731485</v>
      </c>
      <c r="I1086" s="25">
        <v>1.1585781079075153</v>
      </c>
      <c r="L1086" s="15">
        <v>1084</v>
      </c>
      <c r="M1086" s="16">
        <v>1</v>
      </c>
      <c r="N1086" s="16">
        <v>0</v>
      </c>
      <c r="O1086" s="16">
        <v>2</v>
      </c>
      <c r="P1086" s="16">
        <v>19</v>
      </c>
      <c r="Q1086" s="29">
        <v>94</v>
      </c>
      <c r="R1086" s="20">
        <v>0.48229999999999995</v>
      </c>
      <c r="S1086" s="32">
        <v>45.336199999999998</v>
      </c>
      <c r="T1086" s="35">
        <v>3.88</v>
      </c>
      <c r="U1086" s="35">
        <v>2.4500000000000002</v>
      </c>
      <c r="V1086" s="35">
        <v>4.1276595744680851E-2</v>
      </c>
      <c r="W1086" s="9" t="s">
        <v>155</v>
      </c>
      <c r="X1086" s="15">
        <v>1085</v>
      </c>
      <c r="Y1086" s="39">
        <v>0.47948041037086869</v>
      </c>
      <c r="Z1086" s="39">
        <v>0.47650929519721236</v>
      </c>
      <c r="AA1086" s="39">
        <v>0.4814027593815941</v>
      </c>
      <c r="AB1086" s="39">
        <v>0.49113684016313847</v>
      </c>
      <c r="AC1086" s="39">
        <v>0.47852376519562728</v>
      </c>
      <c r="AD1086" s="39">
        <v>0.46878770748708465</v>
      </c>
      <c r="AE1086" s="39">
        <v>0.4760405152181259</v>
      </c>
      <c r="AF1086" s="40">
        <v>0.48552937842265431</v>
      </c>
    </row>
    <row r="1087" spans="1:32">
      <c r="A1087" s="15">
        <v>1085</v>
      </c>
      <c r="B1087" s="16">
        <v>0</v>
      </c>
      <c r="C1087" s="20">
        <v>0.91</v>
      </c>
      <c r="D1087" s="20">
        <v>0.21727233298780477</v>
      </c>
      <c r="E1087" s="20">
        <v>0.09</v>
      </c>
      <c r="F1087" s="8" t="s">
        <v>434</v>
      </c>
      <c r="G1087" s="24">
        <v>1.0542538566061326</v>
      </c>
      <c r="H1087" s="24">
        <v>1.0603577173301029</v>
      </c>
      <c r="I1087" s="25">
        <v>1.0789019265885555</v>
      </c>
      <c r="L1087" s="15">
        <v>1085</v>
      </c>
      <c r="M1087" s="16">
        <v>1</v>
      </c>
      <c r="N1087" s="16">
        <v>0</v>
      </c>
      <c r="O1087" s="16">
        <v>2</v>
      </c>
      <c r="P1087" s="16">
        <v>20</v>
      </c>
      <c r="Q1087" s="29">
        <v>78</v>
      </c>
      <c r="R1087" s="20">
        <v>0.48229999999999995</v>
      </c>
      <c r="S1087" s="32">
        <v>37.619399999999999</v>
      </c>
      <c r="T1087" s="35">
        <v>2.93</v>
      </c>
      <c r="U1087" s="35">
        <v>1.85</v>
      </c>
      <c r="V1087" s="35">
        <v>3.7564102564102565E-2</v>
      </c>
      <c r="W1087" s="9" t="s">
        <v>154</v>
      </c>
      <c r="X1087" s="15">
        <v>1086</v>
      </c>
      <c r="Y1087" s="39">
        <v>0.48377699240103933</v>
      </c>
      <c r="Z1087" s="39">
        <v>0.47936986437754447</v>
      </c>
      <c r="AA1087" s="39">
        <v>0.4776703939838422</v>
      </c>
      <c r="AB1087" s="39">
        <v>0.47417156063758098</v>
      </c>
      <c r="AC1087" s="39">
        <v>0.47715128339688317</v>
      </c>
      <c r="AD1087" s="39">
        <v>0.47129108999415104</v>
      </c>
      <c r="AE1087" s="39">
        <v>0.47103248726744745</v>
      </c>
      <c r="AF1087" s="40">
        <v>0.46737526710742078</v>
      </c>
    </row>
    <row r="1088" spans="1:32">
      <c r="A1088" s="15">
        <v>1086</v>
      </c>
      <c r="B1088" s="16">
        <v>0</v>
      </c>
      <c r="C1088" s="20">
        <v>0.22</v>
      </c>
      <c r="D1088" s="20">
        <v>0.83226780220232033</v>
      </c>
      <c r="E1088" s="20">
        <v>0.04</v>
      </c>
      <c r="F1088" s="8" t="s">
        <v>436</v>
      </c>
      <c r="G1088" s="24">
        <v>0.61162370318016812</v>
      </c>
      <c r="H1088" s="24">
        <v>0.61516484830029017</v>
      </c>
      <c r="I1088" s="25">
        <v>0.62592324189603699</v>
      </c>
      <c r="L1088" s="15">
        <v>1086</v>
      </c>
      <c r="M1088" s="16">
        <v>1</v>
      </c>
      <c r="N1088" s="16">
        <v>0</v>
      </c>
      <c r="O1088" s="16">
        <v>2</v>
      </c>
      <c r="P1088" s="16">
        <v>21</v>
      </c>
      <c r="Q1088" s="29">
        <v>74</v>
      </c>
      <c r="R1088" s="20">
        <v>0.48229999999999995</v>
      </c>
      <c r="S1088" s="32">
        <v>35.690199999999997</v>
      </c>
      <c r="T1088" s="35">
        <v>3.36</v>
      </c>
      <c r="U1088" s="35">
        <v>2.36</v>
      </c>
      <c r="V1088" s="35">
        <v>4.5405405405405407E-2</v>
      </c>
      <c r="W1088" s="9" t="s">
        <v>155</v>
      </c>
      <c r="X1088" s="15">
        <v>1087</v>
      </c>
      <c r="Y1088" s="39">
        <v>0.46498498498631269</v>
      </c>
      <c r="Z1088" s="39">
        <v>0.4654378870942773</v>
      </c>
      <c r="AA1088" s="39">
        <v>0.49447526459142382</v>
      </c>
      <c r="AB1088" s="39">
        <v>0.50248413383976687</v>
      </c>
      <c r="AC1088" s="39">
        <v>0.45633085459117034</v>
      </c>
      <c r="AD1088" s="39">
        <v>0.45872067226580554</v>
      </c>
      <c r="AE1088" s="39">
        <v>0.48618001942621314</v>
      </c>
      <c r="AF1088" s="40">
        <v>0.49592886475699643</v>
      </c>
    </row>
    <row r="1089" spans="1:32">
      <c r="A1089" s="15">
        <v>1087</v>
      </c>
      <c r="B1089" s="16">
        <v>1</v>
      </c>
      <c r="C1089" s="20">
        <v>0.52</v>
      </c>
      <c r="D1089" s="20">
        <v>0.47761623831995659</v>
      </c>
      <c r="E1089" s="20">
        <v>0.12</v>
      </c>
      <c r="F1089" s="8" t="s">
        <v>438</v>
      </c>
      <c r="G1089" s="24">
        <v>0.86749825901893185</v>
      </c>
      <c r="H1089" s="24">
        <v>0.87252085250356393</v>
      </c>
      <c r="I1089" s="25">
        <v>0.88778005136329419</v>
      </c>
      <c r="L1089" s="15">
        <v>1087</v>
      </c>
      <c r="M1089" s="16">
        <v>1</v>
      </c>
      <c r="N1089" s="16">
        <v>0</v>
      </c>
      <c r="O1089" s="16">
        <v>2</v>
      </c>
      <c r="P1089" s="16">
        <v>22</v>
      </c>
      <c r="Q1089" s="29">
        <v>91</v>
      </c>
      <c r="R1089" s="20">
        <v>0.48229999999999995</v>
      </c>
      <c r="S1089" s="32">
        <v>43.889299999999999</v>
      </c>
      <c r="T1089" s="35">
        <v>2.4900000000000002</v>
      </c>
      <c r="U1089" s="35">
        <v>1.1599999999999999</v>
      </c>
      <c r="V1089" s="35">
        <v>2.7362637362637363E-2</v>
      </c>
      <c r="W1089" s="9" t="s">
        <v>154</v>
      </c>
      <c r="X1089" s="15">
        <v>1088</v>
      </c>
      <c r="Y1089" s="39">
        <v>0.48770556050479147</v>
      </c>
      <c r="Z1089" s="39">
        <v>0.48030353534695613</v>
      </c>
      <c r="AA1089" s="39">
        <v>0.48360726975329199</v>
      </c>
      <c r="AB1089" s="39">
        <v>0.48337611985572926</v>
      </c>
      <c r="AC1089" s="39">
        <v>0.48000025471455915</v>
      </c>
      <c r="AD1089" s="39">
        <v>0.47190286133166254</v>
      </c>
      <c r="AE1089" s="39">
        <v>0.4768789867631939</v>
      </c>
      <c r="AF1089" s="40">
        <v>0.47904164271152772</v>
      </c>
    </row>
    <row r="1090" spans="1:32">
      <c r="A1090" s="15">
        <v>1088</v>
      </c>
      <c r="B1090" s="16">
        <v>1</v>
      </c>
      <c r="C1090" s="20">
        <v>0.13</v>
      </c>
      <c r="D1090" s="20">
        <v>0.92953035933149131</v>
      </c>
      <c r="E1090" s="20">
        <v>0.06</v>
      </c>
      <c r="F1090" s="8" t="s">
        <v>436</v>
      </c>
      <c r="G1090" s="24">
        <v>0.66277018220986017</v>
      </c>
      <c r="H1090" s="24">
        <v>0.6666074523880624</v>
      </c>
      <c r="I1090" s="25">
        <v>0.67826550691842791</v>
      </c>
      <c r="L1090" s="15">
        <v>1088</v>
      </c>
      <c r="M1090" s="16">
        <v>1</v>
      </c>
      <c r="N1090" s="16">
        <v>0</v>
      </c>
      <c r="O1090" s="16">
        <v>2</v>
      </c>
      <c r="P1090" s="16">
        <v>23</v>
      </c>
      <c r="Q1090" s="29">
        <v>67</v>
      </c>
      <c r="R1090" s="20">
        <v>0.48229999999999995</v>
      </c>
      <c r="S1090" s="32">
        <v>32.314099999999996</v>
      </c>
      <c r="T1090" s="35">
        <v>1.51</v>
      </c>
      <c r="U1090" s="35">
        <v>0.48</v>
      </c>
      <c r="V1090" s="35">
        <v>2.2537313432835823E-2</v>
      </c>
      <c r="W1090" s="9" t="s">
        <v>153</v>
      </c>
      <c r="X1090" s="15">
        <v>1089</v>
      </c>
      <c r="Y1090" s="39">
        <v>0.47077976952455192</v>
      </c>
      <c r="Z1090" s="39">
        <v>0.48732143448176474</v>
      </c>
      <c r="AA1090" s="39">
        <v>0.49374522485042871</v>
      </c>
      <c r="AB1090" s="39">
        <v>0.49934796625241912</v>
      </c>
      <c r="AC1090" s="39">
        <v>0.46460677943383871</v>
      </c>
      <c r="AD1090" s="39">
        <v>0.47714897843432508</v>
      </c>
      <c r="AE1090" s="39">
        <v>0.48632823115063062</v>
      </c>
      <c r="AF1090" s="40">
        <v>0.4942406009752196</v>
      </c>
    </row>
    <row r="1091" spans="1:32">
      <c r="A1091" s="15">
        <v>1089</v>
      </c>
      <c r="B1091" s="16">
        <v>0</v>
      </c>
      <c r="C1091" s="20">
        <v>0.53</v>
      </c>
      <c r="D1091" s="20">
        <v>0.46561859237124709</v>
      </c>
      <c r="E1091" s="20">
        <v>0.08</v>
      </c>
      <c r="F1091" s="8" t="s">
        <v>438</v>
      </c>
      <c r="G1091" s="24">
        <v>1.3630105313050349</v>
      </c>
      <c r="H1091" s="24">
        <v>1.3709020143631794</v>
      </c>
      <c r="I1091" s="25">
        <v>1.394877219533748</v>
      </c>
      <c r="L1091" s="15">
        <v>1089</v>
      </c>
      <c r="M1091" s="16">
        <v>1</v>
      </c>
      <c r="N1091" s="16">
        <v>0</v>
      </c>
      <c r="O1091" s="16">
        <v>2</v>
      </c>
      <c r="P1091" s="16">
        <v>24</v>
      </c>
      <c r="Q1091" s="29">
        <v>85</v>
      </c>
      <c r="R1091" s="20">
        <v>0.48229999999999995</v>
      </c>
      <c r="S1091" s="32">
        <v>40.995499999999993</v>
      </c>
      <c r="T1091" s="35">
        <v>2.95</v>
      </c>
      <c r="U1091" s="35">
        <v>1.74</v>
      </c>
      <c r="V1091" s="35">
        <v>3.4705882352941177E-2</v>
      </c>
      <c r="W1091" s="9" t="s">
        <v>154</v>
      </c>
      <c r="X1091" s="15">
        <v>1090</v>
      </c>
      <c r="Y1091" s="39">
        <v>0.47255126439478617</v>
      </c>
      <c r="Z1091" s="39">
        <v>0.48682674895851064</v>
      </c>
      <c r="AA1091" s="39">
        <v>0.49339074609789113</v>
      </c>
      <c r="AB1091" s="39">
        <v>0.48360266375107813</v>
      </c>
      <c r="AC1091" s="39">
        <v>0.46753950468937822</v>
      </c>
      <c r="AD1091" s="39">
        <v>0.47854580410491659</v>
      </c>
      <c r="AE1091" s="39">
        <v>0.48712196673932889</v>
      </c>
      <c r="AF1091" s="40">
        <v>0.48066502167715458</v>
      </c>
    </row>
    <row r="1092" spans="1:32">
      <c r="A1092" s="15">
        <v>1090</v>
      </c>
      <c r="B1092" s="16">
        <v>0</v>
      </c>
      <c r="C1092" s="20">
        <v>0.51</v>
      </c>
      <c r="D1092" s="20">
        <v>0.46882684830902555</v>
      </c>
      <c r="E1092" s="20">
        <v>7.0000000000000007E-2</v>
      </c>
      <c r="F1092" s="8" t="s">
        <v>438</v>
      </c>
      <c r="G1092" s="24">
        <v>0.95209827692825344</v>
      </c>
      <c r="H1092" s="24">
        <v>0.9576106829218255</v>
      </c>
      <c r="I1092" s="25">
        <v>0.97435798678164531</v>
      </c>
      <c r="L1092" s="15">
        <v>1090</v>
      </c>
      <c r="M1092" s="16">
        <v>1</v>
      </c>
      <c r="N1092" s="16">
        <v>0</v>
      </c>
      <c r="O1092" s="16">
        <v>2</v>
      </c>
      <c r="P1092" s="16">
        <v>25</v>
      </c>
      <c r="Q1092" s="29">
        <v>84</v>
      </c>
      <c r="R1092" s="20">
        <v>0.48229999999999995</v>
      </c>
      <c r="S1092" s="32">
        <v>40.513199999999998</v>
      </c>
      <c r="T1092" s="35">
        <v>2.66</v>
      </c>
      <c r="U1092" s="35">
        <v>1.24</v>
      </c>
      <c r="V1092" s="35">
        <v>3.1666666666666669E-2</v>
      </c>
      <c r="W1092" s="9" t="s">
        <v>154</v>
      </c>
      <c r="X1092" s="15">
        <v>1091</v>
      </c>
      <c r="Y1092" s="39">
        <v>0.48733418344019003</v>
      </c>
      <c r="Z1092" s="39">
        <v>0.48098681801743776</v>
      </c>
      <c r="AA1092" s="39">
        <v>0.47961952211675257</v>
      </c>
      <c r="AB1092" s="39">
        <v>0.49594620255150235</v>
      </c>
      <c r="AC1092" s="39">
        <v>0.48053552194830951</v>
      </c>
      <c r="AD1092" s="39">
        <v>0.47389211860896074</v>
      </c>
      <c r="AE1092" s="39">
        <v>0.47325373015558758</v>
      </c>
      <c r="AF1092" s="40">
        <v>0.48933097570381268</v>
      </c>
    </row>
    <row r="1093" spans="1:32">
      <c r="A1093" s="15">
        <v>1091</v>
      </c>
      <c r="B1093" s="16">
        <v>0</v>
      </c>
      <c r="C1093" s="20">
        <v>0.6</v>
      </c>
      <c r="D1093" s="20">
        <v>0.52145508169276533</v>
      </c>
      <c r="E1093" s="20">
        <v>0.15</v>
      </c>
      <c r="F1093" s="8" t="s">
        <v>438</v>
      </c>
      <c r="G1093" s="24">
        <v>0.74941837865722583</v>
      </c>
      <c r="H1093" s="24">
        <v>0.75375731977529115</v>
      </c>
      <c r="I1093" s="25">
        <v>0.76693950654071463</v>
      </c>
      <c r="L1093" s="15">
        <v>1091</v>
      </c>
      <c r="M1093" s="16">
        <v>1</v>
      </c>
      <c r="N1093" s="16">
        <v>0</v>
      </c>
      <c r="O1093" s="16">
        <v>2</v>
      </c>
      <c r="P1093" s="16">
        <v>26</v>
      </c>
      <c r="Q1093" s="29">
        <v>94</v>
      </c>
      <c r="R1093" s="20">
        <v>0.48229999999999995</v>
      </c>
      <c r="S1093" s="32">
        <v>45.336199999999998</v>
      </c>
      <c r="T1093" s="35">
        <v>3</v>
      </c>
      <c r="U1093" s="35">
        <v>1.72</v>
      </c>
      <c r="V1093" s="35">
        <v>3.1914893617021274E-2</v>
      </c>
      <c r="W1093" s="9" t="s">
        <v>155</v>
      </c>
      <c r="X1093" s="15">
        <v>1092</v>
      </c>
      <c r="Y1093" s="39">
        <v>0.49097994336577044</v>
      </c>
      <c r="Z1093" s="39">
        <v>0.48436442475388547</v>
      </c>
      <c r="AA1093" s="39">
        <v>0.49308758077543996</v>
      </c>
      <c r="AB1093" s="39">
        <v>0.47462073837861368</v>
      </c>
      <c r="AC1093" s="39">
        <v>0.48433504355417378</v>
      </c>
      <c r="AD1093" s="39">
        <v>0.47858955958071842</v>
      </c>
      <c r="AE1093" s="39">
        <v>0.48737445591552309</v>
      </c>
      <c r="AF1093" s="40">
        <v>0.46918937277198586</v>
      </c>
    </row>
    <row r="1094" spans="1:32">
      <c r="A1094" s="15">
        <v>1092</v>
      </c>
      <c r="B1094" s="16">
        <v>1</v>
      </c>
      <c r="C1094" s="20">
        <v>0.02</v>
      </c>
      <c r="D1094" s="20">
        <v>0.99917029198757767</v>
      </c>
      <c r="E1094" s="20">
        <v>1</v>
      </c>
      <c r="F1094" s="8" t="s">
        <v>436</v>
      </c>
      <c r="G1094" s="24">
        <v>1.0430975779555856</v>
      </c>
      <c r="H1094" s="24">
        <v>1.0491368466738884</v>
      </c>
      <c r="I1094" s="25">
        <v>1.0674848182192467</v>
      </c>
      <c r="L1094" s="15">
        <v>1092</v>
      </c>
      <c r="M1094" s="16">
        <v>1</v>
      </c>
      <c r="N1094" s="16">
        <v>0</v>
      </c>
      <c r="O1094" s="16">
        <v>2</v>
      </c>
      <c r="P1094" s="16">
        <v>27</v>
      </c>
      <c r="Q1094" s="29">
        <v>76</v>
      </c>
      <c r="R1094" s="20">
        <v>0.48229999999999995</v>
      </c>
      <c r="S1094" s="32">
        <v>36.654799999999994</v>
      </c>
      <c r="T1094" s="35">
        <v>3.17</v>
      </c>
      <c r="U1094" s="35">
        <v>1.96</v>
      </c>
      <c r="V1094" s="35">
        <v>4.1710526315789476E-2</v>
      </c>
      <c r="W1094" s="9" t="s">
        <v>155</v>
      </c>
      <c r="X1094" s="15">
        <v>1093</v>
      </c>
      <c r="Y1094" s="39">
        <v>0.48717284839494107</v>
      </c>
      <c r="Z1094" s="39">
        <v>0.48969683540153308</v>
      </c>
      <c r="AA1094" s="39">
        <v>0.47463200279107809</v>
      </c>
      <c r="AB1094" s="39">
        <v>0.49077581920685881</v>
      </c>
      <c r="AC1094" s="39">
        <v>0.4805411696034681</v>
      </c>
      <c r="AD1094" s="39">
        <v>0.48115263352062521</v>
      </c>
      <c r="AE1094" s="39">
        <v>0.46873077576923067</v>
      </c>
      <c r="AF1094" s="40">
        <v>0.48630760503034004</v>
      </c>
    </row>
    <row r="1095" spans="1:32">
      <c r="A1095" s="15">
        <v>1093</v>
      </c>
      <c r="B1095" s="16">
        <v>1</v>
      </c>
      <c r="C1095" s="20">
        <v>0.19</v>
      </c>
      <c r="D1095" s="20">
        <v>0.80804499091559789</v>
      </c>
      <c r="E1095" s="20">
        <v>7.0000000000000007E-2</v>
      </c>
      <c r="F1095" s="8" t="s">
        <v>436</v>
      </c>
      <c r="G1095" s="24">
        <v>1.6144625979485994</v>
      </c>
      <c r="H1095" s="24">
        <v>1.6238099242876853</v>
      </c>
      <c r="I1095" s="25">
        <v>1.6522081436242346</v>
      </c>
      <c r="L1095" s="15">
        <v>1093</v>
      </c>
      <c r="M1095" s="16">
        <v>1</v>
      </c>
      <c r="N1095" s="16">
        <v>0</v>
      </c>
      <c r="O1095" s="16">
        <v>2</v>
      </c>
      <c r="P1095" s="16">
        <v>28</v>
      </c>
      <c r="Q1095" s="29">
        <v>79</v>
      </c>
      <c r="R1095" s="20">
        <v>0.48229999999999995</v>
      </c>
      <c r="S1095" s="32">
        <v>38.101699999999994</v>
      </c>
      <c r="T1095" s="35">
        <v>3.72</v>
      </c>
      <c r="U1095" s="35">
        <v>2.4900000000000002</v>
      </c>
      <c r="V1095" s="35">
        <v>4.7088607594936709E-2</v>
      </c>
      <c r="W1095" s="9" t="s">
        <v>155</v>
      </c>
      <c r="X1095" s="15">
        <v>1094</v>
      </c>
      <c r="Y1095" s="39">
        <v>0.47273851133472139</v>
      </c>
      <c r="Z1095" s="39">
        <v>0.49966844552790934</v>
      </c>
      <c r="AA1095" s="39">
        <v>0.49252492327789815</v>
      </c>
      <c r="AB1095" s="39">
        <v>0.49164386200106441</v>
      </c>
      <c r="AC1095" s="39">
        <v>0.46512959323406822</v>
      </c>
      <c r="AD1095" s="39">
        <v>0.49199859429604853</v>
      </c>
      <c r="AE1095" s="39">
        <v>0.48617125337088052</v>
      </c>
      <c r="AF1095" s="40">
        <v>0.48808498853078985</v>
      </c>
    </row>
    <row r="1096" spans="1:32">
      <c r="A1096" s="15">
        <v>1094</v>
      </c>
      <c r="B1096" s="16">
        <v>1</v>
      </c>
      <c r="C1096" s="20">
        <v>0.49</v>
      </c>
      <c r="D1096" s="20">
        <v>0.47019991112713599</v>
      </c>
      <c r="E1096" s="20">
        <v>7.0000000000000007E-2</v>
      </c>
      <c r="F1096" s="8" t="s">
        <v>436</v>
      </c>
      <c r="G1096" s="24">
        <v>0.94560455085389894</v>
      </c>
      <c r="H1096" s="24">
        <v>0.95107935983107017</v>
      </c>
      <c r="I1096" s="25">
        <v>0.96771243976423771</v>
      </c>
      <c r="L1096" s="15">
        <v>1094</v>
      </c>
      <c r="M1096" s="16">
        <v>1</v>
      </c>
      <c r="N1096" s="16">
        <v>0</v>
      </c>
      <c r="O1096" s="16">
        <v>2</v>
      </c>
      <c r="P1096" s="16">
        <v>29</v>
      </c>
      <c r="Q1096" s="29">
        <v>79</v>
      </c>
      <c r="R1096" s="20">
        <v>0.48229999999999995</v>
      </c>
      <c r="S1096" s="32">
        <v>38.101699999999994</v>
      </c>
      <c r="T1096" s="35">
        <v>1.9000000000000001</v>
      </c>
      <c r="U1096" s="35">
        <v>0.74</v>
      </c>
      <c r="V1096" s="35">
        <v>2.4050632911392408E-2</v>
      </c>
      <c r="W1096" s="9" t="s">
        <v>153</v>
      </c>
      <c r="X1096" s="15">
        <v>1095</v>
      </c>
      <c r="Y1096" s="39">
        <v>0.49010929231845635</v>
      </c>
      <c r="Z1096" s="39">
        <v>0.46540344748448614</v>
      </c>
      <c r="AA1096" s="39">
        <v>0.47936284025452675</v>
      </c>
      <c r="AB1096" s="39">
        <v>0.48128870667516288</v>
      </c>
      <c r="AC1096" s="39">
        <v>0.48249799528989024</v>
      </c>
      <c r="AD1096" s="39">
        <v>0.45907723874504808</v>
      </c>
      <c r="AE1096" s="39">
        <v>0.47144510607194695</v>
      </c>
      <c r="AF1096" s="40">
        <v>0.47812085207840865</v>
      </c>
    </row>
    <row r="1097" spans="1:32">
      <c r="A1097" s="15">
        <v>1095</v>
      </c>
      <c r="B1097" s="16">
        <v>1</v>
      </c>
      <c r="C1097" s="20">
        <v>0.02</v>
      </c>
      <c r="D1097" s="20">
        <v>0.99679477127711513</v>
      </c>
      <c r="E1097" s="20">
        <v>1</v>
      </c>
      <c r="F1097" s="8" t="s">
        <v>436</v>
      </c>
      <c r="G1097" s="24">
        <v>1.0591450611505502</v>
      </c>
      <c r="H1097" s="24">
        <v>1.0652772407003179</v>
      </c>
      <c r="I1097" s="25">
        <v>1.0839074857081581</v>
      </c>
      <c r="L1097" s="15">
        <v>1095</v>
      </c>
      <c r="M1097" s="16">
        <v>1</v>
      </c>
      <c r="N1097" s="16">
        <v>0</v>
      </c>
      <c r="O1097" s="16">
        <v>2</v>
      </c>
      <c r="P1097" s="16">
        <v>30</v>
      </c>
      <c r="Q1097" s="29">
        <v>81</v>
      </c>
      <c r="R1097" s="20">
        <v>0.48229999999999995</v>
      </c>
      <c r="S1097" s="32">
        <v>39.066299999999998</v>
      </c>
      <c r="T1097" s="35">
        <v>3.22</v>
      </c>
      <c r="U1097" s="35">
        <v>1.81</v>
      </c>
      <c r="V1097" s="35">
        <v>3.9753086419753086E-2</v>
      </c>
      <c r="W1097" s="9" t="s">
        <v>155</v>
      </c>
      <c r="X1097" s="15">
        <v>1096</v>
      </c>
      <c r="Y1097" s="39">
        <v>0.46767751447886857</v>
      </c>
      <c r="Z1097" s="39">
        <v>0.49693895277887812</v>
      </c>
      <c r="AA1097" s="39">
        <v>0.47811488103908489</v>
      </c>
      <c r="AB1097" s="39">
        <v>0.48223457416468585</v>
      </c>
      <c r="AC1097" s="39">
        <v>0.46173311893484953</v>
      </c>
      <c r="AD1097" s="39">
        <v>0.48891565930655606</v>
      </c>
      <c r="AE1097" s="39">
        <v>0.47135691137925489</v>
      </c>
      <c r="AF1097" s="40">
        <v>0.4770832445845663</v>
      </c>
    </row>
    <row r="1098" spans="1:32">
      <c r="A1098" s="15">
        <v>1096</v>
      </c>
      <c r="B1098" s="16">
        <v>0</v>
      </c>
      <c r="C1098" s="20">
        <v>0.67</v>
      </c>
      <c r="D1098" s="20">
        <v>0.43191893552796018</v>
      </c>
      <c r="E1098" s="20">
        <v>0.06</v>
      </c>
      <c r="F1098" s="8" t="s">
        <v>438</v>
      </c>
      <c r="G1098" s="24">
        <v>0.51648117339207245</v>
      </c>
      <c r="H1098" s="24">
        <v>0.51947146755052742</v>
      </c>
      <c r="I1098" s="25">
        <v>0.52855631452302654</v>
      </c>
      <c r="L1098" s="15">
        <v>1096</v>
      </c>
      <c r="M1098" s="16">
        <v>1</v>
      </c>
      <c r="N1098" s="16">
        <v>0</v>
      </c>
      <c r="O1098" s="16">
        <v>2</v>
      </c>
      <c r="P1098" s="16">
        <v>31</v>
      </c>
      <c r="Q1098" s="29">
        <v>76</v>
      </c>
      <c r="R1098" s="20">
        <v>0.48229999999999995</v>
      </c>
      <c r="S1098" s="32">
        <v>36.654799999999994</v>
      </c>
      <c r="T1098" s="35">
        <v>1.46</v>
      </c>
      <c r="U1098" s="35">
        <v>0.47</v>
      </c>
      <c r="V1098" s="35">
        <v>1.9210526315789473E-2</v>
      </c>
      <c r="W1098" s="9" t="s">
        <v>153</v>
      </c>
      <c r="X1098" s="15">
        <v>1097</v>
      </c>
      <c r="Y1098" s="39">
        <v>0.49313770663769074</v>
      </c>
      <c r="Z1098" s="39">
        <v>0.48203504138974812</v>
      </c>
      <c r="AA1098" s="39">
        <v>0.48867481889362852</v>
      </c>
      <c r="AB1098" s="39">
        <v>0.48484962388581232</v>
      </c>
      <c r="AC1098" s="39">
        <v>0.48536767835522049</v>
      </c>
      <c r="AD1098" s="39">
        <v>0.47656554992475064</v>
      </c>
      <c r="AE1098" s="39">
        <v>0.48182425686682934</v>
      </c>
      <c r="AF1098" s="40">
        <v>0.48194262921710923</v>
      </c>
    </row>
    <row r="1099" spans="1:32">
      <c r="A1099" s="15">
        <v>1097</v>
      </c>
      <c r="B1099" s="16">
        <v>1</v>
      </c>
      <c r="C1099" s="20">
        <v>0.02</v>
      </c>
      <c r="D1099" s="20">
        <v>0.99604261948721451</v>
      </c>
      <c r="E1099" s="20">
        <v>1</v>
      </c>
      <c r="F1099" s="8" t="s">
        <v>436</v>
      </c>
      <c r="G1099" s="24">
        <v>0.97187995074087175</v>
      </c>
      <c r="H1099" s="24">
        <v>0.97750688757640625</v>
      </c>
      <c r="I1099" s="25">
        <v>0.99460214890051701</v>
      </c>
      <c r="L1099" s="15">
        <v>1097</v>
      </c>
      <c r="M1099" s="16">
        <v>1</v>
      </c>
      <c r="N1099" s="16">
        <v>0</v>
      </c>
      <c r="O1099" s="16">
        <v>2</v>
      </c>
      <c r="P1099" s="16">
        <v>32</v>
      </c>
      <c r="Q1099" s="29">
        <v>84</v>
      </c>
      <c r="R1099" s="20">
        <v>0.48229999999999995</v>
      </c>
      <c r="S1099" s="32">
        <v>40.513199999999998</v>
      </c>
      <c r="T1099" s="35">
        <v>1.74</v>
      </c>
      <c r="U1099" s="35">
        <v>0.55000000000000004</v>
      </c>
      <c r="V1099" s="35">
        <v>2.0714285714285713E-2</v>
      </c>
      <c r="W1099" s="9" t="s">
        <v>153</v>
      </c>
      <c r="X1099" s="15">
        <v>1098</v>
      </c>
      <c r="Y1099" s="39">
        <v>0.47373922786351974</v>
      </c>
      <c r="Z1099" s="39">
        <v>0.48388282798519128</v>
      </c>
      <c r="AA1099" s="39">
        <v>0.48941080168990891</v>
      </c>
      <c r="AB1099" s="39">
        <v>0.48589817698728371</v>
      </c>
      <c r="AC1099" s="39">
        <v>0.4676699878585574</v>
      </c>
      <c r="AD1099" s="39">
        <v>0.4749826796222274</v>
      </c>
      <c r="AE1099" s="39">
        <v>0.48465573802781181</v>
      </c>
      <c r="AF1099" s="40">
        <v>0.48159499704827702</v>
      </c>
    </row>
    <row r="1100" spans="1:32">
      <c r="A1100" s="15">
        <v>1098</v>
      </c>
      <c r="B1100" s="16">
        <v>0</v>
      </c>
      <c r="C1100" s="20">
        <v>0.03</v>
      </c>
      <c r="D1100" s="20">
        <v>0.99642335770206691</v>
      </c>
      <c r="E1100" s="20">
        <v>1</v>
      </c>
      <c r="F1100" s="8" t="s">
        <v>436</v>
      </c>
      <c r="G1100" s="24">
        <v>1.0532950007789859</v>
      </c>
      <c r="H1100" s="24">
        <v>1.0593933099724717</v>
      </c>
      <c r="I1100" s="25">
        <v>1.0779206530625003</v>
      </c>
      <c r="L1100" s="15">
        <v>1098</v>
      </c>
      <c r="M1100" s="16">
        <v>1</v>
      </c>
      <c r="N1100" s="16">
        <v>0</v>
      </c>
      <c r="O1100" s="16">
        <v>2</v>
      </c>
      <c r="P1100" s="16">
        <v>33</v>
      </c>
      <c r="Q1100" s="29">
        <v>88</v>
      </c>
      <c r="R1100" s="20">
        <v>0.48229999999999995</v>
      </c>
      <c r="S1100" s="32">
        <v>42.442399999999992</v>
      </c>
      <c r="T1100" s="35">
        <v>1.94</v>
      </c>
      <c r="U1100" s="35">
        <v>0.61</v>
      </c>
      <c r="V1100" s="35">
        <v>2.2045454545454545E-2</v>
      </c>
      <c r="W1100" s="9" t="s">
        <v>153</v>
      </c>
      <c r="X1100" s="15">
        <v>1099</v>
      </c>
      <c r="Y1100" s="39">
        <v>0.49595509663185389</v>
      </c>
      <c r="Z1100" s="39">
        <v>0.48841922946850741</v>
      </c>
      <c r="AA1100" s="39">
        <v>0.49511781690345097</v>
      </c>
      <c r="AB1100" s="39">
        <v>0.48703725550152482</v>
      </c>
      <c r="AC1100" s="39">
        <v>0.4892234378065104</v>
      </c>
      <c r="AD1100" s="39">
        <v>0.48202072722649142</v>
      </c>
      <c r="AE1100" s="39">
        <v>0.48771796661764094</v>
      </c>
      <c r="AF1100" s="40">
        <v>0.48365178708511813</v>
      </c>
    </row>
    <row r="1101" spans="1:32">
      <c r="A1101" s="15">
        <v>1099</v>
      </c>
      <c r="B1101" s="16">
        <v>1</v>
      </c>
      <c r="C1101" s="20">
        <v>0.02</v>
      </c>
      <c r="D1101" s="20">
        <v>0.99756714174924133</v>
      </c>
      <c r="E1101" s="20">
        <v>1</v>
      </c>
      <c r="F1101" s="8" t="s">
        <v>436</v>
      </c>
      <c r="G1101" s="24">
        <v>0.95206204900234304</v>
      </c>
      <c r="H1101" s="24">
        <v>0.95757424524547152</v>
      </c>
      <c r="I1101" s="25">
        <v>0.97432091186006353</v>
      </c>
      <c r="L1101" s="15">
        <v>1099</v>
      </c>
      <c r="M1101" s="16">
        <v>1</v>
      </c>
      <c r="N1101" s="16">
        <v>0</v>
      </c>
      <c r="O1101" s="16">
        <v>3</v>
      </c>
      <c r="P1101" s="16">
        <v>34</v>
      </c>
      <c r="Q1101" s="29">
        <v>69</v>
      </c>
      <c r="R1101" s="20">
        <v>0.48229999999999995</v>
      </c>
      <c r="S1101" s="32">
        <v>33.278699999999994</v>
      </c>
      <c r="T1101" s="35">
        <v>3.1</v>
      </c>
      <c r="U1101" s="35">
        <v>1.98</v>
      </c>
      <c r="V1101" s="35">
        <v>4.4927536231884058E-2</v>
      </c>
      <c r="W1101" s="9" t="s">
        <v>155</v>
      </c>
      <c r="X1101" s="15">
        <v>1100</v>
      </c>
      <c r="Y1101" s="39">
        <v>0.48814008927850228</v>
      </c>
      <c r="Z1101" s="39">
        <v>0.48620494865160424</v>
      </c>
      <c r="AA1101" s="39">
        <v>0.49076566126997245</v>
      </c>
      <c r="AB1101" s="39">
        <v>0.48825765928800691</v>
      </c>
      <c r="AC1101" s="39">
        <v>0.48076689911060966</v>
      </c>
      <c r="AD1101" s="39">
        <v>0.47902341512734437</v>
      </c>
      <c r="AE1101" s="39">
        <v>0.48311906250218917</v>
      </c>
      <c r="AF1101" s="40">
        <v>0.48289386230337727</v>
      </c>
    </row>
    <row r="1102" spans="1:32">
      <c r="A1102" s="15">
        <v>1100</v>
      </c>
      <c r="B1102" s="16">
        <v>1</v>
      </c>
      <c r="C1102" s="20">
        <v>0.9</v>
      </c>
      <c r="D1102" s="20">
        <v>0.23159538658365303</v>
      </c>
      <c r="E1102" s="20">
        <v>0.1</v>
      </c>
      <c r="F1102" s="8" t="s">
        <v>434</v>
      </c>
      <c r="G1102" s="24">
        <v>0.55916119470133963</v>
      </c>
      <c r="H1102" s="24">
        <v>0.56239859528879688</v>
      </c>
      <c r="I1102" s="25">
        <v>0.57223417913681696</v>
      </c>
      <c r="L1102" s="15">
        <v>1100</v>
      </c>
      <c r="M1102" s="16">
        <v>1</v>
      </c>
      <c r="N1102" s="16">
        <v>0</v>
      </c>
      <c r="O1102" s="16">
        <v>3</v>
      </c>
      <c r="P1102" s="16">
        <v>35</v>
      </c>
      <c r="Q1102" s="29">
        <v>69</v>
      </c>
      <c r="R1102" s="20">
        <v>0.48229999999999995</v>
      </c>
      <c r="S1102" s="32">
        <v>33.278699999999994</v>
      </c>
      <c r="T1102" s="35">
        <v>2.66</v>
      </c>
      <c r="U1102" s="35">
        <v>1.61</v>
      </c>
      <c r="V1102" s="35">
        <v>3.8550724637681159E-2</v>
      </c>
      <c r="W1102" s="9" t="s">
        <v>154</v>
      </c>
      <c r="X1102" s="15">
        <v>1101</v>
      </c>
      <c r="Y1102" s="39">
        <v>0.49550690259766123</v>
      </c>
      <c r="Z1102" s="39">
        <v>0.48134329869143549</v>
      </c>
      <c r="AA1102" s="39">
        <v>0.47422959419071781</v>
      </c>
      <c r="AB1102" s="39">
        <v>0.48337770507186972</v>
      </c>
      <c r="AC1102" s="39">
        <v>0.4875858133480615</v>
      </c>
      <c r="AD1102" s="39">
        <v>0.47252279171741968</v>
      </c>
      <c r="AE1102" s="39">
        <v>0.46671244309842047</v>
      </c>
      <c r="AF1102" s="40">
        <v>0.48238255184063256</v>
      </c>
    </row>
    <row r="1103" spans="1:32">
      <c r="A1103" s="15">
        <v>1101</v>
      </c>
      <c r="B1103" s="16">
        <v>0</v>
      </c>
      <c r="C1103" s="20">
        <v>0.92</v>
      </c>
      <c r="D1103" s="20">
        <v>0.20258497911151899</v>
      </c>
      <c r="E1103" s="20">
        <v>0.08</v>
      </c>
      <c r="F1103" s="8" t="s">
        <v>434</v>
      </c>
      <c r="G1103" s="24">
        <v>0.75892843514708319</v>
      </c>
      <c r="H1103" s="24">
        <v>0.76332243706471536</v>
      </c>
      <c r="I1103" s="25">
        <v>0.77667190467668501</v>
      </c>
      <c r="L1103" s="15">
        <v>1101</v>
      </c>
      <c r="M1103" s="16">
        <v>1</v>
      </c>
      <c r="N1103" s="16">
        <v>0</v>
      </c>
      <c r="O1103" s="16">
        <v>3</v>
      </c>
      <c r="P1103" s="16">
        <v>36</v>
      </c>
      <c r="Q1103" s="29">
        <v>68</v>
      </c>
      <c r="R1103" s="20">
        <v>0.48229999999999995</v>
      </c>
      <c r="S1103" s="32">
        <v>32.796399999999998</v>
      </c>
      <c r="T1103" s="35">
        <v>1.93</v>
      </c>
      <c r="U1103" s="35">
        <v>1.01</v>
      </c>
      <c r="V1103" s="35">
        <v>2.838235294117647E-2</v>
      </c>
      <c r="W1103" s="9" t="s">
        <v>153</v>
      </c>
      <c r="X1103" s="15">
        <v>1102</v>
      </c>
      <c r="Y1103" s="39">
        <v>0.48221762871729607</v>
      </c>
      <c r="Z1103" s="39">
        <v>0.47702477682632399</v>
      </c>
      <c r="AA1103" s="39">
        <v>0.49029466061300581</v>
      </c>
      <c r="AB1103" s="39">
        <v>0.48589678015309234</v>
      </c>
      <c r="AC1103" s="39">
        <v>0.47587822741701369</v>
      </c>
      <c r="AD1103" s="39">
        <v>0.46882234338545842</v>
      </c>
      <c r="AE1103" s="39">
        <v>0.48107098846485519</v>
      </c>
      <c r="AF1103" s="40">
        <v>0.48327704565989088</v>
      </c>
    </row>
    <row r="1104" spans="1:32">
      <c r="A1104" s="15">
        <v>1102</v>
      </c>
      <c r="B1104" s="16">
        <v>0</v>
      </c>
      <c r="C1104" s="20">
        <v>0.02</v>
      </c>
      <c r="D1104" s="20">
        <v>0.99835916395484214</v>
      </c>
      <c r="E1104" s="20">
        <v>1</v>
      </c>
      <c r="F1104" s="8" t="s">
        <v>436</v>
      </c>
      <c r="G1104" s="24">
        <v>1.1237414095973453</v>
      </c>
      <c r="H1104" s="24">
        <v>1.1302475855159435</v>
      </c>
      <c r="I1104" s="25">
        <v>1.1500140731805433</v>
      </c>
      <c r="L1104" s="15">
        <v>1102</v>
      </c>
      <c r="M1104" s="16">
        <v>1</v>
      </c>
      <c r="N1104" s="16">
        <v>0</v>
      </c>
      <c r="O1104" s="16">
        <v>3</v>
      </c>
      <c r="P1104" s="16">
        <v>37</v>
      </c>
      <c r="Q1104" s="29">
        <v>59</v>
      </c>
      <c r="R1104" s="20">
        <v>0.48229999999999995</v>
      </c>
      <c r="S1104" s="32">
        <v>28.455699999999997</v>
      </c>
      <c r="T1104" s="35">
        <v>2.2000000000000002</v>
      </c>
      <c r="U1104" s="35">
        <v>1.39</v>
      </c>
      <c r="V1104" s="35">
        <v>3.7288135593220341E-2</v>
      </c>
      <c r="W1104" s="9" t="s">
        <v>154</v>
      </c>
      <c r="X1104" s="15">
        <v>1103</v>
      </c>
      <c r="Y1104" s="39">
        <v>0.4838882816177032</v>
      </c>
      <c r="Z1104" s="39">
        <v>0.47530287997325793</v>
      </c>
      <c r="AA1104" s="39">
        <v>0.48479771336828614</v>
      </c>
      <c r="AB1104" s="39">
        <v>0.48533879762321547</v>
      </c>
      <c r="AC1104" s="39">
        <v>0.47815688150623098</v>
      </c>
      <c r="AD1104" s="39">
        <v>0.46901957466959554</v>
      </c>
      <c r="AE1104" s="39">
        <v>0.47800018042152997</v>
      </c>
      <c r="AF1104" s="40">
        <v>0.48123349164717316</v>
      </c>
    </row>
    <row r="1105" spans="1:32">
      <c r="A1105" s="15">
        <v>1103</v>
      </c>
      <c r="B1105" s="16">
        <v>1</v>
      </c>
      <c r="C1105" s="20">
        <v>0.14000000000000001</v>
      </c>
      <c r="D1105" s="20">
        <v>0.90737417999431003</v>
      </c>
      <c r="E1105" s="20">
        <v>0.12</v>
      </c>
      <c r="F1105" s="8" t="s">
        <v>436</v>
      </c>
      <c r="G1105" s="24">
        <v>1.0809801346011325</v>
      </c>
      <c r="H1105" s="24">
        <v>1.0872387336526217</v>
      </c>
      <c r="I1105" s="25">
        <v>1.1062530551982936</v>
      </c>
      <c r="L1105" s="15">
        <v>1103</v>
      </c>
      <c r="M1105" s="16">
        <v>1</v>
      </c>
      <c r="N1105" s="16">
        <v>0</v>
      </c>
      <c r="O1105" s="16">
        <v>3</v>
      </c>
      <c r="P1105" s="16">
        <v>38</v>
      </c>
      <c r="Q1105" s="29">
        <v>59</v>
      </c>
      <c r="R1105" s="20">
        <v>0.48229999999999995</v>
      </c>
      <c r="S1105" s="32">
        <v>28.455699999999997</v>
      </c>
      <c r="T1105" s="35">
        <v>2.27</v>
      </c>
      <c r="U1105" s="35">
        <v>1.47</v>
      </c>
      <c r="V1105" s="35">
        <v>3.8474576271186438E-2</v>
      </c>
      <c r="W1105" s="9" t="s">
        <v>154</v>
      </c>
      <c r="X1105" s="15">
        <v>1104</v>
      </c>
      <c r="Y1105" s="39">
        <v>0.48126740708143484</v>
      </c>
      <c r="Z1105" s="39">
        <v>0.4823907271029928</v>
      </c>
      <c r="AA1105" s="39">
        <v>0.48571210725930714</v>
      </c>
      <c r="AB1105" s="39">
        <v>0.4825656413178096</v>
      </c>
      <c r="AC1105" s="39">
        <v>0.47249588978986456</v>
      </c>
      <c r="AD1105" s="39">
        <v>0.47445049913654352</v>
      </c>
      <c r="AE1105" s="39">
        <v>0.47757048379925043</v>
      </c>
      <c r="AF1105" s="40">
        <v>0.47869697971303199</v>
      </c>
    </row>
    <row r="1106" spans="1:32">
      <c r="A1106" s="15">
        <v>1104</v>
      </c>
      <c r="B1106" s="16">
        <v>1</v>
      </c>
      <c r="C1106" s="20">
        <v>0.08</v>
      </c>
      <c r="D1106" s="20">
        <v>0.93278703138603281</v>
      </c>
      <c r="E1106" s="20">
        <v>0.08</v>
      </c>
      <c r="F1106" s="8" t="s">
        <v>436</v>
      </c>
      <c r="G1106" s="24">
        <v>0.82062507953851604</v>
      </c>
      <c r="H1106" s="24">
        <v>0.82537628927866835</v>
      </c>
      <c r="I1106" s="25">
        <v>0.83981099407233739</v>
      </c>
      <c r="L1106" s="15">
        <v>1104</v>
      </c>
      <c r="M1106" s="16">
        <v>1</v>
      </c>
      <c r="N1106" s="16">
        <v>0</v>
      </c>
      <c r="O1106" s="16">
        <v>3</v>
      </c>
      <c r="P1106" s="16">
        <v>39</v>
      </c>
      <c r="Q1106" s="29">
        <v>62</v>
      </c>
      <c r="R1106" s="20">
        <v>0.48229999999999995</v>
      </c>
      <c r="S1106" s="32">
        <v>29.902599999999996</v>
      </c>
      <c r="T1106" s="35">
        <v>1.9100000000000001</v>
      </c>
      <c r="U1106" s="35">
        <v>1.06</v>
      </c>
      <c r="V1106" s="35">
        <v>3.0806451612903227E-2</v>
      </c>
      <c r="W1106" s="9" t="s">
        <v>153</v>
      </c>
      <c r="X1106" s="15">
        <v>1105</v>
      </c>
      <c r="Y1106" s="39">
        <v>0.48257944639656186</v>
      </c>
      <c r="Z1106" s="39">
        <v>0.48315669103193809</v>
      </c>
      <c r="AA1106" s="39">
        <v>0.49275746786085195</v>
      </c>
      <c r="AB1106" s="39">
        <v>0.48002441025609077</v>
      </c>
      <c r="AC1106" s="39">
        <v>0.47731847367607372</v>
      </c>
      <c r="AD1106" s="39">
        <v>0.47827065505369637</v>
      </c>
      <c r="AE1106" s="39">
        <v>0.48285950295878077</v>
      </c>
      <c r="AF1106" s="40">
        <v>0.47722112367359287</v>
      </c>
    </row>
    <row r="1107" spans="1:32">
      <c r="A1107" s="15">
        <v>1105</v>
      </c>
      <c r="B1107" s="16">
        <v>1</v>
      </c>
      <c r="C1107" s="20">
        <v>0.27</v>
      </c>
      <c r="D1107" s="20">
        <v>0.69987072339217671</v>
      </c>
      <c r="E1107" s="20">
        <v>0.24</v>
      </c>
      <c r="F1107" s="8" t="s">
        <v>436</v>
      </c>
      <c r="G1107" s="24">
        <v>1.1197407620661184</v>
      </c>
      <c r="H1107" s="24">
        <v>1.1262237752567046</v>
      </c>
      <c r="I1107" s="25">
        <v>1.1459198919717237</v>
      </c>
      <c r="L1107" s="15">
        <v>1105</v>
      </c>
      <c r="M1107" s="16">
        <v>1</v>
      </c>
      <c r="N1107" s="16">
        <v>0</v>
      </c>
      <c r="O1107" s="16">
        <v>3</v>
      </c>
      <c r="P1107" s="16">
        <v>40</v>
      </c>
      <c r="Q1107" s="29">
        <v>72</v>
      </c>
      <c r="R1107" s="20">
        <v>0.48229999999999995</v>
      </c>
      <c r="S1107" s="32">
        <v>34.7256</v>
      </c>
      <c r="T1107" s="35">
        <v>3.3000000000000003</v>
      </c>
      <c r="U1107" s="35">
        <v>2.16</v>
      </c>
      <c r="V1107" s="35">
        <v>4.5833333333333337E-2</v>
      </c>
      <c r="W1107" s="9" t="s">
        <v>155</v>
      </c>
      <c r="X1107" s="15">
        <v>1106</v>
      </c>
      <c r="Y1107" s="39">
        <v>0.48137392174155968</v>
      </c>
      <c r="Z1107" s="39">
        <v>0.48892843975320682</v>
      </c>
      <c r="AA1107" s="39">
        <v>0.4807314323695831</v>
      </c>
      <c r="AB1107" s="39">
        <v>0.48158231318025657</v>
      </c>
      <c r="AC1107" s="39">
        <v>0.47561364234279441</v>
      </c>
      <c r="AD1107" s="39">
        <v>0.48301121647976558</v>
      </c>
      <c r="AE1107" s="39">
        <v>0.47465061290916982</v>
      </c>
      <c r="AF1107" s="40">
        <v>0.47486985518506808</v>
      </c>
    </row>
    <row r="1108" spans="1:32">
      <c r="A1108" s="15">
        <v>1106</v>
      </c>
      <c r="B1108" s="16">
        <v>0</v>
      </c>
      <c r="C1108" s="20">
        <v>0.82</v>
      </c>
      <c r="D1108" s="20">
        <v>0.33679095075427212</v>
      </c>
      <c r="E1108" s="20">
        <v>0.18</v>
      </c>
      <c r="F1108" s="8" t="s">
        <v>434</v>
      </c>
      <c r="G1108" s="24">
        <v>1.2978819469738319</v>
      </c>
      <c r="H1108" s="24">
        <v>1.3053963521532319</v>
      </c>
      <c r="I1108" s="25">
        <v>1.3282259526964364</v>
      </c>
      <c r="L1108" s="15">
        <v>1106</v>
      </c>
      <c r="M1108" s="16">
        <v>1</v>
      </c>
      <c r="N1108" s="16">
        <v>0</v>
      </c>
      <c r="O1108" s="16">
        <v>3</v>
      </c>
      <c r="P1108" s="16">
        <v>41</v>
      </c>
      <c r="Q1108" s="29">
        <v>49</v>
      </c>
      <c r="R1108" s="20">
        <v>0.48229999999999995</v>
      </c>
      <c r="S1108" s="32">
        <v>23.632699999999996</v>
      </c>
      <c r="T1108" s="35">
        <v>1.5999999999999999</v>
      </c>
      <c r="U1108" s="35">
        <v>0.82</v>
      </c>
      <c r="V1108" s="35">
        <v>3.2653061224489792E-2</v>
      </c>
      <c r="W1108" s="9" t="s">
        <v>153</v>
      </c>
      <c r="X1108" s="15">
        <v>1107</v>
      </c>
      <c r="Y1108" s="39">
        <v>0.48440951099243867</v>
      </c>
      <c r="Z1108" s="39">
        <v>0.48414364396958076</v>
      </c>
      <c r="AA1108" s="39">
        <v>0.49230841042751339</v>
      </c>
      <c r="AB1108" s="39">
        <v>0.4788071848657941</v>
      </c>
      <c r="AC1108" s="39">
        <v>0.47821009704393252</v>
      </c>
      <c r="AD1108" s="39">
        <v>0.47517664665067566</v>
      </c>
      <c r="AE1108" s="39">
        <v>0.48279937973375031</v>
      </c>
      <c r="AF1108" s="40">
        <v>0.47432356729591307</v>
      </c>
    </row>
    <row r="1109" spans="1:32">
      <c r="A1109" s="15">
        <v>1107</v>
      </c>
      <c r="B1109" s="16">
        <v>1</v>
      </c>
      <c r="C1109" s="20">
        <v>0.49</v>
      </c>
      <c r="D1109" s="20">
        <v>0.65427063965130916</v>
      </c>
      <c r="E1109" s="20">
        <v>0.03</v>
      </c>
      <c r="F1109" s="8" t="s">
        <v>436</v>
      </c>
      <c r="G1109" s="24">
        <v>1.4740479010939558</v>
      </c>
      <c r="H1109" s="24">
        <v>1.4825822621801013</v>
      </c>
      <c r="I1109" s="25">
        <v>1.5085106024594215</v>
      </c>
      <c r="L1109" s="15">
        <v>1107</v>
      </c>
      <c r="M1109" s="16">
        <v>1</v>
      </c>
      <c r="N1109" s="16">
        <v>0</v>
      </c>
      <c r="O1109" s="16">
        <v>3</v>
      </c>
      <c r="P1109" s="16">
        <v>42</v>
      </c>
      <c r="Q1109" s="29">
        <v>74</v>
      </c>
      <c r="R1109" s="20">
        <v>0.48229999999999995</v>
      </c>
      <c r="S1109" s="32">
        <v>35.690199999999997</v>
      </c>
      <c r="T1109" s="35">
        <v>2.41</v>
      </c>
      <c r="U1109" s="35">
        <v>1.44</v>
      </c>
      <c r="V1109" s="35">
        <v>3.2567567567567568E-2</v>
      </c>
      <c r="W1109" s="9" t="s">
        <v>154</v>
      </c>
      <c r="X1109" s="15">
        <v>1108</v>
      </c>
      <c r="Y1109" s="39">
        <v>0.49169047253502129</v>
      </c>
      <c r="Z1109" s="39">
        <v>0.49011931676239656</v>
      </c>
      <c r="AA1109" s="39">
        <v>0.47926320745033441</v>
      </c>
      <c r="AB1109" s="39">
        <v>0.49579437440267665</v>
      </c>
      <c r="AC1109" s="39">
        <v>0.48267057320221718</v>
      </c>
      <c r="AD1109" s="39">
        <v>0.48712695416195256</v>
      </c>
      <c r="AE1109" s="39">
        <v>0.47490321149932546</v>
      </c>
      <c r="AF1109" s="40">
        <v>0.49260057136464491</v>
      </c>
    </row>
    <row r="1110" spans="1:32">
      <c r="A1110" s="15">
        <v>1108</v>
      </c>
      <c r="B1110" s="16">
        <v>0</v>
      </c>
      <c r="C1110" s="20">
        <v>0.7</v>
      </c>
      <c r="D1110" s="20">
        <v>0.47051831870910266</v>
      </c>
      <c r="E1110" s="20">
        <v>0.23</v>
      </c>
      <c r="F1110" s="8" t="s">
        <v>438</v>
      </c>
      <c r="G1110" s="24">
        <v>1.8566545064318156</v>
      </c>
      <c r="H1110" s="24">
        <v>1.8674040620998158</v>
      </c>
      <c r="I1110" s="25">
        <v>1.6578926537592125</v>
      </c>
      <c r="L1110" s="15">
        <v>1108</v>
      </c>
      <c r="M1110" s="16">
        <v>1</v>
      </c>
      <c r="N1110" s="16">
        <v>0</v>
      </c>
      <c r="O1110" s="16">
        <v>3</v>
      </c>
      <c r="P1110" s="16">
        <v>43</v>
      </c>
      <c r="Q1110" s="29">
        <v>67</v>
      </c>
      <c r="R1110" s="20">
        <v>0.48229999999999995</v>
      </c>
      <c r="S1110" s="32">
        <v>32.314099999999996</v>
      </c>
      <c r="T1110" s="35">
        <v>1.91</v>
      </c>
      <c r="U1110" s="35">
        <v>0.93</v>
      </c>
      <c r="V1110" s="35">
        <v>2.8507462686567162E-2</v>
      </c>
      <c r="W1110" s="9" t="s">
        <v>153</v>
      </c>
      <c r="X1110" s="15">
        <v>1109</v>
      </c>
      <c r="Y1110" s="39">
        <v>0.48928012073712718</v>
      </c>
      <c r="Z1110" s="39">
        <v>0.50312640442972023</v>
      </c>
      <c r="AA1110" s="39">
        <v>0.48634320392945041</v>
      </c>
      <c r="AB1110" s="39">
        <v>0.48591052099474719</v>
      </c>
      <c r="AC1110" s="39">
        <v>0.48245828823787335</v>
      </c>
      <c r="AD1110" s="39">
        <v>0.49658024414485064</v>
      </c>
      <c r="AE1110" s="39">
        <v>0.47614160682894124</v>
      </c>
      <c r="AF1110" s="40">
        <v>0.4802145178160428</v>
      </c>
    </row>
    <row r="1111" spans="1:32">
      <c r="A1111" s="15">
        <v>1109</v>
      </c>
      <c r="B1111" s="16">
        <v>1</v>
      </c>
      <c r="C1111" s="20">
        <v>0.34</v>
      </c>
      <c r="D1111" s="20">
        <v>0.71283809829148059</v>
      </c>
      <c r="E1111" s="20">
        <v>0.09</v>
      </c>
      <c r="F1111" s="8" t="s">
        <v>436</v>
      </c>
      <c r="G1111" s="24">
        <v>1.1940100427238418</v>
      </c>
      <c r="H1111" s="24">
        <v>1.2009230560916753</v>
      </c>
      <c r="I1111" s="25">
        <v>1.2219255612760003</v>
      </c>
      <c r="L1111" s="15">
        <v>1109</v>
      </c>
      <c r="M1111" s="16">
        <v>1</v>
      </c>
      <c r="N1111" s="16">
        <v>0</v>
      </c>
      <c r="O1111" s="16">
        <v>3</v>
      </c>
      <c r="P1111" s="16">
        <v>44</v>
      </c>
      <c r="Q1111" s="29">
        <v>67</v>
      </c>
      <c r="R1111" s="20">
        <v>0.48229999999999995</v>
      </c>
      <c r="S1111" s="32">
        <v>32.314099999999996</v>
      </c>
      <c r="T1111" s="35">
        <v>2.8600000000000003</v>
      </c>
      <c r="U1111" s="35">
        <v>1.81</v>
      </c>
      <c r="V1111" s="35">
        <v>4.2686567164179109E-2</v>
      </c>
      <c r="W1111" s="9" t="s">
        <v>154</v>
      </c>
      <c r="X1111" s="15">
        <v>1110</v>
      </c>
      <c r="Y1111" s="39">
        <v>0.47796828721119655</v>
      </c>
      <c r="Z1111" s="39">
        <v>0.47158048849603051</v>
      </c>
      <c r="AA1111" s="39">
        <v>0.48401967127621293</v>
      </c>
      <c r="AB1111" s="39">
        <v>0.48373623419725609</v>
      </c>
      <c r="AC1111" s="39">
        <v>0.47367056735191782</v>
      </c>
      <c r="AD1111" s="39">
        <v>0.46706861933787286</v>
      </c>
      <c r="AE1111" s="39">
        <v>0.47840363340170033</v>
      </c>
      <c r="AF1111" s="40">
        <v>0.47989053714701041</v>
      </c>
    </row>
    <row r="1112" spans="1:32">
      <c r="A1112" s="15">
        <v>1110</v>
      </c>
      <c r="B1112" s="16">
        <v>0</v>
      </c>
      <c r="C1112" s="20">
        <v>0.23</v>
      </c>
      <c r="D1112" s="20">
        <v>0.83191822207689603</v>
      </c>
      <c r="E1112" s="20">
        <v>0.09</v>
      </c>
      <c r="F1112" s="8" t="s">
        <v>436</v>
      </c>
      <c r="G1112" s="24">
        <v>0.94498241034028718</v>
      </c>
      <c r="H1112" s="24">
        <v>0.9504536172826904</v>
      </c>
      <c r="I1112" s="25">
        <v>0.96707575383272459</v>
      </c>
      <c r="L1112" s="15">
        <v>1110</v>
      </c>
      <c r="M1112" s="16">
        <v>1</v>
      </c>
      <c r="N1112" s="16">
        <v>0</v>
      </c>
      <c r="O1112" s="16">
        <v>3</v>
      </c>
      <c r="P1112" s="16">
        <v>45</v>
      </c>
      <c r="Q1112" s="29">
        <v>57</v>
      </c>
      <c r="R1112" s="20">
        <v>0.48229999999999995</v>
      </c>
      <c r="S1112" s="32">
        <v>27.491099999999996</v>
      </c>
      <c r="T1112" s="35">
        <v>2.35</v>
      </c>
      <c r="U1112" s="35">
        <v>1.33</v>
      </c>
      <c r="V1112" s="35">
        <v>4.12280701754386E-2</v>
      </c>
      <c r="W1112" s="9" t="s">
        <v>154</v>
      </c>
      <c r="X1112" s="15">
        <v>1111</v>
      </c>
      <c r="Y1112" s="39">
        <v>0.49099216528939787</v>
      </c>
      <c r="Z1112" s="39">
        <v>0.46135657430652854</v>
      </c>
      <c r="AA1112" s="39">
        <v>0.48888169171193835</v>
      </c>
      <c r="AB1112" s="39">
        <v>0.47875193469729438</v>
      </c>
      <c r="AC1112" s="39">
        <v>0.48042470016968336</v>
      </c>
      <c r="AD1112" s="39">
        <v>0.45731819303847221</v>
      </c>
      <c r="AE1112" s="39">
        <v>0.48084114748751461</v>
      </c>
      <c r="AF1112" s="40">
        <v>0.47510585573246028</v>
      </c>
    </row>
    <row r="1113" spans="1:32">
      <c r="A1113" s="15">
        <v>1111</v>
      </c>
      <c r="B1113" s="16">
        <v>1</v>
      </c>
      <c r="C1113" s="20">
        <v>0.92</v>
      </c>
      <c r="D1113" s="20">
        <v>0.20258497911151899</v>
      </c>
      <c r="E1113" s="20">
        <v>0.08</v>
      </c>
      <c r="F1113" s="8" t="s">
        <v>434</v>
      </c>
      <c r="G1113" s="24">
        <v>0.65290803366149608</v>
      </c>
      <c r="H1113" s="24">
        <v>0.65668820451698673</v>
      </c>
      <c r="I1113" s="25">
        <v>0.66817278494026422</v>
      </c>
      <c r="L1113" s="15">
        <v>1111</v>
      </c>
      <c r="M1113" s="16">
        <v>1</v>
      </c>
      <c r="N1113" s="16">
        <v>0</v>
      </c>
      <c r="O1113" s="16">
        <v>3</v>
      </c>
      <c r="P1113" s="16">
        <v>46</v>
      </c>
      <c r="Q1113" s="29">
        <v>76</v>
      </c>
      <c r="R1113" s="20">
        <v>0.48229999999999995</v>
      </c>
      <c r="S1113" s="32">
        <v>36.654799999999994</v>
      </c>
      <c r="T1113" s="35">
        <v>2.2000000000000002</v>
      </c>
      <c r="U1113" s="35">
        <v>1.08</v>
      </c>
      <c r="V1113" s="35">
        <v>2.8947368421052635E-2</v>
      </c>
      <c r="W1113" s="9" t="s">
        <v>154</v>
      </c>
      <c r="X1113" s="15">
        <v>1112</v>
      </c>
      <c r="Y1113" s="39">
        <v>0.48231105694261811</v>
      </c>
      <c r="Z1113" s="39">
        <v>0.49542034564273008</v>
      </c>
      <c r="AA1113" s="39">
        <v>0.48602942614611028</v>
      </c>
      <c r="AB1113" s="39">
        <v>0.48448211168831667</v>
      </c>
      <c r="AC1113" s="39">
        <v>0.47541369539709433</v>
      </c>
      <c r="AD1113" s="39">
        <v>0.48408853370196103</v>
      </c>
      <c r="AE1113" s="39">
        <v>0.48045453908149627</v>
      </c>
      <c r="AF1113" s="40">
        <v>0.48187148822611914</v>
      </c>
    </row>
    <row r="1114" spans="1:32">
      <c r="A1114" s="15">
        <v>1112</v>
      </c>
      <c r="B1114" s="16">
        <v>0</v>
      </c>
      <c r="C1114" s="20">
        <v>0.45</v>
      </c>
      <c r="D1114" s="20">
        <v>0.57974449442110298</v>
      </c>
      <c r="E1114" s="20">
        <v>0.08</v>
      </c>
      <c r="F1114" s="8" t="s">
        <v>436</v>
      </c>
      <c r="G1114" s="24">
        <v>0.62052615135467859</v>
      </c>
      <c r="H1114" s="24">
        <v>0.62411883937731805</v>
      </c>
      <c r="I1114" s="25">
        <v>0.63503382605624514</v>
      </c>
      <c r="L1114" s="15">
        <v>1112</v>
      </c>
      <c r="M1114" s="16">
        <v>1</v>
      </c>
      <c r="N1114" s="16">
        <v>0</v>
      </c>
      <c r="O1114" s="16">
        <v>3</v>
      </c>
      <c r="P1114" s="16">
        <v>47</v>
      </c>
      <c r="Q1114" s="29">
        <v>54</v>
      </c>
      <c r="R1114" s="20">
        <v>0.48229999999999995</v>
      </c>
      <c r="S1114" s="32">
        <v>26.044199999999996</v>
      </c>
      <c r="T1114" s="35">
        <v>1.1300000000000001</v>
      </c>
      <c r="U1114" s="35">
        <v>0.32</v>
      </c>
      <c r="V1114" s="35">
        <v>2.0925925925925928E-2</v>
      </c>
      <c r="W1114" s="9" t="s">
        <v>153</v>
      </c>
      <c r="X1114" s="15">
        <v>1113</v>
      </c>
      <c r="Y1114" s="39">
        <v>0.4917162142816372</v>
      </c>
      <c r="Z1114" s="39">
        <v>0.48774324073090958</v>
      </c>
      <c r="AA1114" s="39">
        <v>0.49097903824960154</v>
      </c>
      <c r="AB1114" s="39">
        <v>0.48858707876206103</v>
      </c>
      <c r="AC1114" s="39">
        <v>0.48419988233748518</v>
      </c>
      <c r="AD1114" s="39">
        <v>0.4818705574390002</v>
      </c>
      <c r="AE1114" s="39">
        <v>0.48476956356159845</v>
      </c>
      <c r="AF1114" s="40">
        <v>0.48479507331951038</v>
      </c>
    </row>
    <row r="1115" spans="1:32">
      <c r="A1115" s="15">
        <v>1113</v>
      </c>
      <c r="B1115" s="16">
        <v>0</v>
      </c>
      <c r="C1115" s="20">
        <v>0.92</v>
      </c>
      <c r="D1115" s="20">
        <v>0.20258497911151899</v>
      </c>
      <c r="E1115" s="20">
        <v>0.08</v>
      </c>
      <c r="F1115" s="8" t="s">
        <v>434</v>
      </c>
      <c r="G1115" s="24">
        <v>0.35433070672370515</v>
      </c>
      <c r="H1115" s="24">
        <v>0.35638219107020774</v>
      </c>
      <c r="I1115" s="25">
        <v>0.36261482918768406</v>
      </c>
      <c r="L1115" s="15">
        <v>1113</v>
      </c>
      <c r="M1115" s="16">
        <v>1</v>
      </c>
      <c r="N1115" s="16">
        <v>0</v>
      </c>
      <c r="O1115" s="16">
        <v>3</v>
      </c>
      <c r="P1115" s="16">
        <v>48</v>
      </c>
      <c r="Q1115" s="29">
        <v>60</v>
      </c>
      <c r="R1115" s="20">
        <v>0.48229999999999995</v>
      </c>
      <c r="S1115" s="32">
        <v>28.937999999999995</v>
      </c>
      <c r="T1115" s="35">
        <v>1.71</v>
      </c>
      <c r="U1115" s="35">
        <v>0.78</v>
      </c>
      <c r="V1115" s="35">
        <v>2.8500000000000001E-2</v>
      </c>
      <c r="W1115" s="9" t="s">
        <v>153</v>
      </c>
      <c r="X1115" s="15">
        <v>1114</v>
      </c>
      <c r="Y1115" s="39">
        <v>0.48819111574513552</v>
      </c>
      <c r="Z1115" s="39">
        <v>0.48533810718822723</v>
      </c>
      <c r="AA1115" s="39">
        <v>0.47744562741783469</v>
      </c>
      <c r="AB1115" s="39">
        <v>0.46602199601633587</v>
      </c>
      <c r="AC1115" s="39">
        <v>0.48019801319100575</v>
      </c>
      <c r="AD1115" s="39">
        <v>0.47871253299310806</v>
      </c>
      <c r="AE1115" s="39">
        <v>0.47210242978557987</v>
      </c>
      <c r="AF1115" s="40">
        <v>0.46100412017017439</v>
      </c>
    </row>
    <row r="1116" spans="1:32">
      <c r="A1116" s="15">
        <v>1114</v>
      </c>
      <c r="B1116" s="16">
        <v>1</v>
      </c>
      <c r="C1116" s="20">
        <v>0.93</v>
      </c>
      <c r="D1116" s="20">
        <v>0.18747949848141848</v>
      </c>
      <c r="E1116" s="20">
        <v>7.0000000000000007E-2</v>
      </c>
      <c r="F1116" s="8" t="s">
        <v>434</v>
      </c>
      <c r="G1116" s="24">
        <v>0.91623863256677085</v>
      </c>
      <c r="H1116" s="24">
        <v>0.9215434203729187</v>
      </c>
      <c r="I1116" s="25">
        <v>0.93765995703676752</v>
      </c>
      <c r="L1116" s="15">
        <v>1114</v>
      </c>
      <c r="M1116" s="16">
        <v>1</v>
      </c>
      <c r="N1116" s="16">
        <v>0</v>
      </c>
      <c r="O1116" s="16">
        <v>3</v>
      </c>
      <c r="P1116" s="16">
        <v>49</v>
      </c>
      <c r="Q1116" s="29">
        <v>57</v>
      </c>
      <c r="R1116" s="20">
        <v>0.48229999999999995</v>
      </c>
      <c r="S1116" s="32">
        <v>27.491099999999996</v>
      </c>
      <c r="T1116" s="35">
        <v>1.42</v>
      </c>
      <c r="U1116" s="35">
        <v>0.62</v>
      </c>
      <c r="V1116" s="35">
        <v>2.4912280701754386E-2</v>
      </c>
      <c r="W1116" s="9" t="s">
        <v>153</v>
      </c>
      <c r="X1116" s="15">
        <v>1115</v>
      </c>
      <c r="Y1116" s="39">
        <v>0.46083770132065982</v>
      </c>
      <c r="Z1116" s="39">
        <v>0.48024679514587681</v>
      </c>
      <c r="AA1116" s="39">
        <v>0.47600006419415791</v>
      </c>
      <c r="AB1116" s="39">
        <v>0.50444312709370587</v>
      </c>
      <c r="AC1116" s="39">
        <v>0.45448916879118767</v>
      </c>
      <c r="AD1116" s="39">
        <v>0.47523725356485008</v>
      </c>
      <c r="AE1116" s="39">
        <v>0.46985937102145614</v>
      </c>
      <c r="AF1116" s="40">
        <v>0.50404320694433347</v>
      </c>
    </row>
    <row r="1117" spans="1:32">
      <c r="A1117" s="15">
        <v>1115</v>
      </c>
      <c r="B1117" s="16">
        <v>1</v>
      </c>
      <c r="C1117" s="20">
        <v>0.06</v>
      </c>
      <c r="D1117" s="20">
        <v>0.94644167988294781</v>
      </c>
      <c r="E1117" s="20">
        <v>0.45</v>
      </c>
      <c r="F1117" s="8" t="s">
        <v>436</v>
      </c>
      <c r="G1117" s="24">
        <v>1.0685836400219906</v>
      </c>
      <c r="H1117" s="24">
        <v>1.0747704665341598</v>
      </c>
      <c r="I1117" s="25">
        <v>1.0935667351051082</v>
      </c>
      <c r="L1117" s="15">
        <v>1115</v>
      </c>
      <c r="M1117" s="16">
        <v>1</v>
      </c>
      <c r="N1117" s="16">
        <v>0</v>
      </c>
      <c r="O1117" s="16">
        <v>3</v>
      </c>
      <c r="P1117" s="16">
        <v>50</v>
      </c>
      <c r="Q1117" s="29">
        <v>76</v>
      </c>
      <c r="R1117" s="20">
        <v>0.48229999999999995</v>
      </c>
      <c r="S1117" s="32">
        <v>36.654799999999994</v>
      </c>
      <c r="T1117" s="35">
        <v>2.65</v>
      </c>
      <c r="U1117" s="35">
        <v>1.58</v>
      </c>
      <c r="V1117" s="35">
        <v>3.4868421052631576E-2</v>
      </c>
      <c r="W1117" s="9" t="s">
        <v>154</v>
      </c>
      <c r="X1117" s="15">
        <v>1116</v>
      </c>
      <c r="Y1117" s="39">
        <v>0.49986252684483201</v>
      </c>
      <c r="Z1117" s="39">
        <v>0.4772409216352046</v>
      </c>
      <c r="AA1117" s="39">
        <v>0.49061684161842195</v>
      </c>
      <c r="AB1117" s="39">
        <v>0.48465200226947908</v>
      </c>
      <c r="AC1117" s="39">
        <v>0.49240309567738938</v>
      </c>
      <c r="AD1117" s="39">
        <v>0.47154316638367322</v>
      </c>
      <c r="AE1117" s="39">
        <v>0.4843448193195099</v>
      </c>
      <c r="AF1117" s="40">
        <v>0.47672845832705396</v>
      </c>
    </row>
    <row r="1118" spans="1:32">
      <c r="A1118" s="15">
        <v>1116</v>
      </c>
      <c r="B1118" s="16">
        <v>1</v>
      </c>
      <c r="C1118" s="20">
        <v>0.17</v>
      </c>
      <c r="D1118" s="20">
        <v>0.83724926169194214</v>
      </c>
      <c r="E1118" s="20">
        <v>0.09</v>
      </c>
      <c r="F1118" s="8" t="s">
        <v>436</v>
      </c>
      <c r="G1118" s="24">
        <v>0.63690567301309364</v>
      </c>
      <c r="H1118" s="24">
        <v>0.64059319428514616</v>
      </c>
      <c r="I1118" s="25">
        <v>0.65179629494656777</v>
      </c>
      <c r="L1118" s="15">
        <v>1116</v>
      </c>
      <c r="M1118" s="16">
        <v>1</v>
      </c>
      <c r="N1118" s="16">
        <v>0</v>
      </c>
      <c r="O1118" s="16">
        <v>3</v>
      </c>
      <c r="P1118" s="16">
        <v>51</v>
      </c>
      <c r="Q1118" s="29">
        <v>66</v>
      </c>
      <c r="R1118" s="20">
        <v>0.48229999999999995</v>
      </c>
      <c r="S1118" s="32">
        <v>31.831799999999998</v>
      </c>
      <c r="T1118" s="35">
        <v>1.9400000000000002</v>
      </c>
      <c r="U1118" s="35">
        <v>1.04</v>
      </c>
      <c r="V1118" s="35">
        <v>2.9393939393939396E-2</v>
      </c>
      <c r="W1118" s="9" t="s">
        <v>153</v>
      </c>
      <c r="X1118" s="15">
        <v>1117</v>
      </c>
      <c r="Y1118" s="39">
        <v>0.4877923708200893</v>
      </c>
      <c r="Z1118" s="39">
        <v>0.47872502116300408</v>
      </c>
      <c r="AA1118" s="39">
        <v>0.48795707057346843</v>
      </c>
      <c r="AB1118" s="39">
        <v>0.48593997319091886</v>
      </c>
      <c r="AC1118" s="39">
        <v>0.4811004859739153</v>
      </c>
      <c r="AD1118" s="39">
        <v>0.47057948427931567</v>
      </c>
      <c r="AE1118" s="39">
        <v>0.48118016511293399</v>
      </c>
      <c r="AF1118" s="40">
        <v>0.47995535801080669</v>
      </c>
    </row>
    <row r="1119" spans="1:32">
      <c r="A1119" s="15">
        <v>1117</v>
      </c>
      <c r="B1119" s="16">
        <v>0</v>
      </c>
      <c r="C1119" s="20">
        <v>0.02</v>
      </c>
      <c r="D1119" s="20">
        <v>0.99679477127711513</v>
      </c>
      <c r="E1119" s="20">
        <v>1</v>
      </c>
      <c r="F1119" s="8" t="s">
        <v>436</v>
      </c>
      <c r="G1119" s="24">
        <v>1.0431766464454608</v>
      </c>
      <c r="H1119" s="24">
        <v>1.0492163729501374</v>
      </c>
      <c r="I1119" s="25">
        <v>1.0675657353015267</v>
      </c>
      <c r="L1119" s="15">
        <v>1117</v>
      </c>
      <c r="M1119" s="16">
        <v>1</v>
      </c>
      <c r="N1119" s="16">
        <v>0</v>
      </c>
      <c r="O1119" s="16">
        <v>3</v>
      </c>
      <c r="P1119" s="16">
        <v>52</v>
      </c>
      <c r="Q1119" s="29">
        <v>58</v>
      </c>
      <c r="R1119" s="20">
        <v>0.48229999999999995</v>
      </c>
      <c r="S1119" s="32">
        <v>27.973399999999998</v>
      </c>
      <c r="T1119" s="35">
        <v>2.7399999999999998</v>
      </c>
      <c r="U1119" s="35">
        <v>1.92</v>
      </c>
      <c r="V1119" s="35">
        <v>4.7241379310344826E-2</v>
      </c>
      <c r="W1119" s="9" t="s">
        <v>154</v>
      </c>
      <c r="X1119" s="15">
        <v>1118</v>
      </c>
      <c r="Y1119" s="39">
        <v>0.49045322051455414</v>
      </c>
      <c r="Z1119" s="39">
        <v>0.48097622360670494</v>
      </c>
      <c r="AA1119" s="39">
        <v>0.48448263691155646</v>
      </c>
      <c r="AB1119" s="39">
        <v>0.49087276795826956</v>
      </c>
      <c r="AC1119" s="39">
        <v>0.48478710191603808</v>
      </c>
      <c r="AD1119" s="39">
        <v>0.47406444729842473</v>
      </c>
      <c r="AE1119" s="39">
        <v>0.47763815627475176</v>
      </c>
      <c r="AF1119" s="40">
        <v>0.48737877346514946</v>
      </c>
    </row>
    <row r="1120" spans="1:32">
      <c r="A1120" s="15">
        <v>1118</v>
      </c>
      <c r="B1120" s="16">
        <v>1</v>
      </c>
      <c r="C1120" s="20">
        <v>0.02</v>
      </c>
      <c r="D1120" s="20">
        <v>0.99756714174924133</v>
      </c>
      <c r="E1120" s="20">
        <v>1</v>
      </c>
      <c r="F1120" s="8" t="s">
        <v>436</v>
      </c>
      <c r="G1120" s="24">
        <v>1.0853716695390205</v>
      </c>
      <c r="H1120" s="24">
        <v>1.0916556944568296</v>
      </c>
      <c r="I1120" s="25">
        <v>1.1107472626185264</v>
      </c>
      <c r="L1120" s="15">
        <v>1118</v>
      </c>
      <c r="M1120" s="16">
        <v>1</v>
      </c>
      <c r="N1120" s="16">
        <v>0</v>
      </c>
      <c r="O1120" s="16">
        <v>3</v>
      </c>
      <c r="P1120" s="16">
        <v>53</v>
      </c>
      <c r="Q1120" s="29">
        <v>79</v>
      </c>
      <c r="R1120" s="20">
        <v>0.48229999999999995</v>
      </c>
      <c r="S1120" s="32">
        <v>38.101699999999994</v>
      </c>
      <c r="T1120" s="35">
        <v>2.93</v>
      </c>
      <c r="U1120" s="35">
        <v>1.77</v>
      </c>
      <c r="V1120" s="35">
        <v>3.7088607594936714E-2</v>
      </c>
      <c r="W1120" s="9" t="s">
        <v>154</v>
      </c>
      <c r="X1120" s="15">
        <v>1119</v>
      </c>
      <c r="Y1120" s="39">
        <v>0.4861161273369613</v>
      </c>
      <c r="Z1120" s="39">
        <v>0.49221342596342232</v>
      </c>
      <c r="AA1120" s="39">
        <v>0.48396797342677117</v>
      </c>
      <c r="AB1120" s="39">
        <v>0.48288229354730799</v>
      </c>
      <c r="AC1120" s="39">
        <v>0.47846928127896515</v>
      </c>
      <c r="AD1120" s="39">
        <v>0.48692539874023666</v>
      </c>
      <c r="AE1120" s="39">
        <v>0.47761117018657051</v>
      </c>
      <c r="AF1120" s="40">
        <v>0.48046930064475024</v>
      </c>
    </row>
    <row r="1121" spans="1:32">
      <c r="A1121" s="15">
        <v>1119</v>
      </c>
      <c r="B1121" s="16">
        <v>0</v>
      </c>
      <c r="C1121" s="20">
        <v>0.02</v>
      </c>
      <c r="D1121" s="20">
        <v>0.99756714174924133</v>
      </c>
      <c r="E1121" s="20">
        <v>1</v>
      </c>
      <c r="F1121" s="8" t="s">
        <v>436</v>
      </c>
      <c r="G1121" s="24">
        <v>1.009067908174651</v>
      </c>
      <c r="H1121" s="24">
        <v>1.0149101537912371</v>
      </c>
      <c r="I1121" s="25">
        <v>1.0326595471920057</v>
      </c>
      <c r="L1121" s="15">
        <v>1119</v>
      </c>
      <c r="M1121" s="16">
        <v>1</v>
      </c>
      <c r="N1121" s="16">
        <v>0</v>
      </c>
      <c r="O1121" s="16">
        <v>3</v>
      </c>
      <c r="P1121" s="16">
        <v>54</v>
      </c>
      <c r="Q1121" s="29">
        <v>57</v>
      </c>
      <c r="R1121" s="20">
        <v>0.48229999999999995</v>
      </c>
      <c r="S1121" s="32">
        <v>27.491099999999996</v>
      </c>
      <c r="T1121" s="35">
        <v>2.0500000000000003</v>
      </c>
      <c r="U1121" s="35">
        <v>1.19</v>
      </c>
      <c r="V1121" s="35">
        <v>3.5964912280701762E-2</v>
      </c>
      <c r="W1121" s="9" t="s">
        <v>154</v>
      </c>
      <c r="X1121" s="15">
        <v>1120</v>
      </c>
      <c r="Y1121" s="39">
        <v>0.49679126337096863</v>
      </c>
      <c r="Z1121" s="39">
        <v>0.49936618823308376</v>
      </c>
      <c r="AA1121" s="39">
        <v>0.48766076167536782</v>
      </c>
      <c r="AB1121" s="39">
        <v>0.49746479622680778</v>
      </c>
      <c r="AC1121" s="39">
        <v>0.48993368401520293</v>
      </c>
      <c r="AD1121" s="39">
        <v>0.49434083867063261</v>
      </c>
      <c r="AE1121" s="39">
        <v>0.47916944971765385</v>
      </c>
      <c r="AF1121" s="40">
        <v>0.49139815438911766</v>
      </c>
    </row>
    <row r="1122" spans="1:32">
      <c r="A1122" s="15">
        <v>1120</v>
      </c>
      <c r="B1122" s="16">
        <v>1</v>
      </c>
      <c r="C1122" s="20">
        <v>0.83</v>
      </c>
      <c r="D1122" s="20">
        <v>0.32436397807848893</v>
      </c>
      <c r="E1122" s="20">
        <v>0.17</v>
      </c>
      <c r="F1122" s="8" t="s">
        <v>434</v>
      </c>
      <c r="G1122" s="24">
        <v>0.71291139175278739</v>
      </c>
      <c r="H1122" s="24">
        <v>0.71703896673534351</v>
      </c>
      <c r="I1122" s="25">
        <v>0.72957899962074146</v>
      </c>
      <c r="L1122" s="15">
        <v>1120</v>
      </c>
      <c r="M1122" s="16">
        <v>1</v>
      </c>
      <c r="N1122" s="16">
        <v>0</v>
      </c>
      <c r="O1122" s="16">
        <v>3</v>
      </c>
      <c r="P1122" s="16">
        <v>55</v>
      </c>
      <c r="Q1122" s="29">
        <v>65</v>
      </c>
      <c r="R1122" s="20">
        <v>0.48229999999999995</v>
      </c>
      <c r="S1122" s="32">
        <v>31.349499999999995</v>
      </c>
      <c r="T1122" s="35">
        <v>2.64</v>
      </c>
      <c r="U1122" s="35">
        <v>1.59</v>
      </c>
      <c r="V1122" s="35">
        <v>4.0615384615384616E-2</v>
      </c>
      <c r="W1122" s="9" t="s">
        <v>154</v>
      </c>
      <c r="X1122" s="15">
        <v>1121</v>
      </c>
      <c r="Y1122" s="39">
        <v>0.48160815750260716</v>
      </c>
      <c r="Z1122" s="39">
        <v>0.47274114524425864</v>
      </c>
      <c r="AA1122" s="39">
        <v>0.47507697473069282</v>
      </c>
      <c r="AB1122" s="39">
        <v>0.48865008439513202</v>
      </c>
      <c r="AC1122" s="39">
        <v>0.47768693922820193</v>
      </c>
      <c r="AD1122" s="39">
        <v>0.46428433047229689</v>
      </c>
      <c r="AE1122" s="39">
        <v>0.47033446977399496</v>
      </c>
      <c r="AF1122" s="40">
        <v>0.48230424963069374</v>
      </c>
    </row>
    <row r="1123" spans="1:32">
      <c r="A1123" s="15">
        <v>1121</v>
      </c>
      <c r="B1123" s="16">
        <v>1</v>
      </c>
      <c r="C1123" s="20">
        <v>0.18</v>
      </c>
      <c r="D1123" s="20">
        <v>0.85956600143256123</v>
      </c>
      <c r="E1123" s="20">
        <v>7.0000000000000007E-2</v>
      </c>
      <c r="F1123" s="8" t="s">
        <v>436</v>
      </c>
      <c r="G1123" s="24">
        <v>0.74057120525106035</v>
      </c>
      <c r="H1123" s="24">
        <v>0.74485892349340777</v>
      </c>
      <c r="I1123" s="25">
        <v>0.75788548945274004</v>
      </c>
      <c r="L1123" s="15">
        <v>1121</v>
      </c>
      <c r="M1123" s="16">
        <v>1</v>
      </c>
      <c r="N1123" s="16">
        <v>0</v>
      </c>
      <c r="O1123" s="16">
        <v>4</v>
      </c>
      <c r="P1123" s="16">
        <v>84</v>
      </c>
      <c r="Q1123" s="29">
        <v>38</v>
      </c>
      <c r="R1123" s="20">
        <v>0.48229999999999995</v>
      </c>
      <c r="S1123" s="32">
        <v>18.327399999999997</v>
      </c>
      <c r="T1123" s="35">
        <v>1.1000000000000001</v>
      </c>
      <c r="U1123" s="35">
        <v>0.55000000000000004</v>
      </c>
      <c r="V1123" s="35">
        <v>2.8947368421052635E-2</v>
      </c>
      <c r="W1123" s="9" t="s">
        <v>153</v>
      </c>
      <c r="X1123" s="15">
        <v>1122</v>
      </c>
      <c r="Y1123" s="39">
        <v>0.48733785574561811</v>
      </c>
      <c r="Z1123" s="39">
        <v>0.47669999903851712</v>
      </c>
      <c r="AA1123" s="39">
        <v>0.47976659365448865</v>
      </c>
      <c r="AB1123" s="39">
        <v>0.49173824714231984</v>
      </c>
      <c r="AC1123" s="39">
        <v>0.4833169795917307</v>
      </c>
      <c r="AD1123" s="39">
        <v>0.47103037574848833</v>
      </c>
      <c r="AE1123" s="39">
        <v>0.47265121748976074</v>
      </c>
      <c r="AF1123" s="40">
        <v>0.48678296191220727</v>
      </c>
    </row>
    <row r="1124" spans="1:32">
      <c r="A1124" s="15">
        <v>1122</v>
      </c>
      <c r="B1124" s="16">
        <v>0</v>
      </c>
      <c r="C1124" s="20">
        <v>0.02</v>
      </c>
      <c r="D1124" s="20">
        <v>0.99679477127711513</v>
      </c>
      <c r="E1124" s="20">
        <v>1</v>
      </c>
      <c r="F1124" s="8" t="s">
        <v>436</v>
      </c>
      <c r="G1124" s="24">
        <v>0.96625408097646504</v>
      </c>
      <c r="H1124" s="24">
        <v>0.9718484454621068</v>
      </c>
      <c r="I1124" s="25">
        <v>0.98884474835650138</v>
      </c>
      <c r="L1124" s="15">
        <v>1122</v>
      </c>
      <c r="M1124" s="16">
        <v>1</v>
      </c>
      <c r="N1124" s="16">
        <v>0</v>
      </c>
      <c r="O1124" s="16">
        <v>4</v>
      </c>
      <c r="P1124" s="16">
        <v>85</v>
      </c>
      <c r="Q1124" s="29">
        <v>41</v>
      </c>
      <c r="R1124" s="20">
        <v>0.48229999999999995</v>
      </c>
      <c r="S1124" s="32">
        <v>19.774299999999997</v>
      </c>
      <c r="T1124" s="35">
        <v>2.4699999999999998</v>
      </c>
      <c r="U1124" s="35">
        <v>1.89</v>
      </c>
      <c r="V1124" s="35">
        <v>6.0243902439024381E-2</v>
      </c>
      <c r="W1124" s="9" t="s">
        <v>154</v>
      </c>
      <c r="X1124" s="15">
        <v>1123</v>
      </c>
      <c r="Y1124" s="39">
        <v>0.48860826103353527</v>
      </c>
      <c r="Z1124" s="39">
        <v>0.47838981907869205</v>
      </c>
      <c r="AA1124" s="39">
        <v>0.47941440477890634</v>
      </c>
      <c r="AB1124" s="39">
        <v>0.48256371307647211</v>
      </c>
      <c r="AC1124" s="39">
        <v>0.48307067068146931</v>
      </c>
      <c r="AD1124" s="39">
        <v>0.47256453769851631</v>
      </c>
      <c r="AE1124" s="39">
        <v>0.47283309898548004</v>
      </c>
      <c r="AF1124" s="40">
        <v>0.47860863541571769</v>
      </c>
    </row>
    <row r="1125" spans="1:32">
      <c r="A1125" s="15">
        <v>1123</v>
      </c>
      <c r="B1125" s="16">
        <v>1</v>
      </c>
      <c r="C1125" s="20">
        <v>0.02</v>
      </c>
      <c r="D1125" s="20">
        <v>0.99604261948721451</v>
      </c>
      <c r="E1125" s="20">
        <v>1</v>
      </c>
      <c r="F1125" s="8" t="s">
        <v>436</v>
      </c>
      <c r="G1125" s="24">
        <v>1.0610880507787266</v>
      </c>
      <c r="H1125" s="24">
        <v>1.0672314797424796</v>
      </c>
      <c r="I1125" s="25">
        <v>1.0858959017239453</v>
      </c>
      <c r="L1125" s="15">
        <v>1123</v>
      </c>
      <c r="M1125" s="16">
        <v>1</v>
      </c>
      <c r="N1125" s="16">
        <v>0</v>
      </c>
      <c r="O1125" s="16">
        <v>4</v>
      </c>
      <c r="P1125" s="16">
        <v>86</v>
      </c>
      <c r="Q1125" s="29">
        <v>33</v>
      </c>
      <c r="R1125" s="20">
        <v>0.48229999999999995</v>
      </c>
      <c r="S1125" s="32">
        <v>15.915899999999999</v>
      </c>
      <c r="T1125" s="35">
        <v>0.88</v>
      </c>
      <c r="U1125" s="35">
        <v>0.56000000000000005</v>
      </c>
      <c r="V1125" s="35">
        <v>2.6666666666666668E-2</v>
      </c>
      <c r="W1125" s="9" t="s">
        <v>152</v>
      </c>
      <c r="X1125" s="15">
        <v>1124</v>
      </c>
      <c r="Y1125" s="39">
        <v>0.48855523055143996</v>
      </c>
      <c r="Z1125" s="39">
        <v>0.48172663570756535</v>
      </c>
      <c r="AA1125" s="39">
        <v>0.48115121028385788</v>
      </c>
      <c r="AB1125" s="39">
        <v>0.48894010605159827</v>
      </c>
      <c r="AC1125" s="39">
        <v>0.48146239911174599</v>
      </c>
      <c r="AD1125" s="39">
        <v>0.47596199570659525</v>
      </c>
      <c r="AE1125" s="39">
        <v>0.47625028399623875</v>
      </c>
      <c r="AF1125" s="40">
        <v>0.48580836467561561</v>
      </c>
    </row>
    <row r="1126" spans="1:32">
      <c r="A1126" s="15">
        <v>1124</v>
      </c>
      <c r="B1126" s="16">
        <v>0</v>
      </c>
      <c r="C1126" s="20">
        <v>0.93</v>
      </c>
      <c r="D1126" s="20">
        <v>0.18747949848141848</v>
      </c>
      <c r="E1126" s="20">
        <v>7.0000000000000007E-2</v>
      </c>
      <c r="F1126" s="8" t="s">
        <v>434</v>
      </c>
      <c r="G1126" s="24">
        <v>0.38505103392791745</v>
      </c>
      <c r="H1126" s="24">
        <v>0.38728038112735086</v>
      </c>
      <c r="I1126" s="25">
        <v>0.39405338641786936</v>
      </c>
      <c r="L1126" s="15">
        <v>1124</v>
      </c>
      <c r="M1126" s="16">
        <v>1</v>
      </c>
      <c r="N1126" s="16">
        <v>0</v>
      </c>
      <c r="O1126" s="16">
        <v>4</v>
      </c>
      <c r="P1126" s="16">
        <v>87</v>
      </c>
      <c r="Q1126" s="29">
        <v>64</v>
      </c>
      <c r="R1126" s="20">
        <v>0.48229999999999995</v>
      </c>
      <c r="S1126" s="32">
        <v>30.867199999999997</v>
      </c>
      <c r="T1126" s="35">
        <v>2.2000000000000002</v>
      </c>
      <c r="U1126" s="35">
        <v>1.35</v>
      </c>
      <c r="V1126" s="35">
        <v>3.4375000000000003E-2</v>
      </c>
      <c r="W1126" s="9" t="s">
        <v>154</v>
      </c>
      <c r="X1126" s="15">
        <v>1125</v>
      </c>
      <c r="Y1126" s="39">
        <v>0.49413932578733361</v>
      </c>
      <c r="Z1126" s="39">
        <v>0.47758057781250146</v>
      </c>
      <c r="AA1126" s="39">
        <v>0.49296371264707722</v>
      </c>
      <c r="AB1126" s="39">
        <v>0.48929903939463171</v>
      </c>
      <c r="AC1126" s="39">
        <v>0.48890985207961241</v>
      </c>
      <c r="AD1126" s="39">
        <v>0.46864864279324048</v>
      </c>
      <c r="AE1126" s="39">
        <v>0.48478478181631396</v>
      </c>
      <c r="AF1126" s="40">
        <v>0.48437243947485142</v>
      </c>
    </row>
    <row r="1127" spans="1:32">
      <c r="A1127" s="15">
        <v>1125</v>
      </c>
      <c r="B1127" s="16">
        <v>0</v>
      </c>
      <c r="C1127" s="20">
        <v>0.92</v>
      </c>
      <c r="D1127" s="20">
        <v>0.20258497911151899</v>
      </c>
      <c r="E1127" s="20">
        <v>0.08</v>
      </c>
      <c r="F1127" s="8" t="s">
        <v>434</v>
      </c>
      <c r="G1127" s="24">
        <v>0.77796833707711655</v>
      </c>
      <c r="H1127" s="24">
        <v>0.78247257516685353</v>
      </c>
      <c r="I1127" s="25">
        <v>0.79615695255737262</v>
      </c>
      <c r="L1127" s="15">
        <v>1125</v>
      </c>
      <c r="M1127" s="16">
        <v>1</v>
      </c>
      <c r="N1127" s="16">
        <v>0</v>
      </c>
      <c r="O1127" s="16">
        <v>4</v>
      </c>
      <c r="P1127" s="16">
        <v>88</v>
      </c>
      <c r="Q1127" s="29">
        <v>44</v>
      </c>
      <c r="R1127" s="20">
        <v>0.48229999999999995</v>
      </c>
      <c r="S1127" s="32">
        <v>21.221199999999996</v>
      </c>
      <c r="T1127" s="35">
        <v>2.38</v>
      </c>
      <c r="U1127" s="35">
        <v>1.76</v>
      </c>
      <c r="V1127" s="35">
        <v>5.4090909090909085E-2</v>
      </c>
      <c r="W1127" s="9" t="s">
        <v>154</v>
      </c>
      <c r="X1127" s="15">
        <v>1126</v>
      </c>
      <c r="Y1127" s="39">
        <v>0.49028074676630867</v>
      </c>
      <c r="Z1127" s="39">
        <v>0.49838954334843999</v>
      </c>
      <c r="AA1127" s="39">
        <v>0.48113433806843792</v>
      </c>
      <c r="AB1127" s="39">
        <v>0.4861167758033812</v>
      </c>
      <c r="AC1127" s="39">
        <v>0.48353966142062738</v>
      </c>
      <c r="AD1127" s="39">
        <v>0.48924575669567266</v>
      </c>
      <c r="AE1127" s="39">
        <v>0.47564082615179748</v>
      </c>
      <c r="AF1127" s="40">
        <v>0.48123978569068349</v>
      </c>
    </row>
    <row r="1128" spans="1:32">
      <c r="A1128" s="15">
        <v>1126</v>
      </c>
      <c r="B1128" s="16">
        <v>0</v>
      </c>
      <c r="C1128" s="20">
        <v>0.15</v>
      </c>
      <c r="D1128" s="20">
        <v>0.90908992049608628</v>
      </c>
      <c r="E1128" s="20">
        <v>0.06</v>
      </c>
      <c r="F1128" s="8" t="s">
        <v>436</v>
      </c>
      <c r="G1128" s="24">
        <v>0.78741637881930182</v>
      </c>
      <c r="H1128" s="24">
        <v>0.79197531865904636</v>
      </c>
      <c r="I1128" s="25">
        <v>0.80582588606352823</v>
      </c>
      <c r="L1128" s="15">
        <v>1126</v>
      </c>
      <c r="M1128" s="16">
        <v>1</v>
      </c>
      <c r="N1128" s="16">
        <v>0</v>
      </c>
      <c r="O1128" s="16">
        <v>4</v>
      </c>
      <c r="P1128" s="16">
        <v>89</v>
      </c>
      <c r="Q1128" s="29">
        <v>38</v>
      </c>
      <c r="R1128" s="20">
        <v>0.48229999999999995</v>
      </c>
      <c r="S1128" s="32">
        <v>18.327399999999997</v>
      </c>
      <c r="T1128" s="35">
        <v>1.04</v>
      </c>
      <c r="U1128" s="35">
        <v>0.5</v>
      </c>
      <c r="V1128" s="35">
        <v>2.736842105263158E-2</v>
      </c>
      <c r="W1128" s="9" t="s">
        <v>153</v>
      </c>
      <c r="X1128" s="15">
        <v>1127</v>
      </c>
      <c r="Y1128" s="39">
        <v>0.47934889032773786</v>
      </c>
      <c r="Z1128" s="39">
        <v>0.47912217401964191</v>
      </c>
      <c r="AA1128" s="39">
        <v>0.4723137510833082</v>
      </c>
      <c r="AB1128" s="39">
        <v>0.49010063186649289</v>
      </c>
      <c r="AC1128" s="39">
        <v>0.47481578368946403</v>
      </c>
      <c r="AD1128" s="39">
        <v>0.47254357339845798</v>
      </c>
      <c r="AE1128" s="39">
        <v>0.46225410495257818</v>
      </c>
      <c r="AF1128" s="40">
        <v>0.4844932553038665</v>
      </c>
    </row>
    <row r="1129" spans="1:32">
      <c r="A1129" s="15">
        <v>1127</v>
      </c>
      <c r="B1129" s="16">
        <v>0</v>
      </c>
      <c r="C1129" s="20">
        <v>0.12</v>
      </c>
      <c r="D1129" s="20">
        <v>0.93062667606464533</v>
      </c>
      <c r="E1129" s="20">
        <v>0.06</v>
      </c>
      <c r="F1129" s="8" t="s">
        <v>436</v>
      </c>
      <c r="G1129" s="24">
        <v>0.74800498568500973</v>
      </c>
      <c r="H1129" s="24">
        <v>0.75233574361854449</v>
      </c>
      <c r="I1129" s="25">
        <v>0.76549306895720914</v>
      </c>
      <c r="L1129" s="15">
        <v>1127</v>
      </c>
      <c r="M1129" s="16">
        <v>1</v>
      </c>
      <c r="N1129" s="16">
        <v>0</v>
      </c>
      <c r="O1129" s="16">
        <v>4</v>
      </c>
      <c r="P1129" s="16">
        <v>90</v>
      </c>
      <c r="Q1129" s="29">
        <v>42</v>
      </c>
      <c r="R1129" s="20">
        <v>0.48229999999999995</v>
      </c>
      <c r="S1129" s="32">
        <v>20.256599999999999</v>
      </c>
      <c r="T1129" s="35">
        <v>1.88</v>
      </c>
      <c r="U1129" s="35">
        <v>1.26</v>
      </c>
      <c r="V1129" s="35">
        <v>4.476190476190476E-2</v>
      </c>
      <c r="W1129" s="9" t="s">
        <v>153</v>
      </c>
      <c r="X1129" s="15">
        <v>1128</v>
      </c>
      <c r="Y1129" s="39">
        <v>0.47282218367304985</v>
      </c>
      <c r="Z1129" s="39">
        <v>0.50613486673090591</v>
      </c>
      <c r="AA1129" s="39">
        <v>0.48966160860439334</v>
      </c>
      <c r="AB1129" s="39">
        <v>0.48912316768346048</v>
      </c>
      <c r="AC1129" s="39">
        <v>0.47014435232944396</v>
      </c>
      <c r="AD1129" s="39">
        <v>0.50054034891893806</v>
      </c>
      <c r="AE1129" s="39">
        <v>0.47941835602748895</v>
      </c>
      <c r="AF1129" s="40">
        <v>0.48298919119125799</v>
      </c>
    </row>
    <row r="1130" spans="1:32">
      <c r="A1130" s="15">
        <v>1128</v>
      </c>
      <c r="B1130" s="16">
        <v>0</v>
      </c>
      <c r="C1130" s="20">
        <v>0.44</v>
      </c>
      <c r="D1130" s="20">
        <v>0.57827637302474044</v>
      </c>
      <c r="E1130" s="20">
        <v>0.26</v>
      </c>
      <c r="F1130" s="8" t="s">
        <v>436</v>
      </c>
      <c r="G1130" s="24">
        <v>0.51151042856935014</v>
      </c>
      <c r="H1130" s="24">
        <v>0.51447194338409941</v>
      </c>
      <c r="I1130" s="25">
        <v>0.52346935550247375</v>
      </c>
      <c r="L1130" s="15">
        <v>1128</v>
      </c>
      <c r="M1130" s="16">
        <v>1</v>
      </c>
      <c r="N1130" s="16">
        <v>0</v>
      </c>
      <c r="O1130" s="16">
        <v>4</v>
      </c>
      <c r="P1130" s="16">
        <v>91</v>
      </c>
      <c r="Q1130" s="29">
        <v>47</v>
      </c>
      <c r="R1130" s="20">
        <v>0.48229999999999995</v>
      </c>
      <c r="S1130" s="32">
        <v>22.668099999999999</v>
      </c>
      <c r="T1130" s="35">
        <v>1.4300000000000002</v>
      </c>
      <c r="U1130" s="35">
        <v>0.63</v>
      </c>
      <c r="V1130" s="35">
        <v>3.0425531914893621E-2</v>
      </c>
      <c r="W1130" s="9" t="s">
        <v>153</v>
      </c>
      <c r="X1130" s="15">
        <v>1129</v>
      </c>
      <c r="Y1130" s="39">
        <v>0.48001923878460473</v>
      </c>
      <c r="Z1130" s="39">
        <v>0.50158158884224169</v>
      </c>
      <c r="AA1130" s="39">
        <v>0.48405718360742839</v>
      </c>
      <c r="AB1130" s="39">
        <v>0.47525110531053216</v>
      </c>
      <c r="AC1130" s="39">
        <v>0.47386450378417228</v>
      </c>
      <c r="AD1130" s="39">
        <v>0.49479284147633673</v>
      </c>
      <c r="AE1130" s="39">
        <v>0.47639376401264633</v>
      </c>
      <c r="AF1130" s="40">
        <v>0.47380617538983733</v>
      </c>
    </row>
    <row r="1131" spans="1:32">
      <c r="A1131" s="15">
        <v>1129</v>
      </c>
      <c r="B1131" s="16">
        <v>0</v>
      </c>
      <c r="C1131" s="20">
        <v>0.9</v>
      </c>
      <c r="D1131" s="20">
        <v>0.23159538658365303</v>
      </c>
      <c r="E1131" s="20">
        <v>0.1</v>
      </c>
      <c r="F1131" s="8" t="s">
        <v>434</v>
      </c>
      <c r="G1131" s="24">
        <v>0.86168597736471786</v>
      </c>
      <c r="H1131" s="24">
        <v>0.86667491922219819</v>
      </c>
      <c r="I1131" s="25">
        <v>0.88183188068759555</v>
      </c>
      <c r="L1131" s="15">
        <v>1129</v>
      </c>
      <c r="M1131" s="16">
        <v>1</v>
      </c>
      <c r="N1131" s="16">
        <v>0</v>
      </c>
      <c r="O1131" s="16">
        <v>4</v>
      </c>
      <c r="P1131" s="16">
        <v>92</v>
      </c>
      <c r="Q1131" s="29">
        <v>38</v>
      </c>
      <c r="R1131" s="20">
        <v>0.48229999999999995</v>
      </c>
      <c r="S1131" s="32">
        <v>18.327399999999997</v>
      </c>
      <c r="T1131" s="35">
        <v>1.27</v>
      </c>
      <c r="U1131" s="35">
        <v>0.7</v>
      </c>
      <c r="V1131" s="35">
        <v>3.3421052631578949E-2</v>
      </c>
      <c r="W1131" s="9" t="s">
        <v>153</v>
      </c>
      <c r="X1131" s="15">
        <v>1130</v>
      </c>
      <c r="Y1131" s="39">
        <v>0.48969927481654574</v>
      </c>
      <c r="Z1131" s="39">
        <v>0.48331741223243291</v>
      </c>
      <c r="AA1131" s="39">
        <v>0.47885256454477965</v>
      </c>
      <c r="AB1131" s="39">
        <v>0.49204490431037851</v>
      </c>
      <c r="AC1131" s="39">
        <v>0.48386730397338407</v>
      </c>
      <c r="AD1131" s="39">
        <v>0.47629654221540652</v>
      </c>
      <c r="AE1131" s="39">
        <v>0.47222763251160604</v>
      </c>
      <c r="AF1131" s="40">
        <v>0.48716522560661996</v>
      </c>
    </row>
    <row r="1132" spans="1:32">
      <c r="A1132" s="15">
        <v>1130</v>
      </c>
      <c r="B1132" s="16">
        <v>0</v>
      </c>
      <c r="C1132" s="20">
        <v>0.9</v>
      </c>
      <c r="D1132" s="20">
        <v>0.231595386583653</v>
      </c>
      <c r="E1132" s="20">
        <v>0.1</v>
      </c>
      <c r="F1132" s="8" t="s">
        <v>434</v>
      </c>
      <c r="G1132" s="24">
        <v>0.54655444467860215</v>
      </c>
      <c r="H1132" s="24">
        <v>0.54971885540139021</v>
      </c>
      <c r="I1132" s="25">
        <v>0.55933268790458401</v>
      </c>
      <c r="L1132" s="15">
        <v>1130</v>
      </c>
      <c r="M1132" s="16">
        <v>1</v>
      </c>
      <c r="N1132" s="16">
        <v>0</v>
      </c>
      <c r="O1132" s="16">
        <v>4</v>
      </c>
      <c r="P1132" s="16">
        <v>93</v>
      </c>
      <c r="Q1132" s="29">
        <v>37</v>
      </c>
      <c r="R1132" s="20">
        <v>0.48229999999999995</v>
      </c>
      <c r="S1132" s="32">
        <v>17.845099999999999</v>
      </c>
      <c r="T1132" s="35">
        <v>1.81</v>
      </c>
      <c r="U1132" s="35">
        <v>1.21</v>
      </c>
      <c r="V1132" s="35">
        <v>4.8918918918918919E-2</v>
      </c>
      <c r="W1132" s="9" t="s">
        <v>153</v>
      </c>
      <c r="X1132" s="15">
        <v>1131</v>
      </c>
      <c r="Y1132" s="39">
        <v>0.47841118983400527</v>
      </c>
      <c r="Z1132" s="39">
        <v>0.48604260090703122</v>
      </c>
      <c r="AA1132" s="39">
        <v>0.49105485503789686</v>
      </c>
      <c r="AB1132" s="39">
        <v>0.48735254557168434</v>
      </c>
      <c r="AC1132" s="39">
        <v>0.47162691190713235</v>
      </c>
      <c r="AD1132" s="39">
        <v>0.47914249534209846</v>
      </c>
      <c r="AE1132" s="39">
        <v>0.48246738656052007</v>
      </c>
      <c r="AF1132" s="40">
        <v>0.48197760377472881</v>
      </c>
    </row>
    <row r="1133" spans="1:32">
      <c r="A1133" s="15">
        <v>1131</v>
      </c>
      <c r="B1133" s="16">
        <v>1</v>
      </c>
      <c r="C1133" s="20">
        <v>0.26</v>
      </c>
      <c r="D1133" s="20">
        <v>0.67506754520727397</v>
      </c>
      <c r="E1133" s="20">
        <v>0.15</v>
      </c>
      <c r="F1133" s="8" t="s">
        <v>436</v>
      </c>
      <c r="G1133" s="24">
        <v>0.7377197296565996</v>
      </c>
      <c r="H1133" s="24">
        <v>0.74199093858311449</v>
      </c>
      <c r="I1133" s="25">
        <v>0.75496734740070359</v>
      </c>
      <c r="L1133" s="15">
        <v>1131</v>
      </c>
      <c r="M1133" s="16">
        <v>1</v>
      </c>
      <c r="N1133" s="16">
        <v>0</v>
      </c>
      <c r="O1133" s="16">
        <v>4</v>
      </c>
      <c r="P1133" s="16">
        <v>94</v>
      </c>
      <c r="Q1133" s="29">
        <v>22</v>
      </c>
      <c r="R1133" s="20">
        <v>0.48229999999999995</v>
      </c>
      <c r="S1133" s="32">
        <v>10.610599999999998</v>
      </c>
      <c r="T1133" s="35">
        <v>2.2400000000000002</v>
      </c>
      <c r="U1133" s="35">
        <v>1.81</v>
      </c>
      <c r="V1133" s="35">
        <v>0.10181818181818182</v>
      </c>
      <c r="W1133" s="9" t="s">
        <v>154</v>
      </c>
      <c r="X1133" s="15">
        <v>1132</v>
      </c>
      <c r="Y1133" s="39">
        <v>0.48211445283295012</v>
      </c>
      <c r="Z1133" s="39">
        <v>0.4893592931257803</v>
      </c>
      <c r="AA1133" s="39">
        <v>0.49386486046133204</v>
      </c>
      <c r="AB1133" s="39">
        <v>0.47647958071114266</v>
      </c>
      <c r="AC1133" s="39">
        <v>0.47464681076339738</v>
      </c>
      <c r="AD1133" s="39">
        <v>0.48313236644902752</v>
      </c>
      <c r="AE1133" s="39">
        <v>0.48727040994348025</v>
      </c>
      <c r="AF1133" s="40">
        <v>0.47305836296333664</v>
      </c>
    </row>
    <row r="1134" spans="1:32">
      <c r="A1134" s="15">
        <v>1132</v>
      </c>
      <c r="B1134" s="16">
        <v>1</v>
      </c>
      <c r="C1134" s="20">
        <v>0.5</v>
      </c>
      <c r="D1134" s="20">
        <v>0.46875029586487232</v>
      </c>
      <c r="E1134" s="20">
        <v>0.08</v>
      </c>
      <c r="F1134" s="8" t="s">
        <v>438</v>
      </c>
      <c r="G1134" s="24">
        <v>1.1050977704194549</v>
      </c>
      <c r="H1134" s="24">
        <v>1.1114960044261344</v>
      </c>
      <c r="I1134" s="25">
        <v>1.130934552530364</v>
      </c>
      <c r="L1134" s="15">
        <v>1132</v>
      </c>
      <c r="M1134" s="16">
        <v>1</v>
      </c>
      <c r="N1134" s="16">
        <v>0</v>
      </c>
      <c r="O1134" s="16">
        <v>4</v>
      </c>
      <c r="P1134" s="16">
        <v>95</v>
      </c>
      <c r="Q1134" s="29">
        <v>41</v>
      </c>
      <c r="R1134" s="20">
        <v>0.48229999999999995</v>
      </c>
      <c r="S1134" s="32">
        <v>19.774299999999997</v>
      </c>
      <c r="T1134" s="35">
        <v>1.68</v>
      </c>
      <c r="U1134" s="35">
        <v>1.02</v>
      </c>
      <c r="V1134" s="35">
        <v>4.0975609756097563E-2</v>
      </c>
      <c r="W1134" s="9" t="s">
        <v>153</v>
      </c>
      <c r="X1134" s="15">
        <v>1133</v>
      </c>
      <c r="Y1134" s="39">
        <v>0.49380014647781362</v>
      </c>
      <c r="Z1134" s="39">
        <v>0.48712573504913365</v>
      </c>
      <c r="AA1134" s="39">
        <v>0.4768212474991691</v>
      </c>
      <c r="AB1134" s="39">
        <v>0.48251482558789593</v>
      </c>
      <c r="AC1134" s="39">
        <v>0.48605065610298448</v>
      </c>
      <c r="AD1134" s="39">
        <v>0.47989971728164305</v>
      </c>
      <c r="AE1134" s="39">
        <v>0.47223561798128</v>
      </c>
      <c r="AF1134" s="40">
        <v>0.48039132812486185</v>
      </c>
    </row>
    <row r="1135" spans="1:32">
      <c r="A1135" s="15">
        <v>1133</v>
      </c>
      <c r="B1135" s="16">
        <v>0</v>
      </c>
      <c r="C1135" s="20">
        <v>0.55000000000000004</v>
      </c>
      <c r="D1135" s="20">
        <v>0.49793574591287959</v>
      </c>
      <c r="E1135" s="20">
        <v>0.16</v>
      </c>
      <c r="F1135" s="8" t="s">
        <v>438</v>
      </c>
      <c r="G1135" s="24">
        <v>0.85434640952003982</v>
      </c>
      <c r="H1135" s="24">
        <v>0.85929285715317627</v>
      </c>
      <c r="I1135" s="25">
        <v>0.87432071642831322</v>
      </c>
      <c r="L1135" s="15">
        <v>1133</v>
      </c>
      <c r="M1135" s="16">
        <v>1</v>
      </c>
      <c r="N1135" s="16">
        <v>0</v>
      </c>
      <c r="O1135" s="16">
        <v>4</v>
      </c>
      <c r="P1135" s="16">
        <v>96</v>
      </c>
      <c r="Q1135" s="29">
        <v>31</v>
      </c>
      <c r="R1135" s="20">
        <v>0.48229999999999995</v>
      </c>
      <c r="S1135" s="32">
        <v>14.951299999999998</v>
      </c>
      <c r="T1135" s="35">
        <v>0.47000000000000003</v>
      </c>
      <c r="U1135" s="35">
        <v>0.13</v>
      </c>
      <c r="V1135" s="35">
        <v>1.5161290322580645E-2</v>
      </c>
      <c r="W1135" s="9" t="s">
        <v>152</v>
      </c>
      <c r="X1135" s="15">
        <v>1134</v>
      </c>
      <c r="Y1135" s="39">
        <v>0.47396475117343773</v>
      </c>
      <c r="Z1135" s="39">
        <v>0.50404972176815388</v>
      </c>
      <c r="AA1135" s="39">
        <v>0.48898501752831536</v>
      </c>
      <c r="AB1135" s="39">
        <v>0.49399003319288898</v>
      </c>
      <c r="AC1135" s="39">
        <v>0.46571925716443846</v>
      </c>
      <c r="AD1135" s="39">
        <v>0.4965716061900376</v>
      </c>
      <c r="AE1135" s="39">
        <v>0.4834404276892163</v>
      </c>
      <c r="AF1135" s="40">
        <v>0.49057102970707567</v>
      </c>
    </row>
    <row r="1136" spans="1:32">
      <c r="A1136" s="15">
        <v>1134</v>
      </c>
      <c r="B1136" s="16">
        <v>1</v>
      </c>
      <c r="C1136" s="20">
        <v>0.12</v>
      </c>
      <c r="D1136" s="20">
        <v>0.92603468193833338</v>
      </c>
      <c r="E1136" s="20">
        <v>0.03</v>
      </c>
      <c r="F1136" s="8" t="s">
        <v>436</v>
      </c>
      <c r="G1136" s="24">
        <v>1.0378931327688128</v>
      </c>
      <c r="H1136" s="24">
        <v>1.0439022690779558</v>
      </c>
      <c r="I1136" s="25">
        <v>1.0621586950055173</v>
      </c>
      <c r="L1136" s="15">
        <v>1134</v>
      </c>
      <c r="M1136" s="16">
        <v>1</v>
      </c>
      <c r="N1136" s="16">
        <v>0</v>
      </c>
      <c r="O1136" s="16">
        <v>4</v>
      </c>
      <c r="P1136" s="16">
        <v>97</v>
      </c>
      <c r="Q1136" s="29">
        <v>33</v>
      </c>
      <c r="R1136" s="20">
        <v>0.48229999999999995</v>
      </c>
      <c r="S1136" s="32">
        <v>15.915899999999999</v>
      </c>
      <c r="T1136" s="35">
        <v>1.1600000000000001</v>
      </c>
      <c r="U1136" s="35">
        <v>0.74</v>
      </c>
      <c r="V1136" s="35">
        <v>3.5151515151515156E-2</v>
      </c>
      <c r="W1136" s="9" t="s">
        <v>153</v>
      </c>
      <c r="X1136" s="15">
        <v>1135</v>
      </c>
      <c r="Y1136" s="39">
        <v>0.48081591131485807</v>
      </c>
      <c r="Z1136" s="39">
        <v>0.47987557984956408</v>
      </c>
      <c r="AA1136" s="39">
        <v>0.49046427727947789</v>
      </c>
      <c r="AB1136" s="39">
        <v>0.4907119477925303</v>
      </c>
      <c r="AC1136" s="39">
        <v>0.4731501845177315</v>
      </c>
      <c r="AD1136" s="39">
        <v>0.47627077230065107</v>
      </c>
      <c r="AE1136" s="39">
        <v>0.48359966888853811</v>
      </c>
      <c r="AF1136" s="40">
        <v>0.48363389055373884</v>
      </c>
    </row>
    <row r="1137" spans="1:32">
      <c r="A1137" s="15">
        <v>1135</v>
      </c>
      <c r="B1137" s="16">
        <v>0</v>
      </c>
      <c r="C1137" s="20">
        <v>0.89</v>
      </c>
      <c r="D1137" s="20">
        <v>0.24559627500636821</v>
      </c>
      <c r="E1137" s="20">
        <v>0.11</v>
      </c>
      <c r="F1137" s="8" t="s">
        <v>434</v>
      </c>
      <c r="G1137" s="24">
        <v>0.37900384743176863</v>
      </c>
      <c r="H1137" s="24">
        <v>0.3811981829649766</v>
      </c>
      <c r="I1137" s="25">
        <v>0.38786481891085695</v>
      </c>
      <c r="L1137" s="15">
        <v>1135</v>
      </c>
      <c r="M1137" s="16">
        <v>1</v>
      </c>
      <c r="N1137" s="16">
        <v>0</v>
      </c>
      <c r="O1137" s="16">
        <v>5</v>
      </c>
      <c r="P1137" s="16">
        <v>98</v>
      </c>
      <c r="Q1137" s="29">
        <v>53</v>
      </c>
      <c r="R1137" s="20">
        <v>0.48229999999999995</v>
      </c>
      <c r="S1137" s="32">
        <v>25.561899999999998</v>
      </c>
      <c r="T1137" s="35">
        <v>3.1</v>
      </c>
      <c r="U1137" s="35">
        <v>2.2999999999999998</v>
      </c>
      <c r="V1137" s="35">
        <v>5.849056603773585E-2</v>
      </c>
      <c r="W1137" s="9" t="s">
        <v>155</v>
      </c>
      <c r="X1137" s="15">
        <v>1136</v>
      </c>
      <c r="Y1137" s="39">
        <v>0.50032411267804766</v>
      </c>
      <c r="Z1137" s="39">
        <v>0.49759477555517628</v>
      </c>
      <c r="AA1137" s="39">
        <v>0.48317295520248799</v>
      </c>
      <c r="AB1137" s="39">
        <v>0.48932053331589104</v>
      </c>
      <c r="AC1137" s="39">
        <v>0.4903280391807962</v>
      </c>
      <c r="AD1137" s="39">
        <v>0.49130384698672042</v>
      </c>
      <c r="AE1137" s="39">
        <v>0.47818715798478378</v>
      </c>
      <c r="AF1137" s="40">
        <v>0.48545396680942227</v>
      </c>
    </row>
    <row r="1138" spans="1:32">
      <c r="A1138" s="15">
        <v>1136</v>
      </c>
      <c r="B1138" s="16">
        <v>0</v>
      </c>
      <c r="C1138" s="20">
        <v>0.28000000000000003</v>
      </c>
      <c r="D1138" s="20">
        <v>0.76722383026334928</v>
      </c>
      <c r="E1138" s="20">
        <v>0.11</v>
      </c>
      <c r="F1138" s="8" t="s">
        <v>436</v>
      </c>
      <c r="G1138" s="24">
        <v>0.53662050148886331</v>
      </c>
      <c r="H1138" s="24">
        <v>0.53972739721629226</v>
      </c>
      <c r="I1138" s="25">
        <v>0.54916649275256124</v>
      </c>
      <c r="L1138" s="15">
        <v>1136</v>
      </c>
      <c r="M1138" s="16">
        <v>1</v>
      </c>
      <c r="N1138" s="16">
        <v>0</v>
      </c>
      <c r="O1138" s="16">
        <v>5</v>
      </c>
      <c r="P1138" s="16">
        <v>99</v>
      </c>
      <c r="Q1138" s="29">
        <v>50</v>
      </c>
      <c r="R1138" s="20">
        <v>0.48229999999999995</v>
      </c>
      <c r="S1138" s="32">
        <v>24.114999999999998</v>
      </c>
      <c r="T1138" s="35">
        <v>1.98</v>
      </c>
      <c r="U1138" s="35">
        <v>1.3</v>
      </c>
      <c r="V1138" s="35">
        <v>3.9599999999999996E-2</v>
      </c>
      <c r="W1138" s="9" t="s">
        <v>153</v>
      </c>
      <c r="X1138" s="15">
        <v>1137</v>
      </c>
      <c r="Y1138" s="39">
        <v>0.48152470224070332</v>
      </c>
      <c r="Z1138" s="39">
        <v>0.47460803544907793</v>
      </c>
      <c r="AA1138" s="39">
        <v>0.4822384476971327</v>
      </c>
      <c r="AB1138" s="39">
        <v>0.48284278442927808</v>
      </c>
      <c r="AC1138" s="39">
        <v>0.47475778459197776</v>
      </c>
      <c r="AD1138" s="39">
        <v>0.46846799243401055</v>
      </c>
      <c r="AE1138" s="39">
        <v>0.47534195975051879</v>
      </c>
      <c r="AF1138" s="40">
        <v>0.47798036617746986</v>
      </c>
    </row>
    <row r="1139" spans="1:32">
      <c r="A1139" s="15">
        <v>1137</v>
      </c>
      <c r="B1139" s="16">
        <v>0</v>
      </c>
      <c r="C1139" s="20">
        <v>0.92</v>
      </c>
      <c r="D1139" s="20">
        <v>0.20258497911151899</v>
      </c>
      <c r="E1139" s="20">
        <v>0.08</v>
      </c>
      <c r="F1139" s="8" t="s">
        <v>434</v>
      </c>
      <c r="G1139" s="24">
        <v>0.77343456775468256</v>
      </c>
      <c r="H1139" s="24">
        <v>0.77791255647731949</v>
      </c>
      <c r="I1139" s="25">
        <v>0.79151718536465032</v>
      </c>
      <c r="L1139" s="15">
        <v>1137</v>
      </c>
      <c r="M1139" s="16">
        <v>1</v>
      </c>
      <c r="N1139" s="16">
        <v>0</v>
      </c>
      <c r="O1139" s="16">
        <v>5</v>
      </c>
      <c r="P1139" s="16">
        <v>100</v>
      </c>
      <c r="Q1139" s="29">
        <v>44</v>
      </c>
      <c r="R1139" s="20">
        <v>0.48229999999999995</v>
      </c>
      <c r="S1139" s="32">
        <v>21.221199999999996</v>
      </c>
      <c r="T1139" s="35">
        <v>1.0900000000000001</v>
      </c>
      <c r="U1139" s="35">
        <v>0.33</v>
      </c>
      <c r="V1139" s="35">
        <v>2.4772727272727276E-2</v>
      </c>
      <c r="W1139" s="9" t="s">
        <v>153</v>
      </c>
      <c r="X1139" s="15">
        <v>1138</v>
      </c>
      <c r="Y1139" s="39">
        <v>0.47096136402961253</v>
      </c>
      <c r="Z1139" s="39">
        <v>0.48083148565441103</v>
      </c>
      <c r="AA1139" s="39">
        <v>0.47695606952030517</v>
      </c>
      <c r="AB1139" s="39">
        <v>0.47561756867814181</v>
      </c>
      <c r="AC1139" s="39">
        <v>0.4645978974704339</v>
      </c>
      <c r="AD1139" s="39">
        <v>0.47170099120005005</v>
      </c>
      <c r="AE1139" s="39">
        <v>0.47311837066372942</v>
      </c>
      <c r="AF1139" s="40">
        <v>0.46807713824577435</v>
      </c>
    </row>
    <row r="1140" spans="1:32">
      <c r="A1140" s="15">
        <v>1138</v>
      </c>
      <c r="B1140" s="16">
        <v>1</v>
      </c>
      <c r="C1140" s="20">
        <v>0.9</v>
      </c>
      <c r="D1140" s="20">
        <v>0.231595386583653</v>
      </c>
      <c r="E1140" s="20">
        <v>0.1</v>
      </c>
      <c r="F1140" s="8" t="s">
        <v>434</v>
      </c>
      <c r="G1140" s="24">
        <v>1.3671447636012148</v>
      </c>
      <c r="H1140" s="24">
        <v>1.3750601828090621</v>
      </c>
      <c r="I1140" s="25">
        <v>1.3991081086705184</v>
      </c>
      <c r="L1140" s="15">
        <v>1138</v>
      </c>
      <c r="M1140" s="16">
        <v>1</v>
      </c>
      <c r="N1140" s="16">
        <v>0</v>
      </c>
      <c r="O1140" s="16">
        <v>5</v>
      </c>
      <c r="P1140" s="16">
        <v>101</v>
      </c>
      <c r="Q1140" s="29">
        <v>53</v>
      </c>
      <c r="R1140" s="20">
        <v>0.48229999999999995</v>
      </c>
      <c r="S1140" s="32">
        <v>25.561899999999998</v>
      </c>
      <c r="T1140" s="35">
        <v>2.16</v>
      </c>
      <c r="U1140" s="35">
        <v>1.33</v>
      </c>
      <c r="V1140" s="35">
        <v>4.0754716981132075E-2</v>
      </c>
      <c r="W1140" s="9" t="s">
        <v>154</v>
      </c>
      <c r="X1140" s="15">
        <v>1139</v>
      </c>
      <c r="Y1140" s="39">
        <v>0.47688608113581626</v>
      </c>
      <c r="Z1140" s="39">
        <v>0.47244300627379449</v>
      </c>
      <c r="AA1140" s="39">
        <v>0.47970200411236413</v>
      </c>
      <c r="AB1140" s="39">
        <v>0.48292757293943983</v>
      </c>
      <c r="AC1140" s="39">
        <v>0.46884136086275702</v>
      </c>
      <c r="AD1140" s="39">
        <v>0.46949617954370387</v>
      </c>
      <c r="AE1140" s="39">
        <v>0.47418376331596623</v>
      </c>
      <c r="AF1140" s="40">
        <v>0.47913654511538395</v>
      </c>
    </row>
    <row r="1141" spans="1:32">
      <c r="A1141" s="15">
        <v>1139</v>
      </c>
      <c r="B1141" s="16">
        <v>1</v>
      </c>
      <c r="C1141" s="20">
        <v>0.25</v>
      </c>
      <c r="D1141" s="20">
        <v>0.7602478231240859</v>
      </c>
      <c r="E1141" s="20">
        <v>0.43</v>
      </c>
      <c r="F1141" s="8" t="s">
        <v>436</v>
      </c>
      <c r="G1141" s="24">
        <v>0.78601962573073458</v>
      </c>
      <c r="H1141" s="24">
        <v>0.79057047872662745</v>
      </c>
      <c r="I1141" s="25">
        <v>0.80439647739807174</v>
      </c>
      <c r="L1141" s="15">
        <v>1139</v>
      </c>
      <c r="M1141" s="16">
        <v>1</v>
      </c>
      <c r="N1141" s="16">
        <v>0</v>
      </c>
      <c r="O1141" s="16">
        <v>5</v>
      </c>
      <c r="P1141" s="16">
        <v>102</v>
      </c>
      <c r="Q1141" s="29">
        <v>13</v>
      </c>
      <c r="R1141" s="20">
        <v>0.48229999999999995</v>
      </c>
      <c r="S1141" s="32">
        <v>6.2698999999999998</v>
      </c>
      <c r="T1141" s="35">
        <v>0.19</v>
      </c>
      <c r="U1141" s="35">
        <v>0</v>
      </c>
      <c r="V1141" s="35">
        <v>1.4615384615384615E-2</v>
      </c>
      <c r="W1141" s="9" t="s">
        <v>152</v>
      </c>
      <c r="X1141" s="15">
        <v>1140</v>
      </c>
      <c r="Y1141" s="39">
        <v>0.4905570077425786</v>
      </c>
      <c r="Z1141" s="39">
        <v>0.48732951433952931</v>
      </c>
      <c r="AA1141" s="39">
        <v>0.48053295318685502</v>
      </c>
      <c r="AB1141" s="39">
        <v>0.48823310095319877</v>
      </c>
      <c r="AC1141" s="39">
        <v>0.48713733501051187</v>
      </c>
      <c r="AD1141" s="39">
        <v>0.48185942789198777</v>
      </c>
      <c r="AE1141" s="39">
        <v>0.4744256139651733</v>
      </c>
      <c r="AF1141" s="40">
        <v>0.4858175595885868</v>
      </c>
    </row>
    <row r="1142" spans="1:32">
      <c r="A1142" s="15">
        <v>1140</v>
      </c>
      <c r="B1142" s="16">
        <v>0</v>
      </c>
      <c r="C1142" s="20">
        <v>0.89</v>
      </c>
      <c r="D1142" s="20">
        <v>0.24559627500636821</v>
      </c>
      <c r="E1142" s="20">
        <v>0.11</v>
      </c>
      <c r="F1142" s="8" t="s">
        <v>434</v>
      </c>
      <c r="G1142" s="24">
        <v>0.38828057323054688</v>
      </c>
      <c r="H1142" s="24">
        <v>0.39052861863817967</v>
      </c>
      <c r="I1142" s="25">
        <v>0.39735843116944108</v>
      </c>
      <c r="L1142" s="15">
        <v>1140</v>
      </c>
      <c r="M1142" s="16">
        <v>1</v>
      </c>
      <c r="N1142" s="16">
        <v>0</v>
      </c>
      <c r="O1142" s="16">
        <v>6</v>
      </c>
      <c r="P1142" s="16">
        <v>103</v>
      </c>
      <c r="Q1142" s="29">
        <v>25</v>
      </c>
      <c r="R1142" s="20">
        <v>0.48229999999999995</v>
      </c>
      <c r="S1142" s="32">
        <v>12.057499999999999</v>
      </c>
      <c r="T1142" s="35">
        <v>0.66</v>
      </c>
      <c r="U1142" s="35">
        <v>0.3</v>
      </c>
      <c r="V1142" s="35">
        <v>2.64E-2</v>
      </c>
      <c r="W1142" s="9" t="s">
        <v>152</v>
      </c>
      <c r="X1142" s="15">
        <v>1141</v>
      </c>
      <c r="Y1142" s="39">
        <v>0.49104734378958154</v>
      </c>
      <c r="Z1142" s="39">
        <v>0.49671640587176857</v>
      </c>
      <c r="AA1142" s="39">
        <v>0.47812716965497909</v>
      </c>
      <c r="AB1142" s="39">
        <v>0.49221805316504075</v>
      </c>
      <c r="AC1142" s="39">
        <v>0.48266308241477135</v>
      </c>
      <c r="AD1142" s="39">
        <v>0.48974082054848783</v>
      </c>
      <c r="AE1142" s="39">
        <v>0.47360133696223072</v>
      </c>
      <c r="AF1142" s="40">
        <v>0.4893401020051118</v>
      </c>
    </row>
    <row r="1143" spans="1:32">
      <c r="A1143" s="15">
        <v>1141</v>
      </c>
      <c r="B1143" s="16">
        <v>0</v>
      </c>
      <c r="C1143" s="20">
        <v>0.65</v>
      </c>
      <c r="D1143" s="20">
        <v>0.4351381018592172</v>
      </c>
      <c r="E1143" s="20">
        <v>0.08</v>
      </c>
      <c r="F1143" s="8" t="s">
        <v>438</v>
      </c>
      <c r="G1143" s="24">
        <v>0.91606333773381332</v>
      </c>
      <c r="H1143" s="24">
        <v>0.92136711062762355</v>
      </c>
      <c r="I1143" s="25">
        <v>0.93748056387466161</v>
      </c>
      <c r="L1143" s="15">
        <v>1141</v>
      </c>
      <c r="M1143" s="16">
        <v>1</v>
      </c>
      <c r="N1143" s="16">
        <v>0</v>
      </c>
      <c r="O1143" s="16">
        <v>6</v>
      </c>
      <c r="P1143" s="16">
        <v>104</v>
      </c>
      <c r="Q1143" s="29">
        <v>17</v>
      </c>
      <c r="R1143" s="20">
        <v>0.48229999999999995</v>
      </c>
      <c r="S1143" s="32">
        <v>8.1990999999999996</v>
      </c>
      <c r="T1143" s="35">
        <v>1.26</v>
      </c>
      <c r="U1143" s="35">
        <v>0.98</v>
      </c>
      <c r="V1143" s="35">
        <v>7.4117647058823524E-2</v>
      </c>
      <c r="W1143" s="9" t="s">
        <v>153</v>
      </c>
      <c r="X1143" s="15">
        <v>1142</v>
      </c>
      <c r="Y1143" s="39">
        <v>0.49118735286765036</v>
      </c>
      <c r="Z1143" s="39">
        <v>0.47612337223830031</v>
      </c>
      <c r="AA1143" s="39">
        <v>0.48431596280453731</v>
      </c>
      <c r="AB1143" s="39">
        <v>0.49359042885692106</v>
      </c>
      <c r="AC1143" s="39">
        <v>0.48170213135261042</v>
      </c>
      <c r="AD1143" s="39">
        <v>0.47424232253407328</v>
      </c>
      <c r="AE1143" s="39">
        <v>0.47594127102085054</v>
      </c>
      <c r="AF1143" s="40">
        <v>0.48951309920382641</v>
      </c>
    </row>
    <row r="1144" spans="1:32">
      <c r="A1144" s="15">
        <v>1142</v>
      </c>
      <c r="B1144" s="16">
        <v>1</v>
      </c>
      <c r="C1144" s="20">
        <v>0.47</v>
      </c>
      <c r="D1144" s="20">
        <v>0.65497336379604387</v>
      </c>
      <c r="E1144" s="20">
        <v>7.0000000000000007E-2</v>
      </c>
      <c r="F1144" s="8" t="s">
        <v>436</v>
      </c>
      <c r="G1144" s="24">
        <v>1.1729170779402955</v>
      </c>
      <c r="H1144" s="24">
        <v>1.1797079684261611</v>
      </c>
      <c r="I1144" s="25">
        <v>1.2003394506823972</v>
      </c>
      <c r="L1144" s="15">
        <v>1142</v>
      </c>
      <c r="M1144" s="16">
        <v>1</v>
      </c>
      <c r="N1144" s="16">
        <v>0</v>
      </c>
      <c r="O1144" s="16">
        <v>6</v>
      </c>
      <c r="P1144" s="16">
        <v>105</v>
      </c>
      <c r="Q1144" s="29">
        <v>12</v>
      </c>
      <c r="R1144" s="20">
        <v>0.48229999999999995</v>
      </c>
      <c r="S1144" s="32">
        <v>5.7875999999999994</v>
      </c>
      <c r="T1144" s="35">
        <v>0.15</v>
      </c>
      <c r="U1144" s="35">
        <v>0</v>
      </c>
      <c r="V1144" s="35">
        <v>1.2499999999999999E-2</v>
      </c>
      <c r="W1144" s="9" t="s">
        <v>152</v>
      </c>
      <c r="X1144" s="15">
        <v>1143</v>
      </c>
      <c r="Y1144" s="39">
        <v>0.47316865596411345</v>
      </c>
      <c r="Z1144" s="39">
        <v>0.48559269095936736</v>
      </c>
      <c r="AA1144" s="39">
        <v>0.47824489381540569</v>
      </c>
      <c r="AB1144" s="39">
        <v>0.49007166776629402</v>
      </c>
      <c r="AC1144" s="39">
        <v>0.466364677083413</v>
      </c>
      <c r="AD1144" s="39">
        <v>0.47906814660016206</v>
      </c>
      <c r="AE1144" s="39">
        <v>0.47126744455785269</v>
      </c>
      <c r="AF1144" s="40">
        <v>0.48593745609860728</v>
      </c>
    </row>
    <row r="1145" spans="1:32">
      <c r="A1145" s="15">
        <v>1143</v>
      </c>
      <c r="B1145" s="16">
        <v>1</v>
      </c>
      <c r="C1145" s="20">
        <v>0.38</v>
      </c>
      <c r="D1145" s="20">
        <v>0.77288034020696827</v>
      </c>
      <c r="E1145" s="20">
        <v>0.46</v>
      </c>
      <c r="F1145" s="8" t="s">
        <v>436</v>
      </c>
      <c r="G1145" s="24">
        <v>1.4433878767845225</v>
      </c>
      <c r="H1145" s="24">
        <v>1.4517447241561052</v>
      </c>
      <c r="I1145" s="25">
        <v>1.4771337579836625</v>
      </c>
      <c r="L1145" s="15">
        <v>1143</v>
      </c>
      <c r="M1145" s="16">
        <v>1</v>
      </c>
      <c r="N1145" s="16">
        <v>0</v>
      </c>
      <c r="O1145" s="16">
        <v>6</v>
      </c>
      <c r="P1145" s="16">
        <v>106</v>
      </c>
      <c r="Q1145" s="29">
        <v>27</v>
      </c>
      <c r="R1145" s="20">
        <v>0.48229999999999995</v>
      </c>
      <c r="S1145" s="32">
        <v>13.022099999999998</v>
      </c>
      <c r="T1145" s="35">
        <v>0.47000000000000003</v>
      </c>
      <c r="U1145" s="35">
        <v>0.15</v>
      </c>
      <c r="V1145" s="35">
        <v>1.740740740740741E-2</v>
      </c>
      <c r="W1145" s="9" t="s">
        <v>152</v>
      </c>
      <c r="X1145" s="15">
        <v>1144</v>
      </c>
      <c r="Y1145" s="39">
        <v>0.48425281767524175</v>
      </c>
      <c r="Z1145" s="39">
        <v>0.49556092794034157</v>
      </c>
      <c r="AA1145" s="39">
        <v>0.48089498947756038</v>
      </c>
      <c r="AB1145" s="39">
        <v>0.47286989926228828</v>
      </c>
      <c r="AC1145" s="39">
        <v>0.47374231755757173</v>
      </c>
      <c r="AD1145" s="39">
        <v>0.48352298654730519</v>
      </c>
      <c r="AE1145" s="39">
        <v>0.47494324780716579</v>
      </c>
      <c r="AF1145" s="40">
        <v>0.46767352121868433</v>
      </c>
    </row>
    <row r="1146" spans="1:32">
      <c r="A1146" s="15">
        <v>1144</v>
      </c>
      <c r="B1146" s="16">
        <v>1</v>
      </c>
      <c r="C1146" s="20">
        <v>0.25</v>
      </c>
      <c r="D1146" s="20">
        <v>0.93505255378736107</v>
      </c>
      <c r="E1146" s="20">
        <v>0</v>
      </c>
      <c r="F1146" s="8" t="s">
        <v>436</v>
      </c>
      <c r="G1146" s="24">
        <v>1.3209795247688061</v>
      </c>
      <c r="H1146" s="24">
        <v>1.3286276590278183</v>
      </c>
      <c r="I1146" s="25">
        <v>1.351863543421264</v>
      </c>
      <c r="L1146" s="15">
        <v>1144</v>
      </c>
      <c r="M1146" s="16">
        <v>1</v>
      </c>
      <c r="N1146" s="16">
        <v>0</v>
      </c>
      <c r="O1146" s="16">
        <v>6</v>
      </c>
      <c r="P1146" s="16">
        <v>107</v>
      </c>
      <c r="Q1146" s="29">
        <v>19</v>
      </c>
      <c r="R1146" s="20">
        <v>0.48229999999999995</v>
      </c>
      <c r="S1146" s="32">
        <v>9.1636999999999986</v>
      </c>
      <c r="T1146" s="35">
        <v>0.54</v>
      </c>
      <c r="U1146" s="35">
        <v>0.18</v>
      </c>
      <c r="V1146" s="35">
        <v>2.8421052631578948E-2</v>
      </c>
      <c r="W1146" s="9" t="s">
        <v>152</v>
      </c>
      <c r="X1146" s="15">
        <v>1145</v>
      </c>
      <c r="Y1146" s="39">
        <v>0.49375175235227942</v>
      </c>
      <c r="Z1146" s="39">
        <v>0.48583254890204963</v>
      </c>
      <c r="AA1146" s="39">
        <v>0.48117286807226017</v>
      </c>
      <c r="AB1146" s="39">
        <v>0.48598917163630084</v>
      </c>
      <c r="AC1146" s="39">
        <v>0.48763619146276754</v>
      </c>
      <c r="AD1146" s="39">
        <v>0.47685798552490755</v>
      </c>
      <c r="AE1146" s="39">
        <v>0.47433470212737894</v>
      </c>
      <c r="AF1146" s="40">
        <v>0.48303684453531454</v>
      </c>
    </row>
    <row r="1147" spans="1:32">
      <c r="A1147" s="15">
        <v>1145</v>
      </c>
      <c r="B1147" s="16">
        <v>0</v>
      </c>
      <c r="C1147" s="20">
        <v>0.46</v>
      </c>
      <c r="D1147" s="20">
        <v>0.47166239328149534</v>
      </c>
      <c r="E1147" s="20">
        <v>0.09</v>
      </c>
      <c r="F1147" s="8" t="s">
        <v>436</v>
      </c>
      <c r="G1147" s="24">
        <v>1.1013905821502754</v>
      </c>
      <c r="H1147" s="24">
        <v>1.1077673524831626</v>
      </c>
      <c r="I1147" s="25">
        <v>1.1271406915539195</v>
      </c>
      <c r="L1147" s="15">
        <v>1145</v>
      </c>
      <c r="M1147" s="16">
        <v>1</v>
      </c>
      <c r="N1147" s="16">
        <v>0</v>
      </c>
      <c r="O1147" s="16">
        <v>6</v>
      </c>
      <c r="P1147" s="16">
        <v>108</v>
      </c>
      <c r="Q1147" s="29">
        <v>26</v>
      </c>
      <c r="R1147" s="20">
        <v>0.48229999999999995</v>
      </c>
      <c r="S1147" s="32">
        <v>12.5398</v>
      </c>
      <c r="T1147" s="35">
        <v>1.41</v>
      </c>
      <c r="U1147" s="35">
        <v>1.01</v>
      </c>
      <c r="V1147" s="35">
        <v>5.4230769230769228E-2</v>
      </c>
      <c r="W1147" s="9" t="s">
        <v>153</v>
      </c>
      <c r="X1147" s="15">
        <v>1146</v>
      </c>
      <c r="Y1147" s="39">
        <v>0.48938160942689352</v>
      </c>
      <c r="Z1147" s="39">
        <v>0.49149247846390076</v>
      </c>
      <c r="AA1147" s="39">
        <v>0.47927277480257241</v>
      </c>
      <c r="AB1147" s="39">
        <v>0.4900867275709464</v>
      </c>
      <c r="AC1147" s="39">
        <v>0.48136299755597317</v>
      </c>
      <c r="AD1147" s="39">
        <v>0.48943283284820766</v>
      </c>
      <c r="AE1147" s="39">
        <v>0.47183221310105811</v>
      </c>
      <c r="AF1147" s="40">
        <v>0.484252363255253</v>
      </c>
    </row>
    <row r="1148" spans="1:32">
      <c r="A1148" s="15">
        <v>1146</v>
      </c>
      <c r="B1148" s="16">
        <v>0</v>
      </c>
      <c r="C1148" s="20">
        <v>0.02</v>
      </c>
      <c r="D1148" s="20">
        <v>0.99917029198757767</v>
      </c>
      <c r="E1148" s="20">
        <v>1</v>
      </c>
      <c r="F1148" s="8" t="s">
        <v>436</v>
      </c>
      <c r="G1148" s="24">
        <v>0.98418103596449102</v>
      </c>
      <c r="H1148" s="24">
        <v>0.98987919294353099</v>
      </c>
      <c r="I1148" s="25">
        <v>1.0071908290023068</v>
      </c>
      <c r="L1148" s="15">
        <v>1146</v>
      </c>
      <c r="M1148" s="16">
        <v>1</v>
      </c>
      <c r="N1148" s="16">
        <v>0</v>
      </c>
      <c r="O1148" s="16">
        <v>6</v>
      </c>
      <c r="P1148" s="16">
        <v>109</v>
      </c>
      <c r="Q1148" s="29">
        <v>20</v>
      </c>
      <c r="R1148" s="20">
        <v>0.48229999999999995</v>
      </c>
      <c r="S1148" s="32">
        <v>9.645999999999999</v>
      </c>
      <c r="T1148" s="35">
        <v>0.72</v>
      </c>
      <c r="U1148" s="35">
        <v>0.43</v>
      </c>
      <c r="V1148" s="35">
        <v>3.5999999999999997E-2</v>
      </c>
      <c r="W1148" s="9" t="s">
        <v>152</v>
      </c>
      <c r="X1148" s="15">
        <v>1147</v>
      </c>
      <c r="Y1148" s="39">
        <v>0.49011320226309796</v>
      </c>
      <c r="Z1148" s="39">
        <v>0.48931274404417641</v>
      </c>
      <c r="AA1148" s="39">
        <v>0.4770078283650907</v>
      </c>
      <c r="AB1148" s="39">
        <v>0.48199090189334109</v>
      </c>
      <c r="AC1148" s="39">
        <v>0.48507884013486274</v>
      </c>
      <c r="AD1148" s="39">
        <v>0.48285471526472934</v>
      </c>
      <c r="AE1148" s="39">
        <v>0.47098850834375749</v>
      </c>
      <c r="AF1148" s="40">
        <v>0.47819718690532886</v>
      </c>
    </row>
    <row r="1149" spans="1:32">
      <c r="A1149" s="15">
        <v>1147</v>
      </c>
      <c r="B1149" s="16">
        <v>1</v>
      </c>
      <c r="C1149" s="20">
        <v>0.15</v>
      </c>
      <c r="D1149" s="20">
        <v>0.88922889377959147</v>
      </c>
      <c r="E1149" s="20">
        <v>0.09</v>
      </c>
      <c r="F1149" s="8" t="s">
        <v>436</v>
      </c>
      <c r="G1149" s="24">
        <v>1.0337564460340194</v>
      </c>
      <c r="H1149" s="24">
        <v>1.0397416319828867</v>
      </c>
      <c r="I1149" s="25">
        <v>1.0579252940462556</v>
      </c>
      <c r="L1149" s="15">
        <v>1147</v>
      </c>
      <c r="M1149" s="16">
        <v>1</v>
      </c>
      <c r="N1149" s="16">
        <v>0</v>
      </c>
      <c r="O1149" s="16">
        <v>6</v>
      </c>
      <c r="P1149" s="16">
        <v>110</v>
      </c>
      <c r="Q1149" s="29">
        <v>30</v>
      </c>
      <c r="R1149" s="20">
        <v>0.48229999999999995</v>
      </c>
      <c r="S1149" s="32">
        <v>14.468999999999998</v>
      </c>
      <c r="T1149" s="35">
        <v>0.62</v>
      </c>
      <c r="U1149" s="35">
        <v>0.17</v>
      </c>
      <c r="V1149" s="35">
        <v>2.0666666666666667E-2</v>
      </c>
      <c r="W1149" s="9" t="s">
        <v>152</v>
      </c>
      <c r="X1149" s="15">
        <v>1148</v>
      </c>
      <c r="Y1149" s="39">
        <v>0.48922671419113045</v>
      </c>
      <c r="Z1149" s="39">
        <v>0.47177682056959086</v>
      </c>
      <c r="AA1149" s="39">
        <v>0.47865355489983319</v>
      </c>
      <c r="AB1149" s="39">
        <v>0.48174910898719259</v>
      </c>
      <c r="AC1149" s="39">
        <v>0.47965764656014404</v>
      </c>
      <c r="AD1149" s="39">
        <v>0.46256429086594941</v>
      </c>
      <c r="AE1149" s="39">
        <v>0.47086936641810395</v>
      </c>
      <c r="AF1149" s="40">
        <v>0.47743967522795949</v>
      </c>
    </row>
    <row r="1150" spans="1:32">
      <c r="A1150" s="15">
        <v>1148</v>
      </c>
      <c r="B1150" s="16">
        <v>0</v>
      </c>
      <c r="C1150" s="20">
        <v>0.13</v>
      </c>
      <c r="D1150" s="20">
        <v>0.8673043376837084</v>
      </c>
      <c r="E1150" s="20">
        <v>0.1</v>
      </c>
      <c r="F1150" s="8" t="s">
        <v>436</v>
      </c>
      <c r="G1150" s="24">
        <v>0.70801090739409445</v>
      </c>
      <c r="H1150" s="24">
        <v>0.71211010982309719</v>
      </c>
      <c r="I1150" s="25">
        <v>0.72456394372819644</v>
      </c>
      <c r="L1150" s="15">
        <v>1148</v>
      </c>
      <c r="M1150" s="16">
        <v>1</v>
      </c>
      <c r="N1150" s="16">
        <v>0</v>
      </c>
      <c r="O1150" s="16">
        <v>6</v>
      </c>
      <c r="P1150" s="16">
        <v>111</v>
      </c>
      <c r="Q1150" s="29">
        <v>34</v>
      </c>
      <c r="R1150" s="20">
        <v>0.48229999999999995</v>
      </c>
      <c r="S1150" s="32">
        <v>16.398199999999999</v>
      </c>
      <c r="T1150" s="35">
        <v>2.19</v>
      </c>
      <c r="U1150" s="35">
        <v>1.6</v>
      </c>
      <c r="V1150" s="35">
        <v>6.4411764705882349E-2</v>
      </c>
      <c r="W1150" s="9" t="s">
        <v>154</v>
      </c>
      <c r="X1150" s="15">
        <v>1149</v>
      </c>
      <c r="Y1150" s="39">
        <v>0.46893450596884623</v>
      </c>
      <c r="Z1150" s="39">
        <v>0.47749822795175206</v>
      </c>
      <c r="AA1150" s="39">
        <v>0.47392487335739586</v>
      </c>
      <c r="AB1150" s="39">
        <v>0.48718755157924737</v>
      </c>
      <c r="AC1150" s="39">
        <v>0.46295226727976385</v>
      </c>
      <c r="AD1150" s="39">
        <v>0.47035534047158123</v>
      </c>
      <c r="AE1150" s="39">
        <v>0.46695365564754637</v>
      </c>
      <c r="AF1150" s="40">
        <v>0.48377611131019138</v>
      </c>
    </row>
    <row r="1151" spans="1:32">
      <c r="A1151" s="15">
        <v>1149</v>
      </c>
      <c r="B1151" s="16">
        <v>1</v>
      </c>
      <c r="C1151" s="20">
        <v>0.02</v>
      </c>
      <c r="D1151" s="20">
        <v>0.99835916395484214</v>
      </c>
      <c r="E1151" s="20">
        <v>1</v>
      </c>
      <c r="F1151" s="8" t="s">
        <v>436</v>
      </c>
      <c r="G1151" s="24">
        <v>1.1227599137739195</v>
      </c>
      <c r="H1151" s="24">
        <v>1.1292604070822339</v>
      </c>
      <c r="I1151" s="25">
        <v>1.1490096303433679</v>
      </c>
      <c r="L1151" s="15">
        <v>1149</v>
      </c>
      <c r="M1151" s="16">
        <v>1</v>
      </c>
      <c r="N1151" s="16">
        <v>0</v>
      </c>
      <c r="O1151" s="16">
        <v>6</v>
      </c>
      <c r="P1151" s="16">
        <v>112</v>
      </c>
      <c r="Q1151" s="29">
        <v>12</v>
      </c>
      <c r="R1151" s="20">
        <v>0.48229999999999995</v>
      </c>
      <c r="S1151" s="32">
        <v>5.7875999999999994</v>
      </c>
      <c r="T1151" s="35">
        <v>0.33</v>
      </c>
      <c r="U1151" s="35">
        <v>0.19</v>
      </c>
      <c r="V1151" s="35">
        <v>2.75E-2</v>
      </c>
      <c r="W1151" s="9" t="s">
        <v>152</v>
      </c>
      <c r="X1151" s="15">
        <v>1150</v>
      </c>
      <c r="Y1151" s="39">
        <v>0.47827229349129607</v>
      </c>
      <c r="Z1151" s="39">
        <v>0.47591230916766519</v>
      </c>
      <c r="AA1151" s="39">
        <v>0.49691730373466636</v>
      </c>
      <c r="AB1151" s="39">
        <v>0.48269923926740449</v>
      </c>
      <c r="AC1151" s="39">
        <v>0.47387461568429595</v>
      </c>
      <c r="AD1151" s="39">
        <v>0.46835190596978188</v>
      </c>
      <c r="AE1151" s="39">
        <v>0.49053609250298408</v>
      </c>
      <c r="AF1151" s="40">
        <v>0.48101495400167815</v>
      </c>
    </row>
    <row r="1152" spans="1:32">
      <c r="A1152" s="15">
        <v>1150</v>
      </c>
      <c r="B1152" s="16">
        <v>1</v>
      </c>
      <c r="C1152" s="20">
        <v>0.37</v>
      </c>
      <c r="D1152" s="20">
        <v>0.60920172638158787</v>
      </c>
      <c r="E1152" s="20">
        <v>7.0000000000000007E-2</v>
      </c>
      <c r="F1152" s="8" t="s">
        <v>436</v>
      </c>
      <c r="G1152" s="24">
        <v>1.3008222471926099</v>
      </c>
      <c r="H1152" s="24">
        <v>1.3083536759597443</v>
      </c>
      <c r="I1152" s="25">
        <v>1.3312349960600534</v>
      </c>
      <c r="L1152" s="15">
        <v>1150</v>
      </c>
      <c r="M1152" s="16">
        <v>1</v>
      </c>
      <c r="N1152" s="16">
        <v>0</v>
      </c>
      <c r="O1152" s="16">
        <v>6</v>
      </c>
      <c r="P1152" s="16">
        <v>113</v>
      </c>
      <c r="Q1152" s="29">
        <v>26</v>
      </c>
      <c r="R1152" s="20">
        <v>0.48229999999999995</v>
      </c>
      <c r="S1152" s="32">
        <v>12.5398</v>
      </c>
      <c r="T1152" s="35">
        <v>0.46</v>
      </c>
      <c r="U1152" s="35">
        <v>0.18</v>
      </c>
      <c r="V1152" s="35">
        <v>1.7692307692307695E-2</v>
      </c>
      <c r="W1152" s="9" t="s">
        <v>152</v>
      </c>
      <c r="X1152" s="15">
        <v>1151</v>
      </c>
      <c r="Y1152" s="39">
        <v>0.48168325205983992</v>
      </c>
      <c r="Z1152" s="39">
        <v>0.48470003268601702</v>
      </c>
      <c r="AA1152" s="39">
        <v>0.48821698430301791</v>
      </c>
      <c r="AB1152" s="39">
        <v>0.48005202635397493</v>
      </c>
      <c r="AC1152" s="39">
        <v>0.47523917414162992</v>
      </c>
      <c r="AD1152" s="39">
        <v>0.47639680197881729</v>
      </c>
      <c r="AE1152" s="39">
        <v>0.47911842979489228</v>
      </c>
      <c r="AF1152" s="40">
        <v>0.47524942254413166</v>
      </c>
    </row>
    <row r="1153" spans="1:32">
      <c r="A1153" s="15">
        <v>1151</v>
      </c>
      <c r="B1153" s="16">
        <v>1</v>
      </c>
      <c r="C1153" s="20">
        <v>0.9</v>
      </c>
      <c r="D1153" s="20">
        <v>0.231595386583653</v>
      </c>
      <c r="E1153" s="20">
        <v>0.1</v>
      </c>
      <c r="F1153" s="8" t="s">
        <v>434</v>
      </c>
      <c r="G1153" s="24">
        <v>0.84768350550478389</v>
      </c>
      <c r="H1153" s="24">
        <v>0.85259137662442552</v>
      </c>
      <c r="I1153" s="25">
        <v>0.86750203615155719</v>
      </c>
      <c r="L1153" s="15">
        <v>1151</v>
      </c>
      <c r="M1153" s="16">
        <v>1</v>
      </c>
      <c r="N1153" s="16">
        <v>0</v>
      </c>
      <c r="O1153" s="16">
        <v>6</v>
      </c>
      <c r="P1153" s="16">
        <v>114</v>
      </c>
      <c r="Q1153" s="29">
        <v>21</v>
      </c>
      <c r="R1153" s="20">
        <v>0.48229999999999995</v>
      </c>
      <c r="S1153" s="32">
        <v>10.128299999999999</v>
      </c>
      <c r="T1153" s="35">
        <v>0.38</v>
      </c>
      <c r="U1153" s="35">
        <v>0.15</v>
      </c>
      <c r="V1153" s="35">
        <v>1.8095238095238095E-2</v>
      </c>
      <c r="W1153" s="9" t="s">
        <v>152</v>
      </c>
      <c r="X1153" s="15">
        <v>1152</v>
      </c>
      <c r="Y1153" s="39">
        <v>0.48005472268021498</v>
      </c>
      <c r="Z1153" s="39">
        <v>0.47742424863800509</v>
      </c>
      <c r="AA1153" s="39">
        <v>0.49077899433483979</v>
      </c>
      <c r="AB1153" s="39">
        <v>0.48506063977687974</v>
      </c>
      <c r="AC1153" s="39">
        <v>0.47434507702465073</v>
      </c>
      <c r="AD1153" s="39">
        <v>0.46788178872116376</v>
      </c>
      <c r="AE1153" s="39">
        <v>0.48358414190838339</v>
      </c>
      <c r="AF1153" s="40">
        <v>0.48020740493049829</v>
      </c>
    </row>
    <row r="1154" spans="1:32">
      <c r="A1154" s="15">
        <v>1152</v>
      </c>
      <c r="B1154" s="16">
        <v>1</v>
      </c>
      <c r="C1154" s="20">
        <v>0.35</v>
      </c>
      <c r="D1154" s="20">
        <v>0.60762265467225129</v>
      </c>
      <c r="E1154" s="20">
        <v>7.0000000000000007E-2</v>
      </c>
      <c r="F1154" s="8" t="s">
        <v>436</v>
      </c>
      <c r="G1154" s="24">
        <v>0.79549367208225841</v>
      </c>
      <c r="H1154" s="24">
        <v>0.80009937738820902</v>
      </c>
      <c r="I1154" s="25">
        <v>0.81409202349183118</v>
      </c>
      <c r="L1154" s="15">
        <v>1152</v>
      </c>
      <c r="M1154" s="16">
        <v>1</v>
      </c>
      <c r="N1154" s="16">
        <v>0</v>
      </c>
      <c r="O1154" s="16">
        <v>6</v>
      </c>
      <c r="P1154" s="16">
        <v>115</v>
      </c>
      <c r="Q1154" s="29">
        <v>21</v>
      </c>
      <c r="R1154" s="20">
        <v>0.48229999999999995</v>
      </c>
      <c r="S1154" s="32">
        <v>10.128299999999999</v>
      </c>
      <c r="T1154" s="35">
        <v>0.56000000000000005</v>
      </c>
      <c r="U1154" s="35">
        <v>0.35</v>
      </c>
      <c r="V1154" s="35">
        <v>2.6666666666666668E-2</v>
      </c>
      <c r="W1154" s="9" t="s">
        <v>152</v>
      </c>
      <c r="X1154" s="15">
        <v>1153</v>
      </c>
      <c r="Y1154" s="39">
        <v>0.47620344346348903</v>
      </c>
      <c r="Z1154" s="39">
        <v>0.48959675067329933</v>
      </c>
      <c r="AA1154" s="39">
        <v>0.48841155398968822</v>
      </c>
      <c r="AB1154" s="39">
        <v>0.49903323868520538</v>
      </c>
      <c r="AC1154" s="39">
        <v>0.46915572280598755</v>
      </c>
      <c r="AD1154" s="39">
        <v>0.48497429476272741</v>
      </c>
      <c r="AE1154" s="39">
        <v>0.47964273210824931</v>
      </c>
      <c r="AF1154" s="40">
        <v>0.49364183889997587</v>
      </c>
    </row>
    <row r="1155" spans="1:32">
      <c r="A1155" s="15">
        <v>1153</v>
      </c>
      <c r="B1155" s="16">
        <v>1</v>
      </c>
      <c r="C1155" s="20">
        <v>0.4</v>
      </c>
      <c r="D1155" s="20">
        <v>0.58726112783165274</v>
      </c>
      <c r="E1155" s="20">
        <v>0.11</v>
      </c>
      <c r="F1155" s="8" t="s">
        <v>436</v>
      </c>
      <c r="G1155" s="24">
        <v>0.96126712658386182</v>
      </c>
      <c r="H1155" s="24">
        <v>0.96683261787652597</v>
      </c>
      <c r="I1155" s="25">
        <v>0.98374120079224625</v>
      </c>
      <c r="L1155" s="15">
        <v>1153</v>
      </c>
      <c r="M1155" s="16">
        <v>1</v>
      </c>
      <c r="N1155" s="16">
        <v>0</v>
      </c>
      <c r="O1155" s="16">
        <v>6</v>
      </c>
      <c r="P1155" s="16">
        <v>116</v>
      </c>
      <c r="Q1155" s="29">
        <v>22</v>
      </c>
      <c r="R1155" s="20">
        <v>0.48229999999999995</v>
      </c>
      <c r="S1155" s="32">
        <v>10.610599999999998</v>
      </c>
      <c r="T1155" s="35">
        <v>0.31</v>
      </c>
      <c r="U1155" s="35">
        <v>0.04</v>
      </c>
      <c r="V1155" s="35">
        <v>1.4090909090909091E-2</v>
      </c>
      <c r="W1155" s="9" t="s">
        <v>152</v>
      </c>
      <c r="X1155" s="15">
        <v>1154</v>
      </c>
      <c r="Y1155" s="39">
        <v>0.49536043928489443</v>
      </c>
      <c r="Z1155" s="39">
        <v>0.48350142537351054</v>
      </c>
      <c r="AA1155" s="39">
        <v>0.48456105708989372</v>
      </c>
      <c r="AB1155" s="39">
        <v>0.49786361472496737</v>
      </c>
      <c r="AC1155" s="39">
        <v>0.48833523151994934</v>
      </c>
      <c r="AD1155" s="39">
        <v>0.47514255474107725</v>
      </c>
      <c r="AE1155" s="39">
        <v>0.47598480209213734</v>
      </c>
      <c r="AF1155" s="40">
        <v>0.49299578470162447</v>
      </c>
    </row>
    <row r="1156" spans="1:32">
      <c r="A1156" s="15">
        <v>1154</v>
      </c>
      <c r="B1156" s="16">
        <v>1</v>
      </c>
      <c r="C1156" s="20">
        <v>0.3</v>
      </c>
      <c r="D1156" s="20">
        <v>0.73581634808690444</v>
      </c>
      <c r="E1156" s="20">
        <v>0.14000000000000001</v>
      </c>
      <c r="F1156" s="8" t="s">
        <v>436</v>
      </c>
      <c r="G1156" s="24">
        <v>1.5097359813959488</v>
      </c>
      <c r="H1156" s="24">
        <v>1.518476967357407</v>
      </c>
      <c r="I1156" s="25">
        <v>1.5450330570397819</v>
      </c>
      <c r="L1156" s="15">
        <v>1154</v>
      </c>
      <c r="M1156" s="16">
        <v>1</v>
      </c>
      <c r="N1156" s="16">
        <v>0</v>
      </c>
      <c r="O1156" s="16">
        <v>6</v>
      </c>
      <c r="P1156" s="16">
        <v>117</v>
      </c>
      <c r="Q1156" s="29">
        <v>30</v>
      </c>
      <c r="R1156" s="20">
        <v>0.48229999999999995</v>
      </c>
      <c r="S1156" s="32">
        <v>14.468999999999998</v>
      </c>
      <c r="T1156" s="35">
        <v>0.58000000000000007</v>
      </c>
      <c r="U1156" s="35">
        <v>0.1</v>
      </c>
      <c r="V1156" s="35">
        <v>1.9333333333333334E-2</v>
      </c>
      <c r="W1156" s="9" t="s">
        <v>152</v>
      </c>
      <c r="X1156" s="15">
        <v>1155</v>
      </c>
      <c r="Y1156" s="39">
        <v>0.47334387014253543</v>
      </c>
      <c r="Z1156" s="39">
        <v>0.4887728877981834</v>
      </c>
      <c r="AA1156" s="39">
        <v>0.48411136629434742</v>
      </c>
      <c r="AB1156" s="39">
        <v>0.48102721044919078</v>
      </c>
      <c r="AC1156" s="39">
        <v>0.46626723912975687</v>
      </c>
      <c r="AD1156" s="39">
        <v>0.4824688548408152</v>
      </c>
      <c r="AE1156" s="39">
        <v>0.47629582792308139</v>
      </c>
      <c r="AF1156" s="40">
        <v>0.47909442196338042</v>
      </c>
    </row>
    <row r="1157" spans="1:32">
      <c r="A1157" s="15">
        <v>1155</v>
      </c>
      <c r="B1157" s="16">
        <v>0</v>
      </c>
      <c r="C1157" s="20">
        <v>0.02</v>
      </c>
      <c r="D1157" s="20">
        <v>0.99835916395484214</v>
      </c>
      <c r="E1157" s="20">
        <v>1</v>
      </c>
      <c r="F1157" s="8" t="s">
        <v>436</v>
      </c>
      <c r="G1157" s="24">
        <v>1.0852874556818297</v>
      </c>
      <c r="H1157" s="24">
        <v>1.0915709930229018</v>
      </c>
      <c r="I1157" s="25">
        <v>1.1106610798721233</v>
      </c>
      <c r="L1157" s="15">
        <v>1155</v>
      </c>
      <c r="M1157" s="16">
        <v>1</v>
      </c>
      <c r="N1157" s="16">
        <v>0</v>
      </c>
      <c r="O1157" s="16">
        <v>6</v>
      </c>
      <c r="P1157" s="16">
        <v>118</v>
      </c>
      <c r="Q1157" s="29">
        <v>33</v>
      </c>
      <c r="R1157" s="20">
        <v>0.48229999999999995</v>
      </c>
      <c r="S1157" s="32">
        <v>15.915899999999999</v>
      </c>
      <c r="T1157" s="35">
        <v>1.57</v>
      </c>
      <c r="U1157" s="35">
        <v>1.1100000000000001</v>
      </c>
      <c r="V1157" s="35">
        <v>4.7575757575757577E-2</v>
      </c>
      <c r="W1157" s="9" t="s">
        <v>153</v>
      </c>
      <c r="X1157" s="15">
        <v>1156</v>
      </c>
      <c r="Y1157" s="39">
        <v>0.48062818635930071</v>
      </c>
      <c r="Z1157" s="39">
        <v>0.50443693029591996</v>
      </c>
      <c r="AA1157" s="39">
        <v>0.48539712094177956</v>
      </c>
      <c r="AB1157" s="39">
        <v>0.47537276838277115</v>
      </c>
      <c r="AC1157" s="39">
        <v>0.47309395711984248</v>
      </c>
      <c r="AD1157" s="39">
        <v>0.49639845355022649</v>
      </c>
      <c r="AE1157" s="39">
        <v>0.47972496199693032</v>
      </c>
      <c r="AF1157" s="40">
        <v>0.47294645301872285</v>
      </c>
    </row>
    <row r="1158" spans="1:32">
      <c r="A1158" s="15">
        <v>1156</v>
      </c>
      <c r="B1158" s="16">
        <v>0</v>
      </c>
      <c r="C1158" s="20">
        <v>0.94</v>
      </c>
      <c r="D1158" s="20">
        <v>0.17188516685452584</v>
      </c>
      <c r="E1158" s="20">
        <v>0.06</v>
      </c>
      <c r="F1158" s="8" t="s">
        <v>434</v>
      </c>
      <c r="G1158" s="24">
        <v>0.42999866590028601</v>
      </c>
      <c r="H1158" s="24">
        <v>0.43248824841563738</v>
      </c>
      <c r="I1158" s="25">
        <v>0.44005187760356407</v>
      </c>
      <c r="L1158" s="15">
        <v>1156</v>
      </c>
      <c r="M1158" s="16">
        <v>1</v>
      </c>
      <c r="N1158" s="16">
        <v>0</v>
      </c>
      <c r="O1158" s="16">
        <v>6</v>
      </c>
      <c r="P1158" s="16">
        <v>119</v>
      </c>
      <c r="Q1158" s="29">
        <v>26</v>
      </c>
      <c r="R1158" s="20">
        <v>0.48229999999999995</v>
      </c>
      <c r="S1158" s="32">
        <v>12.5398</v>
      </c>
      <c r="T1158" s="35">
        <v>0.44</v>
      </c>
      <c r="U1158" s="35">
        <v>0.15</v>
      </c>
      <c r="V1158" s="35">
        <v>1.6923076923076923E-2</v>
      </c>
      <c r="W1158" s="9" t="s">
        <v>152</v>
      </c>
      <c r="X1158" s="15">
        <v>1157</v>
      </c>
      <c r="Y1158" s="39">
        <v>0.47829398896844033</v>
      </c>
      <c r="Z1158" s="39">
        <v>0.48383130993344126</v>
      </c>
      <c r="AA1158" s="39">
        <v>0.49369063520862355</v>
      </c>
      <c r="AB1158" s="39">
        <v>0.49276937793740061</v>
      </c>
      <c r="AC1158" s="39">
        <v>0.47145810851737591</v>
      </c>
      <c r="AD1158" s="39">
        <v>0.47930495899594011</v>
      </c>
      <c r="AE1158" s="39">
        <v>0.48765276940873675</v>
      </c>
      <c r="AF1158" s="40">
        <v>0.48845158490616425</v>
      </c>
    </row>
    <row r="1159" spans="1:32">
      <c r="A1159" s="15">
        <v>1157</v>
      </c>
      <c r="B1159" s="16">
        <v>1</v>
      </c>
      <c r="C1159" s="20">
        <v>0.02</v>
      </c>
      <c r="D1159" s="20">
        <v>0.99917029198757767</v>
      </c>
      <c r="E1159" s="20">
        <v>1</v>
      </c>
      <c r="F1159" s="8" t="s">
        <v>436</v>
      </c>
      <c r="G1159" s="24">
        <v>1.0538004305164426</v>
      </c>
      <c r="H1159" s="24">
        <v>1.0599016660190939</v>
      </c>
      <c r="I1159" s="25">
        <v>1.0784378995625536</v>
      </c>
      <c r="L1159" s="15">
        <v>1157</v>
      </c>
      <c r="M1159" s="16">
        <v>1</v>
      </c>
      <c r="N1159" s="16">
        <v>0</v>
      </c>
      <c r="O1159" s="16">
        <v>6</v>
      </c>
      <c r="P1159" s="16">
        <v>120</v>
      </c>
      <c r="Q1159" s="29">
        <v>29</v>
      </c>
      <c r="R1159" s="20">
        <v>0.48229999999999995</v>
      </c>
      <c r="S1159" s="32">
        <v>13.986699999999999</v>
      </c>
      <c r="T1159" s="35">
        <v>1.51</v>
      </c>
      <c r="U1159" s="35">
        <v>1.1599999999999999</v>
      </c>
      <c r="V1159" s="35">
        <v>5.2068965517241377E-2</v>
      </c>
      <c r="W1159" s="9" t="s">
        <v>153</v>
      </c>
      <c r="X1159" s="15">
        <v>1158</v>
      </c>
      <c r="Y1159" s="39">
        <v>0.48787529645524808</v>
      </c>
      <c r="Z1159" s="39">
        <v>0.48877327660106201</v>
      </c>
      <c r="AA1159" s="39">
        <v>0.49664972377702288</v>
      </c>
      <c r="AB1159" s="39">
        <v>0.48384411795856158</v>
      </c>
      <c r="AC1159" s="39">
        <v>0.48288041637475704</v>
      </c>
      <c r="AD1159" s="39">
        <v>0.48018962839176726</v>
      </c>
      <c r="AE1159" s="39">
        <v>0.48894891953918146</v>
      </c>
      <c r="AF1159" s="40">
        <v>0.47691065937705696</v>
      </c>
    </row>
    <row r="1160" spans="1:32">
      <c r="A1160" s="15">
        <v>1158</v>
      </c>
      <c r="B1160" s="16">
        <v>1</v>
      </c>
      <c r="C1160" s="20">
        <v>0.54</v>
      </c>
      <c r="D1160" s="20">
        <v>0.47047594753152333</v>
      </c>
      <c r="E1160" s="20">
        <v>0.11</v>
      </c>
      <c r="F1160" s="8" t="s">
        <v>438</v>
      </c>
      <c r="G1160" s="24">
        <v>2.0137378009065059</v>
      </c>
      <c r="H1160" s="24">
        <v>2.0253968287528887</v>
      </c>
      <c r="I1160" s="25">
        <v>1.6578926537592125</v>
      </c>
      <c r="L1160" s="15">
        <v>1158</v>
      </c>
      <c r="M1160" s="16">
        <v>1</v>
      </c>
      <c r="N1160" s="16">
        <v>0</v>
      </c>
      <c r="O1160" s="16">
        <v>6</v>
      </c>
      <c r="P1160" s="16">
        <v>121</v>
      </c>
      <c r="Q1160" s="29">
        <v>32</v>
      </c>
      <c r="R1160" s="20">
        <v>0.48229999999999995</v>
      </c>
      <c r="S1160" s="32">
        <v>15.433599999999998</v>
      </c>
      <c r="T1160" s="35">
        <v>0.59</v>
      </c>
      <c r="U1160" s="35">
        <v>0.1</v>
      </c>
      <c r="V1160" s="35">
        <v>1.8437499999999999E-2</v>
      </c>
      <c r="W1160" s="9" t="s">
        <v>152</v>
      </c>
      <c r="X1160" s="15">
        <v>1159</v>
      </c>
      <c r="Y1160" s="39">
        <v>0.47796337374912701</v>
      </c>
      <c r="Z1160" s="39">
        <v>0.48191003815677902</v>
      </c>
      <c r="AA1160" s="39">
        <v>0.50782698550997663</v>
      </c>
      <c r="AB1160" s="39">
        <v>0.50141776968607044</v>
      </c>
      <c r="AC1160" s="39">
        <v>0.47153366953149473</v>
      </c>
      <c r="AD1160" s="39">
        <v>0.47559153039864893</v>
      </c>
      <c r="AE1160" s="39">
        <v>0.49981138796999275</v>
      </c>
      <c r="AF1160" s="40">
        <v>0.49845612567276343</v>
      </c>
    </row>
    <row r="1161" spans="1:32">
      <c r="A1161" s="15">
        <v>1159</v>
      </c>
      <c r="B1161" s="16">
        <v>1</v>
      </c>
      <c r="C1161" s="20">
        <v>0.91</v>
      </c>
      <c r="D1161" s="20">
        <v>0.21727233298780477</v>
      </c>
      <c r="E1161" s="20">
        <v>0.09</v>
      </c>
      <c r="F1161" s="8" t="s">
        <v>434</v>
      </c>
      <c r="G1161" s="24">
        <v>0.69691086299208171</v>
      </c>
      <c r="H1161" s="24">
        <v>0.70094579899736187</v>
      </c>
      <c r="I1161" s="25">
        <v>0.71320438434360678</v>
      </c>
      <c r="L1161" s="15">
        <v>1159</v>
      </c>
      <c r="M1161" s="16">
        <v>1</v>
      </c>
      <c r="N1161" s="16">
        <v>0</v>
      </c>
      <c r="O1161" s="16">
        <v>6</v>
      </c>
      <c r="P1161" s="16">
        <v>122</v>
      </c>
      <c r="Q1161" s="29">
        <v>42</v>
      </c>
      <c r="R1161" s="20">
        <v>0.48229999999999995</v>
      </c>
      <c r="S1161" s="32">
        <v>20.256599999999999</v>
      </c>
      <c r="T1161" s="35">
        <v>1.79</v>
      </c>
      <c r="U1161" s="35">
        <v>1.24</v>
      </c>
      <c r="V1161" s="35">
        <v>4.2619047619047619E-2</v>
      </c>
      <c r="W1161" s="9" t="s">
        <v>153</v>
      </c>
      <c r="X1161" s="15">
        <v>1160</v>
      </c>
      <c r="Y1161" s="39">
        <v>0.49424661776195861</v>
      </c>
      <c r="Z1161" s="39">
        <v>0.49835349122089306</v>
      </c>
      <c r="AA1161" s="39">
        <v>0.47466577264975823</v>
      </c>
      <c r="AB1161" s="39">
        <v>0.51207394420806651</v>
      </c>
      <c r="AC1161" s="39">
        <v>0.48698399500600004</v>
      </c>
      <c r="AD1161" s="39">
        <v>0.49154659192522565</v>
      </c>
      <c r="AE1161" s="39">
        <v>0.46692659952250087</v>
      </c>
      <c r="AF1161" s="40">
        <v>0.50442121521364214</v>
      </c>
    </row>
    <row r="1162" spans="1:32">
      <c r="A1162" s="15">
        <v>1160</v>
      </c>
      <c r="B1162" s="16">
        <v>0</v>
      </c>
      <c r="C1162" s="20">
        <v>0.91</v>
      </c>
      <c r="D1162" s="20">
        <v>0.2213815995251022</v>
      </c>
      <c r="E1162" s="20">
        <v>0.09</v>
      </c>
      <c r="F1162" s="8" t="s">
        <v>434</v>
      </c>
      <c r="G1162" s="24">
        <v>0.63751351822254232</v>
      </c>
      <c r="H1162" s="24">
        <v>0.6412045587632007</v>
      </c>
      <c r="I1162" s="25">
        <v>0.65241835135492943</v>
      </c>
      <c r="L1162" s="15">
        <v>1160</v>
      </c>
      <c r="M1162" s="16">
        <v>1</v>
      </c>
      <c r="N1162" s="16">
        <v>0</v>
      </c>
      <c r="O1162" s="16">
        <v>6</v>
      </c>
      <c r="P1162" s="16">
        <v>123</v>
      </c>
      <c r="Q1162" s="29">
        <v>27</v>
      </c>
      <c r="R1162" s="20">
        <v>0.48229999999999995</v>
      </c>
      <c r="S1162" s="32">
        <v>13.022099999999998</v>
      </c>
      <c r="T1162" s="35">
        <v>0.62</v>
      </c>
      <c r="U1162" s="35">
        <v>0.33</v>
      </c>
      <c r="V1162" s="35">
        <v>2.2962962962962963E-2</v>
      </c>
      <c r="W1162" s="9" t="s">
        <v>152</v>
      </c>
      <c r="X1162" s="15">
        <v>1161</v>
      </c>
      <c r="Y1162" s="39">
        <v>0.47496225260743102</v>
      </c>
      <c r="Z1162" s="39">
        <v>0.49055011282038635</v>
      </c>
      <c r="AA1162" s="39">
        <v>0.47829740715847197</v>
      </c>
      <c r="AB1162" s="39">
        <v>0.48895371531475901</v>
      </c>
      <c r="AC1162" s="39">
        <v>0.46849176863123176</v>
      </c>
      <c r="AD1162" s="39">
        <v>0.47986446298175278</v>
      </c>
      <c r="AE1162" s="39">
        <v>0.47090760448937291</v>
      </c>
      <c r="AF1162" s="40">
        <v>0.48274654177054099</v>
      </c>
    </row>
    <row r="1163" spans="1:32">
      <c r="A1163" s="15">
        <v>1161</v>
      </c>
      <c r="B1163" s="16">
        <v>1</v>
      </c>
      <c r="C1163" s="20">
        <v>0.94</v>
      </c>
      <c r="D1163" s="20">
        <v>0.17188516685452584</v>
      </c>
      <c r="E1163" s="20">
        <v>0.06</v>
      </c>
      <c r="F1163" s="8" t="s">
        <v>434</v>
      </c>
      <c r="G1163" s="24">
        <v>1.1911432879579389</v>
      </c>
      <c r="H1163" s="24">
        <v>1.1980397035474373</v>
      </c>
      <c r="I1163" s="25">
        <v>1.2189917828310759</v>
      </c>
      <c r="L1163" s="15">
        <v>1161</v>
      </c>
      <c r="M1163" s="16">
        <v>1</v>
      </c>
      <c r="N1163" s="16">
        <v>0</v>
      </c>
      <c r="O1163" s="16">
        <v>6</v>
      </c>
      <c r="P1163" s="16">
        <v>124</v>
      </c>
      <c r="Q1163" s="29">
        <v>25</v>
      </c>
      <c r="R1163" s="20">
        <v>0.48229999999999995</v>
      </c>
      <c r="S1163" s="32">
        <v>12.057499999999999</v>
      </c>
      <c r="T1163" s="35">
        <v>0.91999999999999993</v>
      </c>
      <c r="U1163" s="35">
        <v>0.6</v>
      </c>
      <c r="V1163" s="35">
        <v>3.6799999999999999E-2</v>
      </c>
      <c r="W1163" s="9" t="s">
        <v>152</v>
      </c>
      <c r="X1163" s="15">
        <v>1162</v>
      </c>
      <c r="Y1163" s="39">
        <v>0.49246955221663985</v>
      </c>
      <c r="Z1163" s="39">
        <v>0.48968420777120075</v>
      </c>
      <c r="AA1163" s="39">
        <v>0.48516502700665282</v>
      </c>
      <c r="AB1163" s="39">
        <v>0.48471483442293711</v>
      </c>
      <c r="AC1163" s="39">
        <v>0.48392730222585695</v>
      </c>
      <c r="AD1163" s="39">
        <v>0.4828711005024951</v>
      </c>
      <c r="AE1163" s="39">
        <v>0.48012520435930223</v>
      </c>
      <c r="AF1163" s="40">
        <v>0.48266129031297617</v>
      </c>
    </row>
    <row r="1164" spans="1:32">
      <c r="A1164" s="15">
        <v>1162</v>
      </c>
      <c r="B1164" s="16">
        <v>0</v>
      </c>
      <c r="C1164" s="20">
        <v>0.92</v>
      </c>
      <c r="D1164" s="20">
        <v>0.20258497911151899</v>
      </c>
      <c r="E1164" s="20">
        <v>0.08</v>
      </c>
      <c r="F1164" s="8" t="s">
        <v>434</v>
      </c>
      <c r="G1164" s="24">
        <v>1.7240263124616573</v>
      </c>
      <c r="H1164" s="24">
        <v>1.734007984740858</v>
      </c>
      <c r="I1164" s="25">
        <v>1.6578926537592125</v>
      </c>
      <c r="L1164" s="15">
        <v>1162</v>
      </c>
      <c r="M1164" s="16">
        <v>1</v>
      </c>
      <c r="N1164" s="16">
        <v>0</v>
      </c>
      <c r="O1164" s="16">
        <v>6</v>
      </c>
      <c r="P1164" s="16">
        <v>125</v>
      </c>
      <c r="Q1164" s="29">
        <v>37</v>
      </c>
      <c r="R1164" s="20">
        <v>0.48229999999999995</v>
      </c>
      <c r="S1164" s="32">
        <v>17.845099999999999</v>
      </c>
      <c r="T1164" s="35">
        <v>1.34</v>
      </c>
      <c r="U1164" s="35">
        <v>0.84</v>
      </c>
      <c r="V1164" s="35">
        <v>3.6216216216216221E-2</v>
      </c>
      <c r="W1164" s="9" t="s">
        <v>153</v>
      </c>
      <c r="X1164" s="15">
        <v>1163</v>
      </c>
      <c r="Y1164" s="39">
        <v>0.4722146931501871</v>
      </c>
      <c r="Z1164" s="39">
        <v>0.48910304399509924</v>
      </c>
      <c r="AA1164" s="39">
        <v>0.4906365343279151</v>
      </c>
      <c r="AB1164" s="39">
        <v>0.48435691342469411</v>
      </c>
      <c r="AC1164" s="39">
        <v>0.46535577787706844</v>
      </c>
      <c r="AD1164" s="39">
        <v>0.48257693497991244</v>
      </c>
      <c r="AE1164" s="39">
        <v>0.48433195182576078</v>
      </c>
      <c r="AF1164" s="40">
        <v>0.47966079335931988</v>
      </c>
    </row>
    <row r="1165" spans="1:32">
      <c r="A1165" s="15">
        <v>1163</v>
      </c>
      <c r="B1165" s="16">
        <v>1</v>
      </c>
      <c r="C1165" s="20">
        <v>0.02</v>
      </c>
      <c r="D1165" s="20">
        <v>0.99679477127711513</v>
      </c>
      <c r="E1165" s="20">
        <v>1</v>
      </c>
      <c r="F1165" s="8" t="s">
        <v>436</v>
      </c>
      <c r="G1165" s="24">
        <v>1.1463076625627919</v>
      </c>
      <c r="H1165" s="24">
        <v>1.152944491325864</v>
      </c>
      <c r="I1165" s="25">
        <v>1.1731079168954552</v>
      </c>
      <c r="L1165" s="15">
        <v>1163</v>
      </c>
      <c r="M1165" s="16">
        <v>1</v>
      </c>
      <c r="N1165" s="16">
        <v>0</v>
      </c>
      <c r="O1165" s="16">
        <v>6</v>
      </c>
      <c r="P1165" s="16">
        <v>126</v>
      </c>
      <c r="Q1165" s="29">
        <v>24</v>
      </c>
      <c r="R1165" s="20">
        <v>0.48229999999999995</v>
      </c>
      <c r="S1165" s="32">
        <v>11.575199999999999</v>
      </c>
      <c r="T1165" s="35">
        <v>1.5</v>
      </c>
      <c r="U1165" s="35">
        <v>1.21</v>
      </c>
      <c r="V1165" s="35">
        <v>6.25E-2</v>
      </c>
      <c r="W1165" s="9" t="s">
        <v>153</v>
      </c>
      <c r="X1165" s="15">
        <v>1164</v>
      </c>
      <c r="Y1165" s="39">
        <v>0.50318989505176992</v>
      </c>
      <c r="Z1165" s="39">
        <v>0.48823104325383299</v>
      </c>
      <c r="AA1165" s="39">
        <v>0.48600856463659908</v>
      </c>
      <c r="AB1165" s="39">
        <v>0.49054616017613917</v>
      </c>
      <c r="AC1165" s="39">
        <v>0.49349213326393226</v>
      </c>
      <c r="AD1165" s="39">
        <v>0.4784911188605554</v>
      </c>
      <c r="AE1165" s="39">
        <v>0.47601047639527799</v>
      </c>
      <c r="AF1165" s="40">
        <v>0.48445008257796202</v>
      </c>
    </row>
    <row r="1166" spans="1:32">
      <c r="A1166" s="15">
        <v>1164</v>
      </c>
      <c r="B1166" s="16">
        <v>0</v>
      </c>
      <c r="C1166" s="20">
        <v>0.02</v>
      </c>
      <c r="D1166" s="20">
        <v>0.99917029198757767</v>
      </c>
      <c r="E1166" s="20">
        <v>1</v>
      </c>
      <c r="F1166" s="8" t="s">
        <v>436</v>
      </c>
      <c r="G1166" s="24">
        <v>1.2019518104582532</v>
      </c>
      <c r="H1166" s="24">
        <v>1.2089108046340762</v>
      </c>
      <c r="I1166" s="25">
        <v>1.2300530046384166</v>
      </c>
      <c r="L1166" s="15">
        <v>1164</v>
      </c>
      <c r="M1166" s="16">
        <v>1</v>
      </c>
      <c r="N1166" s="16">
        <v>0</v>
      </c>
      <c r="O1166" s="16">
        <v>6</v>
      </c>
      <c r="P1166" s="16">
        <v>127</v>
      </c>
      <c r="Q1166" s="29">
        <v>25</v>
      </c>
      <c r="R1166" s="20">
        <v>0.48229999999999995</v>
      </c>
      <c r="S1166" s="32">
        <v>12.057499999999999</v>
      </c>
      <c r="T1166" s="35">
        <v>3.63</v>
      </c>
      <c r="U1166" s="35">
        <v>3.3</v>
      </c>
      <c r="V1166" s="35">
        <v>0.1452</v>
      </c>
      <c r="W1166" s="9" t="s">
        <v>155</v>
      </c>
      <c r="X1166" s="15">
        <v>1165</v>
      </c>
      <c r="Y1166" s="39">
        <v>0.47847067691407702</v>
      </c>
      <c r="Z1166" s="39">
        <v>0.47992631747372577</v>
      </c>
      <c r="AA1166" s="39">
        <v>0.47341402270951027</v>
      </c>
      <c r="AB1166" s="39">
        <v>0.48884226989646601</v>
      </c>
      <c r="AC1166" s="39">
        <v>0.47078040002446925</v>
      </c>
      <c r="AD1166" s="39">
        <v>0.47048914334518077</v>
      </c>
      <c r="AE1166" s="39">
        <v>0.46737930624584573</v>
      </c>
      <c r="AF1166" s="40">
        <v>0.48471264820654314</v>
      </c>
    </row>
    <row r="1167" spans="1:32">
      <c r="A1167" s="15">
        <v>1165</v>
      </c>
      <c r="B1167" s="16">
        <v>1</v>
      </c>
      <c r="C1167" s="20">
        <v>0.02</v>
      </c>
      <c r="D1167" s="20">
        <v>0.99679477127711513</v>
      </c>
      <c r="E1167" s="20">
        <v>1</v>
      </c>
      <c r="F1167" s="8" t="s">
        <v>436</v>
      </c>
      <c r="G1167" s="24">
        <v>1.026310614874173</v>
      </c>
      <c r="H1167" s="24">
        <v>1.032252691361226</v>
      </c>
      <c r="I1167" s="25">
        <v>1.0503053820743209</v>
      </c>
      <c r="L1167" s="15">
        <v>1165</v>
      </c>
      <c r="M1167" s="16">
        <v>1</v>
      </c>
      <c r="N1167" s="16">
        <v>0</v>
      </c>
      <c r="O1167" s="16">
        <v>6</v>
      </c>
      <c r="P1167" s="16">
        <v>128</v>
      </c>
      <c r="Q1167" s="29">
        <v>19</v>
      </c>
      <c r="R1167" s="20">
        <v>0.48229999999999995</v>
      </c>
      <c r="S1167" s="32">
        <v>9.1636999999999986</v>
      </c>
      <c r="T1167" s="35">
        <v>0.4</v>
      </c>
      <c r="U1167" s="35">
        <v>7.0000000000000007E-2</v>
      </c>
      <c r="V1167" s="35">
        <v>2.1052631578947368E-2</v>
      </c>
      <c r="W1167" s="9" t="s">
        <v>152</v>
      </c>
      <c r="X1167" s="15">
        <v>1166</v>
      </c>
      <c r="Y1167" s="39">
        <v>0.4867572647354878</v>
      </c>
      <c r="Z1167" s="39">
        <v>0.48711600176375258</v>
      </c>
      <c r="AA1167" s="39">
        <v>0.46093360229248315</v>
      </c>
      <c r="AB1167" s="39">
        <v>0.49208984518452581</v>
      </c>
      <c r="AC1167" s="39">
        <v>0.47994040980936759</v>
      </c>
      <c r="AD1167" s="39">
        <v>0.48405968015504974</v>
      </c>
      <c r="AE1167" s="39">
        <v>0.45583302079909177</v>
      </c>
      <c r="AF1167" s="40">
        <v>0.48898067806347761</v>
      </c>
    </row>
    <row r="1168" spans="1:32">
      <c r="A1168" s="15">
        <v>1166</v>
      </c>
      <c r="B1168" s="16">
        <v>1</v>
      </c>
      <c r="C1168" s="20">
        <v>0.12</v>
      </c>
      <c r="D1168" s="20">
        <v>0.90075992286364415</v>
      </c>
      <c r="E1168" s="20">
        <v>0.08</v>
      </c>
      <c r="F1168" s="8" t="s">
        <v>436</v>
      </c>
      <c r="G1168" s="24">
        <v>0.8159835972601962</v>
      </c>
      <c r="H1168" s="24">
        <v>0.82070793400272823</v>
      </c>
      <c r="I1168" s="25">
        <v>0.83506099563417491</v>
      </c>
      <c r="L1168" s="15">
        <v>1166</v>
      </c>
      <c r="M1168" s="16">
        <v>1</v>
      </c>
      <c r="N1168" s="16">
        <v>0</v>
      </c>
      <c r="O1168" s="16">
        <v>6</v>
      </c>
      <c r="P1168" s="16">
        <v>129</v>
      </c>
      <c r="Q1168" s="29">
        <v>19</v>
      </c>
      <c r="R1168" s="20">
        <v>0.48229999999999995</v>
      </c>
      <c r="S1168" s="32">
        <v>9.1636999999999986</v>
      </c>
      <c r="T1168" s="35">
        <v>0.79999999999999993</v>
      </c>
      <c r="U1168" s="35">
        <v>0.5</v>
      </c>
      <c r="V1168" s="35">
        <v>4.2105263157894736E-2</v>
      </c>
      <c r="W1168" s="9" t="s">
        <v>152</v>
      </c>
      <c r="X1168" s="15">
        <v>1167</v>
      </c>
      <c r="Y1168" s="39">
        <v>0.49400326946895706</v>
      </c>
      <c r="Z1168" s="39">
        <v>0.47843884358742117</v>
      </c>
      <c r="AA1168" s="39">
        <v>0.49610298570101163</v>
      </c>
      <c r="AB1168" s="39">
        <v>0.49421905947957279</v>
      </c>
      <c r="AC1168" s="39">
        <v>0.48625235923532573</v>
      </c>
      <c r="AD1168" s="39">
        <v>0.47178884945017674</v>
      </c>
      <c r="AE1168" s="39">
        <v>0.48714516999298152</v>
      </c>
      <c r="AF1168" s="40">
        <v>0.48937527907042722</v>
      </c>
    </row>
    <row r="1169" spans="1:32">
      <c r="A1169" s="15">
        <v>1167</v>
      </c>
      <c r="B1169" s="16">
        <v>1</v>
      </c>
      <c r="C1169" s="20">
        <v>0.02</v>
      </c>
      <c r="D1169" s="20">
        <v>0.99679477127711513</v>
      </c>
      <c r="E1169" s="20">
        <v>1</v>
      </c>
      <c r="F1169" s="8" t="s">
        <v>436</v>
      </c>
      <c r="G1169" s="24">
        <v>1.0668363788084831</v>
      </c>
      <c r="H1169" s="24">
        <v>1.0730130891242269</v>
      </c>
      <c r="I1169" s="25">
        <v>1.0917786235628129</v>
      </c>
      <c r="L1169" s="15">
        <v>1167</v>
      </c>
      <c r="M1169" s="16">
        <v>1</v>
      </c>
      <c r="N1169" s="16">
        <v>0</v>
      </c>
      <c r="O1169" s="16">
        <v>6</v>
      </c>
      <c r="P1169" s="16">
        <v>130</v>
      </c>
      <c r="Q1169" s="29">
        <v>15</v>
      </c>
      <c r="R1169" s="20">
        <v>0.48229999999999995</v>
      </c>
      <c r="S1169" s="32">
        <v>7.2344999999999988</v>
      </c>
      <c r="T1169" s="35">
        <v>1.1599999999999999</v>
      </c>
      <c r="U1169" s="35">
        <v>0.98</v>
      </c>
      <c r="V1169" s="35">
        <v>7.7333333333333323E-2</v>
      </c>
      <c r="W1169" s="9" t="s">
        <v>153</v>
      </c>
      <c r="X1169" s="15">
        <v>1168</v>
      </c>
      <c r="Y1169" s="39">
        <v>0.47630424366185153</v>
      </c>
      <c r="Z1169" s="39">
        <v>0.48366201579108808</v>
      </c>
      <c r="AA1169" s="39">
        <v>0.47983922569611598</v>
      </c>
      <c r="AB1169" s="39">
        <v>0.49529230961083948</v>
      </c>
      <c r="AC1169" s="39">
        <v>0.46792557182047262</v>
      </c>
      <c r="AD1169" s="39">
        <v>0.48007553688978577</v>
      </c>
      <c r="AE1169" s="39">
        <v>0.47143716679808234</v>
      </c>
      <c r="AF1169" s="40">
        <v>0.49268828119307573</v>
      </c>
    </row>
    <row r="1170" spans="1:32">
      <c r="A1170" s="15">
        <v>1168</v>
      </c>
      <c r="B1170" s="16">
        <v>0</v>
      </c>
      <c r="C1170" s="20">
        <v>0.65</v>
      </c>
      <c r="D1170" s="20">
        <v>0.43636923034479347</v>
      </c>
      <c r="E1170" s="20">
        <v>7.0000000000000007E-2</v>
      </c>
      <c r="F1170" s="8" t="s">
        <v>438</v>
      </c>
      <c r="G1170" s="24">
        <v>0.93197189985620388</v>
      </c>
      <c r="H1170" s="24">
        <v>0.93736777926392945</v>
      </c>
      <c r="I1170" s="25">
        <v>0.95376106236707858</v>
      </c>
      <c r="L1170" s="15">
        <v>1168</v>
      </c>
      <c r="M1170" s="16">
        <v>1</v>
      </c>
      <c r="N1170" s="16">
        <v>0</v>
      </c>
      <c r="O1170" s="16">
        <v>6</v>
      </c>
      <c r="P1170" s="16">
        <v>131</v>
      </c>
      <c r="Q1170" s="29">
        <v>19</v>
      </c>
      <c r="R1170" s="20">
        <v>0.48229999999999995</v>
      </c>
      <c r="S1170" s="32">
        <v>9.1636999999999986</v>
      </c>
      <c r="T1170" s="35">
        <v>2.1799999999999997</v>
      </c>
      <c r="U1170" s="35">
        <v>1.96</v>
      </c>
      <c r="V1170" s="35">
        <v>0.11473684210526314</v>
      </c>
      <c r="W1170" s="9" t="s">
        <v>154</v>
      </c>
      <c r="X1170" s="15">
        <v>1169</v>
      </c>
      <c r="Y1170" s="39">
        <v>0.48899220704509827</v>
      </c>
      <c r="Z1170" s="39">
        <v>0.4669972662394567</v>
      </c>
      <c r="AA1170" s="39">
        <v>0.47241534775564781</v>
      </c>
      <c r="AB1170" s="39">
        <v>0.4775779282715954</v>
      </c>
      <c r="AC1170" s="39">
        <v>0.47922743589105093</v>
      </c>
      <c r="AD1170" s="39">
        <v>0.46157020236627355</v>
      </c>
      <c r="AE1170" s="39">
        <v>0.46742028505890498</v>
      </c>
      <c r="AF1170" s="40">
        <v>0.47420716280044845</v>
      </c>
    </row>
    <row r="1171" spans="1:32">
      <c r="A1171" s="15">
        <v>1169</v>
      </c>
      <c r="B1171" s="16">
        <v>1</v>
      </c>
      <c r="C1171" s="20">
        <v>0.02</v>
      </c>
      <c r="D1171" s="20">
        <v>0.99756714174924133</v>
      </c>
      <c r="E1171" s="20">
        <v>1</v>
      </c>
      <c r="F1171" s="8" t="s">
        <v>436</v>
      </c>
      <c r="G1171" s="24">
        <v>1.074875111772287</v>
      </c>
      <c r="H1171" s="24">
        <v>1.0810983642999477</v>
      </c>
      <c r="I1171" s="25">
        <v>1.1000052991662574</v>
      </c>
      <c r="L1171" s="15">
        <v>1169</v>
      </c>
      <c r="M1171" s="16">
        <v>1</v>
      </c>
      <c r="N1171" s="16">
        <v>0</v>
      </c>
      <c r="O1171" s="16">
        <v>6</v>
      </c>
      <c r="P1171" s="16">
        <v>132</v>
      </c>
      <c r="Q1171" s="29">
        <v>23</v>
      </c>
      <c r="R1171" s="20">
        <v>0.48229999999999995</v>
      </c>
      <c r="S1171" s="32">
        <v>11.092899999999998</v>
      </c>
      <c r="T1171" s="35">
        <v>0.58000000000000007</v>
      </c>
      <c r="U1171" s="35">
        <v>0.22</v>
      </c>
      <c r="V1171" s="35">
        <v>2.521739130434783E-2</v>
      </c>
      <c r="W1171" s="9" t="s">
        <v>152</v>
      </c>
      <c r="X1171" s="15">
        <v>1170</v>
      </c>
      <c r="Y1171" s="39">
        <v>0.4948810955834651</v>
      </c>
      <c r="Z1171" s="39">
        <v>0.48478432798091009</v>
      </c>
      <c r="AA1171" s="39">
        <v>0.48830834165628634</v>
      </c>
      <c r="AB1171" s="39">
        <v>0.49117642975563414</v>
      </c>
      <c r="AC1171" s="39">
        <v>0.48866308651051193</v>
      </c>
      <c r="AD1171" s="39">
        <v>0.47528533860603617</v>
      </c>
      <c r="AE1171" s="39">
        <v>0.48333579826424644</v>
      </c>
      <c r="AF1171" s="40">
        <v>0.48751496283042967</v>
      </c>
    </row>
    <row r="1172" spans="1:32">
      <c r="A1172" s="15">
        <v>1170</v>
      </c>
      <c r="B1172" s="16">
        <v>0</v>
      </c>
      <c r="C1172" s="20">
        <v>0.88</v>
      </c>
      <c r="D1172" s="20">
        <v>0.25930874124763043</v>
      </c>
      <c r="E1172" s="20">
        <v>0.12</v>
      </c>
      <c r="F1172" s="8" t="s">
        <v>434</v>
      </c>
      <c r="G1172" s="24">
        <v>0.63036380222237276</v>
      </c>
      <c r="H1172" s="24">
        <v>0.63401344773240587</v>
      </c>
      <c r="I1172" s="25">
        <v>0.64510147760691539</v>
      </c>
      <c r="L1172" s="15">
        <v>1170</v>
      </c>
      <c r="M1172" s="16">
        <v>1</v>
      </c>
      <c r="N1172" s="16">
        <v>0</v>
      </c>
      <c r="O1172" s="16">
        <v>6</v>
      </c>
      <c r="P1172" s="16">
        <v>133</v>
      </c>
      <c r="Q1172" s="29">
        <v>22</v>
      </c>
      <c r="R1172" s="20">
        <v>0.48229999999999995</v>
      </c>
      <c r="S1172" s="32">
        <v>10.610599999999998</v>
      </c>
      <c r="T1172" s="35">
        <v>0.5</v>
      </c>
      <c r="U1172" s="35">
        <v>0.22</v>
      </c>
      <c r="V1172" s="35">
        <v>2.2727272727272728E-2</v>
      </c>
      <c r="W1172" s="9" t="s">
        <v>152</v>
      </c>
      <c r="X1172" s="15">
        <v>1171</v>
      </c>
      <c r="Y1172" s="39">
        <v>0.48301938213294626</v>
      </c>
      <c r="Z1172" s="39">
        <v>0.49123582498296781</v>
      </c>
      <c r="AA1172" s="39">
        <v>0.48356449474179791</v>
      </c>
      <c r="AB1172" s="39">
        <v>0.49892221738751569</v>
      </c>
      <c r="AC1172" s="39">
        <v>0.47652452748634389</v>
      </c>
      <c r="AD1172" s="39">
        <v>0.48622596543089791</v>
      </c>
      <c r="AE1172" s="39">
        <v>0.47510783513178212</v>
      </c>
      <c r="AF1172" s="40">
        <v>0.49343930431223204</v>
      </c>
    </row>
    <row r="1173" spans="1:32">
      <c r="A1173" s="15">
        <v>1171</v>
      </c>
      <c r="B1173" s="16">
        <v>1</v>
      </c>
      <c r="C1173" s="20">
        <v>0.94</v>
      </c>
      <c r="D1173" s="20">
        <v>0.17188516685452584</v>
      </c>
      <c r="E1173" s="20">
        <v>0.06</v>
      </c>
      <c r="F1173" s="8" t="s">
        <v>434</v>
      </c>
      <c r="G1173" s="24">
        <v>0.7124628745356486</v>
      </c>
      <c r="H1173" s="24">
        <v>0.71658785271800474</v>
      </c>
      <c r="I1173" s="25">
        <v>0.7291199962349374</v>
      </c>
      <c r="L1173" s="15">
        <v>1171</v>
      </c>
      <c r="M1173" s="16">
        <v>1</v>
      </c>
      <c r="N1173" s="16">
        <v>0</v>
      </c>
      <c r="O1173" s="16">
        <v>6</v>
      </c>
      <c r="P1173" s="16">
        <v>134</v>
      </c>
      <c r="Q1173" s="29">
        <v>20</v>
      </c>
      <c r="R1173" s="20">
        <v>0.48229999999999995</v>
      </c>
      <c r="S1173" s="32">
        <v>9.645999999999999</v>
      </c>
      <c r="T1173" s="35">
        <v>1.22</v>
      </c>
      <c r="U1173" s="35">
        <v>0.92</v>
      </c>
      <c r="V1173" s="35">
        <v>6.0999999999999999E-2</v>
      </c>
      <c r="W1173" s="9" t="s">
        <v>153</v>
      </c>
      <c r="X1173" s="15">
        <v>1172</v>
      </c>
      <c r="Y1173" s="39">
        <v>0.49611982810664623</v>
      </c>
      <c r="Z1173" s="39">
        <v>0.47995324084262153</v>
      </c>
      <c r="AA1173" s="39">
        <v>0.47943460218048706</v>
      </c>
      <c r="AB1173" s="39">
        <v>0.49697276999849876</v>
      </c>
      <c r="AC1173" s="39">
        <v>0.48631169458230566</v>
      </c>
      <c r="AD1173" s="39">
        <v>0.47366958617136246</v>
      </c>
      <c r="AE1173" s="39">
        <v>0.46995090011244306</v>
      </c>
      <c r="AF1173" s="40">
        <v>0.4944887107153178</v>
      </c>
    </row>
    <row r="1174" spans="1:32">
      <c r="A1174" s="15">
        <v>1172</v>
      </c>
      <c r="B1174" s="16">
        <v>0</v>
      </c>
      <c r="C1174" s="20">
        <v>0.03</v>
      </c>
      <c r="D1174" s="20">
        <v>0.99642335770206691</v>
      </c>
      <c r="E1174" s="20">
        <v>1</v>
      </c>
      <c r="F1174" s="8" t="s">
        <v>436</v>
      </c>
      <c r="G1174" s="24">
        <v>0.98194357530099141</v>
      </c>
      <c r="H1174" s="24">
        <v>0.98762877795391746</v>
      </c>
      <c r="I1174" s="25">
        <v>1.0049010573259793</v>
      </c>
      <c r="L1174" s="15">
        <v>1172</v>
      </c>
      <c r="M1174" s="16">
        <v>1</v>
      </c>
      <c r="N1174" s="16">
        <v>0</v>
      </c>
      <c r="O1174" s="16">
        <v>6</v>
      </c>
      <c r="P1174" s="16">
        <v>135</v>
      </c>
      <c r="Q1174" s="29">
        <v>24</v>
      </c>
      <c r="R1174" s="20">
        <v>0.48229999999999995</v>
      </c>
      <c r="S1174" s="32">
        <v>11.575199999999999</v>
      </c>
      <c r="T1174" s="35">
        <v>1.87</v>
      </c>
      <c r="U1174" s="35">
        <v>1.39</v>
      </c>
      <c r="V1174" s="35">
        <v>7.7916666666666676E-2</v>
      </c>
      <c r="W1174" s="9" t="s">
        <v>153</v>
      </c>
      <c r="X1174" s="15">
        <v>1173</v>
      </c>
      <c r="Y1174" s="39">
        <v>0.49387073744800614</v>
      </c>
      <c r="Z1174" s="39">
        <v>0.49139885055403648</v>
      </c>
      <c r="AA1174" s="39">
        <v>0.48040808791490047</v>
      </c>
      <c r="AB1174" s="39">
        <v>0.48894102524129418</v>
      </c>
      <c r="AC1174" s="39">
        <v>0.48516629547256684</v>
      </c>
      <c r="AD1174" s="39">
        <v>0.48552097763933577</v>
      </c>
      <c r="AE1174" s="39">
        <v>0.47316481461772486</v>
      </c>
      <c r="AF1174" s="40">
        <v>0.48801464292415297</v>
      </c>
    </row>
    <row r="1175" spans="1:32">
      <c r="A1175" s="15">
        <v>1173</v>
      </c>
      <c r="B1175" s="16">
        <v>1</v>
      </c>
      <c r="C1175" s="20">
        <v>0.91</v>
      </c>
      <c r="D1175" s="20">
        <v>0.21727233298780477</v>
      </c>
      <c r="E1175" s="20">
        <v>0.09</v>
      </c>
      <c r="F1175" s="8" t="s">
        <v>434</v>
      </c>
      <c r="G1175" s="24">
        <v>0.49863271660467767</v>
      </c>
      <c r="H1175" s="24">
        <v>0.50151967275427889</v>
      </c>
      <c r="I1175" s="25">
        <v>0.51029056733710276</v>
      </c>
      <c r="L1175" s="15">
        <v>1173</v>
      </c>
      <c r="M1175" s="16">
        <v>1</v>
      </c>
      <c r="N1175" s="16">
        <v>0</v>
      </c>
      <c r="O1175" s="16">
        <v>6</v>
      </c>
      <c r="P1175" s="16">
        <v>136</v>
      </c>
      <c r="Q1175" s="29">
        <v>25</v>
      </c>
      <c r="R1175" s="20">
        <v>0.48229999999999995</v>
      </c>
      <c r="S1175" s="32">
        <v>12.057499999999999</v>
      </c>
      <c r="T1175" s="35">
        <v>0.52</v>
      </c>
      <c r="U1175" s="35">
        <v>0.18</v>
      </c>
      <c r="V1175" s="35">
        <v>2.0799999999999999E-2</v>
      </c>
      <c r="W1175" s="9" t="s">
        <v>152</v>
      </c>
      <c r="X1175" s="15">
        <v>1174</v>
      </c>
      <c r="Y1175" s="39">
        <v>0.47672705408788618</v>
      </c>
      <c r="Z1175" s="39">
        <v>0.48486481640184226</v>
      </c>
      <c r="AA1175" s="39">
        <v>0.48482261459633064</v>
      </c>
      <c r="AB1175" s="39">
        <v>0.49290876975881592</v>
      </c>
      <c r="AC1175" s="39">
        <v>0.46921169318701678</v>
      </c>
      <c r="AD1175" s="39">
        <v>0.47899726600842374</v>
      </c>
      <c r="AE1175" s="39">
        <v>0.47801145768804093</v>
      </c>
      <c r="AF1175" s="40">
        <v>0.48965245112973643</v>
      </c>
    </row>
    <row r="1176" spans="1:32">
      <c r="A1176" s="15">
        <v>1174</v>
      </c>
      <c r="B1176" s="16">
        <v>0</v>
      </c>
      <c r="C1176" s="20">
        <v>0.31</v>
      </c>
      <c r="D1176" s="20">
        <v>0.7419205605321354</v>
      </c>
      <c r="E1176" s="20">
        <v>0.48</v>
      </c>
      <c r="F1176" s="8" t="s">
        <v>436</v>
      </c>
      <c r="G1176" s="24">
        <v>0.62662811718976763</v>
      </c>
      <c r="H1176" s="24">
        <v>0.63025613403702208</v>
      </c>
      <c r="I1176" s="25">
        <v>0.64127845362312785</v>
      </c>
      <c r="L1176" s="15">
        <v>1174</v>
      </c>
      <c r="M1176" s="16">
        <v>1</v>
      </c>
      <c r="N1176" s="16">
        <v>0</v>
      </c>
      <c r="O1176" s="16">
        <v>6</v>
      </c>
      <c r="P1176" s="16">
        <v>137</v>
      </c>
      <c r="Q1176" s="29">
        <v>25</v>
      </c>
      <c r="R1176" s="20">
        <v>0.48229999999999995</v>
      </c>
      <c r="S1176" s="32">
        <v>12.057499999999999</v>
      </c>
      <c r="T1176" s="35">
        <v>0.79999999999999993</v>
      </c>
      <c r="U1176" s="35">
        <v>0.45</v>
      </c>
      <c r="V1176" s="35">
        <v>3.2000000000000001E-2</v>
      </c>
      <c r="W1176" s="9" t="s">
        <v>152</v>
      </c>
      <c r="X1176" s="15">
        <v>1175</v>
      </c>
      <c r="Y1176" s="39">
        <v>0.47615082432177658</v>
      </c>
      <c r="Z1176" s="39">
        <v>0.48503832452311113</v>
      </c>
      <c r="AA1176" s="39">
        <v>0.48362217832999133</v>
      </c>
      <c r="AB1176" s="39">
        <v>0.48545312596398732</v>
      </c>
      <c r="AC1176" s="39">
        <v>0.4728368094322849</v>
      </c>
      <c r="AD1176" s="39">
        <v>0.47991934844976653</v>
      </c>
      <c r="AE1176" s="39">
        <v>0.47654092570738443</v>
      </c>
      <c r="AF1176" s="40">
        <v>0.48046048020461718</v>
      </c>
    </row>
    <row r="1177" spans="1:32">
      <c r="A1177" s="15">
        <v>1175</v>
      </c>
      <c r="B1177" s="16">
        <v>1</v>
      </c>
      <c r="C1177" s="20">
        <v>0.83</v>
      </c>
      <c r="D1177" s="20">
        <v>0.32436397807848893</v>
      </c>
      <c r="E1177" s="20">
        <v>0.17</v>
      </c>
      <c r="F1177" s="8" t="s">
        <v>434</v>
      </c>
      <c r="G1177" s="24">
        <v>1.0225546555302634</v>
      </c>
      <c r="H1177" s="24">
        <v>1.0284749859714504</v>
      </c>
      <c r="I1177" s="25">
        <v>1.046461609773238</v>
      </c>
      <c r="L1177" s="15">
        <v>1175</v>
      </c>
      <c r="M1177" s="16">
        <v>1</v>
      </c>
      <c r="N1177" s="16">
        <v>0</v>
      </c>
      <c r="O1177" s="16">
        <v>6</v>
      </c>
      <c r="P1177" s="16">
        <v>138</v>
      </c>
      <c r="Q1177" s="29">
        <v>24</v>
      </c>
      <c r="R1177" s="20">
        <v>0.48229999999999995</v>
      </c>
      <c r="S1177" s="32">
        <v>11.575199999999999</v>
      </c>
      <c r="T1177" s="35">
        <v>0.49</v>
      </c>
      <c r="U1177" s="35">
        <v>0.1</v>
      </c>
      <c r="V1177" s="35">
        <v>2.0416666666666666E-2</v>
      </c>
      <c r="W1177" s="9" t="s">
        <v>152</v>
      </c>
      <c r="X1177" s="15">
        <v>1176</v>
      </c>
      <c r="Y1177" s="39">
        <v>0.48822569478250194</v>
      </c>
      <c r="Z1177" s="39">
        <v>0.48324064037254871</v>
      </c>
      <c r="AA1177" s="39">
        <v>0.49211716746883155</v>
      </c>
      <c r="AB1177" s="39">
        <v>0.49583038075252611</v>
      </c>
      <c r="AC1177" s="39">
        <v>0.48245134314200655</v>
      </c>
      <c r="AD1177" s="39">
        <v>0.47741961765018426</v>
      </c>
      <c r="AE1177" s="39">
        <v>0.48438281495637581</v>
      </c>
      <c r="AF1177" s="40">
        <v>0.49307551638650104</v>
      </c>
    </row>
    <row r="1178" spans="1:32">
      <c r="A1178" s="15">
        <v>1176</v>
      </c>
      <c r="B1178" s="16">
        <v>0</v>
      </c>
      <c r="C1178" s="20">
        <v>0.96</v>
      </c>
      <c r="D1178" s="20">
        <v>0.13880369068795359</v>
      </c>
      <c r="E1178" s="20">
        <v>0.04</v>
      </c>
      <c r="F1178" s="8" t="s">
        <v>434</v>
      </c>
      <c r="G1178" s="24">
        <v>1.0957618378473473</v>
      </c>
      <c r="H1178" s="24">
        <v>1.1021060191874974</v>
      </c>
      <c r="I1178" s="25">
        <v>1.1213803492657219</v>
      </c>
      <c r="L1178" s="15">
        <v>1176</v>
      </c>
      <c r="M1178" s="16">
        <v>1</v>
      </c>
      <c r="N1178" s="16">
        <v>0</v>
      </c>
      <c r="O1178" s="16">
        <v>6</v>
      </c>
      <c r="P1178" s="16">
        <v>139</v>
      </c>
      <c r="Q1178" s="29">
        <v>16</v>
      </c>
      <c r="R1178" s="20">
        <v>0.48229999999999995</v>
      </c>
      <c r="S1178" s="32">
        <v>7.7167999999999992</v>
      </c>
      <c r="T1178" s="35">
        <v>0.45</v>
      </c>
      <c r="U1178" s="35">
        <v>0.23</v>
      </c>
      <c r="V1178" s="35">
        <v>2.8125000000000001E-2</v>
      </c>
      <c r="W1178" s="9" t="s">
        <v>152</v>
      </c>
      <c r="X1178" s="15">
        <v>1177</v>
      </c>
      <c r="Y1178" s="39">
        <v>0.49820190776713552</v>
      </c>
      <c r="Z1178" s="39">
        <v>0.49922540496311235</v>
      </c>
      <c r="AA1178" s="39">
        <v>0.50104494704528657</v>
      </c>
      <c r="AB1178" s="39">
        <v>0.50306370122012867</v>
      </c>
      <c r="AC1178" s="39">
        <v>0.48953936698641398</v>
      </c>
      <c r="AD1178" s="39">
        <v>0.49187319356864195</v>
      </c>
      <c r="AE1178" s="39">
        <v>0.49466323348844088</v>
      </c>
      <c r="AF1178" s="40">
        <v>0.49856522099394951</v>
      </c>
    </row>
    <row r="1179" spans="1:32">
      <c r="A1179" s="15">
        <v>1177</v>
      </c>
      <c r="B1179" s="16">
        <v>0</v>
      </c>
      <c r="C1179" s="20">
        <v>0.97</v>
      </c>
      <c r="D1179" s="20">
        <v>0.12097036642660543</v>
      </c>
      <c r="E1179" s="20">
        <v>0.03</v>
      </c>
      <c r="F1179" s="8" t="s">
        <v>434</v>
      </c>
      <c r="G1179" s="24">
        <v>1.7808993951547543</v>
      </c>
      <c r="H1179" s="24">
        <v>1.7912103480654902</v>
      </c>
      <c r="I1179" s="25">
        <v>1.6578926537592125</v>
      </c>
      <c r="L1179" s="15">
        <v>1177</v>
      </c>
      <c r="M1179" s="16">
        <v>1</v>
      </c>
      <c r="N1179" s="16">
        <v>0</v>
      </c>
      <c r="O1179" s="16">
        <v>6</v>
      </c>
      <c r="P1179" s="16">
        <v>140</v>
      </c>
      <c r="Q1179" s="29">
        <v>32</v>
      </c>
      <c r="R1179" s="20">
        <v>0.48229999999999995</v>
      </c>
      <c r="S1179" s="32">
        <v>15.433599999999998</v>
      </c>
      <c r="T1179" s="35">
        <v>0.68</v>
      </c>
      <c r="U1179" s="35">
        <v>0.32</v>
      </c>
      <c r="V1179" s="35">
        <v>2.1250000000000002E-2</v>
      </c>
      <c r="W1179" s="9" t="s">
        <v>152</v>
      </c>
      <c r="X1179" s="15">
        <v>1178</v>
      </c>
      <c r="Y1179" s="39">
        <v>0.488281383276783</v>
      </c>
      <c r="Z1179" s="39">
        <v>0.48923099729167507</v>
      </c>
      <c r="AA1179" s="39">
        <v>0.50146704836880107</v>
      </c>
      <c r="AB1179" s="39">
        <v>0.4851229853398904</v>
      </c>
      <c r="AC1179" s="39">
        <v>0.48189449226604536</v>
      </c>
      <c r="AD1179" s="39">
        <v>0.47924999860823331</v>
      </c>
      <c r="AE1179" s="39">
        <v>0.49166535162973712</v>
      </c>
      <c r="AF1179" s="40">
        <v>0.47917970005202515</v>
      </c>
    </row>
    <row r="1180" spans="1:32">
      <c r="A1180" s="15">
        <v>1178</v>
      </c>
      <c r="B1180" s="16">
        <v>0</v>
      </c>
      <c r="C1180" s="20">
        <v>0.02</v>
      </c>
      <c r="D1180" s="20">
        <v>0.99756714174924133</v>
      </c>
      <c r="E1180" s="20">
        <v>1</v>
      </c>
      <c r="F1180" s="8" t="s">
        <v>436</v>
      </c>
      <c r="G1180" s="24">
        <v>1.0953410719201508</v>
      </c>
      <c r="H1180" s="24">
        <v>1.101682817132986</v>
      </c>
      <c r="I1180" s="25">
        <v>1.1209497459848798</v>
      </c>
      <c r="L1180" s="15">
        <v>1178</v>
      </c>
      <c r="M1180" s="16">
        <v>1</v>
      </c>
      <c r="N1180" s="16">
        <v>0</v>
      </c>
      <c r="O1180" s="16">
        <v>6</v>
      </c>
      <c r="P1180" s="16">
        <v>141</v>
      </c>
      <c r="Q1180" s="29">
        <v>27</v>
      </c>
      <c r="R1180" s="20">
        <v>0.48229999999999995</v>
      </c>
      <c r="S1180" s="32">
        <v>13.022099999999998</v>
      </c>
      <c r="T1180" s="35">
        <v>1.1100000000000001</v>
      </c>
      <c r="U1180" s="35">
        <v>0.74</v>
      </c>
      <c r="V1180" s="35">
        <v>4.1111111111111112E-2</v>
      </c>
      <c r="W1180" s="9" t="s">
        <v>153</v>
      </c>
      <c r="X1180" s="15">
        <v>1179</v>
      </c>
      <c r="Y1180" s="39">
        <v>0.47869146780484012</v>
      </c>
      <c r="Z1180" s="39">
        <v>0.4892360070686414</v>
      </c>
      <c r="AA1180" s="39">
        <v>0.4765968378070351</v>
      </c>
      <c r="AB1180" s="39">
        <v>0.4800430646008928</v>
      </c>
      <c r="AC1180" s="39">
        <v>0.47046124581430449</v>
      </c>
      <c r="AD1180" s="39">
        <v>0.48289958436740654</v>
      </c>
      <c r="AE1180" s="39">
        <v>0.46972378129205222</v>
      </c>
      <c r="AF1180" s="40">
        <v>0.47713760926369836</v>
      </c>
    </row>
    <row r="1181" spans="1:32">
      <c r="A1181" s="15">
        <v>1179</v>
      </c>
      <c r="B1181" s="16">
        <v>1</v>
      </c>
      <c r="C1181" s="20">
        <v>0.75</v>
      </c>
      <c r="D1181" s="20">
        <v>0.42687248497705549</v>
      </c>
      <c r="E1181" s="20">
        <v>0.03</v>
      </c>
      <c r="F1181" s="8" t="s">
        <v>438</v>
      </c>
      <c r="G1181" s="24">
        <v>0.5379419608025785</v>
      </c>
      <c r="H1181" s="24">
        <v>0.54105650744212197</v>
      </c>
      <c r="I1181" s="25">
        <v>0.55051884730221923</v>
      </c>
      <c r="L1181" s="15">
        <v>1179</v>
      </c>
      <c r="M1181" s="16">
        <v>1</v>
      </c>
      <c r="N1181" s="16">
        <v>0</v>
      </c>
      <c r="O1181" s="16">
        <v>6</v>
      </c>
      <c r="P1181" s="16">
        <v>142</v>
      </c>
      <c r="Q1181" s="29">
        <v>23</v>
      </c>
      <c r="R1181" s="20">
        <v>0.48229999999999995</v>
      </c>
      <c r="S1181" s="32">
        <v>11.092899999999998</v>
      </c>
      <c r="T1181" s="35">
        <v>0.59</v>
      </c>
      <c r="U1181" s="35">
        <v>0.16</v>
      </c>
      <c r="V1181" s="35">
        <v>2.5652173913043478E-2</v>
      </c>
      <c r="W1181" s="9" t="s">
        <v>152</v>
      </c>
      <c r="X1181" s="15">
        <v>1180</v>
      </c>
      <c r="Y1181" s="39">
        <v>0.48777596029596354</v>
      </c>
      <c r="Z1181" s="39">
        <v>0.48902948849046296</v>
      </c>
      <c r="AA1181" s="39">
        <v>0.49253309312577703</v>
      </c>
      <c r="AB1181" s="39">
        <v>0.49781190584642881</v>
      </c>
      <c r="AC1181" s="39">
        <v>0.48226560673827612</v>
      </c>
      <c r="AD1181" s="39">
        <v>0.48447597784810337</v>
      </c>
      <c r="AE1181" s="39">
        <v>0.48677955052259519</v>
      </c>
      <c r="AF1181" s="40">
        <v>0.4915953547689984</v>
      </c>
    </row>
    <row r="1182" spans="1:32">
      <c r="A1182" s="15">
        <v>1180</v>
      </c>
      <c r="B1182" s="16">
        <v>0</v>
      </c>
      <c r="C1182" s="20">
        <v>0.56000000000000005</v>
      </c>
      <c r="D1182" s="20">
        <v>0.46672490449372195</v>
      </c>
      <c r="E1182" s="20">
        <v>0.11</v>
      </c>
      <c r="F1182" s="8" t="s">
        <v>438</v>
      </c>
      <c r="G1182" s="24">
        <v>0.75988963082365735</v>
      </c>
      <c r="H1182" s="24">
        <v>0.76428919781890492</v>
      </c>
      <c r="I1182" s="25">
        <v>0.77765557275699237</v>
      </c>
      <c r="L1182" s="15">
        <v>1180</v>
      </c>
      <c r="M1182" s="16">
        <v>1</v>
      </c>
      <c r="N1182" s="16">
        <v>0</v>
      </c>
      <c r="O1182" s="16">
        <v>7</v>
      </c>
      <c r="P1182" s="16">
        <v>188</v>
      </c>
      <c r="Q1182" s="29">
        <v>19</v>
      </c>
      <c r="R1182" s="20">
        <v>0.48229999999999995</v>
      </c>
      <c r="S1182" s="32">
        <v>9.1636999999999986</v>
      </c>
      <c r="T1182" s="35">
        <v>0.42</v>
      </c>
      <c r="U1182" s="35">
        <v>0.08</v>
      </c>
      <c r="V1182" s="35">
        <v>2.2105263157894735E-2</v>
      </c>
      <c r="W1182" s="9" t="s">
        <v>152</v>
      </c>
      <c r="X1182" s="15">
        <v>1181</v>
      </c>
      <c r="Y1182" s="39">
        <v>0.47524090975231326</v>
      </c>
      <c r="Z1182" s="39">
        <v>0.49379852122494078</v>
      </c>
      <c r="AA1182" s="39">
        <v>0.47713711686283905</v>
      </c>
      <c r="AB1182" s="39">
        <v>0.49069330841934616</v>
      </c>
      <c r="AC1182" s="39">
        <v>0.469400987563515</v>
      </c>
      <c r="AD1182" s="39">
        <v>0.48457560777700304</v>
      </c>
      <c r="AE1182" s="39">
        <v>0.46981234994885224</v>
      </c>
      <c r="AF1182" s="40">
        <v>0.48344180570444845</v>
      </c>
    </row>
    <row r="1183" spans="1:32">
      <c r="A1183" s="15">
        <v>1181</v>
      </c>
      <c r="B1183" s="16">
        <v>1</v>
      </c>
      <c r="C1183" s="20">
        <v>0.33</v>
      </c>
      <c r="D1183" s="20">
        <v>0.78520611482281821</v>
      </c>
      <c r="E1183" s="20">
        <v>0.06</v>
      </c>
      <c r="F1183" s="8" t="s">
        <v>436</v>
      </c>
      <c r="G1183" s="24">
        <v>0.83556729266003937</v>
      </c>
      <c r="H1183" s="24">
        <v>0.84040501400005929</v>
      </c>
      <c r="I1183" s="25">
        <v>0.85510255067731467</v>
      </c>
      <c r="L1183" s="15">
        <v>1181</v>
      </c>
      <c r="M1183" s="16">
        <v>1</v>
      </c>
      <c r="N1183" s="16">
        <v>0</v>
      </c>
      <c r="O1183" s="16">
        <v>7</v>
      </c>
      <c r="P1183" s="16">
        <v>189</v>
      </c>
      <c r="Q1183" s="29">
        <v>35</v>
      </c>
      <c r="R1183" s="20">
        <v>0.48229999999999995</v>
      </c>
      <c r="S1183" s="32">
        <v>16.880499999999998</v>
      </c>
      <c r="T1183" s="35">
        <v>0.53</v>
      </c>
      <c r="U1183" s="35">
        <v>0.15</v>
      </c>
      <c r="V1183" s="35">
        <v>1.5142857142857144E-2</v>
      </c>
      <c r="W1183" s="9" t="s">
        <v>152</v>
      </c>
      <c r="X1183" s="15">
        <v>1182</v>
      </c>
      <c r="Y1183" s="39">
        <v>0.48957718729749389</v>
      </c>
      <c r="Z1183" s="39">
        <v>0.4800801047620879</v>
      </c>
      <c r="AA1183" s="39">
        <v>0.50130816822900337</v>
      </c>
      <c r="AB1183" s="39">
        <v>0.49667700678205906</v>
      </c>
      <c r="AC1183" s="39">
        <v>0.48375496746229096</v>
      </c>
      <c r="AD1183" s="39">
        <v>0.47311275822556115</v>
      </c>
      <c r="AE1183" s="39">
        <v>0.49195847073175808</v>
      </c>
      <c r="AF1183" s="40">
        <v>0.49358436628736529</v>
      </c>
    </row>
    <row r="1184" spans="1:32">
      <c r="A1184" s="15">
        <v>1182</v>
      </c>
      <c r="B1184" s="16">
        <v>1</v>
      </c>
      <c r="C1184" s="20">
        <v>0.96</v>
      </c>
      <c r="D1184" s="20">
        <v>0.13880369068795359</v>
      </c>
      <c r="E1184" s="20">
        <v>0.04</v>
      </c>
      <c r="F1184" s="8" t="s">
        <v>434</v>
      </c>
      <c r="G1184" s="24">
        <v>2.6497751231725801</v>
      </c>
      <c r="H1184" s="24">
        <v>2.3557193791407478</v>
      </c>
      <c r="I1184" s="25">
        <v>1.6578926537592125</v>
      </c>
      <c r="L1184" s="15">
        <v>1182</v>
      </c>
      <c r="M1184" s="16">
        <v>1</v>
      </c>
      <c r="N1184" s="16">
        <v>0</v>
      </c>
      <c r="O1184" s="16">
        <v>7</v>
      </c>
      <c r="P1184" s="16">
        <v>190</v>
      </c>
      <c r="Q1184" s="29">
        <v>32</v>
      </c>
      <c r="R1184" s="20">
        <v>0.48229999999999995</v>
      </c>
      <c r="S1184" s="32">
        <v>15.433599999999998</v>
      </c>
      <c r="T1184" s="35">
        <v>1.28</v>
      </c>
      <c r="U1184" s="35">
        <v>0.71</v>
      </c>
      <c r="V1184" s="35">
        <v>0.04</v>
      </c>
      <c r="W1184" s="9" t="s">
        <v>153</v>
      </c>
      <c r="X1184" s="15">
        <v>1183</v>
      </c>
      <c r="Y1184" s="39">
        <v>0.47171761398620254</v>
      </c>
      <c r="Z1184" s="39">
        <v>0.49021745628887747</v>
      </c>
      <c r="AA1184" s="39">
        <v>0.48166514927131332</v>
      </c>
      <c r="AB1184" s="39">
        <v>0.48749929019654131</v>
      </c>
      <c r="AC1184" s="39">
        <v>0.46576496360836117</v>
      </c>
      <c r="AD1184" s="39">
        <v>0.4826976180299532</v>
      </c>
      <c r="AE1184" s="39">
        <v>0.4730349932930078</v>
      </c>
      <c r="AF1184" s="40">
        <v>0.48438014859313366</v>
      </c>
    </row>
    <row r="1185" spans="1:32">
      <c r="A1185" s="15">
        <v>1183</v>
      </c>
      <c r="B1185" s="16">
        <v>0</v>
      </c>
      <c r="C1185" s="20">
        <v>0.48</v>
      </c>
      <c r="D1185" s="20">
        <v>0.48174080822985088</v>
      </c>
      <c r="E1185" s="20">
        <v>0.05</v>
      </c>
      <c r="F1185" s="8" t="s">
        <v>436</v>
      </c>
      <c r="G1185" s="24">
        <v>0.98959808211063716</v>
      </c>
      <c r="H1185" s="24">
        <v>0.99532760240412388</v>
      </c>
      <c r="I1185" s="25">
        <v>1.0127345237081633</v>
      </c>
      <c r="L1185" s="15">
        <v>1183</v>
      </c>
      <c r="M1185" s="16">
        <v>1</v>
      </c>
      <c r="N1185" s="16">
        <v>0</v>
      </c>
      <c r="O1185" s="16">
        <v>7</v>
      </c>
      <c r="P1185" s="16">
        <v>191</v>
      </c>
      <c r="Q1185" s="29">
        <v>40</v>
      </c>
      <c r="R1185" s="20">
        <v>0.48229999999999995</v>
      </c>
      <c r="S1185" s="32">
        <v>19.291999999999998</v>
      </c>
      <c r="T1185" s="35">
        <v>1.33</v>
      </c>
      <c r="U1185" s="35">
        <v>0.76</v>
      </c>
      <c r="V1185" s="35">
        <v>3.3250000000000002E-2</v>
      </c>
      <c r="W1185" s="9" t="s">
        <v>153</v>
      </c>
      <c r="X1185" s="15">
        <v>1184</v>
      </c>
      <c r="Y1185" s="39">
        <v>0.48824611108691479</v>
      </c>
      <c r="Z1185" s="39">
        <v>0.49611515295309927</v>
      </c>
      <c r="AA1185" s="39">
        <v>0.47890098805723735</v>
      </c>
      <c r="AB1185" s="39">
        <v>0.47157115508133896</v>
      </c>
      <c r="AC1185" s="39">
        <v>0.481080264596492</v>
      </c>
      <c r="AD1185" s="39">
        <v>0.48716101543431484</v>
      </c>
      <c r="AE1185" s="39">
        <v>0.47286030943115565</v>
      </c>
      <c r="AF1185" s="40">
        <v>0.46766460304938134</v>
      </c>
    </row>
    <row r="1186" spans="1:32">
      <c r="A1186" s="15">
        <v>1184</v>
      </c>
      <c r="B1186" s="16">
        <v>0</v>
      </c>
      <c r="C1186" s="20">
        <v>0.91</v>
      </c>
      <c r="D1186" s="20">
        <v>0.21727233298780477</v>
      </c>
      <c r="E1186" s="20">
        <v>0.09</v>
      </c>
      <c r="F1186" s="8" t="s">
        <v>434</v>
      </c>
      <c r="G1186" s="24">
        <v>0.59653140625661505</v>
      </c>
      <c r="H1186" s="24">
        <v>0.59998517082996561</v>
      </c>
      <c r="I1186" s="25">
        <v>0.61047809258457353</v>
      </c>
      <c r="L1186" s="15">
        <v>1184</v>
      </c>
      <c r="M1186" s="16">
        <v>1</v>
      </c>
      <c r="N1186" s="16">
        <v>0</v>
      </c>
      <c r="O1186" s="16">
        <v>7</v>
      </c>
      <c r="P1186" s="16">
        <v>192</v>
      </c>
      <c r="Q1186" s="29">
        <v>34</v>
      </c>
      <c r="R1186" s="20">
        <v>0.48229999999999995</v>
      </c>
      <c r="S1186" s="32">
        <v>16.398199999999999</v>
      </c>
      <c r="T1186" s="35">
        <v>2.6</v>
      </c>
      <c r="U1186" s="35">
        <v>1.93</v>
      </c>
      <c r="V1186" s="35">
        <v>7.6470588235294124E-2</v>
      </c>
      <c r="W1186" s="9" t="s">
        <v>154</v>
      </c>
      <c r="X1186" s="15">
        <v>1185</v>
      </c>
      <c r="Y1186" s="39">
        <v>0.4849059470790949</v>
      </c>
      <c r="Z1186" s="39">
        <v>0.49194858747634956</v>
      </c>
      <c r="AA1186" s="39">
        <v>0.49657260479300785</v>
      </c>
      <c r="AB1186" s="39">
        <v>0.49588230661553945</v>
      </c>
      <c r="AC1186" s="39">
        <v>0.47987038747315064</v>
      </c>
      <c r="AD1186" s="39">
        <v>0.48701598256854228</v>
      </c>
      <c r="AE1186" s="39">
        <v>0.48628327102575208</v>
      </c>
      <c r="AF1186" s="40">
        <v>0.49132359098933903</v>
      </c>
    </row>
    <row r="1187" spans="1:32">
      <c r="A1187" s="15">
        <v>1185</v>
      </c>
      <c r="B1187" s="16">
        <v>0</v>
      </c>
      <c r="C1187" s="20">
        <v>0.96</v>
      </c>
      <c r="D1187" s="20">
        <v>0.13880369068795359</v>
      </c>
      <c r="E1187" s="20">
        <v>0.04</v>
      </c>
      <c r="F1187" s="8" t="s">
        <v>434</v>
      </c>
      <c r="G1187" s="24">
        <v>0.85051844304139057</v>
      </c>
      <c r="H1187" s="24">
        <v>0.85544272772573127</v>
      </c>
      <c r="I1187" s="25">
        <v>0.87040325349198933</v>
      </c>
      <c r="L1187" s="15">
        <v>1185</v>
      </c>
      <c r="M1187" s="16">
        <v>1</v>
      </c>
      <c r="N1187" s="16">
        <v>0</v>
      </c>
      <c r="O1187" s="16">
        <v>7</v>
      </c>
      <c r="P1187" s="16">
        <v>193</v>
      </c>
      <c r="Q1187" s="29">
        <v>29</v>
      </c>
      <c r="R1187" s="20">
        <v>0.48229999999999995</v>
      </c>
      <c r="S1187" s="32">
        <v>13.986699999999999</v>
      </c>
      <c r="T1187" s="35">
        <v>0.88</v>
      </c>
      <c r="U1187" s="35">
        <v>0.53</v>
      </c>
      <c r="V1187" s="35">
        <v>3.0344827586206897E-2</v>
      </c>
      <c r="W1187" s="9" t="s">
        <v>152</v>
      </c>
      <c r="X1187" s="15">
        <v>1186</v>
      </c>
      <c r="Y1187" s="39">
        <v>0.48418998057527485</v>
      </c>
      <c r="Z1187" s="39">
        <v>0.48082346203696191</v>
      </c>
      <c r="AA1187" s="39">
        <v>0.48570370834816806</v>
      </c>
      <c r="AB1187" s="39">
        <v>0.48487156147644828</v>
      </c>
      <c r="AC1187" s="39">
        <v>0.47417245466404589</v>
      </c>
      <c r="AD1187" s="39">
        <v>0.47540742349266052</v>
      </c>
      <c r="AE1187" s="39">
        <v>0.47590619665539763</v>
      </c>
      <c r="AF1187" s="40">
        <v>0.48052307892525065</v>
      </c>
    </row>
    <row r="1188" spans="1:32">
      <c r="A1188" s="15">
        <v>1186</v>
      </c>
      <c r="B1188" s="16">
        <v>0</v>
      </c>
      <c r="C1188" s="20">
        <v>0.33</v>
      </c>
      <c r="D1188" s="20">
        <v>0.63091163433447761</v>
      </c>
      <c r="E1188" s="20">
        <v>0.21</v>
      </c>
      <c r="F1188" s="8" t="s">
        <v>436</v>
      </c>
      <c r="G1188" s="24">
        <v>0.68829120909100772</v>
      </c>
      <c r="H1188" s="24">
        <v>0.69227623950042849</v>
      </c>
      <c r="I1188" s="25">
        <v>0.70438320608362559</v>
      </c>
      <c r="L1188" s="15">
        <v>1186</v>
      </c>
      <c r="M1188" s="16">
        <v>1</v>
      </c>
      <c r="N1188" s="16">
        <v>0</v>
      </c>
      <c r="O1188" s="16">
        <v>7</v>
      </c>
      <c r="P1188" s="16">
        <v>194</v>
      </c>
      <c r="Q1188" s="29">
        <v>29</v>
      </c>
      <c r="R1188" s="20">
        <v>0.48229999999999995</v>
      </c>
      <c r="S1188" s="32">
        <v>13.986699999999999</v>
      </c>
      <c r="T1188" s="35">
        <v>1.42</v>
      </c>
      <c r="U1188" s="35">
        <v>1.03</v>
      </c>
      <c r="V1188" s="35">
        <v>4.8965517241379306E-2</v>
      </c>
      <c r="W1188" s="9" t="s">
        <v>153</v>
      </c>
      <c r="X1188" s="15">
        <v>1187</v>
      </c>
      <c r="Y1188" s="39">
        <v>0.4946755737102827</v>
      </c>
      <c r="Z1188" s="39">
        <v>0.49395204449650143</v>
      </c>
      <c r="AA1188" s="39">
        <v>0.48802847136856803</v>
      </c>
      <c r="AB1188" s="39">
        <v>0.49065056893544251</v>
      </c>
      <c r="AC1188" s="39">
        <v>0.48534939560420981</v>
      </c>
      <c r="AD1188" s="39">
        <v>0.48725305684712716</v>
      </c>
      <c r="AE1188" s="39">
        <v>0.47929627259622137</v>
      </c>
      <c r="AF1188" s="40">
        <v>0.48601843080702095</v>
      </c>
    </row>
    <row r="1189" spans="1:32">
      <c r="A1189" s="15">
        <v>1187</v>
      </c>
      <c r="B1189" s="16">
        <v>1</v>
      </c>
      <c r="C1189" s="20">
        <v>0.02</v>
      </c>
      <c r="D1189" s="20">
        <v>0.99835916395484214</v>
      </c>
      <c r="E1189" s="20">
        <v>1</v>
      </c>
      <c r="F1189" s="8" t="s">
        <v>436</v>
      </c>
      <c r="G1189" s="24">
        <v>1.0319370220925224</v>
      </c>
      <c r="H1189" s="24">
        <v>1.0379116740411893</v>
      </c>
      <c r="I1189" s="25">
        <v>1.056063332637756</v>
      </c>
      <c r="L1189" s="15">
        <v>1187</v>
      </c>
      <c r="M1189" s="16">
        <v>1</v>
      </c>
      <c r="N1189" s="16">
        <v>0</v>
      </c>
      <c r="O1189" s="16">
        <v>7</v>
      </c>
      <c r="P1189" s="16">
        <v>195</v>
      </c>
      <c r="Q1189" s="29">
        <v>47</v>
      </c>
      <c r="R1189" s="20">
        <v>0.48229999999999995</v>
      </c>
      <c r="S1189" s="32">
        <v>22.668099999999999</v>
      </c>
      <c r="T1189" s="35">
        <v>1.34</v>
      </c>
      <c r="U1189" s="35">
        <v>0.61</v>
      </c>
      <c r="V1189" s="35">
        <v>2.8510638297872343E-2</v>
      </c>
      <c r="W1189" s="9" t="s">
        <v>153</v>
      </c>
      <c r="X1189" s="15">
        <v>1188</v>
      </c>
      <c r="Y1189" s="39">
        <v>0.49740075804556177</v>
      </c>
      <c r="Z1189" s="39">
        <v>0.48952215341751454</v>
      </c>
      <c r="AA1189" s="39">
        <v>0.48223919919973857</v>
      </c>
      <c r="AB1189" s="39">
        <v>0.48398499556294589</v>
      </c>
      <c r="AC1189" s="39">
        <v>0.48960794034704413</v>
      </c>
      <c r="AD1189" s="39">
        <v>0.48168224211169025</v>
      </c>
      <c r="AE1189" s="39">
        <v>0.47810871334473931</v>
      </c>
      <c r="AF1189" s="40">
        <v>0.47998186080998873</v>
      </c>
    </row>
    <row r="1190" spans="1:32">
      <c r="A1190" s="15">
        <v>1188</v>
      </c>
      <c r="B1190" s="16">
        <v>0</v>
      </c>
      <c r="C1190" s="20">
        <v>0.02</v>
      </c>
      <c r="D1190" s="20">
        <v>0.99604261948721451</v>
      </c>
      <c r="E1190" s="20">
        <v>1</v>
      </c>
      <c r="F1190" s="8" t="s">
        <v>436</v>
      </c>
      <c r="G1190" s="24">
        <v>1.1110152099022224</v>
      </c>
      <c r="H1190" s="24">
        <v>1.1174477043730386</v>
      </c>
      <c r="I1190" s="25">
        <v>1.1369903395862271</v>
      </c>
      <c r="L1190" s="15">
        <v>1188</v>
      </c>
      <c r="M1190" s="16">
        <v>1</v>
      </c>
      <c r="N1190" s="16">
        <v>0</v>
      </c>
      <c r="O1190" s="16">
        <v>8</v>
      </c>
      <c r="P1190" s="16">
        <v>143</v>
      </c>
      <c r="Q1190" s="29">
        <v>53</v>
      </c>
      <c r="R1190" s="20">
        <v>0.48229999999999995</v>
      </c>
      <c r="S1190" s="32">
        <v>25.561899999999998</v>
      </c>
      <c r="T1190" s="35">
        <v>1.43</v>
      </c>
      <c r="U1190" s="35">
        <v>0.64</v>
      </c>
      <c r="V1190" s="35">
        <v>2.6981132075471696E-2</v>
      </c>
      <c r="W1190" s="9" t="s">
        <v>153</v>
      </c>
      <c r="X1190" s="15">
        <v>1189</v>
      </c>
      <c r="Y1190" s="39">
        <v>0.49145825602346616</v>
      </c>
      <c r="Z1190" s="39">
        <v>0.48711948129486909</v>
      </c>
      <c r="AA1190" s="39">
        <v>0.4862165096791578</v>
      </c>
      <c r="AB1190" s="39">
        <v>0.48552085118600452</v>
      </c>
      <c r="AC1190" s="39">
        <v>0.48557477327849435</v>
      </c>
      <c r="AD1190" s="39">
        <v>0.47685800226288538</v>
      </c>
      <c r="AE1190" s="39">
        <v>0.47807531683984722</v>
      </c>
      <c r="AF1190" s="40">
        <v>0.47956930289868688</v>
      </c>
    </row>
    <row r="1191" spans="1:32">
      <c r="A1191" s="15">
        <v>1189</v>
      </c>
      <c r="B1191" s="16">
        <v>1</v>
      </c>
      <c r="C1191" s="20">
        <v>0.01</v>
      </c>
      <c r="D1191" s="20">
        <v>0.99999999999999978</v>
      </c>
      <c r="E1191" s="20">
        <v>1</v>
      </c>
      <c r="F1191" s="8" t="s">
        <v>436</v>
      </c>
      <c r="G1191" s="24">
        <v>0.95895989347548283</v>
      </c>
      <c r="H1191" s="24">
        <v>0.9645120264773871</v>
      </c>
      <c r="I1191" s="25">
        <v>0.98138002541677027</v>
      </c>
      <c r="L1191" s="15">
        <v>1189</v>
      </c>
      <c r="M1191" s="16">
        <v>1</v>
      </c>
      <c r="N1191" s="16">
        <v>0</v>
      </c>
      <c r="O1191" s="16">
        <v>8</v>
      </c>
      <c r="P1191" s="16">
        <v>144</v>
      </c>
      <c r="Q1191" s="29">
        <v>45</v>
      </c>
      <c r="R1191" s="20">
        <v>0.48229999999999995</v>
      </c>
      <c r="S1191" s="32">
        <v>21.703499999999998</v>
      </c>
      <c r="T1191" s="35">
        <v>2.31</v>
      </c>
      <c r="U1191" s="35">
        <v>1.74</v>
      </c>
      <c r="V1191" s="35">
        <v>5.1333333333333335E-2</v>
      </c>
      <c r="W1191" s="9" t="s">
        <v>154</v>
      </c>
      <c r="X1191" s="15">
        <v>1190</v>
      </c>
      <c r="Y1191" s="39">
        <v>0.48315066028947756</v>
      </c>
      <c r="Z1191" s="39">
        <v>0.4785180336533062</v>
      </c>
      <c r="AA1191" s="39">
        <v>0.47959417689867173</v>
      </c>
      <c r="AB1191" s="39">
        <v>0.485893595584658</v>
      </c>
      <c r="AC1191" s="39">
        <v>0.47777940817491177</v>
      </c>
      <c r="AD1191" s="39">
        <v>0.47454676985238081</v>
      </c>
      <c r="AE1191" s="39">
        <v>0.47470707161197129</v>
      </c>
      <c r="AF1191" s="40">
        <v>0.48505123127860278</v>
      </c>
    </row>
    <row r="1192" spans="1:32">
      <c r="A1192" s="15">
        <v>1190</v>
      </c>
      <c r="B1192" s="16">
        <v>1</v>
      </c>
      <c r="C1192" s="20">
        <v>0.02</v>
      </c>
      <c r="D1192" s="20">
        <v>0.99679477127711513</v>
      </c>
      <c r="E1192" s="20">
        <v>1</v>
      </c>
      <c r="F1192" s="8" t="s">
        <v>436</v>
      </c>
      <c r="G1192" s="24">
        <v>1.1959962692849619</v>
      </c>
      <c r="H1192" s="24">
        <v>1.2029207823975858</v>
      </c>
      <c r="I1192" s="25">
        <v>1.2239582250884262</v>
      </c>
      <c r="L1192" s="15">
        <v>1190</v>
      </c>
      <c r="M1192" s="16">
        <v>1</v>
      </c>
      <c r="N1192" s="16">
        <v>0</v>
      </c>
      <c r="O1192" s="16">
        <v>8</v>
      </c>
      <c r="P1192" s="16">
        <v>145</v>
      </c>
      <c r="Q1192" s="29">
        <v>58</v>
      </c>
      <c r="R1192" s="20">
        <v>0.48229999999999995</v>
      </c>
      <c r="S1192" s="32">
        <v>27.973399999999998</v>
      </c>
      <c r="T1192" s="35">
        <v>2.44</v>
      </c>
      <c r="U1192" s="35">
        <v>1.62</v>
      </c>
      <c r="V1192" s="35">
        <v>4.2068965517241382E-2</v>
      </c>
      <c r="W1192" s="9" t="s">
        <v>154</v>
      </c>
      <c r="X1192" s="15">
        <v>1191</v>
      </c>
      <c r="Y1192" s="39">
        <v>0.49461627218719012</v>
      </c>
      <c r="Z1192" s="39">
        <v>0.47588131882115109</v>
      </c>
      <c r="AA1192" s="39">
        <v>0.48687359489779286</v>
      </c>
      <c r="AB1192" s="39">
        <v>0.48981822354722937</v>
      </c>
      <c r="AC1192" s="39">
        <v>0.48419166723291868</v>
      </c>
      <c r="AD1192" s="39">
        <v>0.47094194639708353</v>
      </c>
      <c r="AE1192" s="39">
        <v>0.47909088053638255</v>
      </c>
      <c r="AF1192" s="40">
        <v>0.48706223928595155</v>
      </c>
    </row>
    <row r="1193" spans="1:32">
      <c r="A1193" s="15">
        <v>1191</v>
      </c>
      <c r="B1193" s="16">
        <v>0</v>
      </c>
      <c r="C1193" s="20">
        <v>0.13</v>
      </c>
      <c r="D1193" s="20">
        <v>0.90473618302155623</v>
      </c>
      <c r="E1193" s="20">
        <v>0.06</v>
      </c>
      <c r="F1193" s="8" t="s">
        <v>436</v>
      </c>
      <c r="G1193" s="24">
        <v>0.75674894121374747</v>
      </c>
      <c r="H1193" s="24">
        <v>0.76113032441783701</v>
      </c>
      <c r="I1193" s="25">
        <v>0.77444145497149364</v>
      </c>
      <c r="L1193" s="15">
        <v>1191</v>
      </c>
      <c r="M1193" s="16">
        <v>1</v>
      </c>
      <c r="N1193" s="16">
        <v>0</v>
      </c>
      <c r="O1193" s="16">
        <v>8</v>
      </c>
      <c r="P1193" s="16">
        <v>146</v>
      </c>
      <c r="Q1193" s="29">
        <v>57</v>
      </c>
      <c r="R1193" s="20">
        <v>0.48229999999999995</v>
      </c>
      <c r="S1193" s="32">
        <v>27.491099999999996</v>
      </c>
      <c r="T1193" s="35">
        <v>3.4</v>
      </c>
      <c r="U1193" s="35">
        <v>2.4900000000000002</v>
      </c>
      <c r="V1193" s="35">
        <v>5.9649122807017542E-2</v>
      </c>
      <c r="W1193" s="9" t="s">
        <v>155</v>
      </c>
      <c r="X1193" s="15">
        <v>1192</v>
      </c>
      <c r="Y1193" s="39">
        <v>0.48006221462457987</v>
      </c>
      <c r="Z1193" s="39">
        <v>0.49699262326411753</v>
      </c>
      <c r="AA1193" s="39">
        <v>0.48325607769100826</v>
      </c>
      <c r="AB1193" s="39">
        <v>0.49384899263472137</v>
      </c>
      <c r="AC1193" s="39">
        <v>0.47493318626740061</v>
      </c>
      <c r="AD1193" s="39">
        <v>0.48636161779241677</v>
      </c>
      <c r="AE1193" s="39">
        <v>0.47511948296799289</v>
      </c>
      <c r="AF1193" s="40">
        <v>0.48733536738427324</v>
      </c>
    </row>
    <row r="1194" spans="1:32">
      <c r="A1194" s="15">
        <v>1192</v>
      </c>
      <c r="B1194" s="16">
        <v>0</v>
      </c>
      <c r="C1194" s="20">
        <v>0.48</v>
      </c>
      <c r="D1194" s="20">
        <v>0.47111217233675318</v>
      </c>
      <c r="E1194" s="20">
        <v>0.09</v>
      </c>
      <c r="F1194" s="8" t="s">
        <v>436</v>
      </c>
      <c r="G1194" s="24">
        <v>1.1647783402067822</v>
      </c>
      <c r="H1194" s="24">
        <v>1.1715221094786414</v>
      </c>
      <c r="I1194" s="25">
        <v>1.1920104322342653</v>
      </c>
      <c r="L1194" s="15">
        <v>1192</v>
      </c>
      <c r="M1194" s="16">
        <v>1</v>
      </c>
      <c r="N1194" s="16">
        <v>0</v>
      </c>
      <c r="O1194" s="16">
        <v>8</v>
      </c>
      <c r="P1194" s="16">
        <v>147</v>
      </c>
      <c r="Q1194" s="29">
        <v>44</v>
      </c>
      <c r="R1194" s="20">
        <v>0.48229999999999995</v>
      </c>
      <c r="S1194" s="32">
        <v>21.221199999999996</v>
      </c>
      <c r="T1194" s="35">
        <v>2.48</v>
      </c>
      <c r="U1194" s="35">
        <v>1.86</v>
      </c>
      <c r="V1194" s="35">
        <v>5.6363636363636366E-2</v>
      </c>
      <c r="W1194" s="9" t="s">
        <v>154</v>
      </c>
      <c r="X1194" s="15">
        <v>1193</v>
      </c>
      <c r="Y1194" s="39">
        <v>0.47962242057555621</v>
      </c>
      <c r="Z1194" s="39">
        <v>0.50158370388674411</v>
      </c>
      <c r="AA1194" s="39">
        <v>0.4760657941097946</v>
      </c>
      <c r="AB1194" s="39">
        <v>0.5002524211554652</v>
      </c>
      <c r="AC1194" s="39">
        <v>0.47229877395899222</v>
      </c>
      <c r="AD1194" s="39">
        <v>0.4931775245529566</v>
      </c>
      <c r="AE1194" s="39">
        <v>0.47025308107941366</v>
      </c>
      <c r="AF1194" s="40">
        <v>0.49588190707775098</v>
      </c>
    </row>
    <row r="1195" spans="1:32">
      <c r="A1195" s="15">
        <v>1193</v>
      </c>
      <c r="B1195" s="16">
        <v>0</v>
      </c>
      <c r="C1195" s="20">
        <v>0.61</v>
      </c>
      <c r="D1195" s="20">
        <v>0.44862667555480751</v>
      </c>
      <c r="E1195" s="20">
        <v>0.08</v>
      </c>
      <c r="F1195" s="8" t="s">
        <v>438</v>
      </c>
      <c r="G1195" s="24">
        <v>0.61717193454146768</v>
      </c>
      <c r="H1195" s="24">
        <v>0.62074520250494625</v>
      </c>
      <c r="I1195" s="25">
        <v>0.63160118887944705</v>
      </c>
      <c r="L1195" s="15">
        <v>1193</v>
      </c>
      <c r="M1195" s="16">
        <v>1</v>
      </c>
      <c r="N1195" s="16">
        <v>0</v>
      </c>
      <c r="O1195" s="16">
        <v>8</v>
      </c>
      <c r="P1195" s="16">
        <v>148</v>
      </c>
      <c r="Q1195" s="29">
        <v>41</v>
      </c>
      <c r="R1195" s="20">
        <v>0.48229999999999995</v>
      </c>
      <c r="S1195" s="32">
        <v>19.774299999999997</v>
      </c>
      <c r="T1195" s="35">
        <v>1.31</v>
      </c>
      <c r="U1195" s="35">
        <v>0.77</v>
      </c>
      <c r="V1195" s="35">
        <v>3.1951219512195123E-2</v>
      </c>
      <c r="W1195" s="9" t="s">
        <v>153</v>
      </c>
      <c r="X1195" s="15">
        <v>1194</v>
      </c>
      <c r="Y1195" s="39">
        <v>0.48994397966890729</v>
      </c>
      <c r="Z1195" s="39">
        <v>0.46698509626049539</v>
      </c>
      <c r="AA1195" s="39">
        <v>0.48297414837782454</v>
      </c>
      <c r="AB1195" s="39">
        <v>0.48030091021638044</v>
      </c>
      <c r="AC1195" s="39">
        <v>0.48360475497411981</v>
      </c>
      <c r="AD1195" s="39">
        <v>0.46099656931873473</v>
      </c>
      <c r="AE1195" s="39">
        <v>0.47584171667951292</v>
      </c>
      <c r="AF1195" s="40">
        <v>0.47556890818511133</v>
      </c>
    </row>
    <row r="1196" spans="1:32">
      <c r="A1196" s="15">
        <v>1194</v>
      </c>
      <c r="B1196" s="16">
        <v>1</v>
      </c>
      <c r="C1196" s="20">
        <v>0.14000000000000001</v>
      </c>
      <c r="D1196" s="20">
        <v>0.88123819298488515</v>
      </c>
      <c r="E1196" s="20">
        <v>0.08</v>
      </c>
      <c r="F1196" s="8" t="s">
        <v>436</v>
      </c>
      <c r="G1196" s="24">
        <v>0.81213056868230282</v>
      </c>
      <c r="H1196" s="24">
        <v>0.81683259737288183</v>
      </c>
      <c r="I1196" s="25">
        <v>0.83111788465588321</v>
      </c>
      <c r="L1196" s="15">
        <v>1194</v>
      </c>
      <c r="M1196" s="16">
        <v>1</v>
      </c>
      <c r="N1196" s="16">
        <v>0</v>
      </c>
      <c r="O1196" s="16">
        <v>8</v>
      </c>
      <c r="P1196" s="16">
        <v>149</v>
      </c>
      <c r="Q1196" s="29">
        <v>49</v>
      </c>
      <c r="R1196" s="20">
        <v>0.48229999999999995</v>
      </c>
      <c r="S1196" s="32">
        <v>23.632699999999996</v>
      </c>
      <c r="T1196" s="35">
        <v>2.0699999999999998</v>
      </c>
      <c r="U1196" s="35">
        <v>1.35</v>
      </c>
      <c r="V1196" s="35">
        <v>4.2244897959183673E-2</v>
      </c>
      <c r="W1196" s="9" t="s">
        <v>154</v>
      </c>
      <c r="X1196" s="15">
        <v>1195</v>
      </c>
      <c r="Y1196" s="39">
        <v>0.50474584301265779</v>
      </c>
      <c r="Z1196" s="39">
        <v>0.48162479863956148</v>
      </c>
      <c r="AA1196" s="39">
        <v>0.48405389878415717</v>
      </c>
      <c r="AB1196" s="39">
        <v>0.4895082133982166</v>
      </c>
      <c r="AC1196" s="39">
        <v>0.49949319757258115</v>
      </c>
      <c r="AD1196" s="39">
        <v>0.47721910517836119</v>
      </c>
      <c r="AE1196" s="39">
        <v>0.4767647098068975</v>
      </c>
      <c r="AF1196" s="40">
        <v>0.48688476958552518</v>
      </c>
    </row>
    <row r="1197" spans="1:32">
      <c r="A1197" s="15">
        <v>1195</v>
      </c>
      <c r="B1197" s="16">
        <v>1</v>
      </c>
      <c r="C1197" s="20">
        <v>0.28999999999999998</v>
      </c>
      <c r="D1197" s="20">
        <v>0.73166286215995135</v>
      </c>
      <c r="E1197" s="20">
        <v>0.04</v>
      </c>
      <c r="F1197" s="8" t="s">
        <v>436</v>
      </c>
      <c r="G1197" s="24">
        <v>1.3331287570173382</v>
      </c>
      <c r="H1197" s="24">
        <v>1.3408472322298919</v>
      </c>
      <c r="I1197" s="25">
        <v>1.3642968202808905</v>
      </c>
      <c r="L1197" s="15">
        <v>1195</v>
      </c>
      <c r="M1197" s="16">
        <v>1</v>
      </c>
      <c r="N1197" s="16">
        <v>0</v>
      </c>
      <c r="O1197" s="16">
        <v>8</v>
      </c>
      <c r="P1197" s="16">
        <v>150</v>
      </c>
      <c r="Q1197" s="29">
        <v>55</v>
      </c>
      <c r="R1197" s="20">
        <v>0.48229999999999995</v>
      </c>
      <c r="S1197" s="32">
        <v>26.526499999999999</v>
      </c>
      <c r="T1197" s="35">
        <v>1.56</v>
      </c>
      <c r="U1197" s="35">
        <v>0.78</v>
      </c>
      <c r="V1197" s="35">
        <v>2.8363636363636365E-2</v>
      </c>
      <c r="W1197" s="9" t="s">
        <v>153</v>
      </c>
      <c r="X1197" s="15">
        <v>1196</v>
      </c>
      <c r="Y1197" s="39">
        <v>0.49220717396162245</v>
      </c>
      <c r="Z1197" s="39">
        <v>0.49532424205359266</v>
      </c>
      <c r="AA1197" s="39">
        <v>0.47019143424261806</v>
      </c>
      <c r="AB1197" s="39">
        <v>0.48520070309031033</v>
      </c>
      <c r="AC1197" s="39">
        <v>0.48456905955615276</v>
      </c>
      <c r="AD1197" s="39">
        <v>0.49054617519788762</v>
      </c>
      <c r="AE1197" s="39">
        <v>0.46427006472112825</v>
      </c>
      <c r="AF1197" s="40">
        <v>0.47832708276457536</v>
      </c>
    </row>
    <row r="1198" spans="1:32">
      <c r="A1198" s="15">
        <v>1196</v>
      </c>
      <c r="B1198" s="16">
        <v>0</v>
      </c>
      <c r="C1198" s="20">
        <v>0.11</v>
      </c>
      <c r="D1198" s="20">
        <v>0.92381233152544195</v>
      </c>
      <c r="E1198" s="20">
        <v>0.09</v>
      </c>
      <c r="F1198" s="8" t="s">
        <v>436</v>
      </c>
      <c r="G1198" s="24">
        <v>0.88574735714361619</v>
      </c>
      <c r="H1198" s="24">
        <v>0.89087560824817846</v>
      </c>
      <c r="I1198" s="25">
        <v>0.90645580673459403</v>
      </c>
      <c r="L1198" s="15">
        <v>1196</v>
      </c>
      <c r="M1198" s="16">
        <v>1</v>
      </c>
      <c r="N1198" s="16">
        <v>0</v>
      </c>
      <c r="O1198" s="16">
        <v>8</v>
      </c>
      <c r="P1198" s="16">
        <v>151</v>
      </c>
      <c r="Q1198" s="29">
        <v>61</v>
      </c>
      <c r="R1198" s="20">
        <v>0.48229999999999995</v>
      </c>
      <c r="S1198" s="32">
        <v>29.420299999999997</v>
      </c>
      <c r="T1198" s="35">
        <v>1.1400000000000001</v>
      </c>
      <c r="U1198" s="35">
        <v>0.28000000000000003</v>
      </c>
      <c r="V1198" s="35">
        <v>1.8688524590163937E-2</v>
      </c>
      <c r="W1198" s="9" t="s">
        <v>153</v>
      </c>
      <c r="X1198" s="15">
        <v>1197</v>
      </c>
      <c r="Y1198" s="39">
        <v>0.47912827557254545</v>
      </c>
      <c r="Z1198" s="39">
        <v>0.5018496105010013</v>
      </c>
      <c r="AA1198" s="39">
        <v>0.47687403796489947</v>
      </c>
      <c r="AB1198" s="39">
        <v>0.48647645471173351</v>
      </c>
      <c r="AC1198" s="39">
        <v>0.47367633250832392</v>
      </c>
      <c r="AD1198" s="39">
        <v>0.49349979936697785</v>
      </c>
      <c r="AE1198" s="39">
        <v>0.46917317416224696</v>
      </c>
      <c r="AF1198" s="40">
        <v>0.48441075072943662</v>
      </c>
    </row>
    <row r="1199" spans="1:32">
      <c r="A1199" s="15">
        <v>1197</v>
      </c>
      <c r="B1199" s="16">
        <v>1</v>
      </c>
      <c r="C1199" s="20">
        <v>0.34</v>
      </c>
      <c r="D1199" s="20">
        <v>0.60587764059246108</v>
      </c>
      <c r="E1199" s="20">
        <v>0.08</v>
      </c>
      <c r="F1199" s="8" t="s">
        <v>436</v>
      </c>
      <c r="G1199" s="24">
        <v>0.62623640083729115</v>
      </c>
      <c r="H1199" s="24">
        <v>0.62986214974685317</v>
      </c>
      <c r="I1199" s="25">
        <v>0.64087757908544907</v>
      </c>
      <c r="L1199" s="15">
        <v>1197</v>
      </c>
      <c r="M1199" s="16">
        <v>1</v>
      </c>
      <c r="N1199" s="16">
        <v>0</v>
      </c>
      <c r="O1199" s="16">
        <v>8</v>
      </c>
      <c r="P1199" s="16">
        <v>152</v>
      </c>
      <c r="Q1199" s="29">
        <v>55</v>
      </c>
      <c r="R1199" s="20">
        <v>0.48229999999999995</v>
      </c>
      <c r="S1199" s="32">
        <v>26.526499999999999</v>
      </c>
      <c r="T1199" s="35">
        <v>1.73</v>
      </c>
      <c r="U1199" s="35">
        <v>1.03</v>
      </c>
      <c r="V1199" s="35">
        <v>3.1454545454545457E-2</v>
      </c>
      <c r="W1199" s="9" t="s">
        <v>153</v>
      </c>
      <c r="X1199" s="15">
        <v>1198</v>
      </c>
      <c r="Y1199" s="39">
        <v>0.48719288359081669</v>
      </c>
      <c r="Z1199" s="39">
        <v>0.47983870855799687</v>
      </c>
      <c r="AA1199" s="39">
        <v>0.46477113361729339</v>
      </c>
      <c r="AB1199" s="39">
        <v>0.48227295052809704</v>
      </c>
      <c r="AC1199" s="39">
        <v>0.47961213972345884</v>
      </c>
      <c r="AD1199" s="39">
        <v>0.47071914627290962</v>
      </c>
      <c r="AE1199" s="39">
        <v>0.45808473433435276</v>
      </c>
      <c r="AF1199" s="40">
        <v>0.47970038437508589</v>
      </c>
    </row>
    <row r="1200" spans="1:32">
      <c r="A1200" s="15">
        <v>1198</v>
      </c>
      <c r="B1200" s="16">
        <v>0</v>
      </c>
      <c r="C1200" s="20">
        <v>0.02</v>
      </c>
      <c r="D1200" s="20">
        <v>0.99531127541355291</v>
      </c>
      <c r="E1200" s="20">
        <v>1</v>
      </c>
      <c r="F1200" s="8" t="s">
        <v>436</v>
      </c>
      <c r="G1200" s="24">
        <v>1.1564363863569587</v>
      </c>
      <c r="H1200" s="24">
        <v>1.1631318578453702</v>
      </c>
      <c r="I1200" s="25">
        <v>1.1834734465512717</v>
      </c>
      <c r="L1200" s="15">
        <v>1198</v>
      </c>
      <c r="M1200" s="16">
        <v>1</v>
      </c>
      <c r="N1200" s="16">
        <v>0</v>
      </c>
      <c r="O1200" s="16">
        <v>9</v>
      </c>
      <c r="P1200" s="16">
        <v>153</v>
      </c>
      <c r="Q1200" s="29">
        <v>54</v>
      </c>
      <c r="R1200" s="20">
        <v>0.48229999999999995</v>
      </c>
      <c r="S1200" s="32">
        <v>26.044199999999996</v>
      </c>
      <c r="T1200" s="35">
        <v>1.72</v>
      </c>
      <c r="U1200" s="35">
        <v>0.82</v>
      </c>
      <c r="V1200" s="35">
        <v>3.1851851851851853E-2</v>
      </c>
      <c r="W1200" s="9" t="s">
        <v>153</v>
      </c>
      <c r="X1200" s="15">
        <v>1199</v>
      </c>
      <c r="Y1200" s="39">
        <v>0.48487076428077153</v>
      </c>
      <c r="Z1200" s="39">
        <v>0.49457077085186629</v>
      </c>
      <c r="AA1200" s="39">
        <v>0.47080238701098004</v>
      </c>
      <c r="AB1200" s="39">
        <v>0.50226258874880936</v>
      </c>
      <c r="AC1200" s="39">
        <v>0.47894033130813957</v>
      </c>
      <c r="AD1200" s="39">
        <v>0.48870640606742294</v>
      </c>
      <c r="AE1200" s="39">
        <v>0.46094060927829184</v>
      </c>
      <c r="AF1200" s="40">
        <v>0.49828742269796311</v>
      </c>
    </row>
    <row r="1201" spans="1:32">
      <c r="A1201" s="15">
        <v>1199</v>
      </c>
      <c r="B1201" s="16">
        <v>1</v>
      </c>
      <c r="C1201" s="20">
        <v>0.02</v>
      </c>
      <c r="D1201" s="20">
        <v>0.99835916395484214</v>
      </c>
      <c r="E1201" s="20">
        <v>1</v>
      </c>
      <c r="F1201" s="8" t="s">
        <v>436</v>
      </c>
      <c r="G1201" s="24">
        <v>1.0475982217563649</v>
      </c>
      <c r="H1201" s="24">
        <v>1.0536635480534531</v>
      </c>
      <c r="I1201" s="25">
        <v>1.072090685427721</v>
      </c>
      <c r="L1201" s="15">
        <v>1199</v>
      </c>
      <c r="M1201" s="16">
        <v>1</v>
      </c>
      <c r="N1201" s="16">
        <v>0</v>
      </c>
      <c r="O1201" s="16">
        <v>9</v>
      </c>
      <c r="P1201" s="16">
        <v>154</v>
      </c>
      <c r="Q1201" s="29">
        <v>59</v>
      </c>
      <c r="R1201" s="20">
        <v>0.48229999999999995</v>
      </c>
      <c r="S1201" s="32">
        <v>28.455699999999997</v>
      </c>
      <c r="T1201" s="35">
        <v>1.77</v>
      </c>
      <c r="U1201" s="35">
        <v>0.98</v>
      </c>
      <c r="V1201" s="35">
        <v>0.03</v>
      </c>
      <c r="W1201" s="9" t="s">
        <v>153</v>
      </c>
      <c r="X1201" s="15">
        <v>1200</v>
      </c>
      <c r="Y1201" s="39">
        <v>0.49658486289103859</v>
      </c>
      <c r="Z1201" s="39">
        <v>0.49569054930499412</v>
      </c>
      <c r="AA1201" s="39">
        <v>0.50144923228196958</v>
      </c>
      <c r="AB1201" s="39">
        <v>0.49463817092140822</v>
      </c>
      <c r="AC1201" s="39">
        <v>0.49054806417641855</v>
      </c>
      <c r="AD1201" s="39">
        <v>0.49002310859560694</v>
      </c>
      <c r="AE1201" s="39">
        <v>0.49683833407391459</v>
      </c>
      <c r="AF1201" s="40">
        <v>0.49060595726337458</v>
      </c>
    </row>
    <row r="1202" spans="1:32">
      <c r="A1202" s="15">
        <v>1200</v>
      </c>
      <c r="B1202" s="16">
        <v>1</v>
      </c>
      <c r="C1202" s="20">
        <v>0.22</v>
      </c>
      <c r="D1202" s="20">
        <v>0.79247005208210186</v>
      </c>
      <c r="E1202" s="20">
        <v>7.0000000000000007E-2</v>
      </c>
      <c r="F1202" s="8" t="s">
        <v>436</v>
      </c>
      <c r="G1202" s="24">
        <v>0.81369048776416952</v>
      </c>
      <c r="H1202" s="24">
        <v>0.81840154798805209</v>
      </c>
      <c r="I1202" s="25">
        <v>0.83271427407594778</v>
      </c>
      <c r="L1202" s="15">
        <v>1200</v>
      </c>
      <c r="M1202" s="16">
        <v>1</v>
      </c>
      <c r="N1202" s="16">
        <v>0</v>
      </c>
      <c r="O1202" s="16">
        <v>9</v>
      </c>
      <c r="P1202" s="16">
        <v>155</v>
      </c>
      <c r="Q1202" s="29">
        <v>53</v>
      </c>
      <c r="R1202" s="20">
        <v>0.48229999999999995</v>
      </c>
      <c r="S1202" s="32">
        <v>25.561899999999998</v>
      </c>
      <c r="T1202" s="35">
        <v>3.81</v>
      </c>
      <c r="U1202" s="35">
        <v>3.07</v>
      </c>
      <c r="V1202" s="35">
        <v>7.1886792452830195E-2</v>
      </c>
      <c r="W1202" s="9" t="s">
        <v>155</v>
      </c>
      <c r="X1202" s="15">
        <v>1201</v>
      </c>
      <c r="Y1202" s="39">
        <v>0.47828936615566031</v>
      </c>
      <c r="Z1202" s="39">
        <v>0.49290414043207981</v>
      </c>
      <c r="AA1202" s="39">
        <v>0.49748220612186489</v>
      </c>
      <c r="AB1202" s="39">
        <v>0.49893950286813199</v>
      </c>
      <c r="AC1202" s="39">
        <v>0.47401262730429145</v>
      </c>
      <c r="AD1202" s="39">
        <v>0.48757031085946256</v>
      </c>
      <c r="AE1202" s="39">
        <v>0.4880676661966451</v>
      </c>
      <c r="AF1202" s="40">
        <v>0.49266690159715743</v>
      </c>
    </row>
    <row r="1203" spans="1:32">
      <c r="A1203" s="15">
        <v>1201</v>
      </c>
      <c r="B1203" s="16">
        <v>1</v>
      </c>
      <c r="C1203" s="20">
        <v>0.02</v>
      </c>
      <c r="D1203" s="20">
        <v>0.99835916395484214</v>
      </c>
      <c r="E1203" s="20">
        <v>1</v>
      </c>
      <c r="F1203" s="8" t="s">
        <v>436</v>
      </c>
      <c r="G1203" s="24">
        <v>1.05128964269224</v>
      </c>
      <c r="H1203" s="24">
        <v>1.0573763413742856</v>
      </c>
      <c r="I1203" s="25">
        <v>1.0758684104363694</v>
      </c>
      <c r="L1203" s="15">
        <v>1201</v>
      </c>
      <c r="M1203" s="16">
        <v>1</v>
      </c>
      <c r="N1203" s="16">
        <v>0</v>
      </c>
      <c r="O1203" s="16">
        <v>9</v>
      </c>
      <c r="P1203" s="16">
        <v>156</v>
      </c>
      <c r="Q1203" s="29">
        <v>53</v>
      </c>
      <c r="R1203" s="20">
        <v>0.48229999999999995</v>
      </c>
      <c r="S1203" s="32">
        <v>25.561899999999998</v>
      </c>
      <c r="T1203" s="35">
        <v>3.04</v>
      </c>
      <c r="U1203" s="35">
        <v>2.2200000000000002</v>
      </c>
      <c r="V1203" s="35">
        <v>5.7358490566037736E-2</v>
      </c>
      <c r="W1203" s="9" t="s">
        <v>155</v>
      </c>
      <c r="X1203" s="15">
        <v>1202</v>
      </c>
      <c r="Y1203" s="39">
        <v>0.49142878056892175</v>
      </c>
      <c r="Z1203" s="39">
        <v>0.48665024210855157</v>
      </c>
      <c r="AA1203" s="39">
        <v>0.49523896989464555</v>
      </c>
      <c r="AB1203" s="39">
        <v>0.48448039072132193</v>
      </c>
      <c r="AC1203" s="39">
        <v>0.48276458048920484</v>
      </c>
      <c r="AD1203" s="39">
        <v>0.48132714137570587</v>
      </c>
      <c r="AE1203" s="39">
        <v>0.4899984546346397</v>
      </c>
      <c r="AF1203" s="40">
        <v>0.4782230815916611</v>
      </c>
    </row>
    <row r="1204" spans="1:32">
      <c r="A1204" s="15">
        <v>1202</v>
      </c>
      <c r="B1204" s="16">
        <v>0</v>
      </c>
      <c r="C1204" s="20">
        <v>0.02</v>
      </c>
      <c r="D1204" s="20">
        <v>0.99679477127711513</v>
      </c>
      <c r="E1204" s="20">
        <v>1</v>
      </c>
      <c r="F1204" s="8" t="s">
        <v>436</v>
      </c>
      <c r="G1204" s="24">
        <v>1.1531087745341684</v>
      </c>
      <c r="H1204" s="24">
        <v>1.1597849799995226</v>
      </c>
      <c r="I1204" s="25">
        <v>1.1800680363798497</v>
      </c>
      <c r="L1204" s="15">
        <v>1202</v>
      </c>
      <c r="M1204" s="16">
        <v>1</v>
      </c>
      <c r="N1204" s="16">
        <v>0</v>
      </c>
      <c r="O1204" s="16">
        <v>9</v>
      </c>
      <c r="P1204" s="16">
        <v>157</v>
      </c>
      <c r="Q1204" s="29">
        <v>48</v>
      </c>
      <c r="R1204" s="20">
        <v>0.48229999999999995</v>
      </c>
      <c r="S1204" s="32">
        <v>23.150399999999998</v>
      </c>
      <c r="T1204" s="35">
        <v>1.47</v>
      </c>
      <c r="U1204" s="35">
        <v>0.85</v>
      </c>
      <c r="V1204" s="35">
        <v>3.0624999999999999E-2</v>
      </c>
      <c r="W1204" s="9" t="s">
        <v>153</v>
      </c>
      <c r="X1204" s="15">
        <v>1203</v>
      </c>
      <c r="Y1204" s="39">
        <v>0.48278003202408265</v>
      </c>
      <c r="Z1204" s="39">
        <v>0.49610136583395126</v>
      </c>
      <c r="AA1204" s="39">
        <v>0.48938612502916884</v>
      </c>
      <c r="AB1204" s="39">
        <v>0.48435727807886769</v>
      </c>
      <c r="AC1204" s="39">
        <v>0.47534037377966709</v>
      </c>
      <c r="AD1204" s="39">
        <v>0.48807892913419682</v>
      </c>
      <c r="AE1204" s="39">
        <v>0.48617404272064896</v>
      </c>
      <c r="AF1204" s="40">
        <v>0.48028127290929534</v>
      </c>
    </row>
    <row r="1205" spans="1:32">
      <c r="A1205" s="15">
        <v>1203</v>
      </c>
      <c r="B1205" s="16">
        <v>1</v>
      </c>
      <c r="C1205" s="20">
        <v>0.12</v>
      </c>
      <c r="D1205" s="20">
        <v>0.93748318826583665</v>
      </c>
      <c r="E1205" s="20">
        <v>0.06</v>
      </c>
      <c r="F1205" s="8" t="s">
        <v>436</v>
      </c>
      <c r="G1205" s="24">
        <v>0.85707559316551885</v>
      </c>
      <c r="H1205" s="24">
        <v>0.86203784207531919</v>
      </c>
      <c r="I1205" s="25">
        <v>0.87711370739028172</v>
      </c>
      <c r="L1205" s="15">
        <v>1203</v>
      </c>
      <c r="M1205" s="16">
        <v>1</v>
      </c>
      <c r="N1205" s="16">
        <v>0</v>
      </c>
      <c r="O1205" s="16">
        <v>9</v>
      </c>
      <c r="P1205" s="16">
        <v>158</v>
      </c>
      <c r="Q1205" s="29">
        <v>53</v>
      </c>
      <c r="R1205" s="20">
        <v>0.48229999999999995</v>
      </c>
      <c r="S1205" s="32">
        <v>25.561899999999998</v>
      </c>
      <c r="T1205" s="35">
        <v>1.36</v>
      </c>
      <c r="U1205" s="35">
        <v>0.59</v>
      </c>
      <c r="V1205" s="35">
        <v>2.5660377358490569E-2</v>
      </c>
      <c r="W1205" s="9" t="s">
        <v>153</v>
      </c>
      <c r="X1205" s="15">
        <v>1204</v>
      </c>
      <c r="Y1205" s="39">
        <v>0.48765553583264526</v>
      </c>
      <c r="Z1205" s="39">
        <v>0.480852484133861</v>
      </c>
      <c r="AA1205" s="39">
        <v>0.49205458281906722</v>
      </c>
      <c r="AB1205" s="39">
        <v>0.48805054219731314</v>
      </c>
      <c r="AC1205" s="39">
        <v>0.48310701295777569</v>
      </c>
      <c r="AD1205" s="39">
        <v>0.47299035579597426</v>
      </c>
      <c r="AE1205" s="39">
        <v>0.48633952247043127</v>
      </c>
      <c r="AF1205" s="40">
        <v>0.48419768645896316</v>
      </c>
    </row>
    <row r="1206" spans="1:32">
      <c r="A1206" s="15">
        <v>1204</v>
      </c>
      <c r="B1206" s="16">
        <v>0</v>
      </c>
      <c r="C1206" s="20">
        <v>0.02</v>
      </c>
      <c r="D1206" s="20">
        <v>0.99756714174924133</v>
      </c>
      <c r="E1206" s="20">
        <v>1</v>
      </c>
      <c r="F1206" s="8" t="s">
        <v>436</v>
      </c>
      <c r="G1206" s="24">
        <v>0.92087376368550478</v>
      </c>
      <c r="H1206" s="24">
        <v>0.92620538771768002</v>
      </c>
      <c r="I1206" s="25">
        <v>0.94240345582755347</v>
      </c>
      <c r="L1206" s="15">
        <v>1204</v>
      </c>
      <c r="M1206" s="16">
        <v>1</v>
      </c>
      <c r="N1206" s="16">
        <v>0</v>
      </c>
      <c r="O1206" s="16">
        <v>9</v>
      </c>
      <c r="P1206" s="16">
        <v>159</v>
      </c>
      <c r="Q1206" s="29">
        <v>61</v>
      </c>
      <c r="R1206" s="20">
        <v>0.48229999999999995</v>
      </c>
      <c r="S1206" s="32">
        <v>29.420299999999997</v>
      </c>
      <c r="T1206" s="35">
        <v>1.62</v>
      </c>
      <c r="U1206" s="35">
        <v>0.71</v>
      </c>
      <c r="V1206" s="35">
        <v>2.655737704918033E-2</v>
      </c>
      <c r="W1206" s="9" t="s">
        <v>153</v>
      </c>
      <c r="X1206" s="15">
        <v>1205</v>
      </c>
      <c r="Y1206" s="39">
        <v>0.49490323396532759</v>
      </c>
      <c r="Z1206" s="39">
        <v>0.48730205350538913</v>
      </c>
      <c r="AA1206" s="39">
        <v>0.47759871269872839</v>
      </c>
      <c r="AB1206" s="39">
        <v>0.47799934334518906</v>
      </c>
      <c r="AC1206" s="39">
        <v>0.48807144883710785</v>
      </c>
      <c r="AD1206" s="39">
        <v>0.48136571230233904</v>
      </c>
      <c r="AE1206" s="39">
        <v>0.46992989307366201</v>
      </c>
      <c r="AF1206" s="40">
        <v>0.47050259114646792</v>
      </c>
    </row>
    <row r="1207" spans="1:32">
      <c r="A1207" s="15">
        <v>1205</v>
      </c>
      <c r="B1207" s="16">
        <v>0</v>
      </c>
      <c r="C1207" s="20">
        <v>0.02</v>
      </c>
      <c r="D1207" s="20">
        <v>0.99835916395484214</v>
      </c>
      <c r="E1207" s="20">
        <v>1</v>
      </c>
      <c r="F1207" s="8" t="s">
        <v>436</v>
      </c>
      <c r="G1207" s="24">
        <v>0.96172909807203322</v>
      </c>
      <c r="H1207" s="24">
        <v>0.96729726406169236</v>
      </c>
      <c r="I1207" s="25">
        <v>0.98421397300502389</v>
      </c>
      <c r="L1207" s="15">
        <v>1205</v>
      </c>
      <c r="M1207" s="16">
        <v>1</v>
      </c>
      <c r="N1207" s="16">
        <v>0</v>
      </c>
      <c r="O1207" s="16">
        <v>9</v>
      </c>
      <c r="P1207" s="16">
        <v>160</v>
      </c>
      <c r="Q1207" s="29">
        <v>53</v>
      </c>
      <c r="R1207" s="20">
        <v>0.48229999999999995</v>
      </c>
      <c r="S1207" s="32">
        <v>25.561899999999998</v>
      </c>
      <c r="T1207" s="35">
        <v>1.73</v>
      </c>
      <c r="U1207" s="35">
        <v>0.88</v>
      </c>
      <c r="V1207" s="35">
        <v>3.2641509433962261E-2</v>
      </c>
      <c r="W1207" s="9" t="s">
        <v>153</v>
      </c>
      <c r="X1207" s="15">
        <v>1206</v>
      </c>
      <c r="Y1207" s="39">
        <v>0.47751042240565233</v>
      </c>
      <c r="Z1207" s="39">
        <v>0.47714608676601766</v>
      </c>
      <c r="AA1207" s="39">
        <v>0.47667778297642238</v>
      </c>
      <c r="AB1207" s="39">
        <v>0.48642988018050265</v>
      </c>
      <c r="AC1207" s="39">
        <v>0.47221658771165548</v>
      </c>
      <c r="AD1207" s="39">
        <v>0.47325921623424755</v>
      </c>
      <c r="AE1207" s="39">
        <v>0.46840871135506268</v>
      </c>
      <c r="AF1207" s="40">
        <v>0.48222551410000614</v>
      </c>
    </row>
    <row r="1208" spans="1:32">
      <c r="A1208" s="15">
        <v>1206</v>
      </c>
      <c r="B1208" s="16">
        <v>0</v>
      </c>
      <c r="C1208" s="20">
        <v>0.49</v>
      </c>
      <c r="D1208" s="20">
        <v>0.62357963678183803</v>
      </c>
      <c r="E1208" s="20">
        <v>0.04</v>
      </c>
      <c r="F1208" s="8" t="s">
        <v>436</v>
      </c>
      <c r="G1208" s="24">
        <v>1.0079064168980649</v>
      </c>
      <c r="H1208" s="24">
        <v>1.0137419377766383</v>
      </c>
      <c r="I1208" s="25">
        <v>1.0314709006737386</v>
      </c>
      <c r="L1208" s="15">
        <v>1206</v>
      </c>
      <c r="M1208" s="16">
        <v>1</v>
      </c>
      <c r="N1208" s="16">
        <v>0</v>
      </c>
      <c r="O1208" s="16">
        <v>9</v>
      </c>
      <c r="P1208" s="16">
        <v>161</v>
      </c>
      <c r="Q1208" s="29">
        <v>53</v>
      </c>
      <c r="R1208" s="20">
        <v>0.48229999999999995</v>
      </c>
      <c r="S1208" s="32">
        <v>25.561899999999998</v>
      </c>
      <c r="T1208" s="35">
        <v>1.62</v>
      </c>
      <c r="U1208" s="35">
        <v>0.87</v>
      </c>
      <c r="V1208" s="35">
        <v>3.056603773584906E-2</v>
      </c>
      <c r="W1208" s="9" t="s">
        <v>153</v>
      </c>
      <c r="X1208" s="15">
        <v>1207</v>
      </c>
      <c r="Y1208" s="39">
        <v>0.48566321478409052</v>
      </c>
      <c r="Z1208" s="39">
        <v>0.49041795438430508</v>
      </c>
      <c r="AA1208" s="39">
        <v>0.48192820687293136</v>
      </c>
      <c r="AB1208" s="39">
        <v>0.50038481978217886</v>
      </c>
      <c r="AC1208" s="39">
        <v>0.4790232836049268</v>
      </c>
      <c r="AD1208" s="39">
        <v>0.481411396507055</v>
      </c>
      <c r="AE1208" s="39">
        <v>0.47305030421510469</v>
      </c>
      <c r="AF1208" s="40">
        <v>0.49748130898251208</v>
      </c>
    </row>
    <row r="1209" spans="1:32">
      <c r="A1209" s="15">
        <v>1207</v>
      </c>
      <c r="B1209" s="16">
        <v>1</v>
      </c>
      <c r="C1209" s="20">
        <v>0.93</v>
      </c>
      <c r="D1209" s="20">
        <v>0.18747949848141848</v>
      </c>
      <c r="E1209" s="20">
        <v>7.0000000000000007E-2</v>
      </c>
      <c r="F1209" s="8" t="s">
        <v>434</v>
      </c>
      <c r="G1209" s="24">
        <v>0.61519953654741155</v>
      </c>
      <c r="H1209" s="24">
        <v>0.61876138482997312</v>
      </c>
      <c r="I1209" s="25">
        <v>0.62958267694093051</v>
      </c>
      <c r="L1209" s="15">
        <v>1207</v>
      </c>
      <c r="M1209" s="16">
        <v>1</v>
      </c>
      <c r="N1209" s="16">
        <v>0</v>
      </c>
      <c r="O1209" s="16">
        <v>9</v>
      </c>
      <c r="P1209" s="16">
        <v>162</v>
      </c>
      <c r="Q1209" s="29">
        <v>59</v>
      </c>
      <c r="R1209" s="20">
        <v>0.48229999999999995</v>
      </c>
      <c r="S1209" s="32">
        <v>28.455699999999997</v>
      </c>
      <c r="T1209" s="35">
        <v>3.66</v>
      </c>
      <c r="U1209" s="35">
        <v>2.8</v>
      </c>
      <c r="V1209" s="35">
        <v>6.2033898305084746E-2</v>
      </c>
      <c r="W1209" s="9" t="s">
        <v>155</v>
      </c>
      <c r="X1209" s="15">
        <v>1208</v>
      </c>
      <c r="Y1209" s="39">
        <v>0.49003609250937413</v>
      </c>
      <c r="Z1209" s="39">
        <v>0.4802252124091328</v>
      </c>
      <c r="AA1209" s="39">
        <v>0.49530242861697288</v>
      </c>
      <c r="AB1209" s="39">
        <v>0.48227350360868182</v>
      </c>
      <c r="AC1209" s="39">
        <v>0.48318110743351833</v>
      </c>
      <c r="AD1209" s="39">
        <v>0.47246218877902751</v>
      </c>
      <c r="AE1209" s="39">
        <v>0.48528623099940299</v>
      </c>
      <c r="AF1209" s="40">
        <v>0.47736602844570297</v>
      </c>
    </row>
    <row r="1210" spans="1:32">
      <c r="A1210" s="15">
        <v>1208</v>
      </c>
      <c r="B1210" s="16">
        <v>0</v>
      </c>
      <c r="C1210" s="20">
        <v>0.14000000000000001</v>
      </c>
      <c r="D1210" s="20">
        <v>0.85465304913262674</v>
      </c>
      <c r="E1210" s="20">
        <v>0.1</v>
      </c>
      <c r="F1210" s="8" t="s">
        <v>436</v>
      </c>
      <c r="G1210" s="24">
        <v>1.0995042799482628</v>
      </c>
      <c r="H1210" s="24">
        <v>1.1058701290728923</v>
      </c>
      <c r="I1210" s="25">
        <v>1.1252102882956083</v>
      </c>
      <c r="L1210" s="15">
        <v>1208</v>
      </c>
      <c r="M1210" s="16">
        <v>1</v>
      </c>
      <c r="N1210" s="16">
        <v>0</v>
      </c>
      <c r="O1210" s="16">
        <v>9</v>
      </c>
      <c r="P1210" s="16">
        <v>163</v>
      </c>
      <c r="Q1210" s="29">
        <v>66</v>
      </c>
      <c r="R1210" s="20">
        <v>0.48229999999999995</v>
      </c>
      <c r="S1210" s="32">
        <v>31.831799999999998</v>
      </c>
      <c r="T1210" s="35">
        <v>1.95</v>
      </c>
      <c r="U1210" s="35">
        <v>0.88</v>
      </c>
      <c r="V1210" s="35">
        <v>2.9545454545454545E-2</v>
      </c>
      <c r="W1210" s="9" t="s">
        <v>153</v>
      </c>
      <c r="X1210" s="15">
        <v>1209</v>
      </c>
      <c r="Y1210" s="39">
        <v>0.48509354806920585</v>
      </c>
      <c r="Z1210" s="39">
        <v>0.49429181136937272</v>
      </c>
      <c r="AA1210" s="39">
        <v>0.4832504596365389</v>
      </c>
      <c r="AB1210" s="39">
        <v>0.49922063800797306</v>
      </c>
      <c r="AC1210" s="39">
        <v>0.47743099509475018</v>
      </c>
      <c r="AD1210" s="39">
        <v>0.48775336066134078</v>
      </c>
      <c r="AE1210" s="39">
        <v>0.47459930507691095</v>
      </c>
      <c r="AF1210" s="40">
        <v>0.49501181177545195</v>
      </c>
    </row>
    <row r="1211" spans="1:32">
      <c r="A1211" s="15">
        <v>1209</v>
      </c>
      <c r="B1211" s="16">
        <v>0</v>
      </c>
      <c r="C1211" s="20">
        <v>0.08</v>
      </c>
      <c r="D1211" s="20">
        <v>0.94116974016353661</v>
      </c>
      <c r="E1211" s="20">
        <v>0.4</v>
      </c>
      <c r="F1211" s="8" t="s">
        <v>436</v>
      </c>
      <c r="G1211" s="24">
        <v>1.2686682015426967</v>
      </c>
      <c r="H1211" s="24">
        <v>1.2760134665930662</v>
      </c>
      <c r="I1211" s="25">
        <v>1.2983292005707341</v>
      </c>
      <c r="L1211" s="15">
        <v>1209</v>
      </c>
      <c r="M1211" s="16">
        <v>1</v>
      </c>
      <c r="N1211" s="16">
        <v>0</v>
      </c>
      <c r="O1211" s="16">
        <v>9</v>
      </c>
      <c r="P1211" s="16">
        <v>164</v>
      </c>
      <c r="Q1211" s="29">
        <v>59</v>
      </c>
      <c r="R1211" s="20">
        <v>0.48229999999999995</v>
      </c>
      <c r="S1211" s="32">
        <v>28.455699999999997</v>
      </c>
      <c r="T1211" s="35">
        <v>2.0700000000000003</v>
      </c>
      <c r="U1211" s="35">
        <v>1.1599999999999999</v>
      </c>
      <c r="V1211" s="35">
        <v>3.5084745762711866E-2</v>
      </c>
      <c r="W1211" s="9" t="s">
        <v>154</v>
      </c>
      <c r="X1211" s="15">
        <v>1210</v>
      </c>
      <c r="Y1211" s="39">
        <v>0.49494035021758231</v>
      </c>
      <c r="Z1211" s="39">
        <v>0.49694049531873236</v>
      </c>
      <c r="AA1211" s="39">
        <v>0.47895388654988408</v>
      </c>
      <c r="AB1211" s="39">
        <v>0.48575068241698915</v>
      </c>
      <c r="AC1211" s="39">
        <v>0.48769076067828726</v>
      </c>
      <c r="AD1211" s="39">
        <v>0.48838824043442264</v>
      </c>
      <c r="AE1211" s="39">
        <v>0.47216734478803435</v>
      </c>
      <c r="AF1211" s="40">
        <v>0.478915548819978</v>
      </c>
    </row>
    <row r="1212" spans="1:32">
      <c r="A1212" s="15">
        <v>1210</v>
      </c>
      <c r="B1212" s="16">
        <v>0</v>
      </c>
      <c r="C1212" s="20">
        <v>0.87</v>
      </c>
      <c r="D1212" s="20">
        <v>0.27276032039195819</v>
      </c>
      <c r="E1212" s="20">
        <v>0.13</v>
      </c>
      <c r="F1212" s="8" t="s">
        <v>434</v>
      </c>
      <c r="G1212" s="24">
        <v>0.48530986806961035</v>
      </c>
      <c r="H1212" s="24">
        <v>0.48811968832694519</v>
      </c>
      <c r="I1212" s="25">
        <v>0.49665623547095739</v>
      </c>
      <c r="L1212" s="15">
        <v>1210</v>
      </c>
      <c r="M1212" s="16">
        <v>1</v>
      </c>
      <c r="N1212" s="16">
        <v>0</v>
      </c>
      <c r="O1212" s="16">
        <v>9</v>
      </c>
      <c r="P1212" s="16">
        <v>165</v>
      </c>
      <c r="Q1212" s="29">
        <v>60</v>
      </c>
      <c r="R1212" s="20">
        <v>0.48229999999999995</v>
      </c>
      <c r="S1212" s="32">
        <v>28.937999999999995</v>
      </c>
      <c r="T1212" s="35">
        <v>2.0299999999999998</v>
      </c>
      <c r="U1212" s="35">
        <v>1.08</v>
      </c>
      <c r="V1212" s="35">
        <v>3.3833333333333333E-2</v>
      </c>
      <c r="W1212" s="9" t="s">
        <v>154</v>
      </c>
      <c r="X1212" s="15">
        <v>1211</v>
      </c>
      <c r="Y1212" s="39">
        <v>0.49076656830053417</v>
      </c>
      <c r="Z1212" s="39">
        <v>0.48676737502339829</v>
      </c>
      <c r="AA1212" s="39">
        <v>0.48745104496034547</v>
      </c>
      <c r="AB1212" s="39">
        <v>0.50226971897566286</v>
      </c>
      <c r="AC1212" s="39">
        <v>0.48498027298289076</v>
      </c>
      <c r="AD1212" s="39">
        <v>0.47907572637617035</v>
      </c>
      <c r="AE1212" s="39">
        <v>0.48200886858107689</v>
      </c>
      <c r="AF1212" s="40">
        <v>0.49741588953508076</v>
      </c>
    </row>
    <row r="1213" spans="1:32">
      <c r="A1213" s="15">
        <v>1211</v>
      </c>
      <c r="B1213" s="16">
        <v>1</v>
      </c>
      <c r="C1213" s="20">
        <v>0.28999999999999998</v>
      </c>
      <c r="D1213" s="20">
        <v>0.79341400713741816</v>
      </c>
      <c r="E1213" s="20">
        <v>0.11</v>
      </c>
      <c r="F1213" s="8" t="s">
        <v>436</v>
      </c>
      <c r="G1213" s="24">
        <v>1.4077516964653354</v>
      </c>
      <c r="H1213" s="24">
        <v>1.4159022194492579</v>
      </c>
      <c r="I1213" s="25">
        <v>1.4406644167887437</v>
      </c>
      <c r="L1213" s="15">
        <v>1211</v>
      </c>
      <c r="M1213" s="16">
        <v>1</v>
      </c>
      <c r="N1213" s="16">
        <v>0</v>
      </c>
      <c r="O1213" s="16">
        <v>9</v>
      </c>
      <c r="P1213" s="16">
        <v>166</v>
      </c>
      <c r="Q1213" s="29">
        <v>47</v>
      </c>
      <c r="R1213" s="20">
        <v>0.48229999999999995</v>
      </c>
      <c r="S1213" s="32">
        <v>22.668099999999999</v>
      </c>
      <c r="T1213" s="35">
        <v>1.56</v>
      </c>
      <c r="U1213" s="35">
        <v>0.95</v>
      </c>
      <c r="V1213" s="35">
        <v>3.3191489361702131E-2</v>
      </c>
      <c r="W1213" s="9" t="s">
        <v>153</v>
      </c>
      <c r="X1213" s="15">
        <v>1212</v>
      </c>
      <c r="Y1213" s="39">
        <v>0.47289620130881166</v>
      </c>
      <c r="Z1213" s="39">
        <v>0.50236155386135661</v>
      </c>
      <c r="AA1213" s="39">
        <v>0.4848621340684241</v>
      </c>
      <c r="AB1213" s="39">
        <v>0.49645479506358303</v>
      </c>
      <c r="AC1213" s="39">
        <v>0.46601356457767829</v>
      </c>
      <c r="AD1213" s="39">
        <v>0.49388587205913315</v>
      </c>
      <c r="AE1213" s="39">
        <v>0.47848991570319982</v>
      </c>
      <c r="AF1213" s="40">
        <v>0.48952328530174843</v>
      </c>
    </row>
    <row r="1214" spans="1:32">
      <c r="A1214" s="15">
        <v>1212</v>
      </c>
      <c r="B1214" s="16">
        <v>1</v>
      </c>
      <c r="C1214" s="20">
        <v>0.27</v>
      </c>
      <c r="D1214" s="20">
        <v>0.78470885008898195</v>
      </c>
      <c r="E1214" s="20">
        <v>0.48</v>
      </c>
      <c r="F1214" s="8" t="s">
        <v>436</v>
      </c>
      <c r="G1214" s="24">
        <v>1.1320662538922208</v>
      </c>
      <c r="H1214" s="24">
        <v>1.1386206285343108</v>
      </c>
      <c r="I1214" s="25">
        <v>1.1585335492934454</v>
      </c>
      <c r="L1214" s="15">
        <v>1212</v>
      </c>
      <c r="M1214" s="16">
        <v>1</v>
      </c>
      <c r="N1214" s="16">
        <v>0</v>
      </c>
      <c r="O1214" s="16">
        <v>9</v>
      </c>
      <c r="P1214" s="16">
        <v>167</v>
      </c>
      <c r="Q1214" s="29">
        <v>50</v>
      </c>
      <c r="R1214" s="20">
        <v>0.48229999999999995</v>
      </c>
      <c r="S1214" s="32">
        <v>24.114999999999998</v>
      </c>
      <c r="T1214" s="35">
        <v>1.88</v>
      </c>
      <c r="U1214" s="35">
        <v>1.3</v>
      </c>
      <c r="V1214" s="35">
        <v>3.7599999999999995E-2</v>
      </c>
      <c r="W1214" s="9" t="s">
        <v>153</v>
      </c>
      <c r="X1214" s="15">
        <v>1213</v>
      </c>
      <c r="Y1214" s="39">
        <v>0.48108241888337427</v>
      </c>
      <c r="Z1214" s="39">
        <v>0.48481506168627575</v>
      </c>
      <c r="AA1214" s="39">
        <v>0.48968765993736357</v>
      </c>
      <c r="AB1214" s="39">
        <v>0.49095435277756622</v>
      </c>
      <c r="AC1214" s="39">
        <v>0.47296894252371297</v>
      </c>
      <c r="AD1214" s="39">
        <v>0.47930619046965844</v>
      </c>
      <c r="AE1214" s="39">
        <v>0.48413717367904352</v>
      </c>
      <c r="AF1214" s="40">
        <v>0.48530768759775117</v>
      </c>
    </row>
    <row r="1215" spans="1:32">
      <c r="A1215" s="15">
        <v>1213</v>
      </c>
      <c r="B1215" s="16">
        <v>1</v>
      </c>
      <c r="C1215" s="20">
        <v>0.02</v>
      </c>
      <c r="D1215" s="20">
        <v>0.99679477127711513</v>
      </c>
      <c r="E1215" s="20">
        <v>1</v>
      </c>
      <c r="F1215" s="8" t="s">
        <v>436</v>
      </c>
      <c r="G1215" s="24">
        <v>1.0321923022237676</v>
      </c>
      <c r="H1215" s="24">
        <v>1.0381684321792324</v>
      </c>
      <c r="I1215" s="25">
        <v>1.0563245811251998</v>
      </c>
      <c r="L1215" s="15">
        <v>1213</v>
      </c>
      <c r="M1215" s="16">
        <v>1</v>
      </c>
      <c r="N1215" s="16">
        <v>0</v>
      </c>
      <c r="O1215" s="16">
        <v>9</v>
      </c>
      <c r="P1215" s="16">
        <v>168</v>
      </c>
      <c r="Q1215" s="29">
        <v>53</v>
      </c>
      <c r="R1215" s="20">
        <v>0.48229999999999995</v>
      </c>
      <c r="S1215" s="32">
        <v>25.561899999999998</v>
      </c>
      <c r="T1215" s="35">
        <v>1.4000000000000001</v>
      </c>
      <c r="U1215" s="35">
        <v>0.71</v>
      </c>
      <c r="V1215" s="35">
        <v>2.6415094339622643E-2</v>
      </c>
      <c r="W1215" s="9" t="s">
        <v>153</v>
      </c>
      <c r="X1215" s="15">
        <v>1214</v>
      </c>
      <c r="Y1215" s="39">
        <v>0.49703510687563324</v>
      </c>
      <c r="Z1215" s="39">
        <v>0.47294730718357342</v>
      </c>
      <c r="AA1215" s="39">
        <v>0.46781032051469007</v>
      </c>
      <c r="AB1215" s="39">
        <v>0.48923558485086732</v>
      </c>
      <c r="AC1215" s="39">
        <v>0.48962653434669112</v>
      </c>
      <c r="AD1215" s="39">
        <v>0.46605828822334061</v>
      </c>
      <c r="AE1215" s="39">
        <v>0.46393277107584163</v>
      </c>
      <c r="AF1215" s="40">
        <v>0.48512648538827202</v>
      </c>
    </row>
    <row r="1216" spans="1:32">
      <c r="A1216" s="15">
        <v>1214</v>
      </c>
      <c r="B1216" s="16">
        <v>0</v>
      </c>
      <c r="C1216" s="20">
        <v>0.5</v>
      </c>
      <c r="D1216" s="20">
        <v>0.46875029586487232</v>
      </c>
      <c r="E1216" s="20">
        <v>0.08</v>
      </c>
      <c r="F1216" s="8" t="s">
        <v>438</v>
      </c>
      <c r="G1216" s="24">
        <v>0.70781390911684738</v>
      </c>
      <c r="H1216" s="24">
        <v>0.71191197097611003</v>
      </c>
      <c r="I1216" s="25">
        <v>0.72436233970320318</v>
      </c>
      <c r="L1216" s="15">
        <v>1214</v>
      </c>
      <c r="M1216" s="16">
        <v>1</v>
      </c>
      <c r="N1216" s="16">
        <v>0</v>
      </c>
      <c r="O1216" s="16">
        <v>9</v>
      </c>
      <c r="P1216" s="16">
        <v>169</v>
      </c>
      <c r="Q1216" s="29">
        <v>67</v>
      </c>
      <c r="R1216" s="20">
        <v>0.48229999999999995</v>
      </c>
      <c r="S1216" s="32">
        <v>32.314099999999996</v>
      </c>
      <c r="T1216" s="35">
        <v>1.51</v>
      </c>
      <c r="U1216" s="35">
        <v>0.53</v>
      </c>
      <c r="V1216" s="35">
        <v>2.2537313432835823E-2</v>
      </c>
      <c r="W1216" s="9" t="s">
        <v>153</v>
      </c>
      <c r="X1216" s="15">
        <v>1215</v>
      </c>
      <c r="Y1216" s="39">
        <v>0.47754821178529666</v>
      </c>
      <c r="Z1216" s="39">
        <v>0.48749292597630861</v>
      </c>
      <c r="AA1216" s="39">
        <v>0.48443448277781803</v>
      </c>
      <c r="AB1216" s="39">
        <v>0.49878555140011582</v>
      </c>
      <c r="AC1216" s="39">
        <v>0.46974027014608222</v>
      </c>
      <c r="AD1216" s="39">
        <v>0.48183696663529202</v>
      </c>
      <c r="AE1216" s="39">
        <v>0.47740220281240647</v>
      </c>
      <c r="AF1216" s="40">
        <v>0.49334995919399038</v>
      </c>
    </row>
    <row r="1217" spans="1:32">
      <c r="A1217" s="15">
        <v>1215</v>
      </c>
      <c r="B1217" s="16">
        <v>0</v>
      </c>
      <c r="C1217" s="20">
        <v>0.12</v>
      </c>
      <c r="D1217" s="20">
        <v>0.91600516537290222</v>
      </c>
      <c r="E1217" s="20">
        <v>0.05</v>
      </c>
      <c r="F1217" s="8" t="s">
        <v>436</v>
      </c>
      <c r="G1217" s="24">
        <v>1.2182697968670846</v>
      </c>
      <c r="H1217" s="24">
        <v>1.225323268018933</v>
      </c>
      <c r="I1217" s="25">
        <v>1.246752499607503</v>
      </c>
      <c r="L1217" s="15">
        <v>1215</v>
      </c>
      <c r="M1217" s="16">
        <v>1</v>
      </c>
      <c r="N1217" s="16">
        <v>0</v>
      </c>
      <c r="O1217" s="16">
        <v>9</v>
      </c>
      <c r="P1217" s="16">
        <v>170</v>
      </c>
      <c r="Q1217" s="29">
        <v>45</v>
      </c>
      <c r="R1217" s="20">
        <v>0.48229999999999995</v>
      </c>
      <c r="S1217" s="32">
        <v>21.703499999999998</v>
      </c>
      <c r="T1217" s="35">
        <v>1.78</v>
      </c>
      <c r="U1217" s="35">
        <v>1.17</v>
      </c>
      <c r="V1217" s="35">
        <v>3.9555555555555559E-2</v>
      </c>
      <c r="W1217" s="9" t="s">
        <v>153</v>
      </c>
      <c r="X1217" s="15">
        <v>1216</v>
      </c>
      <c r="Y1217" s="39">
        <v>0.48844033158214351</v>
      </c>
      <c r="Z1217" s="39">
        <v>0.48336850890770194</v>
      </c>
      <c r="AA1217" s="39">
        <v>0.49490439208482151</v>
      </c>
      <c r="AB1217" s="39">
        <v>0.48745098673521375</v>
      </c>
      <c r="AC1217" s="39">
        <v>0.48398908856083195</v>
      </c>
      <c r="AD1217" s="39">
        <v>0.47784658919509304</v>
      </c>
      <c r="AE1217" s="39">
        <v>0.49013272436200733</v>
      </c>
      <c r="AF1217" s="40">
        <v>0.48216699967264282</v>
      </c>
    </row>
    <row r="1218" spans="1:32">
      <c r="A1218" s="15">
        <v>1216</v>
      </c>
      <c r="B1218" s="16">
        <v>1</v>
      </c>
      <c r="C1218" s="20">
        <v>0.42</v>
      </c>
      <c r="D1218" s="20">
        <v>0.64842429157920356</v>
      </c>
      <c r="E1218" s="20">
        <v>0.08</v>
      </c>
      <c r="F1218" s="8" t="s">
        <v>436</v>
      </c>
      <c r="G1218" s="24">
        <v>0.75146705362239141</v>
      </c>
      <c r="H1218" s="24">
        <v>0.75581785604556628</v>
      </c>
      <c r="I1218" s="25">
        <v>0.76903607877805635</v>
      </c>
      <c r="L1218" s="15">
        <v>1216</v>
      </c>
      <c r="M1218" s="16">
        <v>1</v>
      </c>
      <c r="N1218" s="16">
        <v>0</v>
      </c>
      <c r="O1218" s="16">
        <v>9</v>
      </c>
      <c r="P1218" s="16">
        <v>171</v>
      </c>
      <c r="Q1218" s="29">
        <v>57</v>
      </c>
      <c r="R1218" s="20">
        <v>0.48229999999999995</v>
      </c>
      <c r="S1218" s="32">
        <v>27.491099999999996</v>
      </c>
      <c r="T1218" s="35">
        <v>1.83</v>
      </c>
      <c r="U1218" s="35">
        <v>0.87</v>
      </c>
      <c r="V1218" s="35">
        <v>3.2105263157894741E-2</v>
      </c>
      <c r="W1218" s="9" t="s">
        <v>153</v>
      </c>
      <c r="X1218" s="15">
        <v>1217</v>
      </c>
      <c r="Y1218" s="39">
        <v>0.48270699143673357</v>
      </c>
      <c r="Z1218" s="39">
        <v>0.48478453727755955</v>
      </c>
      <c r="AA1218" s="39">
        <v>0.47704786962486684</v>
      </c>
      <c r="AB1218" s="39">
        <v>0.48814113308075047</v>
      </c>
      <c r="AC1218" s="39">
        <v>0.47437125274260822</v>
      </c>
      <c r="AD1218" s="39">
        <v>0.47687308199060208</v>
      </c>
      <c r="AE1218" s="39">
        <v>0.46855023145539443</v>
      </c>
      <c r="AF1218" s="40">
        <v>0.4841807071382474</v>
      </c>
    </row>
    <row r="1219" spans="1:32">
      <c r="A1219" s="15">
        <v>1217</v>
      </c>
      <c r="B1219" s="16">
        <v>0</v>
      </c>
      <c r="C1219" s="20">
        <v>0.94</v>
      </c>
      <c r="D1219" s="20">
        <v>0.17188516685452584</v>
      </c>
      <c r="E1219" s="20">
        <v>0.06</v>
      </c>
      <c r="F1219" s="8" t="s">
        <v>434</v>
      </c>
      <c r="G1219" s="24">
        <v>0.49399843238214214</v>
      </c>
      <c r="H1219" s="24">
        <v>0.49685855720902883</v>
      </c>
      <c r="I1219" s="25">
        <v>0.50554793524263897</v>
      </c>
      <c r="L1219" s="15">
        <v>1217</v>
      </c>
      <c r="M1219" s="16">
        <v>1</v>
      </c>
      <c r="N1219" s="16">
        <v>0</v>
      </c>
      <c r="O1219" s="16">
        <v>9</v>
      </c>
      <c r="P1219" s="16">
        <v>172</v>
      </c>
      <c r="Q1219" s="29">
        <v>38</v>
      </c>
      <c r="R1219" s="20">
        <v>0.48229999999999995</v>
      </c>
      <c r="S1219" s="32">
        <v>18.327399999999997</v>
      </c>
      <c r="T1219" s="35">
        <v>1.77</v>
      </c>
      <c r="U1219" s="35">
        <v>1.17</v>
      </c>
      <c r="V1219" s="35">
        <v>4.6578947368421053E-2</v>
      </c>
      <c r="W1219" s="9" t="s">
        <v>153</v>
      </c>
      <c r="X1219" s="15">
        <v>1218</v>
      </c>
      <c r="Y1219" s="39">
        <v>0.48405200862741465</v>
      </c>
      <c r="Z1219" s="39">
        <v>0.49222676789044006</v>
      </c>
      <c r="AA1219" s="39">
        <v>0.48132966247398545</v>
      </c>
      <c r="AB1219" s="39">
        <v>0.48737842689666516</v>
      </c>
      <c r="AC1219" s="39">
        <v>0.47628462547190659</v>
      </c>
      <c r="AD1219" s="39">
        <v>0.48576209929926806</v>
      </c>
      <c r="AE1219" s="39">
        <v>0.4725668068167016</v>
      </c>
      <c r="AF1219" s="40">
        <v>0.48373952433293627</v>
      </c>
    </row>
    <row r="1220" spans="1:32">
      <c r="A1220" s="15">
        <v>1218</v>
      </c>
      <c r="B1220" s="16">
        <v>1</v>
      </c>
      <c r="C1220" s="20">
        <v>0.02</v>
      </c>
      <c r="D1220" s="20">
        <v>0.99679477127711513</v>
      </c>
      <c r="E1220" s="20">
        <v>1</v>
      </c>
      <c r="F1220" s="8" t="s">
        <v>436</v>
      </c>
      <c r="G1220" s="24">
        <v>0.99431819367395113</v>
      </c>
      <c r="H1220" s="24">
        <v>1.0000750422085474</v>
      </c>
      <c r="I1220" s="25">
        <v>1.017564989755275</v>
      </c>
      <c r="L1220" s="15">
        <v>1218</v>
      </c>
      <c r="M1220" s="16">
        <v>1</v>
      </c>
      <c r="N1220" s="16">
        <v>0</v>
      </c>
      <c r="O1220" s="16">
        <v>9</v>
      </c>
      <c r="P1220" s="16">
        <v>173</v>
      </c>
      <c r="Q1220" s="29">
        <v>45</v>
      </c>
      <c r="R1220" s="20">
        <v>0.48229999999999995</v>
      </c>
      <c r="S1220" s="32">
        <v>21.703499999999998</v>
      </c>
      <c r="T1220" s="35">
        <v>1.79</v>
      </c>
      <c r="U1220" s="35">
        <v>1.22</v>
      </c>
      <c r="V1220" s="35">
        <v>3.977777777777778E-2</v>
      </c>
      <c r="W1220" s="9" t="s">
        <v>153</v>
      </c>
      <c r="X1220" s="15">
        <v>1219</v>
      </c>
      <c r="Y1220" s="39">
        <v>0.47994657392792617</v>
      </c>
      <c r="Z1220" s="39">
        <v>0.50105365326669615</v>
      </c>
      <c r="AA1220" s="39">
        <v>0.48455816978937405</v>
      </c>
      <c r="AB1220" s="39">
        <v>0.4907075637097793</v>
      </c>
      <c r="AC1220" s="39">
        <v>0.47162548002816018</v>
      </c>
      <c r="AD1220" s="39">
        <v>0.49425396862389659</v>
      </c>
      <c r="AE1220" s="39">
        <v>0.47736337384186167</v>
      </c>
      <c r="AF1220" s="40">
        <v>0.4862022718089859</v>
      </c>
    </row>
    <row r="1221" spans="1:32">
      <c r="A1221" s="15">
        <v>1219</v>
      </c>
      <c r="B1221" s="16">
        <v>1</v>
      </c>
      <c r="C1221" s="20">
        <v>0.02</v>
      </c>
      <c r="D1221" s="20">
        <v>0.99460135128185911</v>
      </c>
      <c r="E1221" s="20">
        <v>1</v>
      </c>
      <c r="F1221" s="8" t="s">
        <v>436</v>
      </c>
      <c r="G1221" s="24">
        <v>0.99723838558710554</v>
      </c>
      <c r="H1221" s="24">
        <v>1.0030121412874793</v>
      </c>
      <c r="I1221" s="25">
        <v>1.0205534546884296</v>
      </c>
      <c r="L1221" s="15">
        <v>1219</v>
      </c>
      <c r="M1221" s="16">
        <v>1</v>
      </c>
      <c r="N1221" s="16">
        <v>0</v>
      </c>
      <c r="O1221" s="16">
        <v>9</v>
      </c>
      <c r="P1221" s="16">
        <v>174</v>
      </c>
      <c r="Q1221" s="29">
        <v>57</v>
      </c>
      <c r="R1221" s="20">
        <v>0.48229999999999995</v>
      </c>
      <c r="S1221" s="32">
        <v>27.491099999999996</v>
      </c>
      <c r="T1221" s="35">
        <v>2.34</v>
      </c>
      <c r="U1221" s="35">
        <v>1.38</v>
      </c>
      <c r="V1221" s="35">
        <v>4.1052631578947368E-2</v>
      </c>
      <c r="W1221" s="9" t="s">
        <v>154</v>
      </c>
      <c r="X1221" s="15">
        <v>1220</v>
      </c>
      <c r="Y1221" s="39">
        <v>0.48193626916741428</v>
      </c>
      <c r="Z1221" s="39">
        <v>0.48441844754728774</v>
      </c>
      <c r="AA1221" s="39">
        <v>0.47830525248751893</v>
      </c>
      <c r="AB1221" s="39">
        <v>0.47590513668694329</v>
      </c>
      <c r="AC1221" s="39">
        <v>0.47500886198133985</v>
      </c>
      <c r="AD1221" s="39">
        <v>0.47401496675999788</v>
      </c>
      <c r="AE1221" s="39">
        <v>0.47475886961334363</v>
      </c>
      <c r="AF1221" s="40">
        <v>0.47314283790434036</v>
      </c>
    </row>
    <row r="1222" spans="1:32">
      <c r="A1222" s="15">
        <v>1220</v>
      </c>
      <c r="B1222" s="16">
        <v>0</v>
      </c>
      <c r="C1222" s="20">
        <v>0.96</v>
      </c>
      <c r="D1222" s="20">
        <v>0.13880369068795359</v>
      </c>
      <c r="E1222" s="20">
        <v>0.04</v>
      </c>
      <c r="F1222" s="8" t="s">
        <v>434</v>
      </c>
      <c r="G1222" s="24">
        <v>0.58597358634384533</v>
      </c>
      <c r="H1222" s="24">
        <v>0.58936622383485948</v>
      </c>
      <c r="I1222" s="25">
        <v>0.59967343469967682</v>
      </c>
      <c r="L1222" s="15">
        <v>1220</v>
      </c>
      <c r="M1222" s="16">
        <v>1</v>
      </c>
      <c r="N1222" s="16">
        <v>0</v>
      </c>
      <c r="O1222" s="16">
        <v>9</v>
      </c>
      <c r="P1222" s="16">
        <v>175</v>
      </c>
      <c r="Q1222" s="29">
        <v>42</v>
      </c>
      <c r="R1222" s="20">
        <v>0.48229999999999995</v>
      </c>
      <c r="S1222" s="32">
        <v>20.256599999999999</v>
      </c>
      <c r="T1222" s="35">
        <v>1.47</v>
      </c>
      <c r="U1222" s="35">
        <v>0.7</v>
      </c>
      <c r="V1222" s="35">
        <v>3.4999999999999996E-2</v>
      </c>
      <c r="W1222" s="9" t="s">
        <v>153</v>
      </c>
      <c r="X1222" s="15">
        <v>1221</v>
      </c>
      <c r="Y1222" s="39">
        <v>0.49217368238093584</v>
      </c>
      <c r="Z1222" s="39">
        <v>0.4874590088767104</v>
      </c>
      <c r="AA1222" s="39">
        <v>0.49352808422130168</v>
      </c>
      <c r="AB1222" s="39">
        <v>0.49177597623090652</v>
      </c>
      <c r="AC1222" s="39">
        <v>0.48523905688933577</v>
      </c>
      <c r="AD1222" s="39">
        <v>0.47882231776776846</v>
      </c>
      <c r="AE1222" s="39">
        <v>0.48640418849964667</v>
      </c>
      <c r="AF1222" s="40">
        <v>0.49037026389885124</v>
      </c>
    </row>
    <row r="1223" spans="1:32">
      <c r="A1223" s="15">
        <v>1221</v>
      </c>
      <c r="B1223" s="16">
        <v>0</v>
      </c>
      <c r="C1223" s="20">
        <v>0.26</v>
      </c>
      <c r="D1223" s="20">
        <v>0.78607803579227609</v>
      </c>
      <c r="E1223" s="20">
        <v>0.06</v>
      </c>
      <c r="F1223" s="8" t="s">
        <v>436</v>
      </c>
      <c r="G1223" s="24">
        <v>1.0838548473113185</v>
      </c>
      <c r="H1223" s="24">
        <v>1.0901300902156088</v>
      </c>
      <c r="I1223" s="25">
        <v>1.109194977641331</v>
      </c>
      <c r="L1223" s="15">
        <v>1221</v>
      </c>
      <c r="M1223" s="16">
        <v>1</v>
      </c>
      <c r="N1223" s="16">
        <v>0</v>
      </c>
      <c r="O1223" s="16">
        <v>9</v>
      </c>
      <c r="P1223" s="16">
        <v>176</v>
      </c>
      <c r="Q1223" s="29">
        <v>58</v>
      </c>
      <c r="R1223" s="20">
        <v>0.48229999999999995</v>
      </c>
      <c r="S1223" s="32">
        <v>27.973399999999998</v>
      </c>
      <c r="T1223" s="35">
        <v>3.48</v>
      </c>
      <c r="U1223" s="35">
        <v>2.57</v>
      </c>
      <c r="V1223" s="35">
        <v>0.06</v>
      </c>
      <c r="W1223" s="9" t="s">
        <v>155</v>
      </c>
      <c r="X1223" s="15">
        <v>1222</v>
      </c>
      <c r="Y1223" s="39">
        <v>0.48459500508558984</v>
      </c>
      <c r="Z1223" s="39">
        <v>0.49292104105951295</v>
      </c>
      <c r="AA1223" s="39">
        <v>0.49321949357573724</v>
      </c>
      <c r="AB1223" s="39">
        <v>0.48590372376210911</v>
      </c>
      <c r="AC1223" s="39">
        <v>0.47402121058995716</v>
      </c>
      <c r="AD1223" s="39">
        <v>0.48455283035590674</v>
      </c>
      <c r="AE1223" s="39">
        <v>0.48419805664801563</v>
      </c>
      <c r="AF1223" s="40">
        <v>0.4838427461986104</v>
      </c>
    </row>
    <row r="1224" spans="1:32">
      <c r="A1224" s="15">
        <v>1222</v>
      </c>
      <c r="B1224" s="16">
        <v>1</v>
      </c>
      <c r="C1224" s="20">
        <v>0.15</v>
      </c>
      <c r="D1224" s="20">
        <v>0.92554029682761563</v>
      </c>
      <c r="E1224" s="20">
        <v>0.06</v>
      </c>
      <c r="F1224" s="8" t="s">
        <v>436</v>
      </c>
      <c r="G1224" s="24">
        <v>1.2071667877851413</v>
      </c>
      <c r="H1224" s="24">
        <v>1.2141559753485272</v>
      </c>
      <c r="I1224" s="25">
        <v>1.2353899062298492</v>
      </c>
      <c r="L1224" s="15">
        <v>1222</v>
      </c>
      <c r="M1224" s="16">
        <v>1</v>
      </c>
      <c r="N1224" s="16">
        <v>0</v>
      </c>
      <c r="O1224" s="16">
        <v>9</v>
      </c>
      <c r="P1224" s="16">
        <v>177</v>
      </c>
      <c r="Q1224" s="29">
        <v>50</v>
      </c>
      <c r="R1224" s="20">
        <v>0.48229999999999995</v>
      </c>
      <c r="S1224" s="32">
        <v>24.114999999999998</v>
      </c>
      <c r="T1224" s="35">
        <v>1.4100000000000001</v>
      </c>
      <c r="U1224" s="35">
        <v>0.61</v>
      </c>
      <c r="V1224" s="35">
        <v>2.8200000000000003E-2</v>
      </c>
      <c r="W1224" s="9" t="s">
        <v>153</v>
      </c>
      <c r="X1224" s="15">
        <v>1223</v>
      </c>
      <c r="Y1224" s="39">
        <v>0.48472743786149469</v>
      </c>
      <c r="Z1224" s="39">
        <v>0.48497616819522937</v>
      </c>
      <c r="AA1224" s="39">
        <v>0.48696841454093892</v>
      </c>
      <c r="AB1224" s="39">
        <v>0.48750132998484441</v>
      </c>
      <c r="AC1224" s="39">
        <v>0.47732474930730201</v>
      </c>
      <c r="AD1224" s="39">
        <v>0.47800403869845748</v>
      </c>
      <c r="AE1224" s="39">
        <v>0.48215549950970871</v>
      </c>
      <c r="AF1224" s="40">
        <v>0.47917504043433518</v>
      </c>
    </row>
    <row r="1225" spans="1:32">
      <c r="A1225" s="15">
        <v>1223</v>
      </c>
      <c r="B1225" s="16">
        <v>1</v>
      </c>
      <c r="C1225" s="20">
        <v>0.13</v>
      </c>
      <c r="D1225" s="20">
        <v>0.88470097442479967</v>
      </c>
      <c r="E1225" s="20">
        <v>0.15</v>
      </c>
      <c r="F1225" s="8" t="s">
        <v>436</v>
      </c>
      <c r="G1225" s="24">
        <v>1.1330739865953057</v>
      </c>
      <c r="H1225" s="24">
        <v>1.1396341957525156</v>
      </c>
      <c r="I1225" s="25">
        <v>1.1595648424189406</v>
      </c>
      <c r="L1225" s="15">
        <v>1223</v>
      </c>
      <c r="M1225" s="16">
        <v>1</v>
      </c>
      <c r="N1225" s="16">
        <v>0</v>
      </c>
      <c r="O1225" s="16">
        <v>10</v>
      </c>
      <c r="P1225" s="16">
        <v>178</v>
      </c>
      <c r="Q1225" s="29">
        <v>50</v>
      </c>
      <c r="R1225" s="20">
        <v>0.48229999999999995</v>
      </c>
      <c r="S1225" s="32">
        <v>24.114999999999998</v>
      </c>
      <c r="T1225" s="35">
        <v>1.2</v>
      </c>
      <c r="U1225" s="35">
        <v>0.38</v>
      </c>
      <c r="V1225" s="35">
        <v>2.4E-2</v>
      </c>
      <c r="W1225" s="9" t="s">
        <v>153</v>
      </c>
      <c r="X1225" s="15">
        <v>1224</v>
      </c>
      <c r="Y1225" s="39">
        <v>0.47480196303920968</v>
      </c>
      <c r="Z1225" s="39">
        <v>0.49144808514040184</v>
      </c>
      <c r="AA1225" s="39">
        <v>0.4928104850057603</v>
      </c>
      <c r="AB1225" s="39">
        <v>0.49186998318801045</v>
      </c>
      <c r="AC1225" s="39">
        <v>0.46652843148308376</v>
      </c>
      <c r="AD1225" s="39">
        <v>0.48949573959525855</v>
      </c>
      <c r="AE1225" s="39">
        <v>0.48247351965487167</v>
      </c>
      <c r="AF1225" s="40">
        <v>0.48946091605973591</v>
      </c>
    </row>
    <row r="1226" spans="1:32">
      <c r="A1226" s="15">
        <v>1224</v>
      </c>
      <c r="B1226" s="16">
        <v>0</v>
      </c>
      <c r="C1226" s="20">
        <v>0.03</v>
      </c>
      <c r="D1226" s="20">
        <v>0.9948936026028764</v>
      </c>
      <c r="E1226" s="20">
        <v>1</v>
      </c>
      <c r="F1226" s="8" t="s">
        <v>436</v>
      </c>
      <c r="G1226" s="24">
        <v>0.92776146928793246</v>
      </c>
      <c r="H1226" s="24">
        <v>0.93313297137741003</v>
      </c>
      <c r="I1226" s="25">
        <v>0.94945219347045529</v>
      </c>
      <c r="L1226" s="15">
        <v>1224</v>
      </c>
      <c r="M1226" s="16">
        <v>1</v>
      </c>
      <c r="N1226" s="16">
        <v>0</v>
      </c>
      <c r="O1226" s="16">
        <v>10</v>
      </c>
      <c r="P1226" s="16">
        <v>179</v>
      </c>
      <c r="Q1226" s="29">
        <v>43</v>
      </c>
      <c r="R1226" s="20">
        <v>0.48229999999999995</v>
      </c>
      <c r="S1226" s="32">
        <v>20.738899999999997</v>
      </c>
      <c r="T1226" s="35">
        <v>1.72</v>
      </c>
      <c r="U1226" s="35">
        <v>1.17</v>
      </c>
      <c r="V1226" s="35">
        <v>0.04</v>
      </c>
      <c r="W1226" s="9" t="s">
        <v>153</v>
      </c>
      <c r="X1226" s="15">
        <v>1225</v>
      </c>
      <c r="Y1226" s="39">
        <v>0.49287039914225261</v>
      </c>
      <c r="Z1226" s="39">
        <v>0.4798150039132465</v>
      </c>
      <c r="AA1226" s="39">
        <v>0.46977288931261646</v>
      </c>
      <c r="AB1226" s="39">
        <v>0.48057486143823974</v>
      </c>
      <c r="AC1226" s="39">
        <v>0.48323057050223117</v>
      </c>
      <c r="AD1226" s="39">
        <v>0.47569929631341928</v>
      </c>
      <c r="AE1226" s="39">
        <v>0.46477701351032069</v>
      </c>
      <c r="AF1226" s="40">
        <v>0.47789750639930312</v>
      </c>
    </row>
    <row r="1227" spans="1:32">
      <c r="A1227" s="15">
        <v>1225</v>
      </c>
      <c r="B1227" s="16">
        <v>1</v>
      </c>
      <c r="C1227" s="20">
        <v>0.93</v>
      </c>
      <c r="D1227" s="20">
        <v>0.18747949848141848</v>
      </c>
      <c r="E1227" s="20">
        <v>7.0000000000000007E-2</v>
      </c>
      <c r="F1227" s="8" t="s">
        <v>434</v>
      </c>
      <c r="G1227" s="24">
        <v>0.91462956471683277</v>
      </c>
      <c r="H1227" s="24">
        <v>0.91992503643085544</v>
      </c>
      <c r="I1227" s="25">
        <v>0.93601326976839128</v>
      </c>
      <c r="L1227" s="15">
        <v>1225</v>
      </c>
      <c r="M1227" s="16">
        <v>1</v>
      </c>
      <c r="N1227" s="16">
        <v>0</v>
      </c>
      <c r="O1227" s="16">
        <v>10</v>
      </c>
      <c r="P1227" s="16">
        <v>180</v>
      </c>
      <c r="Q1227" s="29">
        <v>52</v>
      </c>
      <c r="R1227" s="20">
        <v>0.48229999999999995</v>
      </c>
      <c r="S1227" s="32">
        <v>25.079599999999999</v>
      </c>
      <c r="T1227" s="35">
        <v>1.22</v>
      </c>
      <c r="U1227" s="35">
        <v>0.62</v>
      </c>
      <c r="V1227" s="35">
        <v>2.3461538461538461E-2</v>
      </c>
      <c r="W1227" s="9" t="s">
        <v>153</v>
      </c>
      <c r="X1227" s="15">
        <v>1226</v>
      </c>
      <c r="Y1227" s="39">
        <v>0.4886665579676473</v>
      </c>
      <c r="Z1227" s="39">
        <v>0.47993507273824332</v>
      </c>
      <c r="AA1227" s="39">
        <v>0.49381753698321995</v>
      </c>
      <c r="AB1227" s="39">
        <v>0.4902172964455121</v>
      </c>
      <c r="AC1227" s="39">
        <v>0.4817101409189592</v>
      </c>
      <c r="AD1227" s="39">
        <v>0.47373054495649558</v>
      </c>
      <c r="AE1227" s="39">
        <v>0.48848333492712998</v>
      </c>
      <c r="AF1227" s="40">
        <v>0.48447109502369901</v>
      </c>
    </row>
    <row r="1228" spans="1:32">
      <c r="A1228" s="15">
        <v>1226</v>
      </c>
      <c r="B1228" s="16">
        <v>1</v>
      </c>
      <c r="C1228" s="20">
        <v>0.17</v>
      </c>
      <c r="D1228" s="20">
        <v>0.84461899516701744</v>
      </c>
      <c r="E1228" s="20">
        <v>0.36</v>
      </c>
      <c r="F1228" s="8" t="s">
        <v>436</v>
      </c>
      <c r="G1228" s="24">
        <v>1.1973118702720218</v>
      </c>
      <c r="H1228" s="24">
        <v>1.2042440003785442</v>
      </c>
      <c r="I1228" s="25">
        <v>1.2253045843458921</v>
      </c>
      <c r="L1228" s="15">
        <v>1226</v>
      </c>
      <c r="M1228" s="16">
        <v>1</v>
      </c>
      <c r="N1228" s="16">
        <v>0</v>
      </c>
      <c r="O1228" s="16">
        <v>10</v>
      </c>
      <c r="P1228" s="16">
        <v>181</v>
      </c>
      <c r="Q1228" s="29">
        <v>53</v>
      </c>
      <c r="R1228" s="20">
        <v>0.48229999999999995</v>
      </c>
      <c r="S1228" s="32">
        <v>25.561899999999998</v>
      </c>
      <c r="T1228" s="35">
        <v>1.1000000000000001</v>
      </c>
      <c r="U1228" s="35">
        <v>0.39</v>
      </c>
      <c r="V1228" s="35">
        <v>2.0754716981132078E-2</v>
      </c>
      <c r="W1228" s="9" t="s">
        <v>153</v>
      </c>
      <c r="X1228" s="15">
        <v>1227</v>
      </c>
      <c r="Y1228" s="39">
        <v>0.48829566305709177</v>
      </c>
      <c r="Z1228" s="39">
        <v>0.49501530050672948</v>
      </c>
      <c r="AA1228" s="39">
        <v>0.4856670680459142</v>
      </c>
      <c r="AB1228" s="39">
        <v>0.48623248574934558</v>
      </c>
      <c r="AC1228" s="39">
        <v>0.47924193772767981</v>
      </c>
      <c r="AD1228" s="39">
        <v>0.48664222676861069</v>
      </c>
      <c r="AE1228" s="39">
        <v>0.47946950593410731</v>
      </c>
      <c r="AF1228" s="40">
        <v>0.48540174330784014</v>
      </c>
    </row>
    <row r="1229" spans="1:32">
      <c r="A1229" s="15">
        <v>1227</v>
      </c>
      <c r="B1229" s="16">
        <v>1</v>
      </c>
      <c r="C1229" s="20">
        <v>0.02</v>
      </c>
      <c r="D1229" s="20">
        <v>0.99917029198757767</v>
      </c>
      <c r="E1229" s="20">
        <v>1</v>
      </c>
      <c r="F1229" s="8" t="s">
        <v>436</v>
      </c>
      <c r="G1229" s="24">
        <v>0.99720241311087077</v>
      </c>
      <c r="H1229" s="24">
        <v>1.0029759605397894</v>
      </c>
      <c r="I1229" s="25">
        <v>1.0205166411888436</v>
      </c>
      <c r="L1229" s="15">
        <v>1227</v>
      </c>
      <c r="M1229" s="16">
        <v>1</v>
      </c>
      <c r="N1229" s="16">
        <v>0</v>
      </c>
      <c r="O1229" s="16">
        <v>10</v>
      </c>
      <c r="P1229" s="16">
        <v>182</v>
      </c>
      <c r="Q1229" s="29">
        <v>54</v>
      </c>
      <c r="R1229" s="20">
        <v>0.48229999999999995</v>
      </c>
      <c r="S1229" s="32">
        <v>26.044199999999996</v>
      </c>
      <c r="T1229" s="35">
        <v>1.47</v>
      </c>
      <c r="U1229" s="35">
        <v>0.54</v>
      </c>
      <c r="V1229" s="35">
        <v>2.7222222222222221E-2</v>
      </c>
      <c r="W1229" s="9" t="s">
        <v>153</v>
      </c>
      <c r="X1229" s="15">
        <v>1228</v>
      </c>
      <c r="Y1229" s="39">
        <v>0.49771333315356092</v>
      </c>
      <c r="Z1229" s="39">
        <v>0.49760463796907395</v>
      </c>
      <c r="AA1229" s="39">
        <v>0.48981620141960552</v>
      </c>
      <c r="AB1229" s="39">
        <v>0.49151316541664863</v>
      </c>
      <c r="AC1229" s="39">
        <v>0.4908478719764639</v>
      </c>
      <c r="AD1229" s="39">
        <v>0.48928118646893493</v>
      </c>
      <c r="AE1229" s="39">
        <v>0.48115885553047227</v>
      </c>
      <c r="AF1229" s="40">
        <v>0.487814078697201</v>
      </c>
    </row>
    <row r="1230" spans="1:32">
      <c r="A1230" s="15">
        <v>1228</v>
      </c>
      <c r="B1230" s="16">
        <v>1</v>
      </c>
      <c r="C1230" s="20">
        <v>0.91</v>
      </c>
      <c r="D1230" s="20">
        <v>0.21727233298780477</v>
      </c>
      <c r="E1230" s="20">
        <v>0.09</v>
      </c>
      <c r="F1230" s="8" t="s">
        <v>434</v>
      </c>
      <c r="G1230" s="24">
        <v>0.35454296248828437</v>
      </c>
      <c r="H1230" s="24">
        <v>0.3565956757414841</v>
      </c>
      <c r="I1230" s="25">
        <v>0.36283204741448882</v>
      </c>
      <c r="L1230" s="15">
        <v>1228</v>
      </c>
      <c r="M1230" s="16">
        <v>1</v>
      </c>
      <c r="N1230" s="16">
        <v>0</v>
      </c>
      <c r="O1230" s="16">
        <v>10</v>
      </c>
      <c r="P1230" s="16">
        <v>183</v>
      </c>
      <c r="Q1230" s="29">
        <v>59</v>
      </c>
      <c r="R1230" s="20">
        <v>0.48229999999999995</v>
      </c>
      <c r="S1230" s="32">
        <v>28.455699999999997</v>
      </c>
      <c r="T1230" s="35">
        <v>1.97</v>
      </c>
      <c r="U1230" s="35">
        <v>1.05</v>
      </c>
      <c r="V1230" s="35">
        <v>3.3389830508474577E-2</v>
      </c>
      <c r="W1230" s="9" t="s">
        <v>153</v>
      </c>
      <c r="X1230" s="15">
        <v>1229</v>
      </c>
      <c r="Y1230" s="39">
        <v>0.49106190582547882</v>
      </c>
      <c r="Z1230" s="39">
        <v>0.47342233867600331</v>
      </c>
      <c r="AA1230" s="39">
        <v>0.49134811421847796</v>
      </c>
      <c r="AB1230" s="39">
        <v>0.49470591196129104</v>
      </c>
      <c r="AC1230" s="39">
        <v>0.48272682191442484</v>
      </c>
      <c r="AD1230" s="39">
        <v>0.4693407283205937</v>
      </c>
      <c r="AE1230" s="39">
        <v>0.48491151984047864</v>
      </c>
      <c r="AF1230" s="40">
        <v>0.49189981349890322</v>
      </c>
    </row>
    <row r="1231" spans="1:32">
      <c r="A1231" s="15">
        <v>1229</v>
      </c>
      <c r="B1231" s="16">
        <v>0</v>
      </c>
      <c r="C1231" s="20">
        <v>0.34</v>
      </c>
      <c r="D1231" s="20">
        <v>0.70377760614336005</v>
      </c>
      <c r="E1231" s="20">
        <v>0.12</v>
      </c>
      <c r="F1231" s="8" t="s">
        <v>436</v>
      </c>
      <c r="G1231" s="24">
        <v>0.69935851698271034</v>
      </c>
      <c r="H1231" s="24">
        <v>0.70340762427981529</v>
      </c>
      <c r="I1231" s="25">
        <v>0.71570926359025477</v>
      </c>
      <c r="L1231" s="15">
        <v>1229</v>
      </c>
      <c r="M1231" s="16">
        <v>1</v>
      </c>
      <c r="N1231" s="16">
        <v>0</v>
      </c>
      <c r="O1231" s="16">
        <v>10</v>
      </c>
      <c r="P1231" s="16">
        <v>184</v>
      </c>
      <c r="Q1231" s="29">
        <v>66</v>
      </c>
      <c r="R1231" s="20">
        <v>0.48229999999999995</v>
      </c>
      <c r="S1231" s="32">
        <v>31.831799999999998</v>
      </c>
      <c r="T1231" s="35">
        <v>1.95</v>
      </c>
      <c r="U1231" s="35">
        <v>1.03</v>
      </c>
      <c r="V1231" s="35">
        <v>2.9545454545454545E-2</v>
      </c>
      <c r="W1231" s="9" t="s">
        <v>153</v>
      </c>
      <c r="X1231" s="15">
        <v>1230</v>
      </c>
      <c r="Y1231" s="39">
        <v>0.47209666960252605</v>
      </c>
      <c r="Z1231" s="39">
        <v>0.49542882426304652</v>
      </c>
      <c r="AA1231" s="39">
        <v>0.49414568754065213</v>
      </c>
      <c r="AB1231" s="39">
        <v>0.49434966936300107</v>
      </c>
      <c r="AC1231" s="39">
        <v>0.46772663524947544</v>
      </c>
      <c r="AD1231" s="39">
        <v>0.48828952085970628</v>
      </c>
      <c r="AE1231" s="39">
        <v>0.48750586319135686</v>
      </c>
      <c r="AF1231" s="40">
        <v>0.49105168737441485</v>
      </c>
    </row>
    <row r="1232" spans="1:32">
      <c r="A1232" s="15">
        <v>1230</v>
      </c>
      <c r="B1232" s="16">
        <v>0</v>
      </c>
      <c r="C1232" s="20">
        <v>0.03</v>
      </c>
      <c r="D1232" s="20">
        <v>0.99415958227269285</v>
      </c>
      <c r="E1232" s="20">
        <v>1</v>
      </c>
      <c r="F1232" s="8" t="s">
        <v>436</v>
      </c>
      <c r="G1232" s="24">
        <v>0.98678707286376</v>
      </c>
      <c r="H1232" s="24">
        <v>0.99250031813123729</v>
      </c>
      <c r="I1232" s="25">
        <v>1.0098577940921321</v>
      </c>
      <c r="L1232" s="15">
        <v>1230</v>
      </c>
      <c r="M1232" s="16">
        <v>1</v>
      </c>
      <c r="N1232" s="16">
        <v>0</v>
      </c>
      <c r="O1232" s="16">
        <v>10</v>
      </c>
      <c r="P1232" s="16">
        <v>185</v>
      </c>
      <c r="Q1232" s="29">
        <v>53</v>
      </c>
      <c r="R1232" s="20">
        <v>0.48229999999999995</v>
      </c>
      <c r="S1232" s="32">
        <v>25.561899999999998</v>
      </c>
      <c r="T1232" s="35">
        <v>1.93</v>
      </c>
      <c r="U1232" s="35">
        <v>1.05</v>
      </c>
      <c r="V1232" s="35">
        <v>3.6415094339622638E-2</v>
      </c>
      <c r="W1232" s="9" t="s">
        <v>153</v>
      </c>
      <c r="X1232" s="15">
        <v>1231</v>
      </c>
      <c r="Y1232" s="39">
        <v>0.49032261966347923</v>
      </c>
      <c r="Z1232" s="39">
        <v>0.47045419260191651</v>
      </c>
      <c r="AA1232" s="39">
        <v>0.48454993376914535</v>
      </c>
      <c r="AB1232" s="39">
        <v>0.47905855862466956</v>
      </c>
      <c r="AC1232" s="39">
        <v>0.48256402765554418</v>
      </c>
      <c r="AD1232" s="39">
        <v>0.46500890530186578</v>
      </c>
      <c r="AE1232" s="39">
        <v>0.47810141432951703</v>
      </c>
      <c r="AF1232" s="40">
        <v>0.4731714355083948</v>
      </c>
    </row>
    <row r="1233" spans="1:32">
      <c r="A1233" s="15">
        <v>1231</v>
      </c>
      <c r="B1233" s="16">
        <v>0</v>
      </c>
      <c r="C1233" s="20">
        <v>0.02</v>
      </c>
      <c r="D1233" s="20">
        <v>0.99756714174924133</v>
      </c>
      <c r="E1233" s="20">
        <v>1</v>
      </c>
      <c r="F1233" s="8" t="s">
        <v>436</v>
      </c>
      <c r="G1233" s="24">
        <v>1.0548965039108034</v>
      </c>
      <c r="H1233" s="24">
        <v>1.0610040853986273</v>
      </c>
      <c r="I1233" s="25">
        <v>1.0795595987524103</v>
      </c>
      <c r="L1233" s="15">
        <v>1231</v>
      </c>
      <c r="M1233" s="16">
        <v>1</v>
      </c>
      <c r="N1233" s="16">
        <v>0</v>
      </c>
      <c r="O1233" s="16">
        <v>10</v>
      </c>
      <c r="P1233" s="16">
        <v>186</v>
      </c>
      <c r="Q1233" s="29">
        <v>56</v>
      </c>
      <c r="R1233" s="20">
        <v>0.48229999999999995</v>
      </c>
      <c r="S1233" s="32">
        <v>27.008799999999997</v>
      </c>
      <c r="T1233" s="35">
        <v>1.88</v>
      </c>
      <c r="U1233" s="35">
        <v>0.9</v>
      </c>
      <c r="V1233" s="35">
        <v>3.3571428571428572E-2</v>
      </c>
      <c r="W1233" s="9" t="s">
        <v>153</v>
      </c>
      <c r="X1233" s="15">
        <v>1232</v>
      </c>
      <c r="Y1233" s="39">
        <v>0.49453303207327676</v>
      </c>
      <c r="Z1233" s="39">
        <v>0.5087851162336674</v>
      </c>
      <c r="AA1233" s="39">
        <v>0.47787497372351984</v>
      </c>
      <c r="AB1233" s="39">
        <v>0.48475806157240725</v>
      </c>
      <c r="AC1233" s="39">
        <v>0.48714934309213392</v>
      </c>
      <c r="AD1233" s="39">
        <v>0.50310434975061458</v>
      </c>
      <c r="AE1233" s="39">
        <v>0.46940637300808552</v>
      </c>
      <c r="AF1233" s="40">
        <v>0.48313549820390944</v>
      </c>
    </row>
    <row r="1234" spans="1:32">
      <c r="A1234" s="15">
        <v>1232</v>
      </c>
      <c r="B1234" s="16">
        <v>0</v>
      </c>
      <c r="C1234" s="20">
        <v>0.02</v>
      </c>
      <c r="D1234" s="20">
        <v>0.99756714174924133</v>
      </c>
      <c r="E1234" s="20">
        <v>1</v>
      </c>
      <c r="F1234" s="8" t="s">
        <v>436</v>
      </c>
      <c r="G1234" s="24">
        <v>1.1640425258406015</v>
      </c>
      <c r="H1234" s="24">
        <v>1.1707820349351024</v>
      </c>
      <c r="I1234" s="25">
        <v>1.1912574147970425</v>
      </c>
      <c r="L1234" s="15">
        <v>1232</v>
      </c>
      <c r="M1234" s="16">
        <v>1</v>
      </c>
      <c r="N1234" s="16">
        <v>0</v>
      </c>
      <c r="O1234" s="16">
        <v>10</v>
      </c>
      <c r="P1234" s="16">
        <v>187</v>
      </c>
      <c r="Q1234" s="29">
        <v>56</v>
      </c>
      <c r="R1234" s="20">
        <v>0.48229999999999995</v>
      </c>
      <c r="S1234" s="32">
        <v>27.008799999999997</v>
      </c>
      <c r="T1234" s="35">
        <v>1.8</v>
      </c>
      <c r="U1234" s="35">
        <v>0.95</v>
      </c>
      <c r="V1234" s="35">
        <v>3.2142857142857147E-2</v>
      </c>
      <c r="W1234" s="9" t="s">
        <v>153</v>
      </c>
      <c r="X1234" s="15">
        <v>1233</v>
      </c>
      <c r="Y1234" s="39">
        <v>0.4794390721140982</v>
      </c>
      <c r="Z1234" s="39">
        <v>0.48823429239421284</v>
      </c>
      <c r="AA1234" s="39">
        <v>0.49742469269498096</v>
      </c>
      <c r="AB1234" s="39">
        <v>0.49061438286368586</v>
      </c>
      <c r="AC1234" s="39">
        <v>0.47269857148806693</v>
      </c>
      <c r="AD1234" s="39">
        <v>0.47963199662331468</v>
      </c>
      <c r="AE1234" s="39">
        <v>0.4886474934076569</v>
      </c>
      <c r="AF1234" s="40">
        <v>0.48785581845574344</v>
      </c>
    </row>
    <row r="1235" spans="1:32">
      <c r="A1235" s="15">
        <v>1233</v>
      </c>
      <c r="B1235" s="16">
        <v>0</v>
      </c>
      <c r="C1235" s="20">
        <v>0.97</v>
      </c>
      <c r="D1235" s="20">
        <v>0.12097036642660543</v>
      </c>
      <c r="E1235" s="20">
        <v>0.03</v>
      </c>
      <c r="F1235" s="8" t="s">
        <v>434</v>
      </c>
      <c r="G1235" s="24">
        <v>1.1659219468931881</v>
      </c>
      <c r="H1235" s="24">
        <v>1.1726723373558479</v>
      </c>
      <c r="I1235" s="25">
        <v>1.1931807760271682</v>
      </c>
      <c r="L1235" s="15">
        <v>1233</v>
      </c>
      <c r="M1235" s="16">
        <v>1</v>
      </c>
      <c r="N1235" s="16">
        <v>0</v>
      </c>
      <c r="O1235" s="16">
        <v>11</v>
      </c>
      <c r="P1235" s="16">
        <v>196</v>
      </c>
      <c r="Q1235" s="29">
        <v>16</v>
      </c>
      <c r="R1235" s="20">
        <v>0.48229999999999995</v>
      </c>
      <c r="S1235" s="32">
        <v>7.7167999999999992</v>
      </c>
      <c r="T1235" s="35">
        <v>0.99</v>
      </c>
      <c r="U1235" s="35">
        <v>0.79</v>
      </c>
      <c r="V1235" s="35">
        <v>6.1874999999999999E-2</v>
      </c>
      <c r="W1235" s="9" t="s">
        <v>152</v>
      </c>
      <c r="X1235" s="15">
        <v>1234</v>
      </c>
      <c r="Y1235" s="39">
        <v>0.4734059925035255</v>
      </c>
      <c r="Z1235" s="39">
        <v>0.48646216619774113</v>
      </c>
      <c r="AA1235" s="39">
        <v>0.49473292370582744</v>
      </c>
      <c r="AB1235" s="39">
        <v>0.48644181790462476</v>
      </c>
      <c r="AC1235" s="39">
        <v>0.46650953055386302</v>
      </c>
      <c r="AD1235" s="39">
        <v>0.47708438263871883</v>
      </c>
      <c r="AE1235" s="39">
        <v>0.49003387955532279</v>
      </c>
      <c r="AF1235" s="40">
        <v>0.48617805711348744</v>
      </c>
    </row>
    <row r="1236" spans="1:32">
      <c r="A1236" s="15">
        <v>1234</v>
      </c>
      <c r="B1236" s="16">
        <v>0</v>
      </c>
      <c r="C1236" s="20">
        <v>0.33</v>
      </c>
      <c r="D1236" s="20">
        <v>0.60070243537951251</v>
      </c>
      <c r="E1236" s="20">
        <v>0.11</v>
      </c>
      <c r="F1236" s="8" t="s">
        <v>436</v>
      </c>
      <c r="G1236" s="24">
        <v>0.82977033045084392</v>
      </c>
      <c r="H1236" s="24">
        <v>0.83457448885938834</v>
      </c>
      <c r="I1236" s="25">
        <v>0.84917005760966191</v>
      </c>
      <c r="L1236" s="15">
        <v>1234</v>
      </c>
      <c r="M1236" s="16">
        <v>1</v>
      </c>
      <c r="N1236" s="16">
        <v>0</v>
      </c>
      <c r="O1236" s="16">
        <v>11</v>
      </c>
      <c r="P1236" s="16">
        <v>197</v>
      </c>
      <c r="Q1236" s="29">
        <v>4</v>
      </c>
      <c r="R1236" s="20">
        <v>0.48229999999999995</v>
      </c>
      <c r="S1236" s="32">
        <v>1.9291999999999998</v>
      </c>
      <c r="T1236" s="35">
        <v>0.39</v>
      </c>
      <c r="U1236" s="35">
        <v>0.32</v>
      </c>
      <c r="V1236" s="35">
        <v>9.7500000000000003E-2</v>
      </c>
      <c r="W1236" s="9" t="s">
        <v>152</v>
      </c>
      <c r="X1236" s="15">
        <v>1235</v>
      </c>
      <c r="Y1236" s="39">
        <v>0.46836904377299216</v>
      </c>
      <c r="Z1236" s="39">
        <v>0.49039459102671928</v>
      </c>
      <c r="AA1236" s="39">
        <v>0.49195844915672732</v>
      </c>
      <c r="AB1236" s="39">
        <v>0.49931642374906166</v>
      </c>
      <c r="AC1236" s="39">
        <v>0.46217911033003534</v>
      </c>
      <c r="AD1236" s="39">
        <v>0.48332383537911811</v>
      </c>
      <c r="AE1236" s="39">
        <v>0.48259576545421701</v>
      </c>
      <c r="AF1236" s="40">
        <v>0.49555334709753568</v>
      </c>
    </row>
    <row r="1237" spans="1:32">
      <c r="A1237" s="15">
        <v>1235</v>
      </c>
      <c r="B1237" s="16">
        <v>0</v>
      </c>
      <c r="C1237" s="20">
        <v>0.91</v>
      </c>
      <c r="D1237" s="20">
        <v>0.21727233298780477</v>
      </c>
      <c r="E1237" s="20">
        <v>0.09</v>
      </c>
      <c r="F1237" s="8" t="s">
        <v>434</v>
      </c>
      <c r="G1237" s="24">
        <v>2.2929284949826951</v>
      </c>
      <c r="H1237" s="24">
        <v>2.3062039656823732</v>
      </c>
      <c r="I1237" s="25">
        <v>1.6578926537592125</v>
      </c>
      <c r="L1237" s="15">
        <v>1235</v>
      </c>
      <c r="M1237" s="16">
        <v>1</v>
      </c>
      <c r="N1237" s="16">
        <v>0</v>
      </c>
      <c r="O1237" s="16">
        <v>11</v>
      </c>
      <c r="P1237" s="16">
        <v>198</v>
      </c>
      <c r="Q1237" s="29">
        <v>13</v>
      </c>
      <c r="R1237" s="20">
        <v>0.48229999999999995</v>
      </c>
      <c r="S1237" s="32">
        <v>6.2698999999999998</v>
      </c>
      <c r="T1237" s="35">
        <v>0.16</v>
      </c>
      <c r="U1237" s="35">
        <v>0</v>
      </c>
      <c r="V1237" s="35">
        <v>1.2307692307692308E-2</v>
      </c>
      <c r="W1237" s="9" t="s">
        <v>152</v>
      </c>
      <c r="X1237" s="15">
        <v>1236</v>
      </c>
      <c r="Y1237" s="39">
        <v>0.48388023289747539</v>
      </c>
      <c r="Z1237" s="39">
        <v>0.49707443226185216</v>
      </c>
      <c r="AA1237" s="39">
        <v>0.47956516046921888</v>
      </c>
      <c r="AB1237" s="39">
        <v>0.48738419358852525</v>
      </c>
      <c r="AC1237" s="39">
        <v>0.47821656828152681</v>
      </c>
      <c r="AD1237" s="39">
        <v>0.48741872202854403</v>
      </c>
      <c r="AE1237" s="39">
        <v>0.47417866850624296</v>
      </c>
      <c r="AF1237" s="40">
        <v>0.48558059811438659</v>
      </c>
    </row>
    <row r="1238" spans="1:32">
      <c r="A1238" s="15">
        <v>1236</v>
      </c>
      <c r="B1238" s="16">
        <v>0</v>
      </c>
      <c r="C1238" s="20">
        <v>0.37</v>
      </c>
      <c r="D1238" s="20">
        <v>0.63274396254444287</v>
      </c>
      <c r="E1238" s="20">
        <v>0.05</v>
      </c>
      <c r="F1238" s="8" t="s">
        <v>436</v>
      </c>
      <c r="G1238" s="24">
        <v>1.0214274011503861</v>
      </c>
      <c r="H1238" s="24">
        <v>1.0273412050764534</v>
      </c>
      <c r="I1238" s="25">
        <v>1.0453080005978159</v>
      </c>
      <c r="L1238" s="15">
        <v>1236</v>
      </c>
      <c r="M1238" s="16">
        <v>1</v>
      </c>
      <c r="N1238" s="16">
        <v>0</v>
      </c>
      <c r="O1238" s="16">
        <v>11</v>
      </c>
      <c r="P1238" s="16">
        <v>199</v>
      </c>
      <c r="Q1238" s="29">
        <v>17</v>
      </c>
      <c r="R1238" s="20">
        <v>0.48229999999999995</v>
      </c>
      <c r="S1238" s="32">
        <v>8.1990999999999996</v>
      </c>
      <c r="T1238" s="35">
        <v>0.26</v>
      </c>
      <c r="U1238" s="35">
        <v>0.09</v>
      </c>
      <c r="V1238" s="35">
        <v>1.5294117647058824E-2</v>
      </c>
      <c r="W1238" s="9" t="s">
        <v>152</v>
      </c>
      <c r="X1238" s="15">
        <v>1237</v>
      </c>
      <c r="Y1238" s="39">
        <v>0.47251281594454564</v>
      </c>
      <c r="Z1238" s="39">
        <v>0.49106722705146866</v>
      </c>
      <c r="AA1238" s="39">
        <v>0.49235984254883713</v>
      </c>
      <c r="AB1238" s="39">
        <v>0.49065663544490457</v>
      </c>
      <c r="AC1238" s="39">
        <v>0.46871964797897803</v>
      </c>
      <c r="AD1238" s="39">
        <v>0.48397076818165863</v>
      </c>
      <c r="AE1238" s="39">
        <v>0.48619794773462716</v>
      </c>
      <c r="AF1238" s="40">
        <v>0.4841240915074066</v>
      </c>
    </row>
    <row r="1239" spans="1:32">
      <c r="A1239" s="15">
        <v>1237</v>
      </c>
      <c r="B1239" s="16">
        <v>1</v>
      </c>
      <c r="C1239" s="20">
        <v>7.0000000000000007E-2</v>
      </c>
      <c r="D1239" s="20">
        <v>0.93576128539094072</v>
      </c>
      <c r="E1239" s="20">
        <v>0.4</v>
      </c>
      <c r="F1239" s="8" t="s">
        <v>436</v>
      </c>
      <c r="G1239" s="24">
        <v>1.0051780468120211</v>
      </c>
      <c r="H1239" s="24">
        <v>1.0109977711242322</v>
      </c>
      <c r="I1239" s="25">
        <v>1.0286787422919277</v>
      </c>
      <c r="L1239" s="15">
        <v>1237</v>
      </c>
      <c r="M1239" s="16">
        <v>1</v>
      </c>
      <c r="N1239" s="16">
        <v>0</v>
      </c>
      <c r="O1239" s="16">
        <v>11</v>
      </c>
      <c r="P1239" s="16">
        <v>200</v>
      </c>
      <c r="Q1239" s="29">
        <v>16</v>
      </c>
      <c r="R1239" s="20">
        <v>0.48229999999999995</v>
      </c>
      <c r="S1239" s="32">
        <v>7.7167999999999992</v>
      </c>
      <c r="T1239" s="35">
        <v>0.48</v>
      </c>
      <c r="U1239" s="35">
        <v>0.31</v>
      </c>
      <c r="V1239" s="35">
        <v>0.03</v>
      </c>
      <c r="W1239" s="9" t="s">
        <v>152</v>
      </c>
      <c r="X1239" s="15">
        <v>1238</v>
      </c>
      <c r="Y1239" s="39">
        <v>0.47505253501481842</v>
      </c>
      <c r="Z1239" s="39">
        <v>0.49253189607944436</v>
      </c>
      <c r="AA1239" s="39">
        <v>0.48902732711522739</v>
      </c>
      <c r="AB1239" s="39">
        <v>0.47471186334500282</v>
      </c>
      <c r="AC1239" s="39">
        <v>0.46936209694462488</v>
      </c>
      <c r="AD1239" s="39">
        <v>0.48570043444796185</v>
      </c>
      <c r="AE1239" s="39">
        <v>0.48236055953518903</v>
      </c>
      <c r="AF1239" s="40">
        <v>0.47065382858650312</v>
      </c>
    </row>
    <row r="1240" spans="1:32">
      <c r="A1240" s="15">
        <v>1238</v>
      </c>
      <c r="B1240" s="16">
        <v>0</v>
      </c>
      <c r="C1240" s="20">
        <v>0.15</v>
      </c>
      <c r="D1240" s="20">
        <v>0.88191925120726777</v>
      </c>
      <c r="E1240" s="20">
        <v>0.06</v>
      </c>
      <c r="F1240" s="8" t="s">
        <v>436</v>
      </c>
      <c r="G1240" s="24">
        <v>0.84605348806289637</v>
      </c>
      <c r="H1240" s="24">
        <v>0.85095192179762302</v>
      </c>
      <c r="I1240" s="25">
        <v>0.86583390949742589</v>
      </c>
      <c r="L1240" s="15">
        <v>1238</v>
      </c>
      <c r="M1240" s="16">
        <v>1</v>
      </c>
      <c r="N1240" s="16">
        <v>0</v>
      </c>
      <c r="O1240" s="16">
        <v>11</v>
      </c>
      <c r="P1240" s="16">
        <v>201</v>
      </c>
      <c r="Q1240" s="29">
        <v>22</v>
      </c>
      <c r="R1240" s="20">
        <v>0.48229999999999995</v>
      </c>
      <c r="S1240" s="32">
        <v>10.610599999999998</v>
      </c>
      <c r="T1240" s="35">
        <v>0.76</v>
      </c>
      <c r="U1240" s="35">
        <v>0.42</v>
      </c>
      <c r="V1240" s="35">
        <v>3.4545454545454546E-2</v>
      </c>
      <c r="W1240" s="9" t="s">
        <v>152</v>
      </c>
      <c r="X1240" s="15">
        <v>1239</v>
      </c>
      <c r="Y1240" s="39">
        <v>0.49251804958189266</v>
      </c>
      <c r="Z1240" s="39">
        <v>0.47486643095571485</v>
      </c>
      <c r="AA1240" s="39">
        <v>0.48183076177546891</v>
      </c>
      <c r="AB1240" s="39">
        <v>0.46509342084443694</v>
      </c>
      <c r="AC1240" s="39">
        <v>0.4822356544281059</v>
      </c>
      <c r="AD1240" s="39">
        <v>0.46755446133455753</v>
      </c>
      <c r="AE1240" s="39">
        <v>0.47398731014735435</v>
      </c>
      <c r="AF1240" s="40">
        <v>0.46380661369147563</v>
      </c>
    </row>
    <row r="1241" spans="1:32">
      <c r="A1241" s="15">
        <v>1239</v>
      </c>
      <c r="B1241" s="16">
        <v>0</v>
      </c>
      <c r="C1241" s="20">
        <v>0.1</v>
      </c>
      <c r="D1241" s="20">
        <v>0.93821465258038961</v>
      </c>
      <c r="E1241" s="20">
        <v>0.49</v>
      </c>
      <c r="F1241" s="8" t="s">
        <v>436</v>
      </c>
      <c r="G1241" s="24">
        <v>0.95238510862654946</v>
      </c>
      <c r="H1241" s="24">
        <v>0.95789917530243884</v>
      </c>
      <c r="I1241" s="25">
        <v>0.97465152450024994</v>
      </c>
      <c r="L1241" s="15">
        <v>1239</v>
      </c>
      <c r="M1241" s="16">
        <v>1</v>
      </c>
      <c r="N1241" s="16">
        <v>0</v>
      </c>
      <c r="O1241" s="16">
        <v>11</v>
      </c>
      <c r="P1241" s="16">
        <v>202</v>
      </c>
      <c r="Q1241" s="29">
        <v>22</v>
      </c>
      <c r="R1241" s="20">
        <v>0.48229999999999995</v>
      </c>
      <c r="S1241" s="32">
        <v>10.610599999999998</v>
      </c>
      <c r="T1241" s="35">
        <v>0.43</v>
      </c>
      <c r="U1241" s="35">
        <v>0.14000000000000001</v>
      </c>
      <c r="V1241" s="35">
        <v>1.9545454545454546E-2</v>
      </c>
      <c r="W1241" s="9" t="s">
        <v>152</v>
      </c>
      <c r="X1241" s="15">
        <v>1240</v>
      </c>
      <c r="Y1241" s="39">
        <v>0.48470783920328425</v>
      </c>
      <c r="Z1241" s="39">
        <v>0.49408805016514534</v>
      </c>
      <c r="AA1241" s="39">
        <v>0.47890542222997762</v>
      </c>
      <c r="AB1241" s="39">
        <v>0.49663385791950149</v>
      </c>
      <c r="AC1241" s="39">
        <v>0.47678690396702705</v>
      </c>
      <c r="AD1241" s="39">
        <v>0.48779152341072346</v>
      </c>
      <c r="AE1241" s="39">
        <v>0.4735730398670992</v>
      </c>
      <c r="AF1241" s="40">
        <v>0.49314002564720949</v>
      </c>
    </row>
    <row r="1242" spans="1:32">
      <c r="A1242" s="15">
        <v>1240</v>
      </c>
      <c r="B1242" s="16">
        <v>0</v>
      </c>
      <c r="C1242" s="20">
        <v>0.93</v>
      </c>
      <c r="D1242" s="20">
        <v>0.18747949848141848</v>
      </c>
      <c r="E1242" s="20">
        <v>7.0000000000000007E-2</v>
      </c>
      <c r="F1242" s="8" t="s">
        <v>434</v>
      </c>
      <c r="G1242" s="24">
        <v>0.42884188559108122</v>
      </c>
      <c r="H1242" s="24">
        <v>0.43132477064371866</v>
      </c>
      <c r="I1242" s="25">
        <v>0.43886805219337444</v>
      </c>
      <c r="L1242" s="15">
        <v>1240</v>
      </c>
      <c r="M1242" s="16">
        <v>1</v>
      </c>
      <c r="N1242" s="16">
        <v>0</v>
      </c>
      <c r="O1242" s="16">
        <v>11</v>
      </c>
      <c r="P1242" s="16">
        <v>203</v>
      </c>
      <c r="Q1242" s="29">
        <v>21</v>
      </c>
      <c r="R1242" s="20">
        <v>0.48229999999999995</v>
      </c>
      <c r="S1242" s="32">
        <v>10.128299999999999</v>
      </c>
      <c r="T1242" s="35">
        <v>1.56</v>
      </c>
      <c r="U1242" s="35">
        <v>1.26</v>
      </c>
      <c r="V1242" s="35">
        <v>7.4285714285714288E-2</v>
      </c>
      <c r="W1242" s="9" t="s">
        <v>153</v>
      </c>
      <c r="X1242" s="15">
        <v>1241</v>
      </c>
      <c r="Y1242" s="39">
        <v>0.48280569834012377</v>
      </c>
      <c r="Z1242" s="39">
        <v>0.4943181595852239</v>
      </c>
      <c r="AA1242" s="39">
        <v>0.47441553276111736</v>
      </c>
      <c r="AB1242" s="39">
        <v>0.47890481152293773</v>
      </c>
      <c r="AC1242" s="39">
        <v>0.47465099383857912</v>
      </c>
      <c r="AD1242" s="39">
        <v>0.48627562095305454</v>
      </c>
      <c r="AE1242" s="39">
        <v>0.4675200593253514</v>
      </c>
      <c r="AF1242" s="40">
        <v>0.47495984393036134</v>
      </c>
    </row>
    <row r="1243" spans="1:32">
      <c r="A1243" s="15">
        <v>1241</v>
      </c>
      <c r="B1243" s="16">
        <v>1</v>
      </c>
      <c r="C1243" s="20">
        <v>0.03</v>
      </c>
      <c r="D1243" s="20">
        <v>0.99415958227269285</v>
      </c>
      <c r="E1243" s="20">
        <v>1</v>
      </c>
      <c r="F1243" s="8" t="s">
        <v>436</v>
      </c>
      <c r="G1243" s="24">
        <v>1.0097999296302209</v>
      </c>
      <c r="H1243" s="24">
        <v>1.0156464134641809</v>
      </c>
      <c r="I1243" s="25">
        <v>1.0334086830417535</v>
      </c>
      <c r="L1243" s="15">
        <v>1241</v>
      </c>
      <c r="M1243" s="16">
        <v>1</v>
      </c>
      <c r="N1243" s="16">
        <v>0</v>
      </c>
      <c r="O1243" s="16">
        <v>11</v>
      </c>
      <c r="P1243" s="16">
        <v>204</v>
      </c>
      <c r="Q1243" s="29">
        <v>11</v>
      </c>
      <c r="R1243" s="20">
        <v>0.48229999999999995</v>
      </c>
      <c r="S1243" s="32">
        <v>5.305299999999999</v>
      </c>
      <c r="T1243" s="35">
        <v>0.22</v>
      </c>
      <c r="U1243" s="35">
        <v>0</v>
      </c>
      <c r="V1243" s="35">
        <v>0.02</v>
      </c>
      <c r="W1243" s="9" t="s">
        <v>152</v>
      </c>
      <c r="X1243" s="15">
        <v>1242</v>
      </c>
      <c r="Y1243" s="39">
        <v>0.47238971184945283</v>
      </c>
      <c r="Z1243" s="39">
        <v>0.50310662640816239</v>
      </c>
      <c r="AA1243" s="39">
        <v>0.49460296123246256</v>
      </c>
      <c r="AB1243" s="39">
        <v>0.47813556224882109</v>
      </c>
      <c r="AC1243" s="39">
        <v>0.46623251465077609</v>
      </c>
      <c r="AD1243" s="39">
        <v>0.49549274176644742</v>
      </c>
      <c r="AE1243" s="39">
        <v>0.48831826710799248</v>
      </c>
      <c r="AF1243" s="40">
        <v>0.47230005687624815</v>
      </c>
    </row>
    <row r="1244" spans="1:32">
      <c r="A1244" s="15">
        <v>1242</v>
      </c>
      <c r="B1244" s="16">
        <v>0</v>
      </c>
      <c r="C1244" s="20">
        <v>0.93</v>
      </c>
      <c r="D1244" s="20">
        <v>0.18747949848141848</v>
      </c>
      <c r="E1244" s="20">
        <v>7.0000000000000007E-2</v>
      </c>
      <c r="F1244" s="8" t="s">
        <v>434</v>
      </c>
      <c r="G1244" s="24">
        <v>0.44771388484834923</v>
      </c>
      <c r="H1244" s="24">
        <v>0.45030603395947449</v>
      </c>
      <c r="I1244" s="25">
        <v>0.45818127189815289</v>
      </c>
      <c r="L1244" s="15">
        <v>1242</v>
      </c>
      <c r="M1244" s="16">
        <v>1</v>
      </c>
      <c r="N1244" s="16">
        <v>0</v>
      </c>
      <c r="O1244" s="16">
        <v>11</v>
      </c>
      <c r="P1244" s="16">
        <v>205</v>
      </c>
      <c r="Q1244" s="29">
        <v>14</v>
      </c>
      <c r="R1244" s="20">
        <v>0.48229999999999995</v>
      </c>
      <c r="S1244" s="32">
        <v>6.7521999999999993</v>
      </c>
      <c r="T1244" s="35">
        <v>0.5</v>
      </c>
      <c r="U1244" s="35">
        <v>0.37</v>
      </c>
      <c r="V1244" s="35">
        <v>3.5714285714285712E-2</v>
      </c>
      <c r="W1244" s="9" t="s">
        <v>152</v>
      </c>
      <c r="X1244" s="15">
        <v>1243</v>
      </c>
      <c r="Y1244" s="39">
        <v>0.48106888401927478</v>
      </c>
      <c r="Z1244" s="39">
        <v>0.47423294321532788</v>
      </c>
      <c r="AA1244" s="39">
        <v>0.49279931163435137</v>
      </c>
      <c r="AB1244" s="39">
        <v>0.48943513570712299</v>
      </c>
      <c r="AC1244" s="39">
        <v>0.4767066036719621</v>
      </c>
      <c r="AD1244" s="39">
        <v>0.46705152118157678</v>
      </c>
      <c r="AE1244" s="39">
        <v>0.48532231721548552</v>
      </c>
      <c r="AF1244" s="40">
        <v>0.48588076467067653</v>
      </c>
    </row>
    <row r="1245" spans="1:32">
      <c r="A1245" s="15">
        <v>1243</v>
      </c>
      <c r="B1245" s="16">
        <v>0</v>
      </c>
      <c r="C1245" s="20">
        <v>0.92</v>
      </c>
      <c r="D1245" s="20">
        <v>0.20258497911151899</v>
      </c>
      <c r="E1245" s="20">
        <v>0.08</v>
      </c>
      <c r="F1245" s="8" t="s">
        <v>434</v>
      </c>
      <c r="G1245" s="24">
        <v>1.5163444178767811</v>
      </c>
      <c r="H1245" s="24">
        <v>1.5251236649986131</v>
      </c>
      <c r="I1245" s="25">
        <v>1.5517959963510599</v>
      </c>
      <c r="L1245" s="15">
        <v>1243</v>
      </c>
      <c r="M1245" s="16">
        <v>1</v>
      </c>
      <c r="N1245" s="16">
        <v>0</v>
      </c>
      <c r="O1245" s="16">
        <v>12</v>
      </c>
      <c r="P1245" s="16">
        <v>206</v>
      </c>
      <c r="Q1245" s="29">
        <v>43</v>
      </c>
      <c r="R1245" s="20">
        <v>0.48229999999999995</v>
      </c>
      <c r="S1245" s="32">
        <v>20.738899999999997</v>
      </c>
      <c r="T1245" s="35">
        <v>1.6900000000000002</v>
      </c>
      <c r="U1245" s="35">
        <v>0.95</v>
      </c>
      <c r="V1245" s="35">
        <v>3.9302325581395355E-2</v>
      </c>
      <c r="W1245" s="9" t="s">
        <v>153</v>
      </c>
      <c r="X1245" s="15">
        <v>1244</v>
      </c>
      <c r="Y1245" s="39">
        <v>0.48356773718841495</v>
      </c>
      <c r="Z1245" s="39">
        <v>0.47429874362911628</v>
      </c>
      <c r="AA1245" s="39">
        <v>0.47926097917815413</v>
      </c>
      <c r="AB1245" s="39">
        <v>0.49981771353343474</v>
      </c>
      <c r="AC1245" s="39">
        <v>0.47498924302555329</v>
      </c>
      <c r="AD1245" s="39">
        <v>0.4685304304112779</v>
      </c>
      <c r="AE1245" s="39">
        <v>0.47171615648795684</v>
      </c>
      <c r="AF1245" s="40">
        <v>0.49287798586945153</v>
      </c>
    </row>
    <row r="1246" spans="1:32">
      <c r="A1246" s="15">
        <v>1244</v>
      </c>
      <c r="B1246" s="16">
        <v>1</v>
      </c>
      <c r="C1246" s="20">
        <v>0.13</v>
      </c>
      <c r="D1246" s="20">
        <v>0.89343248491726179</v>
      </c>
      <c r="E1246" s="20">
        <v>0.12</v>
      </c>
      <c r="F1246" s="8" t="s">
        <v>436</v>
      </c>
      <c r="G1246" s="24">
        <v>0.85466144529378929</v>
      </c>
      <c r="H1246" s="24">
        <v>0.85960971690364063</v>
      </c>
      <c r="I1246" s="25">
        <v>0.87464311762335067</v>
      </c>
      <c r="L1246" s="15">
        <v>1244</v>
      </c>
      <c r="M1246" s="16">
        <v>1</v>
      </c>
      <c r="N1246" s="16">
        <v>0</v>
      </c>
      <c r="O1246" s="16">
        <v>12</v>
      </c>
      <c r="P1246" s="16">
        <v>207</v>
      </c>
      <c r="Q1246" s="29">
        <v>45</v>
      </c>
      <c r="R1246" s="20">
        <v>0.48229999999999995</v>
      </c>
      <c r="S1246" s="32">
        <v>21.703499999999998</v>
      </c>
      <c r="T1246" s="35">
        <v>0.9</v>
      </c>
      <c r="U1246" s="35">
        <v>0.25</v>
      </c>
      <c r="V1246" s="35">
        <v>0.02</v>
      </c>
      <c r="W1246" s="9" t="s">
        <v>152</v>
      </c>
      <c r="X1246" s="15">
        <v>1245</v>
      </c>
      <c r="Y1246" s="39">
        <v>0.47881135652560419</v>
      </c>
      <c r="Z1246" s="39">
        <v>0.48172425628297288</v>
      </c>
      <c r="AA1246" s="39">
        <v>0.48730255690604279</v>
      </c>
      <c r="AB1246" s="39">
        <v>0.48814945943679516</v>
      </c>
      <c r="AC1246" s="39">
        <v>0.47236877551979539</v>
      </c>
      <c r="AD1246" s="39">
        <v>0.47327382750833852</v>
      </c>
      <c r="AE1246" s="39">
        <v>0.48197895374027444</v>
      </c>
      <c r="AF1246" s="40">
        <v>0.48537789240520818</v>
      </c>
    </row>
    <row r="1247" spans="1:32">
      <c r="A1247" s="15">
        <v>1245</v>
      </c>
      <c r="B1247" s="16">
        <v>0</v>
      </c>
      <c r="C1247" s="20">
        <v>0.92</v>
      </c>
      <c r="D1247" s="20">
        <v>0.20258497911151899</v>
      </c>
      <c r="E1247" s="20">
        <v>0.08</v>
      </c>
      <c r="F1247" s="8" t="s">
        <v>434</v>
      </c>
      <c r="G1247" s="24">
        <v>0.61109999162346651</v>
      </c>
      <c r="H1247" s="24">
        <v>0.61463810458735635</v>
      </c>
      <c r="I1247" s="25">
        <v>0.62538728615448436</v>
      </c>
      <c r="L1247" s="15">
        <v>1245</v>
      </c>
      <c r="M1247" s="16">
        <v>1</v>
      </c>
      <c r="N1247" s="16">
        <v>0</v>
      </c>
      <c r="O1247" s="16">
        <v>12</v>
      </c>
      <c r="P1247" s="16">
        <v>208</v>
      </c>
      <c r="Q1247" s="29">
        <v>45</v>
      </c>
      <c r="R1247" s="20">
        <v>0.48229999999999995</v>
      </c>
      <c r="S1247" s="32">
        <v>21.703499999999998</v>
      </c>
      <c r="T1247" s="35">
        <v>0.82000000000000006</v>
      </c>
      <c r="U1247" s="35">
        <v>0.13</v>
      </c>
      <c r="V1247" s="35">
        <v>1.8222222222222223E-2</v>
      </c>
      <c r="W1247" s="9" t="s">
        <v>152</v>
      </c>
      <c r="X1247" s="15">
        <v>1246</v>
      </c>
      <c r="Y1247" s="39">
        <v>0.49582761683396026</v>
      </c>
      <c r="Z1247" s="39">
        <v>0.49919173543345874</v>
      </c>
      <c r="AA1247" s="39">
        <v>0.47459424010440149</v>
      </c>
      <c r="AB1247" s="39">
        <v>0.49245496722437165</v>
      </c>
      <c r="AC1247" s="39">
        <v>0.48771953003942892</v>
      </c>
      <c r="AD1247" s="39">
        <v>0.48853067158786723</v>
      </c>
      <c r="AE1247" s="39">
        <v>0.46903806755714644</v>
      </c>
      <c r="AF1247" s="40">
        <v>0.4880782165272774</v>
      </c>
    </row>
    <row r="1248" spans="1:32">
      <c r="A1248" s="15">
        <v>1246</v>
      </c>
      <c r="B1248" s="16">
        <v>0</v>
      </c>
      <c r="C1248" s="20">
        <v>0.51</v>
      </c>
      <c r="D1248" s="20">
        <v>0.46789782893496085</v>
      </c>
      <c r="E1248" s="20">
        <v>0.08</v>
      </c>
      <c r="F1248" s="8" t="s">
        <v>438</v>
      </c>
      <c r="G1248" s="24">
        <v>2.032831908915584</v>
      </c>
      <c r="H1248" s="24">
        <v>2.0446014867734328</v>
      </c>
      <c r="I1248" s="25">
        <v>1.6578926537592125</v>
      </c>
      <c r="L1248" s="15">
        <v>1246</v>
      </c>
      <c r="M1248" s="16">
        <v>1</v>
      </c>
      <c r="N1248" s="16">
        <v>0</v>
      </c>
      <c r="O1248" s="16">
        <v>12</v>
      </c>
      <c r="P1248" s="16">
        <v>209</v>
      </c>
      <c r="Q1248" s="29">
        <v>49</v>
      </c>
      <c r="R1248" s="20">
        <v>0.48229999999999995</v>
      </c>
      <c r="S1248" s="32">
        <v>23.632699999999996</v>
      </c>
      <c r="T1248" s="35">
        <v>1.71</v>
      </c>
      <c r="U1248" s="35">
        <v>0.96</v>
      </c>
      <c r="V1248" s="35">
        <v>3.4897959183673471E-2</v>
      </c>
      <c r="W1248" s="9" t="s">
        <v>153</v>
      </c>
      <c r="X1248" s="15">
        <v>1247</v>
      </c>
      <c r="Y1248" s="39">
        <v>0.48950799124198802</v>
      </c>
      <c r="Z1248" s="39">
        <v>0.49366801085583462</v>
      </c>
      <c r="AA1248" s="39">
        <v>0.48195251896095037</v>
      </c>
      <c r="AB1248" s="39">
        <v>0.49453330599251732</v>
      </c>
      <c r="AC1248" s="39">
        <v>0.48327360983346584</v>
      </c>
      <c r="AD1248" s="39">
        <v>0.48907114116801953</v>
      </c>
      <c r="AE1248" s="39">
        <v>0.47598988940406117</v>
      </c>
      <c r="AF1248" s="40">
        <v>0.48938814286257759</v>
      </c>
    </row>
    <row r="1249" spans="1:32">
      <c r="A1249" s="15">
        <v>1247</v>
      </c>
      <c r="B1249" s="16">
        <v>0</v>
      </c>
      <c r="C1249" s="20">
        <v>0.16</v>
      </c>
      <c r="D1249" s="20">
        <v>0.87773532304659418</v>
      </c>
      <c r="E1249" s="20">
        <v>7.0000000000000007E-2</v>
      </c>
      <c r="F1249" s="8" t="s">
        <v>436</v>
      </c>
      <c r="G1249" s="24">
        <v>0.77424313668033251</v>
      </c>
      <c r="H1249" s="24">
        <v>0.77872580681065595</v>
      </c>
      <c r="I1249" s="25">
        <v>0.79234465833636103</v>
      </c>
      <c r="L1249" s="15">
        <v>1247</v>
      </c>
      <c r="M1249" s="16">
        <v>1</v>
      </c>
      <c r="N1249" s="16">
        <v>0</v>
      </c>
      <c r="O1249" s="16">
        <v>12</v>
      </c>
      <c r="P1249" s="16">
        <v>210</v>
      </c>
      <c r="Q1249" s="29">
        <v>44</v>
      </c>
      <c r="R1249" s="20">
        <v>0.48229999999999995</v>
      </c>
      <c r="S1249" s="32">
        <v>21.221199999999996</v>
      </c>
      <c r="T1249" s="35">
        <v>2.2800000000000002</v>
      </c>
      <c r="U1249" s="35">
        <v>1.72</v>
      </c>
      <c r="V1249" s="35">
        <v>5.1818181818181826E-2</v>
      </c>
      <c r="W1249" s="9" t="s">
        <v>154</v>
      </c>
      <c r="X1249" s="15">
        <v>1248</v>
      </c>
      <c r="Y1249" s="39">
        <v>0.4808514513317349</v>
      </c>
      <c r="Z1249" s="39">
        <v>0.48760964026495351</v>
      </c>
      <c r="AA1249" s="39">
        <v>0.47700873337718663</v>
      </c>
      <c r="AB1249" s="39">
        <v>0.49139280730521145</v>
      </c>
      <c r="AC1249" s="39">
        <v>0.47667789151914874</v>
      </c>
      <c r="AD1249" s="39">
        <v>0.48160117900339811</v>
      </c>
      <c r="AE1249" s="39">
        <v>0.47221205702395697</v>
      </c>
      <c r="AF1249" s="40">
        <v>0.48827262927948251</v>
      </c>
    </row>
    <row r="1250" spans="1:32">
      <c r="A1250" s="15">
        <v>1248</v>
      </c>
      <c r="B1250" s="16">
        <v>0</v>
      </c>
      <c r="C1250" s="20">
        <v>0.87</v>
      </c>
      <c r="D1250" s="20">
        <v>0.27523630324073212</v>
      </c>
      <c r="E1250" s="20">
        <v>0.13</v>
      </c>
      <c r="F1250" s="8" t="s">
        <v>434</v>
      </c>
      <c r="G1250" s="24">
        <v>0.47348553141568767</v>
      </c>
      <c r="H1250" s="24">
        <v>0.47622689178204214</v>
      </c>
      <c r="I1250" s="25">
        <v>0.48455545014623747</v>
      </c>
      <c r="L1250" s="15">
        <v>1248</v>
      </c>
      <c r="M1250" s="16">
        <v>1</v>
      </c>
      <c r="N1250" s="16">
        <v>0</v>
      </c>
      <c r="O1250" s="16">
        <v>12</v>
      </c>
      <c r="P1250" s="16">
        <v>211</v>
      </c>
      <c r="Q1250" s="29">
        <v>43</v>
      </c>
      <c r="R1250" s="20">
        <v>0.48229999999999995</v>
      </c>
      <c r="S1250" s="32">
        <v>20.738899999999997</v>
      </c>
      <c r="T1250" s="35">
        <v>1.65</v>
      </c>
      <c r="U1250" s="35">
        <v>0.89</v>
      </c>
      <c r="V1250" s="35">
        <v>3.837209302325581E-2</v>
      </c>
      <c r="W1250" s="9" t="s">
        <v>153</v>
      </c>
      <c r="X1250" s="15">
        <v>1249</v>
      </c>
      <c r="Y1250" s="39">
        <v>0.48726609954035194</v>
      </c>
      <c r="Z1250" s="39">
        <v>0.47275306664045919</v>
      </c>
      <c r="AA1250" s="39">
        <v>0.47524185841730182</v>
      </c>
      <c r="AB1250" s="39">
        <v>0.48185050865578299</v>
      </c>
      <c r="AC1250" s="39">
        <v>0.4811631508168866</v>
      </c>
      <c r="AD1250" s="39">
        <v>0.46653533016472537</v>
      </c>
      <c r="AE1250" s="39">
        <v>0.47194121675862327</v>
      </c>
      <c r="AF1250" s="40">
        <v>0.47888344715238507</v>
      </c>
    </row>
    <row r="1251" spans="1:32">
      <c r="A1251" s="15">
        <v>1249</v>
      </c>
      <c r="B1251" s="16">
        <v>1</v>
      </c>
      <c r="C1251" s="20">
        <v>7.0000000000000007E-2</v>
      </c>
      <c r="D1251" s="20">
        <v>0.93384726048427114</v>
      </c>
      <c r="E1251" s="20">
        <v>0.5</v>
      </c>
      <c r="F1251" s="8" t="s">
        <v>436</v>
      </c>
      <c r="G1251" s="24">
        <v>1.0643254250639798</v>
      </c>
      <c r="H1251" s="24">
        <v>1.0704875975984816</v>
      </c>
      <c r="I1251" s="25">
        <v>1.0892089646371719</v>
      </c>
      <c r="L1251" s="15">
        <v>1249</v>
      </c>
      <c r="M1251" s="16">
        <v>1</v>
      </c>
      <c r="N1251" s="16">
        <v>0</v>
      </c>
      <c r="O1251" s="16">
        <v>12</v>
      </c>
      <c r="P1251" s="16">
        <v>212</v>
      </c>
      <c r="Q1251" s="29">
        <v>23</v>
      </c>
      <c r="R1251" s="20">
        <v>0.48229999999999995</v>
      </c>
      <c r="S1251" s="32">
        <v>11.092899999999998</v>
      </c>
      <c r="T1251" s="35">
        <v>1.6500000000000001</v>
      </c>
      <c r="U1251" s="35">
        <v>1.29</v>
      </c>
      <c r="V1251" s="35">
        <v>7.1739130434782611E-2</v>
      </c>
      <c r="W1251" s="9" t="s">
        <v>153</v>
      </c>
      <c r="X1251" s="15">
        <v>1250</v>
      </c>
      <c r="Y1251" s="39">
        <v>0.48553791598440643</v>
      </c>
      <c r="Z1251" s="39">
        <v>0.48368891137474695</v>
      </c>
      <c r="AA1251" s="39">
        <v>0.47345392995746832</v>
      </c>
      <c r="AB1251" s="39">
        <v>0.49225589214787047</v>
      </c>
      <c r="AC1251" s="39">
        <v>0.47833743456542022</v>
      </c>
      <c r="AD1251" s="39">
        <v>0.47740198914907639</v>
      </c>
      <c r="AE1251" s="39">
        <v>0.46851766005813994</v>
      </c>
      <c r="AF1251" s="40">
        <v>0.48704046291711628</v>
      </c>
    </row>
    <row r="1252" spans="1:32">
      <c r="A1252" s="15">
        <v>1250</v>
      </c>
      <c r="B1252" s="16">
        <v>0</v>
      </c>
      <c r="C1252" s="20">
        <v>0.9</v>
      </c>
      <c r="D1252" s="20">
        <v>0.23159538658365303</v>
      </c>
      <c r="E1252" s="20">
        <v>0.1</v>
      </c>
      <c r="F1252" s="8" t="s">
        <v>434</v>
      </c>
      <c r="G1252" s="24">
        <v>0.56285784151772622</v>
      </c>
      <c r="H1252" s="24">
        <v>0.56611664474665502</v>
      </c>
      <c r="I1252" s="25">
        <v>0.57601725220515376</v>
      </c>
      <c r="L1252" s="15">
        <v>1250</v>
      </c>
      <c r="M1252" s="16">
        <v>1</v>
      </c>
      <c r="N1252" s="16">
        <v>0</v>
      </c>
      <c r="O1252" s="16">
        <v>12</v>
      </c>
      <c r="P1252" s="16">
        <v>213</v>
      </c>
      <c r="Q1252" s="29">
        <v>53</v>
      </c>
      <c r="R1252" s="20">
        <v>0.48229999999999995</v>
      </c>
      <c r="S1252" s="32">
        <v>25.561899999999998</v>
      </c>
      <c r="T1252" s="35">
        <v>1.08</v>
      </c>
      <c r="U1252" s="35">
        <v>0.22</v>
      </c>
      <c r="V1252" s="35">
        <v>2.0377358490566037E-2</v>
      </c>
      <c r="W1252" s="9" t="s">
        <v>153</v>
      </c>
      <c r="X1252" s="15">
        <v>1251</v>
      </c>
      <c r="Y1252" s="39">
        <v>0.5039537627465549</v>
      </c>
      <c r="Z1252" s="39">
        <v>0.48308870073148341</v>
      </c>
      <c r="AA1252" s="39">
        <v>0.49602037903100521</v>
      </c>
      <c r="AB1252" s="39">
        <v>0.48567528059710874</v>
      </c>
      <c r="AC1252" s="39">
        <v>0.49721999943072503</v>
      </c>
      <c r="AD1252" s="39">
        <v>0.4765770530468818</v>
      </c>
      <c r="AE1252" s="39">
        <v>0.48731037324672993</v>
      </c>
      <c r="AF1252" s="40">
        <v>0.48145513575557247</v>
      </c>
    </row>
    <row r="1253" spans="1:32">
      <c r="A1253" s="15">
        <v>1251</v>
      </c>
      <c r="B1253" s="16">
        <v>1</v>
      </c>
      <c r="C1253" s="20">
        <v>0.1</v>
      </c>
      <c r="D1253" s="20">
        <v>0.92469380099691778</v>
      </c>
      <c r="E1253" s="20">
        <v>0.51</v>
      </c>
      <c r="F1253" s="8" t="s">
        <v>436</v>
      </c>
      <c r="G1253" s="24">
        <v>1.0268745435722559</v>
      </c>
      <c r="H1253" s="24">
        <v>1.0328198850625241</v>
      </c>
      <c r="I1253" s="25">
        <v>1.0508824952193265</v>
      </c>
      <c r="L1253" s="15">
        <v>1251</v>
      </c>
      <c r="M1253" s="16">
        <v>1</v>
      </c>
      <c r="N1253" s="16">
        <v>0</v>
      </c>
      <c r="O1253" s="16">
        <v>12</v>
      </c>
      <c r="P1253" s="16">
        <v>214</v>
      </c>
      <c r="Q1253" s="29">
        <v>58</v>
      </c>
      <c r="R1253" s="20">
        <v>0.48229999999999995</v>
      </c>
      <c r="S1253" s="32">
        <v>27.973399999999998</v>
      </c>
      <c r="T1253" s="35">
        <v>3.74</v>
      </c>
      <c r="U1253" s="35">
        <v>2.78</v>
      </c>
      <c r="V1253" s="35">
        <v>6.4482758620689654E-2</v>
      </c>
      <c r="W1253" s="9" t="s">
        <v>155</v>
      </c>
      <c r="X1253" s="15">
        <v>1252</v>
      </c>
      <c r="Y1253" s="39">
        <v>0.48867758265824868</v>
      </c>
      <c r="Z1253" s="39">
        <v>0.4869228953813457</v>
      </c>
      <c r="AA1253" s="39">
        <v>0.46450649757013152</v>
      </c>
      <c r="AB1253" s="39">
        <v>0.47515849280686639</v>
      </c>
      <c r="AC1253" s="39">
        <v>0.48213384821900318</v>
      </c>
      <c r="AD1253" s="39">
        <v>0.48081267936664834</v>
      </c>
      <c r="AE1253" s="39">
        <v>0.46064435756772948</v>
      </c>
      <c r="AF1253" s="40">
        <v>0.47322530539228158</v>
      </c>
    </row>
    <row r="1254" spans="1:32">
      <c r="A1254" s="15">
        <v>1252</v>
      </c>
      <c r="B1254" s="16">
        <v>0</v>
      </c>
      <c r="C1254" s="20">
        <v>0.14000000000000001</v>
      </c>
      <c r="D1254" s="20">
        <v>0.88514658346793162</v>
      </c>
      <c r="E1254" s="20">
        <v>0.06</v>
      </c>
      <c r="F1254" s="8" t="s">
        <v>436</v>
      </c>
      <c r="G1254" s="24">
        <v>1.0908488274879193</v>
      </c>
      <c r="H1254" s="24">
        <v>1.0971645637521692</v>
      </c>
      <c r="I1254" s="25">
        <v>1.1163524745191213</v>
      </c>
      <c r="L1254" s="15">
        <v>1252</v>
      </c>
      <c r="M1254" s="16">
        <v>1</v>
      </c>
      <c r="N1254" s="16">
        <v>0</v>
      </c>
      <c r="O1254" s="16">
        <v>12</v>
      </c>
      <c r="P1254" s="16">
        <v>215</v>
      </c>
      <c r="Q1254" s="29">
        <v>43</v>
      </c>
      <c r="R1254" s="20">
        <v>0.48229999999999995</v>
      </c>
      <c r="S1254" s="32">
        <v>20.738899999999997</v>
      </c>
      <c r="T1254" s="35">
        <v>1.17</v>
      </c>
      <c r="U1254" s="35">
        <v>0.65</v>
      </c>
      <c r="V1254" s="35">
        <v>2.7209302325581393E-2</v>
      </c>
      <c r="W1254" s="9" t="s">
        <v>153</v>
      </c>
      <c r="X1254" s="15">
        <v>1253</v>
      </c>
      <c r="Y1254" s="39">
        <v>0.49223582510413944</v>
      </c>
      <c r="Z1254" s="39">
        <v>0.48497013897678332</v>
      </c>
      <c r="AA1254" s="39">
        <v>0.49675994784599486</v>
      </c>
      <c r="AB1254" s="39">
        <v>0.50128627724784702</v>
      </c>
      <c r="AC1254" s="39">
        <v>0.48366417828593289</v>
      </c>
      <c r="AD1254" s="39">
        <v>0.47657050523683864</v>
      </c>
      <c r="AE1254" s="39">
        <v>0.48816788270631684</v>
      </c>
      <c r="AF1254" s="40">
        <v>0.49808947266650921</v>
      </c>
    </row>
    <row r="1255" spans="1:32">
      <c r="A1255" s="15">
        <v>1253</v>
      </c>
      <c r="B1255" s="16">
        <v>0</v>
      </c>
      <c r="C1255" s="20">
        <v>0.09</v>
      </c>
      <c r="D1255" s="20">
        <v>0.9258126341194497</v>
      </c>
      <c r="E1255" s="20">
        <v>0.09</v>
      </c>
      <c r="F1255" s="8" t="s">
        <v>436</v>
      </c>
      <c r="G1255" s="24">
        <v>1.0594982417968017</v>
      </c>
      <c r="H1255" s="24">
        <v>1.0656324661723595</v>
      </c>
      <c r="I1255" s="25">
        <v>1.0842689235888798</v>
      </c>
      <c r="L1255" s="15">
        <v>1253</v>
      </c>
      <c r="M1255" s="16">
        <v>1</v>
      </c>
      <c r="N1255" s="16">
        <v>0</v>
      </c>
      <c r="O1255" s="16">
        <v>12</v>
      </c>
      <c r="P1255" s="16">
        <v>216</v>
      </c>
      <c r="Q1255" s="29">
        <v>40</v>
      </c>
      <c r="R1255" s="20">
        <v>0.48229999999999995</v>
      </c>
      <c r="S1255" s="32">
        <v>19.291999999999998</v>
      </c>
      <c r="T1255" s="35">
        <v>1.1000000000000001</v>
      </c>
      <c r="U1255" s="35">
        <v>0.51</v>
      </c>
      <c r="V1255" s="35">
        <v>2.7500000000000004E-2</v>
      </c>
      <c r="W1255" s="9" t="s">
        <v>153</v>
      </c>
      <c r="X1255" s="15">
        <v>1254</v>
      </c>
      <c r="Y1255" s="39">
        <v>0.47955532302213899</v>
      </c>
      <c r="Z1255" s="39">
        <v>0.4863235612987748</v>
      </c>
      <c r="AA1255" s="39">
        <v>0.50285534947244948</v>
      </c>
      <c r="AB1255" s="39">
        <v>0.48157042022059915</v>
      </c>
      <c r="AC1255" s="39">
        <v>0.47255343215914941</v>
      </c>
      <c r="AD1255" s="39">
        <v>0.48130959153342628</v>
      </c>
      <c r="AE1255" s="39">
        <v>0.49564340597758222</v>
      </c>
      <c r="AF1255" s="40">
        <v>0.47602203399063198</v>
      </c>
    </row>
    <row r="1256" spans="1:32">
      <c r="A1256" s="15">
        <v>1254</v>
      </c>
      <c r="B1256" s="16">
        <v>1</v>
      </c>
      <c r="C1256" s="20">
        <v>0.02</v>
      </c>
      <c r="D1256" s="20">
        <v>0.99917029198757767</v>
      </c>
      <c r="E1256" s="20">
        <v>1</v>
      </c>
      <c r="F1256" s="8" t="s">
        <v>436</v>
      </c>
      <c r="G1256" s="24">
        <v>1.2173450889986992</v>
      </c>
      <c r="H1256" s="24">
        <v>1.2243932063280278</v>
      </c>
      <c r="I1256" s="25">
        <v>1.2458061724070084</v>
      </c>
      <c r="L1256" s="15">
        <v>1254</v>
      </c>
      <c r="M1256" s="16">
        <v>1</v>
      </c>
      <c r="N1256" s="16">
        <v>0</v>
      </c>
      <c r="O1256" s="16">
        <v>12</v>
      </c>
      <c r="P1256" s="16">
        <v>217</v>
      </c>
      <c r="Q1256" s="29">
        <v>68</v>
      </c>
      <c r="R1256" s="20">
        <v>0.48229999999999995</v>
      </c>
      <c r="S1256" s="32">
        <v>32.796399999999998</v>
      </c>
      <c r="T1256" s="35">
        <v>2.74</v>
      </c>
      <c r="U1256" s="35">
        <v>1.75</v>
      </c>
      <c r="V1256" s="35">
        <v>4.0294117647058827E-2</v>
      </c>
      <c r="W1256" s="9" t="s">
        <v>154</v>
      </c>
      <c r="X1256" s="15">
        <v>1255</v>
      </c>
      <c r="Y1256" s="39">
        <v>0.48681062216432214</v>
      </c>
      <c r="Z1256" s="39">
        <v>0.48406510239401668</v>
      </c>
      <c r="AA1256" s="39">
        <v>0.47966953953535674</v>
      </c>
      <c r="AB1256" s="39">
        <v>0.49284884761377568</v>
      </c>
      <c r="AC1256" s="39">
        <v>0.48295551226174549</v>
      </c>
      <c r="AD1256" s="39">
        <v>0.47726259154443668</v>
      </c>
      <c r="AE1256" s="39">
        <v>0.470571486224515</v>
      </c>
      <c r="AF1256" s="40">
        <v>0.4887213062338755</v>
      </c>
    </row>
    <row r="1257" spans="1:32">
      <c r="A1257" s="15">
        <v>1255</v>
      </c>
      <c r="B1257" s="16">
        <v>0</v>
      </c>
      <c r="C1257" s="20">
        <v>0.91</v>
      </c>
      <c r="D1257" s="20">
        <v>0.21727233298780477</v>
      </c>
      <c r="E1257" s="20">
        <v>0.09</v>
      </c>
      <c r="F1257" s="8" t="s">
        <v>434</v>
      </c>
      <c r="G1257" s="24">
        <v>0.62002756834797013</v>
      </c>
      <c r="H1257" s="24">
        <v>0.62361736970226755</v>
      </c>
      <c r="I1257" s="25">
        <v>0.63452358636100348</v>
      </c>
      <c r="L1257" s="15">
        <v>1255</v>
      </c>
      <c r="M1257" s="16">
        <v>1</v>
      </c>
      <c r="N1257" s="16">
        <v>0</v>
      </c>
      <c r="O1257" s="16">
        <v>12</v>
      </c>
      <c r="P1257" s="16">
        <v>218</v>
      </c>
      <c r="Q1257" s="29">
        <v>53</v>
      </c>
      <c r="R1257" s="20">
        <v>0.48229999999999995</v>
      </c>
      <c r="S1257" s="32">
        <v>25.561899999999998</v>
      </c>
      <c r="T1257" s="35">
        <v>1.37</v>
      </c>
      <c r="U1257" s="35">
        <v>0.68</v>
      </c>
      <c r="V1257" s="35">
        <v>2.5849056603773585E-2</v>
      </c>
      <c r="W1257" s="9" t="s">
        <v>153</v>
      </c>
      <c r="X1257" s="15">
        <v>1256</v>
      </c>
      <c r="Y1257" s="39">
        <v>0.49039164476843855</v>
      </c>
      <c r="Z1257" s="39">
        <v>0.48597745963172051</v>
      </c>
      <c r="AA1257" s="39">
        <v>0.49660234916025658</v>
      </c>
      <c r="AB1257" s="39">
        <v>0.50013397349221478</v>
      </c>
      <c r="AC1257" s="39">
        <v>0.48026414742158696</v>
      </c>
      <c r="AD1257" s="39">
        <v>0.47780033581700088</v>
      </c>
      <c r="AE1257" s="39">
        <v>0.48944371775083578</v>
      </c>
      <c r="AF1257" s="40">
        <v>0.4985977575020194</v>
      </c>
    </row>
    <row r="1258" spans="1:32">
      <c r="A1258" s="15">
        <v>1256</v>
      </c>
      <c r="B1258" s="16">
        <v>1</v>
      </c>
      <c r="C1258" s="20">
        <v>0.61</v>
      </c>
      <c r="D1258" s="20">
        <v>0.44921808160814558</v>
      </c>
      <c r="E1258" s="20">
        <v>0.09</v>
      </c>
      <c r="F1258" s="8" t="s">
        <v>438</v>
      </c>
      <c r="G1258" s="24">
        <v>1.870080530212108</v>
      </c>
      <c r="H1258" s="24">
        <v>1.8809078191307083</v>
      </c>
      <c r="I1258" s="25">
        <v>1.6578926537592125</v>
      </c>
      <c r="L1258" s="15">
        <v>1256</v>
      </c>
      <c r="M1258" s="16">
        <v>1</v>
      </c>
      <c r="N1258" s="16">
        <v>0</v>
      </c>
      <c r="O1258" s="16">
        <v>12</v>
      </c>
      <c r="P1258" s="16">
        <v>219</v>
      </c>
      <c r="Q1258" s="29">
        <v>48</v>
      </c>
      <c r="R1258" s="20">
        <v>0.48229999999999995</v>
      </c>
      <c r="S1258" s="32">
        <v>23.150399999999998</v>
      </c>
      <c r="T1258" s="35">
        <v>1.42</v>
      </c>
      <c r="U1258" s="35">
        <v>0.69</v>
      </c>
      <c r="V1258" s="35">
        <v>2.9583333333333333E-2</v>
      </c>
      <c r="W1258" s="9" t="s">
        <v>153</v>
      </c>
      <c r="X1258" s="15">
        <v>1257</v>
      </c>
      <c r="Y1258" s="39">
        <v>0.48596802288251834</v>
      </c>
      <c r="Z1258" s="39">
        <v>0.49680276457998557</v>
      </c>
      <c r="AA1258" s="39">
        <v>0.4916044271695309</v>
      </c>
      <c r="AB1258" s="39">
        <v>0.49978707715552256</v>
      </c>
      <c r="AC1258" s="39">
        <v>0.47821792981314198</v>
      </c>
      <c r="AD1258" s="39">
        <v>0.48906513441559168</v>
      </c>
      <c r="AE1258" s="39">
        <v>0.48544757655066817</v>
      </c>
      <c r="AF1258" s="40">
        <v>0.49898845554475696</v>
      </c>
    </row>
    <row r="1259" spans="1:32">
      <c r="A1259" s="15">
        <v>1257</v>
      </c>
      <c r="B1259" s="16">
        <v>0</v>
      </c>
      <c r="C1259" s="20">
        <v>0.92</v>
      </c>
      <c r="D1259" s="20">
        <v>0.20258497911151899</v>
      </c>
      <c r="E1259" s="20">
        <v>0.08</v>
      </c>
      <c r="F1259" s="8" t="s">
        <v>434</v>
      </c>
      <c r="G1259" s="24">
        <v>0.37768183679551454</v>
      </c>
      <c r="H1259" s="24">
        <v>0.37986851822459122</v>
      </c>
      <c r="I1259" s="25">
        <v>0.3865119001489406</v>
      </c>
      <c r="L1259" s="15">
        <v>1257</v>
      </c>
      <c r="M1259" s="16">
        <v>1</v>
      </c>
      <c r="N1259" s="16">
        <v>0</v>
      </c>
      <c r="O1259" s="16">
        <v>12</v>
      </c>
      <c r="P1259" s="16">
        <v>220</v>
      </c>
      <c r="Q1259" s="29">
        <v>56</v>
      </c>
      <c r="R1259" s="20">
        <v>0.48229999999999995</v>
      </c>
      <c r="S1259" s="32">
        <v>27.008799999999997</v>
      </c>
      <c r="T1259" s="35">
        <v>1.41</v>
      </c>
      <c r="U1259" s="35">
        <v>0.61</v>
      </c>
      <c r="V1259" s="35">
        <v>2.5178571428571429E-2</v>
      </c>
      <c r="W1259" s="9" t="s">
        <v>153</v>
      </c>
      <c r="X1259" s="15">
        <v>1258</v>
      </c>
      <c r="Y1259" s="39">
        <v>0.4934813421695029</v>
      </c>
      <c r="Z1259" s="39">
        <v>0.49090162975330365</v>
      </c>
      <c r="AA1259" s="39">
        <v>0.49204655455631435</v>
      </c>
      <c r="AB1259" s="39">
        <v>0.47977720747437935</v>
      </c>
      <c r="AC1259" s="39">
        <v>0.48422749247411262</v>
      </c>
      <c r="AD1259" s="39">
        <v>0.48147364875744736</v>
      </c>
      <c r="AE1259" s="39">
        <v>0.48422445705909689</v>
      </c>
      <c r="AF1259" s="40">
        <v>0.47440398515397236</v>
      </c>
    </row>
    <row r="1260" spans="1:32">
      <c r="A1260" s="15">
        <v>1258</v>
      </c>
      <c r="B1260" s="16">
        <v>0</v>
      </c>
      <c r="C1260" s="20">
        <v>0.2</v>
      </c>
      <c r="D1260" s="20">
        <v>0.7997842049265812</v>
      </c>
      <c r="E1260" s="20">
        <v>0.46</v>
      </c>
      <c r="F1260" s="8" t="s">
        <v>436</v>
      </c>
      <c r="G1260" s="24">
        <v>0.82318640457149905</v>
      </c>
      <c r="H1260" s="24">
        <v>0.82795244372979593</v>
      </c>
      <c r="I1260" s="25">
        <v>0.84243220194877888</v>
      </c>
      <c r="L1260" s="15">
        <v>1258</v>
      </c>
      <c r="M1260" s="16">
        <v>1</v>
      </c>
      <c r="N1260" s="16">
        <v>0</v>
      </c>
      <c r="O1260" s="16">
        <v>13</v>
      </c>
      <c r="P1260" s="16">
        <v>221</v>
      </c>
      <c r="Q1260" s="29">
        <v>37</v>
      </c>
      <c r="R1260" s="20">
        <v>0.48229999999999995</v>
      </c>
      <c r="S1260" s="32">
        <v>17.845099999999999</v>
      </c>
      <c r="T1260" s="35">
        <v>2.4500000000000002</v>
      </c>
      <c r="U1260" s="35">
        <v>1.79</v>
      </c>
      <c r="V1260" s="35">
        <v>6.621621621621622E-2</v>
      </c>
      <c r="W1260" s="9" t="s">
        <v>154</v>
      </c>
      <c r="X1260" s="15">
        <v>1259</v>
      </c>
      <c r="Y1260" s="39">
        <v>0.48035444554804974</v>
      </c>
      <c r="Z1260" s="39">
        <v>0.47564327437999598</v>
      </c>
      <c r="AA1260" s="39">
        <v>0.4939137348524214</v>
      </c>
      <c r="AB1260" s="39">
        <v>0.47967684666280241</v>
      </c>
      <c r="AC1260" s="39">
        <v>0.47370888130254352</v>
      </c>
      <c r="AD1260" s="39">
        <v>0.47054574614273481</v>
      </c>
      <c r="AE1260" s="39">
        <v>0.48681717624065446</v>
      </c>
      <c r="AF1260" s="40">
        <v>0.47642042970904469</v>
      </c>
    </row>
    <row r="1261" spans="1:32">
      <c r="A1261" s="15">
        <v>1259</v>
      </c>
      <c r="B1261" s="16">
        <v>1</v>
      </c>
      <c r="C1261" s="20">
        <v>0.88</v>
      </c>
      <c r="D1261" s="20">
        <v>0.25930874124763043</v>
      </c>
      <c r="E1261" s="20">
        <v>0.12</v>
      </c>
      <c r="F1261" s="8" t="s">
        <v>434</v>
      </c>
      <c r="G1261" s="24">
        <v>0.49828879056109354</v>
      </c>
      <c r="H1261" s="24">
        <v>0.50117375546669196</v>
      </c>
      <c r="I1261" s="25">
        <v>0.50993860042827743</v>
      </c>
      <c r="L1261" s="15">
        <v>1259</v>
      </c>
      <c r="M1261" s="16">
        <v>1</v>
      </c>
      <c r="N1261" s="16">
        <v>0</v>
      </c>
      <c r="O1261" s="16">
        <v>13</v>
      </c>
      <c r="P1261" s="16">
        <v>222</v>
      </c>
      <c r="Q1261" s="29">
        <v>31</v>
      </c>
      <c r="R1261" s="20">
        <v>0.48229999999999995</v>
      </c>
      <c r="S1261" s="32">
        <v>14.951299999999998</v>
      </c>
      <c r="T1261" s="35">
        <v>2.36</v>
      </c>
      <c r="U1261" s="35">
        <v>1.81</v>
      </c>
      <c r="V1261" s="35">
        <v>7.6129032258064513E-2</v>
      </c>
      <c r="W1261" s="9" t="s">
        <v>154</v>
      </c>
      <c r="X1261" s="15">
        <v>1260</v>
      </c>
      <c r="Y1261" s="39">
        <v>0.48472394031630761</v>
      </c>
      <c r="Z1261" s="39">
        <v>0.5002297440127601</v>
      </c>
      <c r="AA1261" s="39">
        <v>0.50325118303334937</v>
      </c>
      <c r="AB1261" s="39">
        <v>0.50169220533377956</v>
      </c>
      <c r="AC1261" s="39">
        <v>0.47607377767449166</v>
      </c>
      <c r="AD1261" s="39">
        <v>0.4935116747414332</v>
      </c>
      <c r="AE1261" s="39">
        <v>0.49638930138882437</v>
      </c>
      <c r="AF1261" s="40">
        <v>0.4975362643532994</v>
      </c>
    </row>
    <row r="1262" spans="1:32">
      <c r="A1262" s="15">
        <v>1260</v>
      </c>
      <c r="B1262" s="16">
        <v>0</v>
      </c>
      <c r="C1262" s="20">
        <v>0.92</v>
      </c>
      <c r="D1262" s="20">
        <v>0.20258497911151899</v>
      </c>
      <c r="E1262" s="20">
        <v>0.08</v>
      </c>
      <c r="F1262" s="8" t="s">
        <v>434</v>
      </c>
      <c r="G1262" s="24">
        <v>0.76245949775142263</v>
      </c>
      <c r="H1262" s="24">
        <v>0.76687394362020522</v>
      </c>
      <c r="I1262" s="25">
        <v>0.78028552223459535</v>
      </c>
      <c r="L1262" s="15">
        <v>1260</v>
      </c>
      <c r="M1262" s="16">
        <v>1</v>
      </c>
      <c r="N1262" s="16">
        <v>0</v>
      </c>
      <c r="O1262" s="16">
        <v>13</v>
      </c>
      <c r="P1262" s="16">
        <v>223</v>
      </c>
      <c r="Q1262" s="29">
        <v>37</v>
      </c>
      <c r="R1262" s="20">
        <v>0.48229999999999995</v>
      </c>
      <c r="S1262" s="32">
        <v>17.845099999999999</v>
      </c>
      <c r="T1262" s="35">
        <v>1.28</v>
      </c>
      <c r="U1262" s="35">
        <v>0.59</v>
      </c>
      <c r="V1262" s="35">
        <v>3.4594594594594595E-2</v>
      </c>
      <c r="W1262" s="9" t="s">
        <v>153</v>
      </c>
      <c r="X1262" s="15">
        <v>1261</v>
      </c>
      <c r="Y1262" s="39">
        <v>0.49469319286942592</v>
      </c>
      <c r="Z1262" s="39">
        <v>0.50127964248576662</v>
      </c>
      <c r="AA1262" s="39">
        <v>0.47241460996459683</v>
      </c>
      <c r="AB1262" s="39">
        <v>0.47405776315261178</v>
      </c>
      <c r="AC1262" s="39">
        <v>0.48434416031866645</v>
      </c>
      <c r="AD1262" s="39">
        <v>0.49524665343385027</v>
      </c>
      <c r="AE1262" s="39">
        <v>0.46385330958001886</v>
      </c>
      <c r="AF1262" s="40">
        <v>0.46798506965228509</v>
      </c>
    </row>
    <row r="1263" spans="1:32">
      <c r="A1263" s="15">
        <v>1261</v>
      </c>
      <c r="B1263" s="16">
        <v>0</v>
      </c>
      <c r="C1263" s="20">
        <v>0.27</v>
      </c>
      <c r="D1263" s="20">
        <v>0.73371783685729286</v>
      </c>
      <c r="E1263" s="20">
        <v>0.09</v>
      </c>
      <c r="F1263" s="8" t="s">
        <v>436</v>
      </c>
      <c r="G1263" s="24">
        <v>0.72416137299839256</v>
      </c>
      <c r="H1263" s="24">
        <v>0.7283540825007232</v>
      </c>
      <c r="I1263" s="25">
        <v>0.74109200131754538</v>
      </c>
      <c r="L1263" s="15">
        <v>1261</v>
      </c>
      <c r="M1263" s="16">
        <v>1</v>
      </c>
      <c r="N1263" s="16">
        <v>0</v>
      </c>
      <c r="O1263" s="16">
        <v>13</v>
      </c>
      <c r="P1263" s="16">
        <v>224</v>
      </c>
      <c r="Q1263" s="29">
        <v>33</v>
      </c>
      <c r="R1263" s="20">
        <v>0.48229999999999995</v>
      </c>
      <c r="S1263" s="32">
        <v>15.915899999999999</v>
      </c>
      <c r="T1263" s="35">
        <v>1.51</v>
      </c>
      <c r="U1263" s="35">
        <v>1.0900000000000001</v>
      </c>
      <c r="V1263" s="35">
        <v>4.5757575757575761E-2</v>
      </c>
      <c r="W1263" s="9" t="s">
        <v>153</v>
      </c>
      <c r="X1263" s="15">
        <v>1262</v>
      </c>
      <c r="Y1263" s="39">
        <v>0.49336734344682359</v>
      </c>
      <c r="Z1263" s="39">
        <v>0.47956117067034404</v>
      </c>
      <c r="AA1263" s="39">
        <v>0.48847339117560556</v>
      </c>
      <c r="AB1263" s="39">
        <v>0.47146873678557549</v>
      </c>
      <c r="AC1263" s="39">
        <v>0.48631461435749718</v>
      </c>
      <c r="AD1263" s="39">
        <v>0.47266112238069469</v>
      </c>
      <c r="AE1263" s="39">
        <v>0.48294089882631336</v>
      </c>
      <c r="AF1263" s="40">
        <v>0.46788536472017328</v>
      </c>
    </row>
    <row r="1264" spans="1:32">
      <c r="A1264" s="15">
        <v>1262</v>
      </c>
      <c r="B1264" s="16">
        <v>0</v>
      </c>
      <c r="C1264" s="20">
        <v>0.17</v>
      </c>
      <c r="D1264" s="20">
        <v>0.85448433480579011</v>
      </c>
      <c r="E1264" s="20">
        <v>0.08</v>
      </c>
      <c r="F1264" s="8" t="s">
        <v>436</v>
      </c>
      <c r="G1264" s="24">
        <v>0.86924511231796842</v>
      </c>
      <c r="H1264" s="24">
        <v>0.87427781963730522</v>
      </c>
      <c r="I1264" s="25">
        <v>0.88956774545422723</v>
      </c>
      <c r="L1264" s="15">
        <v>1262</v>
      </c>
      <c r="M1264" s="16">
        <v>1</v>
      </c>
      <c r="N1264" s="16">
        <v>0</v>
      </c>
      <c r="O1264" s="16">
        <v>13</v>
      </c>
      <c r="P1264" s="16">
        <v>225</v>
      </c>
      <c r="Q1264" s="29">
        <v>39</v>
      </c>
      <c r="R1264" s="20">
        <v>0.48229999999999995</v>
      </c>
      <c r="S1264" s="32">
        <v>18.809699999999999</v>
      </c>
      <c r="T1264" s="35">
        <v>1.47</v>
      </c>
      <c r="U1264" s="35">
        <v>0.72</v>
      </c>
      <c r="V1264" s="35">
        <v>3.7692307692307692E-2</v>
      </c>
      <c r="W1264" s="9" t="s">
        <v>153</v>
      </c>
      <c r="X1264" s="15">
        <v>1263</v>
      </c>
      <c r="Y1264" s="39">
        <v>0.48000105539343318</v>
      </c>
      <c r="Z1264" s="39">
        <v>0.48993192087351323</v>
      </c>
      <c r="AA1264" s="39">
        <v>0.49498164204078121</v>
      </c>
      <c r="AB1264" s="39">
        <v>0.47867383364222837</v>
      </c>
      <c r="AC1264" s="39">
        <v>0.47097713727728902</v>
      </c>
      <c r="AD1264" s="39">
        <v>0.48234084719124426</v>
      </c>
      <c r="AE1264" s="39">
        <v>0.487156201007301</v>
      </c>
      <c r="AF1264" s="40">
        <v>0.47766597681750111</v>
      </c>
    </row>
    <row r="1265" spans="1:32">
      <c r="A1265" s="15">
        <v>1263</v>
      </c>
      <c r="B1265" s="16">
        <v>0</v>
      </c>
      <c r="C1265" s="20">
        <v>0.9</v>
      </c>
      <c r="D1265" s="20">
        <v>0.231595386583653</v>
      </c>
      <c r="E1265" s="20">
        <v>0.1</v>
      </c>
      <c r="F1265" s="8" t="s">
        <v>434</v>
      </c>
      <c r="G1265" s="24">
        <v>1.6815690868308273</v>
      </c>
      <c r="H1265" s="24">
        <v>1.6913049426111337</v>
      </c>
      <c r="I1265" s="25">
        <v>1.6578926537592125</v>
      </c>
      <c r="L1265" s="15">
        <v>1263</v>
      </c>
      <c r="M1265" s="16">
        <v>1</v>
      </c>
      <c r="N1265" s="16">
        <v>0</v>
      </c>
      <c r="O1265" s="16">
        <v>13</v>
      </c>
      <c r="P1265" s="16">
        <v>226</v>
      </c>
      <c r="Q1265" s="29">
        <v>39</v>
      </c>
      <c r="R1265" s="20">
        <v>0.48229999999999995</v>
      </c>
      <c r="S1265" s="32">
        <v>18.809699999999999</v>
      </c>
      <c r="T1265" s="35">
        <v>1.85</v>
      </c>
      <c r="U1265" s="35">
        <v>1.24</v>
      </c>
      <c r="V1265" s="35">
        <v>4.7435897435897441E-2</v>
      </c>
      <c r="W1265" s="9" t="s">
        <v>153</v>
      </c>
      <c r="X1265" s="15">
        <v>1264</v>
      </c>
      <c r="Y1265" s="39">
        <v>0.48673080328994039</v>
      </c>
      <c r="Z1265" s="39">
        <v>0.48034885350990536</v>
      </c>
      <c r="AA1265" s="39">
        <v>0.50125339577710593</v>
      </c>
      <c r="AB1265" s="39">
        <v>0.47665140116021043</v>
      </c>
      <c r="AC1265" s="39">
        <v>0.48060417309062325</v>
      </c>
      <c r="AD1265" s="39">
        <v>0.4752869685639613</v>
      </c>
      <c r="AE1265" s="39">
        <v>0.49239370050601361</v>
      </c>
      <c r="AF1265" s="40">
        <v>0.4742667362968927</v>
      </c>
    </row>
    <row r="1266" spans="1:32">
      <c r="A1266" s="15">
        <v>1264</v>
      </c>
      <c r="B1266" s="16">
        <v>1</v>
      </c>
      <c r="C1266" s="20">
        <v>0.09</v>
      </c>
      <c r="D1266" s="20">
        <v>0.91662553751470621</v>
      </c>
      <c r="E1266" s="20">
        <v>0.06</v>
      </c>
      <c r="F1266" s="8" t="s">
        <v>436</v>
      </c>
      <c r="G1266" s="24">
        <v>1.0265468782456346</v>
      </c>
      <c r="H1266" s="24">
        <v>1.0324903226373006</v>
      </c>
      <c r="I1266" s="25">
        <v>1.0505471691970854</v>
      </c>
      <c r="L1266" s="15">
        <v>1264</v>
      </c>
      <c r="M1266" s="16">
        <v>1</v>
      </c>
      <c r="N1266" s="16">
        <v>0</v>
      </c>
      <c r="O1266" s="16">
        <v>13</v>
      </c>
      <c r="P1266" s="16">
        <v>227</v>
      </c>
      <c r="Q1266" s="29">
        <v>23</v>
      </c>
      <c r="R1266" s="20">
        <v>0.48229999999999995</v>
      </c>
      <c r="S1266" s="32">
        <v>11.092899999999998</v>
      </c>
      <c r="T1266" s="35">
        <v>2.08</v>
      </c>
      <c r="U1266" s="35">
        <v>1.67</v>
      </c>
      <c r="V1266" s="35">
        <v>9.0434782608695655E-2</v>
      </c>
      <c r="W1266" s="9" t="s">
        <v>154</v>
      </c>
      <c r="X1266" s="15">
        <v>1265</v>
      </c>
      <c r="Y1266" s="39">
        <v>0.4729034164778827</v>
      </c>
      <c r="Z1266" s="39">
        <v>0.47485401291517604</v>
      </c>
      <c r="AA1266" s="39">
        <v>0.4733690099197882</v>
      </c>
      <c r="AB1266" s="39">
        <v>0.47970894784852908</v>
      </c>
      <c r="AC1266" s="39">
        <v>0.46523385776923404</v>
      </c>
      <c r="AD1266" s="39">
        <v>0.46921673263926994</v>
      </c>
      <c r="AE1266" s="39">
        <v>0.46384370411991749</v>
      </c>
      <c r="AF1266" s="40">
        <v>0.47497181985676662</v>
      </c>
    </row>
    <row r="1267" spans="1:32">
      <c r="A1267" s="15">
        <v>1265</v>
      </c>
      <c r="B1267" s="16">
        <v>0</v>
      </c>
      <c r="C1267" s="20">
        <v>0.02</v>
      </c>
      <c r="D1267" s="20">
        <v>0.99835916395484214</v>
      </c>
      <c r="E1267" s="20">
        <v>1</v>
      </c>
      <c r="F1267" s="8" t="s">
        <v>436</v>
      </c>
      <c r="G1267" s="24">
        <v>1.1116671284677182</v>
      </c>
      <c r="H1267" s="24">
        <v>1.118103397380622</v>
      </c>
      <c r="I1267" s="25">
        <v>1.1376574997695974</v>
      </c>
      <c r="L1267" s="15">
        <v>1265</v>
      </c>
      <c r="M1267" s="16">
        <v>1</v>
      </c>
      <c r="N1267" s="16">
        <v>0</v>
      </c>
      <c r="O1267" s="16">
        <v>13</v>
      </c>
      <c r="P1267" s="16">
        <v>228</v>
      </c>
      <c r="Q1267" s="29">
        <v>27</v>
      </c>
      <c r="R1267" s="20">
        <v>0.48229999999999995</v>
      </c>
      <c r="S1267" s="32">
        <v>13.022099999999998</v>
      </c>
      <c r="T1267" s="35">
        <v>0.98000000000000009</v>
      </c>
      <c r="U1267" s="35">
        <v>0.63</v>
      </c>
      <c r="V1267" s="35">
        <v>3.6296296296296299E-2</v>
      </c>
      <c r="W1267" s="9" t="s">
        <v>152</v>
      </c>
      <c r="X1267" s="15">
        <v>1266</v>
      </c>
      <c r="Y1267" s="39">
        <v>0.485933995392545</v>
      </c>
      <c r="Z1267" s="39">
        <v>0.48277130911662847</v>
      </c>
      <c r="AA1267" s="39">
        <v>0.49845938792008726</v>
      </c>
      <c r="AB1267" s="39">
        <v>0.48061585189830086</v>
      </c>
      <c r="AC1267" s="39">
        <v>0.47931903086861588</v>
      </c>
      <c r="AD1267" s="39">
        <v>0.47917187608723161</v>
      </c>
      <c r="AE1267" s="39">
        <v>0.49363100702021229</v>
      </c>
      <c r="AF1267" s="40">
        <v>0.47436181297631425</v>
      </c>
    </row>
    <row r="1268" spans="1:32">
      <c r="A1268" s="15">
        <v>1266</v>
      </c>
      <c r="B1268" s="16">
        <v>0</v>
      </c>
      <c r="C1268" s="20">
        <v>0.49</v>
      </c>
      <c r="D1268" s="20">
        <v>0.47377149093663967</v>
      </c>
      <c r="E1268" s="20">
        <v>0.06</v>
      </c>
      <c r="F1268" s="8" t="s">
        <v>436</v>
      </c>
      <c r="G1268" s="24">
        <v>1.0880447091904266</v>
      </c>
      <c r="H1268" s="24">
        <v>1.094344210325505</v>
      </c>
      <c r="I1268" s="25">
        <v>1.1134827969603536</v>
      </c>
      <c r="L1268" s="15">
        <v>1266</v>
      </c>
      <c r="M1268" s="16">
        <v>1</v>
      </c>
      <c r="N1268" s="16">
        <v>0</v>
      </c>
      <c r="O1268" s="16">
        <v>13</v>
      </c>
      <c r="P1268" s="16">
        <v>229</v>
      </c>
      <c r="Q1268" s="29">
        <v>23</v>
      </c>
      <c r="R1268" s="20">
        <v>0.48229999999999995</v>
      </c>
      <c r="S1268" s="32">
        <v>11.092899999999998</v>
      </c>
      <c r="T1268" s="35">
        <v>2.42</v>
      </c>
      <c r="U1268" s="35">
        <v>1.99</v>
      </c>
      <c r="V1268" s="35">
        <v>0.10521739130434782</v>
      </c>
      <c r="W1268" s="9" t="s">
        <v>154</v>
      </c>
      <c r="X1268" s="15">
        <v>1267</v>
      </c>
      <c r="Y1268" s="39">
        <v>0.47072653666455222</v>
      </c>
      <c r="Z1268" s="39">
        <v>0.4886920195051857</v>
      </c>
      <c r="AA1268" s="39">
        <v>0.46750820092420781</v>
      </c>
      <c r="AB1268" s="39">
        <v>0.48453707914399091</v>
      </c>
      <c r="AC1268" s="39">
        <v>0.46381927440013265</v>
      </c>
      <c r="AD1268" s="39">
        <v>0.48194085097287953</v>
      </c>
      <c r="AE1268" s="39">
        <v>0.45976392196773119</v>
      </c>
      <c r="AF1268" s="40">
        <v>0.48008002644694048</v>
      </c>
    </row>
    <row r="1269" spans="1:32">
      <c r="A1269" s="15">
        <v>1267</v>
      </c>
      <c r="B1269" s="16">
        <v>1</v>
      </c>
      <c r="C1269" s="20">
        <v>0.24</v>
      </c>
      <c r="D1269" s="20">
        <v>0.81239622219854668</v>
      </c>
      <c r="E1269" s="20">
        <v>0.12</v>
      </c>
      <c r="F1269" s="8" t="s">
        <v>436</v>
      </c>
      <c r="G1269" s="24">
        <v>0.91820460238938495</v>
      </c>
      <c r="H1269" s="24">
        <v>0.92352077265897803</v>
      </c>
      <c r="I1269" s="25">
        <v>0.93967189051554234</v>
      </c>
      <c r="L1269" s="15">
        <v>1267</v>
      </c>
      <c r="M1269" s="16">
        <v>1</v>
      </c>
      <c r="N1269" s="16">
        <v>0</v>
      </c>
      <c r="O1269" s="16">
        <v>13</v>
      </c>
      <c r="P1269" s="16">
        <v>230</v>
      </c>
      <c r="Q1269" s="29">
        <v>37</v>
      </c>
      <c r="R1269" s="20">
        <v>0.48229999999999995</v>
      </c>
      <c r="S1269" s="32">
        <v>17.845099999999999</v>
      </c>
      <c r="T1269" s="35">
        <v>2.79</v>
      </c>
      <c r="U1269" s="35">
        <v>2.2400000000000002</v>
      </c>
      <c r="V1269" s="35">
        <v>7.5405405405405412E-2</v>
      </c>
      <c r="W1269" s="9" t="s">
        <v>154</v>
      </c>
      <c r="X1269" s="15">
        <v>1268</v>
      </c>
      <c r="Y1269" s="39">
        <v>0.48210733400359157</v>
      </c>
      <c r="Z1269" s="39">
        <v>0.47556797955607105</v>
      </c>
      <c r="AA1269" s="39">
        <v>0.50233020888224367</v>
      </c>
      <c r="AB1269" s="39">
        <v>0.48238949229809502</v>
      </c>
      <c r="AC1269" s="39">
        <v>0.47191954637032207</v>
      </c>
      <c r="AD1269" s="39">
        <v>0.46907404287516413</v>
      </c>
      <c r="AE1269" s="39">
        <v>0.49605634861351711</v>
      </c>
      <c r="AF1269" s="40">
        <v>0.47535085469698585</v>
      </c>
    </row>
    <row r="1270" spans="1:32">
      <c r="A1270" s="15">
        <v>1268</v>
      </c>
      <c r="B1270" s="16">
        <v>0</v>
      </c>
      <c r="C1270" s="20">
        <v>0.94</v>
      </c>
      <c r="D1270" s="20">
        <v>0.17188516685452584</v>
      </c>
      <c r="E1270" s="20">
        <v>0.06</v>
      </c>
      <c r="F1270" s="8" t="s">
        <v>434</v>
      </c>
      <c r="G1270" s="24">
        <v>3.3415449351536539</v>
      </c>
      <c r="H1270" s="24">
        <v>2.3557193791407478</v>
      </c>
      <c r="I1270" s="25">
        <v>1.6578926537592125</v>
      </c>
      <c r="L1270" s="15">
        <v>1268</v>
      </c>
      <c r="M1270" s="16">
        <v>1</v>
      </c>
      <c r="N1270" s="16">
        <v>0</v>
      </c>
      <c r="O1270" s="16">
        <v>13</v>
      </c>
      <c r="P1270" s="16">
        <v>231</v>
      </c>
      <c r="Q1270" s="29">
        <v>30</v>
      </c>
      <c r="R1270" s="20">
        <v>0.48229999999999995</v>
      </c>
      <c r="S1270" s="32">
        <v>14.468999999999998</v>
      </c>
      <c r="T1270" s="35">
        <v>0.89</v>
      </c>
      <c r="U1270" s="35">
        <v>0.32</v>
      </c>
      <c r="V1270" s="35">
        <v>2.9666666666666668E-2</v>
      </c>
      <c r="W1270" s="9" t="s">
        <v>152</v>
      </c>
      <c r="X1270" s="15">
        <v>1269</v>
      </c>
      <c r="Y1270" s="39">
        <v>0.47810988189641956</v>
      </c>
      <c r="Z1270" s="39">
        <v>0.50092769108992341</v>
      </c>
      <c r="AA1270" s="39">
        <v>0.50793991031609498</v>
      </c>
      <c r="AB1270" s="39">
        <v>0.49419869837577179</v>
      </c>
      <c r="AC1270" s="39">
        <v>0.47321378334500031</v>
      </c>
      <c r="AD1270" s="39">
        <v>0.49413701455932285</v>
      </c>
      <c r="AE1270" s="39">
        <v>0.50170186137645378</v>
      </c>
      <c r="AF1270" s="40">
        <v>0.48908221647382238</v>
      </c>
    </row>
    <row r="1271" spans="1:32">
      <c r="A1271" s="15">
        <v>1269</v>
      </c>
      <c r="B1271" s="16">
        <v>1</v>
      </c>
      <c r="C1271" s="20">
        <v>0.02</v>
      </c>
      <c r="D1271" s="20">
        <v>0.99679477127711513</v>
      </c>
      <c r="E1271" s="20">
        <v>1</v>
      </c>
      <c r="F1271" s="8" t="s">
        <v>436</v>
      </c>
      <c r="G1271" s="24">
        <v>1.0240787082813501</v>
      </c>
      <c r="H1271" s="24">
        <v>1.0300078625989406</v>
      </c>
      <c r="I1271" s="25">
        <v>1.0480212943208131</v>
      </c>
      <c r="L1271" s="15">
        <v>1269</v>
      </c>
      <c r="M1271" s="16">
        <v>1</v>
      </c>
      <c r="N1271" s="16">
        <v>0</v>
      </c>
      <c r="O1271" s="16">
        <v>13</v>
      </c>
      <c r="P1271" s="16">
        <v>232</v>
      </c>
      <c r="Q1271" s="29">
        <v>24</v>
      </c>
      <c r="R1271" s="20">
        <v>0.48229999999999995</v>
      </c>
      <c r="S1271" s="32">
        <v>11.575199999999999</v>
      </c>
      <c r="T1271" s="35">
        <v>2.41</v>
      </c>
      <c r="U1271" s="35">
        <v>2.14</v>
      </c>
      <c r="V1271" s="35">
        <v>0.10041666666666667</v>
      </c>
      <c r="W1271" s="9" t="s">
        <v>154</v>
      </c>
      <c r="X1271" s="15">
        <v>1270</v>
      </c>
      <c r="Y1271" s="39">
        <v>0.46841620941070566</v>
      </c>
      <c r="Z1271" s="39">
        <v>0.498266734355721</v>
      </c>
      <c r="AA1271" s="39">
        <v>0.46285945096089731</v>
      </c>
      <c r="AB1271" s="39">
        <v>0.48361515502706282</v>
      </c>
      <c r="AC1271" s="39">
        <v>0.4626220220435448</v>
      </c>
      <c r="AD1271" s="39">
        <v>0.49252241146916542</v>
      </c>
      <c r="AE1271" s="39">
        <v>0.45555766905854045</v>
      </c>
      <c r="AF1271" s="40">
        <v>0.47958073750112673</v>
      </c>
    </row>
    <row r="1272" spans="1:32">
      <c r="A1272" s="15">
        <v>1270</v>
      </c>
      <c r="B1272" s="16">
        <v>1</v>
      </c>
      <c r="C1272" s="20">
        <v>0.89</v>
      </c>
      <c r="D1272" s="20">
        <v>0.24559627500636821</v>
      </c>
      <c r="E1272" s="20">
        <v>0.11</v>
      </c>
      <c r="F1272" s="8" t="s">
        <v>434</v>
      </c>
      <c r="G1272" s="24">
        <v>2.2174277459118086</v>
      </c>
      <c r="H1272" s="24">
        <v>2.2302660865464681</v>
      </c>
      <c r="I1272" s="25">
        <v>1.6578926537592125</v>
      </c>
      <c r="L1272" s="15">
        <v>1270</v>
      </c>
      <c r="M1272" s="16">
        <v>1</v>
      </c>
      <c r="N1272" s="16">
        <v>0</v>
      </c>
      <c r="O1272" s="16">
        <v>13</v>
      </c>
      <c r="P1272" s="16">
        <v>233</v>
      </c>
      <c r="Q1272" s="29">
        <v>40</v>
      </c>
      <c r="R1272" s="20">
        <v>0.48229999999999995</v>
      </c>
      <c r="S1272" s="32">
        <v>19.291999999999998</v>
      </c>
      <c r="T1272" s="35">
        <v>2.04</v>
      </c>
      <c r="U1272" s="35">
        <v>1.52</v>
      </c>
      <c r="V1272" s="35">
        <v>5.1000000000000004E-2</v>
      </c>
      <c r="W1272" s="9" t="s">
        <v>154</v>
      </c>
      <c r="X1272" s="15">
        <v>1271</v>
      </c>
      <c r="Y1272" s="39">
        <v>0.46835867042031787</v>
      </c>
      <c r="Z1272" s="39">
        <v>0.48514392629339126</v>
      </c>
      <c r="AA1272" s="39">
        <v>0.50420055411808551</v>
      </c>
      <c r="AB1272" s="39">
        <v>0.48706835983916708</v>
      </c>
      <c r="AC1272" s="39">
        <v>0.46291950461477854</v>
      </c>
      <c r="AD1272" s="39">
        <v>0.47783548822105559</v>
      </c>
      <c r="AE1272" s="39">
        <v>0.49785947946113868</v>
      </c>
      <c r="AF1272" s="40">
        <v>0.48204015250005339</v>
      </c>
    </row>
    <row r="1273" spans="1:32">
      <c r="A1273" s="15">
        <v>1271</v>
      </c>
      <c r="B1273" s="16">
        <v>0</v>
      </c>
      <c r="C1273" s="20">
        <v>0.16</v>
      </c>
      <c r="D1273" s="20">
        <v>0.90529625845657258</v>
      </c>
      <c r="E1273" s="20">
        <v>0.04</v>
      </c>
      <c r="F1273" s="8" t="s">
        <v>436</v>
      </c>
      <c r="G1273" s="24">
        <v>0.79162738543476951</v>
      </c>
      <c r="H1273" s="24">
        <v>0.79621070592792831</v>
      </c>
      <c r="I1273" s="25">
        <v>0.81013534447512081</v>
      </c>
      <c r="L1273" s="15">
        <v>1271</v>
      </c>
      <c r="M1273" s="16">
        <v>1</v>
      </c>
      <c r="N1273" s="16">
        <v>0</v>
      </c>
      <c r="O1273" s="16">
        <v>13</v>
      </c>
      <c r="P1273" s="16">
        <v>234</v>
      </c>
      <c r="Q1273" s="29">
        <v>32</v>
      </c>
      <c r="R1273" s="20">
        <v>0.48229999999999995</v>
      </c>
      <c r="S1273" s="32">
        <v>15.433599999999998</v>
      </c>
      <c r="T1273" s="35">
        <v>0.84</v>
      </c>
      <c r="U1273" s="35">
        <v>0.3</v>
      </c>
      <c r="V1273" s="35">
        <v>2.6249999999999999E-2</v>
      </c>
      <c r="W1273" s="9" t="s">
        <v>152</v>
      </c>
      <c r="X1273" s="15">
        <v>1272</v>
      </c>
      <c r="Y1273" s="39">
        <v>0.47100679714153648</v>
      </c>
      <c r="Z1273" s="39">
        <v>0.4958922636841156</v>
      </c>
      <c r="AA1273" s="39">
        <v>0.49048783339079582</v>
      </c>
      <c r="AB1273" s="39">
        <v>0.48988897072452159</v>
      </c>
      <c r="AC1273" s="39">
        <v>0.46746067336370534</v>
      </c>
      <c r="AD1273" s="39">
        <v>0.4889446236970289</v>
      </c>
      <c r="AE1273" s="39">
        <v>0.48392944030353408</v>
      </c>
      <c r="AF1273" s="40">
        <v>0.48577761389229596</v>
      </c>
    </row>
    <row r="1274" spans="1:32">
      <c r="A1274" s="15">
        <v>1272</v>
      </c>
      <c r="B1274" s="16">
        <v>0</v>
      </c>
      <c r="C1274" s="20">
        <v>0.02</v>
      </c>
      <c r="D1274" s="20">
        <v>0.99679477127711513</v>
      </c>
      <c r="E1274" s="20">
        <v>1</v>
      </c>
      <c r="F1274" s="8" t="s">
        <v>436</v>
      </c>
      <c r="G1274" s="24">
        <v>1.0248225814100029</v>
      </c>
      <c r="H1274" s="24">
        <v>1.0307560425631295</v>
      </c>
      <c r="I1274" s="25">
        <v>1.0487825589314304</v>
      </c>
      <c r="L1274" s="15">
        <v>1272</v>
      </c>
      <c r="M1274" s="16">
        <v>1</v>
      </c>
      <c r="N1274" s="16">
        <v>0</v>
      </c>
      <c r="O1274" s="16">
        <v>13</v>
      </c>
      <c r="P1274" s="16">
        <v>235</v>
      </c>
      <c r="Q1274" s="29">
        <v>30</v>
      </c>
      <c r="R1274" s="20">
        <v>0.48229999999999995</v>
      </c>
      <c r="S1274" s="32">
        <v>14.468999999999998</v>
      </c>
      <c r="T1274" s="35">
        <v>0.98000000000000009</v>
      </c>
      <c r="U1274" s="35">
        <v>0.48</v>
      </c>
      <c r="V1274" s="35">
        <v>3.266666666666667E-2</v>
      </c>
      <c r="W1274" s="9" t="s">
        <v>152</v>
      </c>
      <c r="X1274" s="15">
        <v>1273</v>
      </c>
      <c r="Y1274" s="39">
        <v>0.48407334260628954</v>
      </c>
      <c r="Z1274" s="39">
        <v>0.48188380698714706</v>
      </c>
      <c r="AA1274" s="39">
        <v>0.49112662471289886</v>
      </c>
      <c r="AB1274" s="39">
        <v>0.49300221911358411</v>
      </c>
      <c r="AC1274" s="39">
        <v>0.47668800905107106</v>
      </c>
      <c r="AD1274" s="39">
        <v>0.47629502156308712</v>
      </c>
      <c r="AE1274" s="39">
        <v>0.48313891303535106</v>
      </c>
      <c r="AF1274" s="40">
        <v>0.48967980052262566</v>
      </c>
    </row>
    <row r="1275" spans="1:32">
      <c r="A1275" s="15">
        <v>1273</v>
      </c>
      <c r="B1275" s="16">
        <v>0</v>
      </c>
      <c r="C1275" s="20">
        <v>0.09</v>
      </c>
      <c r="D1275" s="20">
        <v>0.93827265950544592</v>
      </c>
      <c r="E1275" s="20">
        <v>0.51</v>
      </c>
      <c r="F1275" s="8" t="s">
        <v>436</v>
      </c>
      <c r="G1275" s="24">
        <v>1.0743702412477738</v>
      </c>
      <c r="H1275" s="24">
        <v>1.0805905707039691</v>
      </c>
      <c r="I1275" s="25">
        <v>1.099488624953342</v>
      </c>
      <c r="L1275" s="15">
        <v>1273</v>
      </c>
      <c r="M1275" s="16">
        <v>1</v>
      </c>
      <c r="N1275" s="16">
        <v>0</v>
      </c>
      <c r="O1275" s="16">
        <v>13</v>
      </c>
      <c r="P1275" s="16">
        <v>236</v>
      </c>
      <c r="Q1275" s="29">
        <v>30</v>
      </c>
      <c r="R1275" s="20">
        <v>0.48229999999999995</v>
      </c>
      <c r="S1275" s="32">
        <v>14.468999999999998</v>
      </c>
      <c r="T1275" s="35">
        <v>2.52</v>
      </c>
      <c r="U1275" s="35">
        <v>2.02</v>
      </c>
      <c r="V1275" s="35">
        <v>8.4000000000000005E-2</v>
      </c>
      <c r="W1275" s="9" t="s">
        <v>154</v>
      </c>
      <c r="X1275" s="15">
        <v>1274</v>
      </c>
      <c r="Y1275" s="39">
        <v>0.48074467883802274</v>
      </c>
      <c r="Z1275" s="39">
        <v>0.48927395087347392</v>
      </c>
      <c r="AA1275" s="39">
        <v>0.48175968271355296</v>
      </c>
      <c r="AB1275" s="39">
        <v>0.50191075278407071</v>
      </c>
      <c r="AC1275" s="39">
        <v>0.47456925227304525</v>
      </c>
      <c r="AD1275" s="39">
        <v>0.48297095658857264</v>
      </c>
      <c r="AE1275" s="39">
        <v>0.47336124208345931</v>
      </c>
      <c r="AF1275" s="40">
        <v>0.49764040224370154</v>
      </c>
    </row>
    <row r="1276" spans="1:32">
      <c r="A1276" s="15">
        <v>1274</v>
      </c>
      <c r="B1276" s="16">
        <v>1</v>
      </c>
      <c r="C1276" s="20">
        <v>0.91</v>
      </c>
      <c r="D1276" s="20">
        <v>0.21727233298780477</v>
      </c>
      <c r="E1276" s="20">
        <v>0.09</v>
      </c>
      <c r="F1276" s="8" t="s">
        <v>434</v>
      </c>
      <c r="G1276" s="24">
        <v>0.82880256476368375</v>
      </c>
      <c r="H1276" s="24">
        <v>0.83360112005592857</v>
      </c>
      <c r="I1276" s="25">
        <v>0.84817966591432148</v>
      </c>
      <c r="L1276" s="15">
        <v>1274</v>
      </c>
      <c r="M1276" s="16">
        <v>1</v>
      </c>
      <c r="N1276" s="16">
        <v>0</v>
      </c>
      <c r="O1276" s="16">
        <v>13</v>
      </c>
      <c r="P1276" s="16">
        <v>237</v>
      </c>
      <c r="Q1276" s="29">
        <v>31</v>
      </c>
      <c r="R1276" s="20">
        <v>0.48229999999999995</v>
      </c>
      <c r="S1276" s="32">
        <v>14.951299999999998</v>
      </c>
      <c r="T1276" s="35">
        <v>0.69000000000000006</v>
      </c>
      <c r="U1276" s="35">
        <v>0.26</v>
      </c>
      <c r="V1276" s="35">
        <v>2.2258064516129033E-2</v>
      </c>
      <c r="W1276" s="9" t="s">
        <v>152</v>
      </c>
      <c r="X1276" s="15">
        <v>1275</v>
      </c>
      <c r="Y1276" s="39">
        <v>0.48985888709038283</v>
      </c>
      <c r="Z1276" s="39">
        <v>0.4955145460123454</v>
      </c>
      <c r="AA1276" s="39">
        <v>0.48665228932944377</v>
      </c>
      <c r="AB1276" s="39">
        <v>0.48302106755988788</v>
      </c>
      <c r="AC1276" s="39">
        <v>0.48275140211570305</v>
      </c>
      <c r="AD1276" s="39">
        <v>0.48593676732030877</v>
      </c>
      <c r="AE1276" s="39">
        <v>0.48003723606360149</v>
      </c>
      <c r="AF1276" s="40">
        <v>0.47921405888699159</v>
      </c>
    </row>
    <row r="1277" spans="1:32">
      <c r="A1277" s="15">
        <v>1275</v>
      </c>
      <c r="B1277" s="16">
        <v>1</v>
      </c>
      <c r="C1277" s="20">
        <v>0.12</v>
      </c>
      <c r="D1277" s="20">
        <v>0.88239489144325045</v>
      </c>
      <c r="E1277" s="20">
        <v>0.21</v>
      </c>
      <c r="F1277" s="8" t="s">
        <v>436</v>
      </c>
      <c r="G1277" s="24">
        <v>1.3052232980341956</v>
      </c>
      <c r="H1277" s="24">
        <v>1.3127802077623032</v>
      </c>
      <c r="I1277" s="25">
        <v>1.3357389418623355</v>
      </c>
      <c r="L1277" s="15">
        <v>1275</v>
      </c>
      <c r="M1277" s="16">
        <v>1</v>
      </c>
      <c r="N1277" s="16">
        <v>0</v>
      </c>
      <c r="O1277" s="16">
        <v>13</v>
      </c>
      <c r="P1277" s="16">
        <v>238</v>
      </c>
      <c r="Q1277" s="29">
        <v>28</v>
      </c>
      <c r="R1277" s="20">
        <v>0.48229999999999995</v>
      </c>
      <c r="S1277" s="32">
        <v>13.504399999999999</v>
      </c>
      <c r="T1277" s="35">
        <v>0.72</v>
      </c>
      <c r="U1277" s="35">
        <v>0.24</v>
      </c>
      <c r="V1277" s="35">
        <v>2.5714285714285714E-2</v>
      </c>
      <c r="W1277" s="9" t="s">
        <v>152</v>
      </c>
      <c r="X1277" s="15">
        <v>1276</v>
      </c>
      <c r="Y1277" s="39">
        <v>0.48028653314995279</v>
      </c>
      <c r="Z1277" s="39">
        <v>0.48211028651324056</v>
      </c>
      <c r="AA1277" s="39">
        <v>0.48457859106369522</v>
      </c>
      <c r="AB1277" s="39">
        <v>0.48264851033840123</v>
      </c>
      <c r="AC1277" s="39">
        <v>0.47109375002419573</v>
      </c>
      <c r="AD1277" s="39">
        <v>0.47781996523338954</v>
      </c>
      <c r="AE1277" s="39">
        <v>0.47643475396040924</v>
      </c>
      <c r="AF1277" s="40">
        <v>0.47854997050755399</v>
      </c>
    </row>
    <row r="1278" spans="1:32">
      <c r="A1278" s="15">
        <v>1276</v>
      </c>
      <c r="B1278" s="16">
        <v>1</v>
      </c>
      <c r="C1278" s="20">
        <v>0.85</v>
      </c>
      <c r="D1278" s="20">
        <v>0.29896847351441952</v>
      </c>
      <c r="E1278" s="20">
        <v>0.15</v>
      </c>
      <c r="F1278" s="8" t="s">
        <v>434</v>
      </c>
      <c r="G1278" s="24">
        <v>0.71074673583359482</v>
      </c>
      <c r="H1278" s="24">
        <v>0.71486177801092265</v>
      </c>
      <c r="I1278" s="25">
        <v>0.72736373483704264</v>
      </c>
      <c r="L1278" s="15">
        <v>1276</v>
      </c>
      <c r="M1278" s="16">
        <v>1</v>
      </c>
      <c r="N1278" s="16">
        <v>0</v>
      </c>
      <c r="O1278" s="16">
        <v>13</v>
      </c>
      <c r="P1278" s="16">
        <v>239</v>
      </c>
      <c r="Q1278" s="29">
        <v>34</v>
      </c>
      <c r="R1278" s="20">
        <v>0.48229999999999995</v>
      </c>
      <c r="S1278" s="32">
        <v>16.398199999999999</v>
      </c>
      <c r="T1278" s="35">
        <v>1.36</v>
      </c>
      <c r="U1278" s="35">
        <v>0.81</v>
      </c>
      <c r="V1278" s="35">
        <v>0.04</v>
      </c>
      <c r="W1278" s="9" t="s">
        <v>153</v>
      </c>
      <c r="X1278" s="15">
        <v>1277</v>
      </c>
      <c r="Y1278" s="39">
        <v>0.47675745035956063</v>
      </c>
      <c r="Z1278" s="39">
        <v>0.47799242655344215</v>
      </c>
      <c r="AA1278" s="39">
        <v>0.49300439927138684</v>
      </c>
      <c r="AB1278" s="39">
        <v>0.48908823690995773</v>
      </c>
      <c r="AC1278" s="39">
        <v>0.46798465426410107</v>
      </c>
      <c r="AD1278" s="39">
        <v>0.47191940685701084</v>
      </c>
      <c r="AE1278" s="39">
        <v>0.48715633793228413</v>
      </c>
      <c r="AF1278" s="40">
        <v>0.48561285540993721</v>
      </c>
    </row>
    <row r="1279" spans="1:32">
      <c r="A1279" s="15">
        <v>1277</v>
      </c>
      <c r="B1279" s="16">
        <v>0</v>
      </c>
      <c r="C1279" s="20">
        <v>0.92</v>
      </c>
      <c r="D1279" s="20">
        <v>0.20258497911151899</v>
      </c>
      <c r="E1279" s="20">
        <v>0.08</v>
      </c>
      <c r="F1279" s="8" t="s">
        <v>434</v>
      </c>
      <c r="G1279" s="24">
        <v>0.5494890599230261</v>
      </c>
      <c r="H1279" s="24">
        <v>0.552670461318998</v>
      </c>
      <c r="I1279" s="25">
        <v>0.56233591338122357</v>
      </c>
      <c r="L1279" s="15">
        <v>1277</v>
      </c>
      <c r="M1279" s="16">
        <v>1</v>
      </c>
      <c r="N1279" s="16">
        <v>0</v>
      </c>
      <c r="O1279" s="16">
        <v>13</v>
      </c>
      <c r="P1279" s="16">
        <v>240</v>
      </c>
      <c r="Q1279" s="29">
        <v>34</v>
      </c>
      <c r="R1279" s="20">
        <v>0.48229999999999995</v>
      </c>
      <c r="S1279" s="32">
        <v>16.398199999999999</v>
      </c>
      <c r="T1279" s="35">
        <v>1.08</v>
      </c>
      <c r="U1279" s="35">
        <v>0.56000000000000005</v>
      </c>
      <c r="V1279" s="35">
        <v>3.1764705882352945E-2</v>
      </c>
      <c r="W1279" s="9" t="s">
        <v>153</v>
      </c>
      <c r="X1279" s="15">
        <v>1278</v>
      </c>
      <c r="Y1279" s="39">
        <v>0.48580423866919803</v>
      </c>
      <c r="Z1279" s="39">
        <v>0.49068442943696861</v>
      </c>
      <c r="AA1279" s="39">
        <v>0.48296753094705958</v>
      </c>
      <c r="AB1279" s="39">
        <v>0.48929835633681462</v>
      </c>
      <c r="AC1279" s="39">
        <v>0.47716053981134188</v>
      </c>
      <c r="AD1279" s="39">
        <v>0.48249917975276907</v>
      </c>
      <c r="AE1279" s="39">
        <v>0.47493963116329968</v>
      </c>
      <c r="AF1279" s="40">
        <v>0.48450580604859955</v>
      </c>
    </row>
    <row r="1280" spans="1:32">
      <c r="A1280" s="15">
        <v>1278</v>
      </c>
      <c r="B1280" s="16">
        <v>1</v>
      </c>
      <c r="C1280" s="20">
        <v>0.88</v>
      </c>
      <c r="D1280" s="20">
        <v>0.25930874124763043</v>
      </c>
      <c r="E1280" s="20">
        <v>0.12</v>
      </c>
      <c r="F1280" s="8" t="s">
        <v>434</v>
      </c>
      <c r="G1280" s="24">
        <v>0.99123796119345675</v>
      </c>
      <c r="H1280" s="24">
        <v>0.9969769759682422</v>
      </c>
      <c r="I1280" s="25">
        <v>1.0144127425647886</v>
      </c>
      <c r="L1280" s="15">
        <v>1278</v>
      </c>
      <c r="M1280" s="16">
        <v>1</v>
      </c>
      <c r="N1280" s="16">
        <v>0</v>
      </c>
      <c r="O1280" s="16">
        <v>13</v>
      </c>
      <c r="P1280" s="16">
        <v>241</v>
      </c>
      <c r="Q1280" s="29">
        <v>28</v>
      </c>
      <c r="R1280" s="20">
        <v>0.48229999999999995</v>
      </c>
      <c r="S1280" s="32">
        <v>13.504399999999999</v>
      </c>
      <c r="T1280" s="35">
        <v>0.81</v>
      </c>
      <c r="U1280" s="35">
        <v>0.39</v>
      </c>
      <c r="V1280" s="35">
        <v>2.8928571428571432E-2</v>
      </c>
      <c r="W1280" s="9" t="s">
        <v>152</v>
      </c>
      <c r="X1280" s="15">
        <v>1279</v>
      </c>
      <c r="Y1280" s="39">
        <v>0.48312006072360997</v>
      </c>
      <c r="Z1280" s="39">
        <v>0.48178995122810986</v>
      </c>
      <c r="AA1280" s="39">
        <v>0.48587615124045896</v>
      </c>
      <c r="AB1280" s="39">
        <v>0.49057359890232144</v>
      </c>
      <c r="AC1280" s="39">
        <v>0.47830996286496841</v>
      </c>
      <c r="AD1280" s="39">
        <v>0.47792002037112769</v>
      </c>
      <c r="AE1280" s="39">
        <v>0.47983855621991423</v>
      </c>
      <c r="AF1280" s="40">
        <v>0.48538104008793365</v>
      </c>
    </row>
    <row r="1281" spans="1:32">
      <c r="A1281" s="15">
        <v>1279</v>
      </c>
      <c r="B1281" s="16">
        <v>1</v>
      </c>
      <c r="C1281" s="20">
        <v>0.17</v>
      </c>
      <c r="D1281" s="20">
        <v>0.85235919219285428</v>
      </c>
      <c r="E1281" s="20">
        <v>0.06</v>
      </c>
      <c r="F1281" s="8" t="s">
        <v>436</v>
      </c>
      <c r="G1281" s="24">
        <v>1.3157447373902298</v>
      </c>
      <c r="H1281" s="24">
        <v>1.3233625635665367</v>
      </c>
      <c r="I1281" s="25">
        <v>1.3465063686263725</v>
      </c>
      <c r="L1281" s="15">
        <v>1279</v>
      </c>
      <c r="M1281" s="16">
        <v>1</v>
      </c>
      <c r="N1281" s="16">
        <v>0</v>
      </c>
      <c r="O1281" s="16">
        <v>13</v>
      </c>
      <c r="P1281" s="16">
        <v>242</v>
      </c>
      <c r="Q1281" s="29">
        <v>26</v>
      </c>
      <c r="R1281" s="20">
        <v>0.48229999999999995</v>
      </c>
      <c r="S1281" s="32">
        <v>12.5398</v>
      </c>
      <c r="T1281" s="35">
        <v>1.85</v>
      </c>
      <c r="U1281" s="35">
        <v>1.47</v>
      </c>
      <c r="V1281" s="35">
        <v>7.1153846153846151E-2</v>
      </c>
      <c r="W1281" s="9" t="s">
        <v>153</v>
      </c>
      <c r="X1281" s="15">
        <v>1280</v>
      </c>
      <c r="Y1281" s="39">
        <v>0.47999394208192159</v>
      </c>
      <c r="Z1281" s="39">
        <v>0.47527909548209346</v>
      </c>
      <c r="AA1281" s="39">
        <v>0.49438766066722434</v>
      </c>
      <c r="AB1281" s="39">
        <v>0.49911274637091263</v>
      </c>
      <c r="AC1281" s="39">
        <v>0.47289933812328511</v>
      </c>
      <c r="AD1281" s="39">
        <v>0.47092721899610579</v>
      </c>
      <c r="AE1281" s="39">
        <v>0.48783967212372237</v>
      </c>
      <c r="AF1281" s="40">
        <v>0.49446179457908773</v>
      </c>
    </row>
    <row r="1282" spans="1:32">
      <c r="A1282" s="15">
        <v>1280</v>
      </c>
      <c r="B1282" s="16">
        <v>0</v>
      </c>
      <c r="C1282" s="20">
        <v>0.1</v>
      </c>
      <c r="D1282" s="20">
        <v>0.91775214609629541</v>
      </c>
      <c r="E1282" s="20">
        <v>0.49</v>
      </c>
      <c r="F1282" s="8" t="s">
        <v>436</v>
      </c>
      <c r="G1282" s="24">
        <v>0.97273767184214266</v>
      </c>
      <c r="H1282" s="24">
        <v>0.97836957466391417</v>
      </c>
      <c r="I1282" s="25">
        <v>0.99547992320775636</v>
      </c>
      <c r="L1282" s="15">
        <v>1280</v>
      </c>
      <c r="M1282" s="16">
        <v>1</v>
      </c>
      <c r="N1282" s="16">
        <v>0</v>
      </c>
      <c r="O1282" s="16">
        <v>13</v>
      </c>
      <c r="P1282" s="16">
        <v>243</v>
      </c>
      <c r="Q1282" s="29">
        <v>29</v>
      </c>
      <c r="R1282" s="20">
        <v>0.48229999999999995</v>
      </c>
      <c r="S1282" s="32">
        <v>13.986699999999999</v>
      </c>
      <c r="T1282" s="35">
        <v>1.28</v>
      </c>
      <c r="U1282" s="35">
        <v>0.83</v>
      </c>
      <c r="V1282" s="35">
        <v>4.4137931034482762E-2</v>
      </c>
      <c r="W1282" s="9" t="s">
        <v>153</v>
      </c>
      <c r="X1282" s="15">
        <v>1281</v>
      </c>
      <c r="Y1282" s="39">
        <v>0.49182438468235756</v>
      </c>
      <c r="Z1282" s="39">
        <v>0.4798575014521807</v>
      </c>
      <c r="AA1282" s="39">
        <v>0.47740199047927134</v>
      </c>
      <c r="AB1282" s="39">
        <v>0.49356703376603661</v>
      </c>
      <c r="AC1282" s="39">
        <v>0.48685846653678982</v>
      </c>
      <c r="AD1282" s="39">
        <v>0.47188791324923135</v>
      </c>
      <c r="AE1282" s="39">
        <v>0.4693139192387677</v>
      </c>
      <c r="AF1282" s="40">
        <v>0.48855839428928399</v>
      </c>
    </row>
    <row r="1283" spans="1:32">
      <c r="A1283" s="15">
        <v>1281</v>
      </c>
      <c r="B1283" s="16">
        <v>1</v>
      </c>
      <c r="C1283" s="20">
        <v>0.15</v>
      </c>
      <c r="D1283" s="20">
        <v>0.91462791082563621</v>
      </c>
      <c r="E1283" s="20">
        <v>0.03</v>
      </c>
      <c r="F1283" s="8" t="s">
        <v>436</v>
      </c>
      <c r="G1283" s="24">
        <v>0.71223366250841924</v>
      </c>
      <c r="H1283" s="24">
        <v>0.71635731361164567</v>
      </c>
      <c r="I1283" s="25">
        <v>0.72888542531425693</v>
      </c>
      <c r="L1283" s="15">
        <v>1281</v>
      </c>
      <c r="M1283" s="16">
        <v>1</v>
      </c>
      <c r="N1283" s="16">
        <v>0</v>
      </c>
      <c r="O1283" s="16">
        <v>13</v>
      </c>
      <c r="P1283" s="16">
        <v>244</v>
      </c>
      <c r="Q1283" s="29">
        <v>48</v>
      </c>
      <c r="R1283" s="20">
        <v>0.48229999999999995</v>
      </c>
      <c r="S1283" s="32">
        <v>23.150399999999998</v>
      </c>
      <c r="T1283" s="35">
        <v>2.0499999999999998</v>
      </c>
      <c r="U1283" s="35">
        <v>1.1000000000000001</v>
      </c>
      <c r="V1283" s="35">
        <v>4.2708333333333327E-2</v>
      </c>
      <c r="W1283" s="9" t="s">
        <v>154</v>
      </c>
      <c r="X1283" s="15">
        <v>1282</v>
      </c>
      <c r="Y1283" s="39">
        <v>0.50274464985644551</v>
      </c>
      <c r="Z1283" s="39">
        <v>0.48687395288276741</v>
      </c>
      <c r="AA1283" s="39">
        <v>0.49160054674076881</v>
      </c>
      <c r="AB1283" s="39">
        <v>0.49916740156305928</v>
      </c>
      <c r="AC1283" s="39">
        <v>0.49122239738081136</v>
      </c>
      <c r="AD1283" s="39">
        <v>0.47700564640869525</v>
      </c>
      <c r="AE1283" s="39">
        <v>0.48270612781172245</v>
      </c>
      <c r="AF1283" s="40">
        <v>0.4951684519723703</v>
      </c>
    </row>
    <row r="1284" spans="1:32">
      <c r="A1284" s="15">
        <v>1282</v>
      </c>
      <c r="B1284" s="16">
        <v>0</v>
      </c>
      <c r="C1284" s="20">
        <v>0.01</v>
      </c>
      <c r="D1284" s="20">
        <v>0.99999999999999978</v>
      </c>
      <c r="E1284" s="20">
        <v>1</v>
      </c>
      <c r="F1284" s="8" t="s">
        <v>436</v>
      </c>
      <c r="G1284" s="24">
        <v>0.98310068993641342</v>
      </c>
      <c r="H1284" s="24">
        <v>0.98879259198771685</v>
      </c>
      <c r="I1284" s="25">
        <v>1.006085224878811</v>
      </c>
      <c r="L1284" s="15">
        <v>1282</v>
      </c>
      <c r="M1284" s="16">
        <v>1</v>
      </c>
      <c r="N1284" s="16">
        <v>0</v>
      </c>
      <c r="O1284" s="16">
        <v>13</v>
      </c>
      <c r="P1284" s="16">
        <v>245</v>
      </c>
      <c r="Q1284" s="29">
        <v>25</v>
      </c>
      <c r="R1284" s="20">
        <v>0.48229999999999995</v>
      </c>
      <c r="S1284" s="32">
        <v>12.057499999999999</v>
      </c>
      <c r="T1284" s="35">
        <v>0.57000000000000006</v>
      </c>
      <c r="U1284" s="35">
        <v>0.24</v>
      </c>
      <c r="V1284" s="35">
        <v>2.2800000000000001E-2</v>
      </c>
      <c r="W1284" s="9" t="s">
        <v>152</v>
      </c>
      <c r="X1284" s="15">
        <v>1283</v>
      </c>
      <c r="Y1284" s="39">
        <v>0.4762625945944961</v>
      </c>
      <c r="Z1284" s="39">
        <v>0.47699553254811489</v>
      </c>
      <c r="AA1284" s="39">
        <v>0.4796485942389197</v>
      </c>
      <c r="AB1284" s="39">
        <v>0.48216809542190253</v>
      </c>
      <c r="AC1284" s="39">
        <v>0.4663616486840102</v>
      </c>
      <c r="AD1284" s="39">
        <v>0.46991552382587914</v>
      </c>
      <c r="AE1284" s="39">
        <v>0.47484080847969068</v>
      </c>
      <c r="AF1284" s="40">
        <v>0.47715184134503386</v>
      </c>
    </row>
    <row r="1285" spans="1:32">
      <c r="A1285" s="15">
        <v>1283</v>
      </c>
      <c r="B1285" s="16">
        <v>0</v>
      </c>
      <c r="C1285" s="20">
        <v>0.02</v>
      </c>
      <c r="D1285" s="20">
        <v>0.99604261948721451</v>
      </c>
      <c r="E1285" s="20">
        <v>1</v>
      </c>
      <c r="F1285" s="8" t="s">
        <v>436</v>
      </c>
      <c r="G1285" s="24">
        <v>1.0961274542616433</v>
      </c>
      <c r="H1285" s="24">
        <v>1.1024737524275059</v>
      </c>
      <c r="I1285" s="25">
        <v>1.1217545136582017</v>
      </c>
      <c r="L1285" s="15">
        <v>1283</v>
      </c>
      <c r="M1285" s="16">
        <v>1</v>
      </c>
      <c r="N1285" s="16">
        <v>0</v>
      </c>
      <c r="O1285" s="16">
        <v>13</v>
      </c>
      <c r="P1285" s="16">
        <v>246</v>
      </c>
      <c r="Q1285" s="29">
        <v>31</v>
      </c>
      <c r="R1285" s="20">
        <v>0.48229999999999995</v>
      </c>
      <c r="S1285" s="32">
        <v>14.951299999999998</v>
      </c>
      <c r="T1285" s="35">
        <v>3.06</v>
      </c>
      <c r="U1285" s="35">
        <v>2.69</v>
      </c>
      <c r="V1285" s="35">
        <v>9.8709677419354838E-2</v>
      </c>
      <c r="W1285" s="9" t="s">
        <v>155</v>
      </c>
      <c r="X1285" s="15">
        <v>1284</v>
      </c>
      <c r="Y1285" s="39">
        <v>0.50085154304777024</v>
      </c>
      <c r="Z1285" s="39">
        <v>0.49726030542032934</v>
      </c>
      <c r="AA1285" s="39">
        <v>0.48018153632254812</v>
      </c>
      <c r="AB1285" s="39">
        <v>0.48234255575563623</v>
      </c>
      <c r="AC1285" s="39">
        <v>0.49251116400230699</v>
      </c>
      <c r="AD1285" s="39">
        <v>0.49196419030016025</v>
      </c>
      <c r="AE1285" s="39">
        <v>0.47594912882069884</v>
      </c>
      <c r="AF1285" s="40">
        <v>0.48056579147443246</v>
      </c>
    </row>
    <row r="1286" spans="1:32">
      <c r="A1286" s="15">
        <v>1284</v>
      </c>
      <c r="B1286" s="16">
        <v>1</v>
      </c>
      <c r="C1286" s="20">
        <v>0.02</v>
      </c>
      <c r="D1286" s="20">
        <v>0.99756714174924133</v>
      </c>
      <c r="E1286" s="20">
        <v>1</v>
      </c>
      <c r="F1286" s="8" t="s">
        <v>436</v>
      </c>
      <c r="G1286" s="24">
        <v>0.98865235057295831</v>
      </c>
      <c r="H1286" s="24">
        <v>0.99437639532224653</v>
      </c>
      <c r="I1286" s="25">
        <v>1.0117666813126687</v>
      </c>
      <c r="L1286" s="15">
        <v>1284</v>
      </c>
      <c r="M1286" s="16">
        <v>1</v>
      </c>
      <c r="N1286" s="16">
        <v>0</v>
      </c>
      <c r="O1286" s="16">
        <v>14</v>
      </c>
      <c r="P1286" s="16">
        <v>247</v>
      </c>
      <c r="Q1286" s="29">
        <v>54</v>
      </c>
      <c r="R1286" s="20">
        <v>0.48229999999999995</v>
      </c>
      <c r="S1286" s="32">
        <v>26.044199999999996</v>
      </c>
      <c r="T1286" s="35">
        <v>2.0499999999999998</v>
      </c>
      <c r="U1286" s="35">
        <v>1.35</v>
      </c>
      <c r="V1286" s="35">
        <v>3.7962962962962962E-2</v>
      </c>
      <c r="W1286" s="9" t="s">
        <v>154</v>
      </c>
      <c r="X1286" s="15">
        <v>1285</v>
      </c>
      <c r="Y1286" s="39">
        <v>0.49792201277075426</v>
      </c>
      <c r="Z1286" s="39">
        <v>0.48523027293135851</v>
      </c>
      <c r="AA1286" s="39">
        <v>0.49144270434715204</v>
      </c>
      <c r="AB1286" s="39">
        <v>0.4867795318236795</v>
      </c>
      <c r="AC1286" s="39">
        <v>0.49227805668651231</v>
      </c>
      <c r="AD1286" s="39">
        <v>0.4762526020543712</v>
      </c>
      <c r="AE1286" s="39">
        <v>0.48243704222744732</v>
      </c>
      <c r="AF1286" s="40">
        <v>0.48407352267194498</v>
      </c>
    </row>
    <row r="1287" spans="1:32">
      <c r="A1287" s="15">
        <v>1285</v>
      </c>
      <c r="B1287" s="16">
        <v>0</v>
      </c>
      <c r="C1287" s="20">
        <v>0.36</v>
      </c>
      <c r="D1287" s="20">
        <v>0.60415967288512262</v>
      </c>
      <c r="E1287" s="20">
        <v>0.08</v>
      </c>
      <c r="F1287" s="8" t="s">
        <v>436</v>
      </c>
      <c r="G1287" s="24">
        <v>0.61071362347484637</v>
      </c>
      <c r="H1287" s="24">
        <v>0.61424949946577889</v>
      </c>
      <c r="I1287" s="25">
        <v>0.62499188485971402</v>
      </c>
      <c r="L1287" s="15">
        <v>1285</v>
      </c>
      <c r="M1287" s="16">
        <v>1</v>
      </c>
      <c r="N1287" s="16">
        <v>0</v>
      </c>
      <c r="O1287" s="16">
        <v>14</v>
      </c>
      <c r="P1287" s="16">
        <v>248</v>
      </c>
      <c r="Q1287" s="29">
        <v>68</v>
      </c>
      <c r="R1287" s="20">
        <v>0.48229999999999995</v>
      </c>
      <c r="S1287" s="32">
        <v>32.796399999999998</v>
      </c>
      <c r="T1287" s="35">
        <v>1.47</v>
      </c>
      <c r="U1287" s="35">
        <v>0.45</v>
      </c>
      <c r="V1287" s="35">
        <v>2.161764705882353E-2</v>
      </c>
      <c r="W1287" s="9" t="s">
        <v>153</v>
      </c>
      <c r="X1287" s="15">
        <v>1286</v>
      </c>
      <c r="Y1287" s="39">
        <v>0.49181472877416615</v>
      </c>
      <c r="Z1287" s="39">
        <v>0.49006703404915186</v>
      </c>
      <c r="AA1287" s="39">
        <v>0.47626198818892151</v>
      </c>
      <c r="AB1287" s="39">
        <v>0.48976147336906017</v>
      </c>
      <c r="AC1287" s="39">
        <v>0.48338907316904128</v>
      </c>
      <c r="AD1287" s="39">
        <v>0.48586187135076508</v>
      </c>
      <c r="AE1287" s="39">
        <v>0.47160226783621223</v>
      </c>
      <c r="AF1287" s="40">
        <v>0.48881605452662036</v>
      </c>
    </row>
    <row r="1288" spans="1:32">
      <c r="A1288" s="15">
        <v>1286</v>
      </c>
      <c r="B1288" s="16">
        <v>0</v>
      </c>
      <c r="C1288" s="20">
        <v>0.92</v>
      </c>
      <c r="D1288" s="20">
        <v>0.20258497911151899</v>
      </c>
      <c r="E1288" s="20">
        <v>0.08</v>
      </c>
      <c r="F1288" s="8" t="s">
        <v>434</v>
      </c>
      <c r="G1288" s="24">
        <v>0.63182779663648725</v>
      </c>
      <c r="H1288" s="24">
        <v>0.63548591830048318</v>
      </c>
      <c r="I1288" s="25">
        <v>0.64659969967554287</v>
      </c>
      <c r="L1288" s="15">
        <v>1286</v>
      </c>
      <c r="M1288" s="16">
        <v>1</v>
      </c>
      <c r="N1288" s="16">
        <v>0</v>
      </c>
      <c r="O1288" s="16">
        <v>14</v>
      </c>
      <c r="P1288" s="16">
        <v>249</v>
      </c>
      <c r="Q1288" s="29">
        <v>53</v>
      </c>
      <c r="R1288" s="20">
        <v>0.48229999999999995</v>
      </c>
      <c r="S1288" s="32">
        <v>25.561899999999998</v>
      </c>
      <c r="T1288" s="35">
        <v>2.3000000000000003</v>
      </c>
      <c r="U1288" s="35">
        <v>1.48</v>
      </c>
      <c r="V1288" s="35">
        <v>4.3396226415094344E-2</v>
      </c>
      <c r="W1288" s="9" t="s">
        <v>154</v>
      </c>
      <c r="X1288" s="15">
        <v>1287</v>
      </c>
      <c r="Y1288" s="39">
        <v>0.49254901818599717</v>
      </c>
      <c r="Z1288" s="39">
        <v>0.49495954758538835</v>
      </c>
      <c r="AA1288" s="39">
        <v>0.49026636191247269</v>
      </c>
      <c r="AB1288" s="39">
        <v>0.49291491858553721</v>
      </c>
      <c r="AC1288" s="39">
        <v>0.48729546327706197</v>
      </c>
      <c r="AD1288" s="39">
        <v>0.49091347162904492</v>
      </c>
      <c r="AE1288" s="39">
        <v>0.48575741062211453</v>
      </c>
      <c r="AF1288" s="40">
        <v>0.48955715844614406</v>
      </c>
    </row>
    <row r="1289" spans="1:32">
      <c r="A1289" s="15">
        <v>1287</v>
      </c>
      <c r="B1289" s="16">
        <v>0</v>
      </c>
      <c r="C1289" s="20">
        <v>0.37</v>
      </c>
      <c r="D1289" s="20">
        <v>0.77725942344187882</v>
      </c>
      <c r="E1289" s="20">
        <v>0.21</v>
      </c>
      <c r="F1289" s="8" t="s">
        <v>436</v>
      </c>
      <c r="G1289" s="24">
        <v>0.65392423249180676</v>
      </c>
      <c r="H1289" s="24">
        <v>0.65771028687913291</v>
      </c>
      <c r="I1289" s="25">
        <v>0.66921274212794646</v>
      </c>
      <c r="L1289" s="15">
        <v>1287</v>
      </c>
      <c r="M1289" s="16">
        <v>1</v>
      </c>
      <c r="N1289" s="16">
        <v>0</v>
      </c>
      <c r="O1289" s="16">
        <v>14</v>
      </c>
      <c r="P1289" s="16">
        <v>250</v>
      </c>
      <c r="Q1289" s="29">
        <v>57</v>
      </c>
      <c r="R1289" s="20">
        <v>0.48229999999999995</v>
      </c>
      <c r="S1289" s="32">
        <v>27.491099999999996</v>
      </c>
      <c r="T1289" s="35">
        <v>1.99</v>
      </c>
      <c r="U1289" s="35">
        <v>1.1200000000000001</v>
      </c>
      <c r="V1289" s="35">
        <v>3.4912280701754388E-2</v>
      </c>
      <c r="W1289" s="9" t="s">
        <v>153</v>
      </c>
      <c r="X1289" s="15">
        <v>1288</v>
      </c>
      <c r="Y1289" s="39">
        <v>0.47062429149890189</v>
      </c>
      <c r="Z1289" s="39">
        <v>0.48598006537945493</v>
      </c>
      <c r="AA1289" s="39">
        <v>0.48447507621522901</v>
      </c>
      <c r="AB1289" s="39">
        <v>0.4735364524783614</v>
      </c>
      <c r="AC1289" s="39">
        <v>0.46402559879365701</v>
      </c>
      <c r="AD1289" s="39">
        <v>0.47828051551908307</v>
      </c>
      <c r="AE1289" s="39">
        <v>0.47820186254438246</v>
      </c>
      <c r="AF1289" s="40">
        <v>0.46765268292329359</v>
      </c>
    </row>
    <row r="1290" spans="1:32">
      <c r="A1290" s="15">
        <v>1288</v>
      </c>
      <c r="B1290" s="16">
        <v>1</v>
      </c>
      <c r="C1290" s="20">
        <v>0.15</v>
      </c>
      <c r="D1290" s="20">
        <v>0.86839569955497853</v>
      </c>
      <c r="E1290" s="20">
        <v>0.09</v>
      </c>
      <c r="F1290" s="8" t="s">
        <v>436</v>
      </c>
      <c r="G1290" s="24">
        <v>0.87873633344782598</v>
      </c>
      <c r="H1290" s="24">
        <v>0.88382399251480315</v>
      </c>
      <c r="I1290" s="25">
        <v>0.89928086786636274</v>
      </c>
      <c r="L1290" s="15">
        <v>1288</v>
      </c>
      <c r="M1290" s="16">
        <v>1</v>
      </c>
      <c r="N1290" s="16">
        <v>0</v>
      </c>
      <c r="O1290" s="16">
        <v>14</v>
      </c>
      <c r="P1290" s="16">
        <v>251</v>
      </c>
      <c r="Q1290" s="29">
        <v>56</v>
      </c>
      <c r="R1290" s="20">
        <v>0.48229999999999995</v>
      </c>
      <c r="S1290" s="32">
        <v>27.008799999999997</v>
      </c>
      <c r="T1290" s="35">
        <v>3.64</v>
      </c>
      <c r="U1290" s="35">
        <v>2.96</v>
      </c>
      <c r="V1290" s="35">
        <v>6.5000000000000002E-2</v>
      </c>
      <c r="W1290" s="9" t="s">
        <v>155</v>
      </c>
      <c r="X1290" s="15">
        <v>1289</v>
      </c>
      <c r="Y1290" s="39">
        <v>0.4741067795294443</v>
      </c>
      <c r="Z1290" s="39">
        <v>0.48065812543811032</v>
      </c>
      <c r="AA1290" s="39">
        <v>0.4881449832997603</v>
      </c>
      <c r="AB1290" s="39">
        <v>0.48592083197355246</v>
      </c>
      <c r="AC1290" s="39">
        <v>0.46993176134194331</v>
      </c>
      <c r="AD1290" s="39">
        <v>0.47584185970612447</v>
      </c>
      <c r="AE1290" s="39">
        <v>0.48013954118495505</v>
      </c>
      <c r="AF1290" s="40">
        <v>0.48415088801393463</v>
      </c>
    </row>
    <row r="1291" spans="1:32">
      <c r="A1291" s="15">
        <v>1289</v>
      </c>
      <c r="B1291" s="16">
        <v>1</v>
      </c>
      <c r="C1291" s="20">
        <v>0.02</v>
      </c>
      <c r="D1291" s="20">
        <v>0.99917029198757767</v>
      </c>
      <c r="E1291" s="20">
        <v>1</v>
      </c>
      <c r="F1291" s="8" t="s">
        <v>436</v>
      </c>
      <c r="G1291" s="24">
        <v>0.99737884951181577</v>
      </c>
      <c r="H1291" s="24">
        <v>1.0031534184624591</v>
      </c>
      <c r="I1291" s="25">
        <v>1.0206972026083794</v>
      </c>
      <c r="L1291" s="15">
        <v>1289</v>
      </c>
      <c r="M1291" s="16">
        <v>1</v>
      </c>
      <c r="N1291" s="16">
        <v>0</v>
      </c>
      <c r="O1291" s="16">
        <v>14</v>
      </c>
      <c r="P1291" s="16">
        <v>252</v>
      </c>
      <c r="Q1291" s="29">
        <v>66</v>
      </c>
      <c r="R1291" s="20">
        <v>0.48229999999999995</v>
      </c>
      <c r="S1291" s="32">
        <v>31.831799999999998</v>
      </c>
      <c r="T1291" s="35">
        <v>1.26</v>
      </c>
      <c r="U1291" s="35">
        <v>0.21</v>
      </c>
      <c r="V1291" s="35">
        <v>1.9090909090909092E-2</v>
      </c>
      <c r="W1291" s="9" t="s">
        <v>153</v>
      </c>
      <c r="X1291" s="15">
        <v>1290</v>
      </c>
      <c r="Y1291" s="39">
        <v>0.4805378676556592</v>
      </c>
      <c r="Z1291" s="39">
        <v>0.4977725845504139</v>
      </c>
      <c r="AA1291" s="39">
        <v>0.48805568170662256</v>
      </c>
      <c r="AB1291" s="39">
        <v>0.49672345241925048</v>
      </c>
      <c r="AC1291" s="39">
        <v>0.47425682723080465</v>
      </c>
      <c r="AD1291" s="39">
        <v>0.49165353874174511</v>
      </c>
      <c r="AE1291" s="39">
        <v>0.48024841442919108</v>
      </c>
      <c r="AF1291" s="40">
        <v>0.49264468648672294</v>
      </c>
    </row>
    <row r="1292" spans="1:32">
      <c r="A1292" s="15">
        <v>1290</v>
      </c>
      <c r="B1292" s="16">
        <v>0</v>
      </c>
      <c r="C1292" s="20">
        <v>0.5</v>
      </c>
      <c r="D1292" s="20">
        <v>0.47325939422898389</v>
      </c>
      <c r="E1292" s="20">
        <v>0.06</v>
      </c>
      <c r="F1292" s="8" t="s">
        <v>438</v>
      </c>
      <c r="G1292" s="24">
        <v>0.44995000610211683</v>
      </c>
      <c r="H1292" s="24">
        <v>0.45255510178451563</v>
      </c>
      <c r="I1292" s="25">
        <v>0.46046967284983825</v>
      </c>
      <c r="L1292" s="15">
        <v>1290</v>
      </c>
      <c r="M1292" s="16">
        <v>1</v>
      </c>
      <c r="N1292" s="16">
        <v>0</v>
      </c>
      <c r="O1292" s="16">
        <v>14</v>
      </c>
      <c r="P1292" s="16">
        <v>253</v>
      </c>
      <c r="Q1292" s="29">
        <v>57</v>
      </c>
      <c r="R1292" s="20">
        <v>0.48229999999999995</v>
      </c>
      <c r="S1292" s="32">
        <v>27.491099999999996</v>
      </c>
      <c r="T1292" s="35">
        <v>1.31</v>
      </c>
      <c r="U1292" s="35">
        <v>0.51</v>
      </c>
      <c r="V1292" s="35">
        <v>2.2982456140350879E-2</v>
      </c>
      <c r="W1292" s="9" t="s">
        <v>153</v>
      </c>
      <c r="X1292" s="15">
        <v>1291</v>
      </c>
      <c r="Y1292" s="39">
        <v>0.49697393858143463</v>
      </c>
      <c r="Z1292" s="39">
        <v>0.48231208309447277</v>
      </c>
      <c r="AA1292" s="39">
        <v>0.4805404869465365</v>
      </c>
      <c r="AB1292" s="39">
        <v>0.4953803990619759</v>
      </c>
      <c r="AC1292" s="39">
        <v>0.49001622427001856</v>
      </c>
      <c r="AD1292" s="39">
        <v>0.47632704952794302</v>
      </c>
      <c r="AE1292" s="39">
        <v>0.47641923447906193</v>
      </c>
      <c r="AF1292" s="40">
        <v>0.49260660770989773</v>
      </c>
    </row>
    <row r="1293" spans="1:32">
      <c r="A1293" s="15">
        <v>1291</v>
      </c>
      <c r="B1293" s="16">
        <v>0</v>
      </c>
      <c r="C1293" s="20">
        <v>0.95</v>
      </c>
      <c r="D1293" s="20">
        <v>0.15570568692893463</v>
      </c>
      <c r="E1293" s="20">
        <v>0.05</v>
      </c>
      <c r="F1293" s="8" t="s">
        <v>434</v>
      </c>
      <c r="G1293" s="24">
        <v>0.55492577508510244</v>
      </c>
      <c r="H1293" s="24">
        <v>0.55813865367410265</v>
      </c>
      <c r="I1293" s="25">
        <v>0.56789973695741636</v>
      </c>
      <c r="L1293" s="15">
        <v>1291</v>
      </c>
      <c r="M1293" s="16">
        <v>1</v>
      </c>
      <c r="N1293" s="16">
        <v>0</v>
      </c>
      <c r="O1293" s="16">
        <v>14</v>
      </c>
      <c r="P1293" s="16">
        <v>254</v>
      </c>
      <c r="Q1293" s="29">
        <v>43</v>
      </c>
      <c r="R1293" s="20">
        <v>0.48229999999999995</v>
      </c>
      <c r="S1293" s="32">
        <v>20.738899999999997</v>
      </c>
      <c r="T1293" s="35">
        <v>1.65</v>
      </c>
      <c r="U1293" s="35">
        <v>1.07</v>
      </c>
      <c r="V1293" s="35">
        <v>3.837209302325581E-2</v>
      </c>
      <c r="W1293" s="9" t="s">
        <v>153</v>
      </c>
      <c r="X1293" s="15">
        <v>1292</v>
      </c>
      <c r="Y1293" s="39">
        <v>0.49658535747677379</v>
      </c>
      <c r="Z1293" s="39">
        <v>0.47784850981469573</v>
      </c>
      <c r="AA1293" s="39">
        <v>0.48722903065761369</v>
      </c>
      <c r="AB1293" s="39">
        <v>0.4976462486204587</v>
      </c>
      <c r="AC1293" s="39">
        <v>0.48933258327180656</v>
      </c>
      <c r="AD1293" s="39">
        <v>0.47265790255936635</v>
      </c>
      <c r="AE1293" s="39">
        <v>0.48366127206235071</v>
      </c>
      <c r="AF1293" s="40">
        <v>0.49235960882472751</v>
      </c>
    </row>
    <row r="1294" spans="1:32">
      <c r="A1294" s="15">
        <v>1292</v>
      </c>
      <c r="B1294" s="16">
        <v>1</v>
      </c>
      <c r="C1294" s="20">
        <v>0.96</v>
      </c>
      <c r="D1294" s="20">
        <v>0.13880369068795359</v>
      </c>
      <c r="E1294" s="20">
        <v>0.04</v>
      </c>
      <c r="F1294" s="8" t="s">
        <v>434</v>
      </c>
      <c r="G1294" s="24">
        <v>1.3936306632271316</v>
      </c>
      <c r="H1294" s="24">
        <v>1.4016994290330989</v>
      </c>
      <c r="I1294" s="25">
        <v>1.4262132389527296</v>
      </c>
      <c r="L1294" s="15">
        <v>1292</v>
      </c>
      <c r="M1294" s="16">
        <v>1</v>
      </c>
      <c r="N1294" s="16">
        <v>0</v>
      </c>
      <c r="O1294" s="16">
        <v>14</v>
      </c>
      <c r="P1294" s="16">
        <v>255</v>
      </c>
      <c r="Q1294" s="29">
        <v>11</v>
      </c>
      <c r="R1294" s="20">
        <v>0.48229999999999995</v>
      </c>
      <c r="S1294" s="32">
        <v>5.305299999999999</v>
      </c>
      <c r="T1294" s="35">
        <v>0.14000000000000001</v>
      </c>
      <c r="U1294" s="35">
        <v>0.02</v>
      </c>
      <c r="V1294" s="35">
        <v>1.2727272727272728E-2</v>
      </c>
      <c r="W1294" s="9" t="s">
        <v>152</v>
      </c>
      <c r="X1294" s="15">
        <v>1293</v>
      </c>
      <c r="Y1294" s="39">
        <v>0.48334006877258806</v>
      </c>
      <c r="Z1294" s="39">
        <v>0.4753378352419747</v>
      </c>
      <c r="AA1294" s="39">
        <v>0.48872149346792765</v>
      </c>
      <c r="AB1294" s="39">
        <v>0.47970540688101349</v>
      </c>
      <c r="AC1294" s="39">
        <v>0.473227875842681</v>
      </c>
      <c r="AD1294" s="39">
        <v>0.46597080789651757</v>
      </c>
      <c r="AE1294" s="39">
        <v>0.47762092024482861</v>
      </c>
      <c r="AF1294" s="40">
        <v>0.4752104343729644</v>
      </c>
    </row>
    <row r="1295" spans="1:32">
      <c r="A1295" s="15">
        <v>1293</v>
      </c>
      <c r="B1295" s="16">
        <v>0</v>
      </c>
      <c r="C1295" s="20">
        <v>0.94</v>
      </c>
      <c r="D1295" s="20">
        <v>0.17188516685452584</v>
      </c>
      <c r="E1295" s="20">
        <v>0.06</v>
      </c>
      <c r="F1295" s="8" t="s">
        <v>434</v>
      </c>
      <c r="G1295" s="24">
        <v>1.48423851146254</v>
      </c>
      <c r="H1295" s="24">
        <v>1.4928318735814941</v>
      </c>
      <c r="I1295" s="25">
        <v>1.5189394655751542</v>
      </c>
      <c r="L1295" s="15">
        <v>1293</v>
      </c>
      <c r="M1295" s="16">
        <v>1</v>
      </c>
      <c r="N1295" s="16">
        <v>0</v>
      </c>
      <c r="O1295" s="16">
        <v>16</v>
      </c>
      <c r="P1295" s="16">
        <v>257</v>
      </c>
      <c r="Q1295" s="29">
        <v>43</v>
      </c>
      <c r="R1295" s="20">
        <v>0.48229999999999995</v>
      </c>
      <c r="S1295" s="32">
        <v>20.738899999999997</v>
      </c>
      <c r="T1295" s="35">
        <v>2.0499999999999998</v>
      </c>
      <c r="U1295" s="35">
        <v>1.38</v>
      </c>
      <c r="V1295" s="35">
        <v>4.7674418604651159E-2</v>
      </c>
      <c r="W1295" s="9" t="s">
        <v>154</v>
      </c>
      <c r="X1295" s="15">
        <v>1294</v>
      </c>
      <c r="Y1295" s="39">
        <v>0.48026952972075859</v>
      </c>
      <c r="Z1295" s="39">
        <v>0.48556980510609954</v>
      </c>
      <c r="AA1295" s="39">
        <v>0.48681339582807898</v>
      </c>
      <c r="AB1295" s="39">
        <v>0.47793972069191415</v>
      </c>
      <c r="AC1295" s="39">
        <v>0.47300727300214906</v>
      </c>
      <c r="AD1295" s="39">
        <v>0.48005972071688457</v>
      </c>
      <c r="AE1295" s="39">
        <v>0.4824505870469144</v>
      </c>
      <c r="AF1295" s="40">
        <v>0.47551534506964022</v>
      </c>
    </row>
    <row r="1296" spans="1:32">
      <c r="A1296" s="15">
        <v>1294</v>
      </c>
      <c r="B1296" s="16">
        <v>0</v>
      </c>
      <c r="C1296" s="20">
        <v>0.21</v>
      </c>
      <c r="D1296" s="20">
        <v>0.82352566751501832</v>
      </c>
      <c r="E1296" s="20">
        <v>0.08</v>
      </c>
      <c r="F1296" s="8" t="s">
        <v>436</v>
      </c>
      <c r="G1296" s="24">
        <v>0.98099331779378918</v>
      </c>
      <c r="H1296" s="24">
        <v>0.98667301869830848</v>
      </c>
      <c r="I1296" s="25">
        <v>1.0039285831454474</v>
      </c>
      <c r="L1296" s="15">
        <v>1294</v>
      </c>
      <c r="M1296" s="16">
        <v>1</v>
      </c>
      <c r="N1296" s="16">
        <v>0</v>
      </c>
      <c r="O1296" s="16">
        <v>16</v>
      </c>
      <c r="P1296" s="16">
        <v>258</v>
      </c>
      <c r="Q1296" s="29">
        <v>33</v>
      </c>
      <c r="R1296" s="20">
        <v>0.48229999999999995</v>
      </c>
      <c r="S1296" s="32">
        <v>15.915899999999999</v>
      </c>
      <c r="T1296" s="35">
        <v>1.33</v>
      </c>
      <c r="U1296" s="35">
        <v>0.72</v>
      </c>
      <c r="V1296" s="35">
        <v>4.0303030303030306E-2</v>
      </c>
      <c r="W1296" s="9" t="s">
        <v>153</v>
      </c>
      <c r="X1296" s="15">
        <v>1295</v>
      </c>
      <c r="Y1296" s="39">
        <v>0.46991575332329255</v>
      </c>
      <c r="Z1296" s="39">
        <v>0.48955929264440806</v>
      </c>
      <c r="AA1296" s="39">
        <v>0.48576535742672194</v>
      </c>
      <c r="AB1296" s="39">
        <v>0.48232737041936891</v>
      </c>
      <c r="AC1296" s="39">
        <v>0.46495143150258639</v>
      </c>
      <c r="AD1296" s="39">
        <v>0.48362465894050394</v>
      </c>
      <c r="AE1296" s="39">
        <v>0.47843980817448511</v>
      </c>
      <c r="AF1296" s="40">
        <v>0.47695460705485626</v>
      </c>
    </row>
    <row r="1297" spans="1:32">
      <c r="A1297" s="15">
        <v>1295</v>
      </c>
      <c r="B1297" s="16">
        <v>0</v>
      </c>
      <c r="C1297" s="20">
        <v>0.6</v>
      </c>
      <c r="D1297" s="20">
        <v>0.45666148879483281</v>
      </c>
      <c r="E1297" s="20">
        <v>0.06</v>
      </c>
      <c r="F1297" s="8" t="s">
        <v>438</v>
      </c>
      <c r="G1297" s="24">
        <v>1.1163665114261017</v>
      </c>
      <c r="H1297" s="24">
        <v>1.1228299885667836</v>
      </c>
      <c r="I1297" s="25">
        <v>1.1424667525845686</v>
      </c>
      <c r="L1297" s="15">
        <v>1295</v>
      </c>
      <c r="M1297" s="16">
        <v>1</v>
      </c>
      <c r="N1297" s="16">
        <v>0</v>
      </c>
      <c r="O1297" s="16">
        <v>16</v>
      </c>
      <c r="P1297" s="16">
        <v>259</v>
      </c>
      <c r="Q1297" s="29">
        <v>19</v>
      </c>
      <c r="R1297" s="20">
        <v>0.48229999999999995</v>
      </c>
      <c r="S1297" s="32">
        <v>9.1636999999999986</v>
      </c>
      <c r="T1297" s="35">
        <v>0.68</v>
      </c>
      <c r="U1297" s="35">
        <v>0.28999999999999998</v>
      </c>
      <c r="V1297" s="35">
        <v>3.5789473684210531E-2</v>
      </c>
      <c r="W1297" s="9" t="s">
        <v>152</v>
      </c>
      <c r="X1297" s="15">
        <v>1296</v>
      </c>
      <c r="Y1297" s="39">
        <v>0.49268902872818149</v>
      </c>
      <c r="Z1297" s="39">
        <v>0.48291621186939243</v>
      </c>
      <c r="AA1297" s="39">
        <v>0.4790846807712858</v>
      </c>
      <c r="AB1297" s="39">
        <v>0.49978798126655449</v>
      </c>
      <c r="AC1297" s="39">
        <v>0.4828402005329534</v>
      </c>
      <c r="AD1297" s="39">
        <v>0.47691434749231632</v>
      </c>
      <c r="AE1297" s="39">
        <v>0.47450340485880188</v>
      </c>
      <c r="AF1297" s="40">
        <v>0.49611288512504487</v>
      </c>
    </row>
    <row r="1298" spans="1:32">
      <c r="A1298" s="15">
        <v>1296</v>
      </c>
      <c r="B1298" s="16">
        <v>1</v>
      </c>
      <c r="C1298" s="20">
        <v>0.02</v>
      </c>
      <c r="D1298" s="20">
        <v>0.99756714174924133</v>
      </c>
      <c r="E1298" s="20">
        <v>1</v>
      </c>
      <c r="F1298" s="8" t="s">
        <v>436</v>
      </c>
      <c r="G1298" s="24">
        <v>1.0684968271384605</v>
      </c>
      <c r="H1298" s="24">
        <v>1.0746831510261936</v>
      </c>
      <c r="I1298" s="25">
        <v>1.0934778925680793</v>
      </c>
      <c r="L1298" s="15">
        <v>1296</v>
      </c>
      <c r="M1298" s="16">
        <v>1</v>
      </c>
      <c r="N1298" s="16">
        <v>1</v>
      </c>
      <c r="O1298" s="16">
        <v>0</v>
      </c>
      <c r="P1298" s="16">
        <v>56</v>
      </c>
      <c r="Q1298" s="29">
        <v>38</v>
      </c>
      <c r="R1298" s="20">
        <v>0.62250000000000005</v>
      </c>
      <c r="S1298" s="32">
        <v>23.655000000000001</v>
      </c>
      <c r="T1298" s="35">
        <v>2.64</v>
      </c>
      <c r="U1298" s="35">
        <v>2.0299999999999998</v>
      </c>
      <c r="V1298" s="35">
        <v>6.9473684210526312E-2</v>
      </c>
      <c r="W1298" s="9" t="s">
        <v>154</v>
      </c>
      <c r="X1298" s="15">
        <v>1297</v>
      </c>
      <c r="Y1298" s="39">
        <v>0.49039405736837199</v>
      </c>
      <c r="Z1298" s="39">
        <v>0.48960551043925027</v>
      </c>
      <c r="AA1298" s="39">
        <v>0.48339957574975589</v>
      </c>
      <c r="AB1298" s="39">
        <v>0.47740952704483763</v>
      </c>
      <c r="AC1298" s="39">
        <v>0.48165684478685777</v>
      </c>
      <c r="AD1298" s="39">
        <v>0.48122999127087079</v>
      </c>
      <c r="AE1298" s="39">
        <v>0.47620822885008279</v>
      </c>
      <c r="AF1298" s="40">
        <v>0.47491408105383198</v>
      </c>
    </row>
    <row r="1299" spans="1:32">
      <c r="A1299" s="15">
        <v>1297</v>
      </c>
      <c r="B1299" s="16">
        <v>1</v>
      </c>
      <c r="C1299" s="20">
        <v>0.2</v>
      </c>
      <c r="D1299" s="20">
        <v>0.85583591256168723</v>
      </c>
      <c r="E1299" s="20">
        <v>0.09</v>
      </c>
      <c r="F1299" s="8" t="s">
        <v>436</v>
      </c>
      <c r="G1299" s="24">
        <v>1.0434906206796353</v>
      </c>
      <c r="H1299" s="24">
        <v>1.0495321650149836</v>
      </c>
      <c r="I1299" s="25">
        <v>1.0678870501385815</v>
      </c>
      <c r="L1299" s="15">
        <v>1297</v>
      </c>
      <c r="M1299" s="16">
        <v>1</v>
      </c>
      <c r="N1299" s="16">
        <v>1</v>
      </c>
      <c r="O1299" s="16">
        <v>0</v>
      </c>
      <c r="P1299" s="16">
        <v>57</v>
      </c>
      <c r="Q1299" s="29">
        <v>39</v>
      </c>
      <c r="R1299" s="20">
        <v>0.62250000000000005</v>
      </c>
      <c r="S1299" s="32">
        <v>24.277500000000003</v>
      </c>
      <c r="T1299" s="35">
        <v>1.22</v>
      </c>
      <c r="U1299" s="35">
        <v>0.63</v>
      </c>
      <c r="V1299" s="35">
        <v>3.1282051282051283E-2</v>
      </c>
      <c r="W1299" s="9" t="s">
        <v>153</v>
      </c>
      <c r="X1299" s="15">
        <v>1298</v>
      </c>
      <c r="Y1299" s="39">
        <v>0.48269903366507705</v>
      </c>
      <c r="Z1299" s="39">
        <v>0.49422317459382797</v>
      </c>
      <c r="AA1299" s="39">
        <v>0.4841893811799825</v>
      </c>
      <c r="AB1299" s="39">
        <v>0.48965210711955764</v>
      </c>
      <c r="AC1299" s="39">
        <v>0.4799533028647644</v>
      </c>
      <c r="AD1299" s="39">
        <v>0.48688968528640969</v>
      </c>
      <c r="AE1299" s="39">
        <v>0.47759799083194754</v>
      </c>
      <c r="AF1299" s="40">
        <v>0.4860384859220454</v>
      </c>
    </row>
    <row r="1300" spans="1:32">
      <c r="A1300" s="15">
        <v>1298</v>
      </c>
      <c r="B1300" s="16">
        <v>1</v>
      </c>
      <c r="C1300" s="20">
        <v>0.09</v>
      </c>
      <c r="D1300" s="20">
        <v>0.92980674148277298</v>
      </c>
      <c r="E1300" s="20">
        <v>0.38</v>
      </c>
      <c r="F1300" s="8" t="s">
        <v>436</v>
      </c>
      <c r="G1300" s="24">
        <v>1.1561469413658576</v>
      </c>
      <c r="H1300" s="24">
        <v>1.1628407370416536</v>
      </c>
      <c r="I1300" s="25">
        <v>1.183177234442031</v>
      </c>
      <c r="L1300" s="15">
        <v>1298</v>
      </c>
      <c r="M1300" s="16">
        <v>1</v>
      </c>
      <c r="N1300" s="16">
        <v>1</v>
      </c>
      <c r="O1300" s="16">
        <v>0</v>
      </c>
      <c r="P1300" s="16">
        <v>58</v>
      </c>
      <c r="Q1300" s="29">
        <v>42</v>
      </c>
      <c r="R1300" s="20">
        <v>0.62250000000000005</v>
      </c>
      <c r="S1300" s="32">
        <v>26.145000000000003</v>
      </c>
      <c r="T1300" s="35">
        <v>3.21</v>
      </c>
      <c r="U1300" s="35">
        <v>2.67</v>
      </c>
      <c r="V1300" s="35">
        <v>7.6428571428571429E-2</v>
      </c>
      <c r="W1300" s="9" t="s">
        <v>155</v>
      </c>
      <c r="X1300" s="15">
        <v>1299</v>
      </c>
      <c r="Y1300" s="39">
        <v>0.48552068988665553</v>
      </c>
      <c r="Z1300" s="39">
        <v>0.47086878849723496</v>
      </c>
      <c r="AA1300" s="39">
        <v>0.48517969750368833</v>
      </c>
      <c r="AB1300" s="39">
        <v>0.48618222064785688</v>
      </c>
      <c r="AC1300" s="39">
        <v>0.47740223352253724</v>
      </c>
      <c r="AD1300" s="39">
        <v>0.46651336841037555</v>
      </c>
      <c r="AE1300" s="39">
        <v>0.48003848234331487</v>
      </c>
      <c r="AF1300" s="40">
        <v>0.48028463064382854</v>
      </c>
    </row>
    <row r="1301" spans="1:32">
      <c r="A1301" s="15">
        <v>1299</v>
      </c>
      <c r="B1301" s="16">
        <v>0</v>
      </c>
      <c r="C1301" s="20">
        <v>0.93</v>
      </c>
      <c r="D1301" s="20">
        <v>0.18747949848141848</v>
      </c>
      <c r="E1301" s="20">
        <v>7.0000000000000007E-2</v>
      </c>
      <c r="F1301" s="8" t="s">
        <v>434</v>
      </c>
      <c r="G1301" s="24">
        <v>1.9982018508633757</v>
      </c>
      <c r="H1301" s="24">
        <v>2.0097709295246702</v>
      </c>
      <c r="I1301" s="25">
        <v>1.6578926537592125</v>
      </c>
      <c r="L1301" s="15">
        <v>1299</v>
      </c>
      <c r="M1301" s="16">
        <v>1</v>
      </c>
      <c r="N1301" s="16">
        <v>1</v>
      </c>
      <c r="O1301" s="16">
        <v>0</v>
      </c>
      <c r="P1301" s="16">
        <v>59</v>
      </c>
      <c r="Q1301" s="29">
        <v>55</v>
      </c>
      <c r="R1301" s="20">
        <v>0.62250000000000005</v>
      </c>
      <c r="S1301" s="32">
        <v>34.237500000000004</v>
      </c>
      <c r="T1301" s="35">
        <v>2.64</v>
      </c>
      <c r="U1301" s="35">
        <v>1.68</v>
      </c>
      <c r="V1301" s="35">
        <v>4.8000000000000001E-2</v>
      </c>
      <c r="W1301" s="9" t="s">
        <v>154</v>
      </c>
      <c r="X1301" s="15">
        <v>1300</v>
      </c>
      <c r="Y1301" s="39">
        <v>0.46955119995716421</v>
      </c>
      <c r="Z1301" s="39">
        <v>0.4740850144230952</v>
      </c>
      <c r="AA1301" s="39">
        <v>0.49044636484656096</v>
      </c>
      <c r="AB1301" s="39">
        <v>0.48240699621474975</v>
      </c>
      <c r="AC1301" s="39">
        <v>0.46164023884443933</v>
      </c>
      <c r="AD1301" s="39">
        <v>0.4677132067620593</v>
      </c>
      <c r="AE1301" s="39">
        <v>0.48199103511962155</v>
      </c>
      <c r="AF1301" s="40">
        <v>0.47972667900278082</v>
      </c>
    </row>
    <row r="1302" spans="1:32">
      <c r="A1302" s="15">
        <v>1300</v>
      </c>
      <c r="B1302" s="16">
        <v>1</v>
      </c>
      <c r="C1302" s="20">
        <v>0.08</v>
      </c>
      <c r="D1302" s="20">
        <v>0.92290590694529528</v>
      </c>
      <c r="E1302" s="20">
        <v>0.09</v>
      </c>
      <c r="F1302" s="8" t="s">
        <v>436</v>
      </c>
      <c r="G1302" s="24">
        <v>0.854736122048803</v>
      </c>
      <c r="H1302" s="24">
        <v>0.85968482601800411</v>
      </c>
      <c r="I1302" s="25">
        <v>0.87471954029361243</v>
      </c>
      <c r="L1302" s="15">
        <v>1300</v>
      </c>
      <c r="M1302" s="16">
        <v>1</v>
      </c>
      <c r="N1302" s="16">
        <v>1</v>
      </c>
      <c r="O1302" s="16">
        <v>0</v>
      </c>
      <c r="P1302" s="16">
        <v>60</v>
      </c>
      <c r="Q1302" s="29">
        <v>43</v>
      </c>
      <c r="R1302" s="20">
        <v>0.62250000000000005</v>
      </c>
      <c r="S1302" s="32">
        <v>26.767500000000002</v>
      </c>
      <c r="T1302" s="35">
        <v>5.97</v>
      </c>
      <c r="U1302" s="35">
        <v>5.43</v>
      </c>
      <c r="V1302" s="35">
        <v>0.13883720930232557</v>
      </c>
      <c r="W1302" s="9" t="s">
        <v>156</v>
      </c>
      <c r="X1302" s="15">
        <v>1301</v>
      </c>
      <c r="Y1302" s="39">
        <v>0.47456889003360603</v>
      </c>
      <c r="Z1302" s="39">
        <v>0.48736669539637439</v>
      </c>
      <c r="AA1302" s="39">
        <v>0.50013123319680375</v>
      </c>
      <c r="AB1302" s="39">
        <v>0.49176158422914751</v>
      </c>
      <c r="AC1302" s="39">
        <v>0.46829646397450836</v>
      </c>
      <c r="AD1302" s="39">
        <v>0.47919161857389436</v>
      </c>
      <c r="AE1302" s="39">
        <v>0.49214055213081814</v>
      </c>
      <c r="AF1302" s="40">
        <v>0.48689389194306654</v>
      </c>
    </row>
    <row r="1303" spans="1:32">
      <c r="A1303" s="15">
        <v>1301</v>
      </c>
      <c r="B1303" s="16">
        <v>0</v>
      </c>
      <c r="C1303" s="20">
        <v>0.94</v>
      </c>
      <c r="D1303" s="20">
        <v>0.17188516685452584</v>
      </c>
      <c r="E1303" s="20">
        <v>0.06</v>
      </c>
      <c r="F1303" s="8" t="s">
        <v>434</v>
      </c>
      <c r="G1303" s="24">
        <v>0.43216901183809131</v>
      </c>
      <c r="H1303" s="24">
        <v>0.43467116010242635</v>
      </c>
      <c r="I1303" s="25">
        <v>0.4422729654364318</v>
      </c>
      <c r="L1303" s="15">
        <v>1301</v>
      </c>
      <c r="M1303" s="16">
        <v>1</v>
      </c>
      <c r="N1303" s="16">
        <v>1</v>
      </c>
      <c r="O1303" s="16">
        <v>0</v>
      </c>
      <c r="P1303" s="16">
        <v>61</v>
      </c>
      <c r="Q1303" s="29">
        <v>40</v>
      </c>
      <c r="R1303" s="20">
        <v>0.62250000000000005</v>
      </c>
      <c r="S1303" s="32">
        <v>24.900000000000002</v>
      </c>
      <c r="T1303" s="35">
        <v>1.9200000000000002</v>
      </c>
      <c r="U1303" s="35">
        <v>1.35</v>
      </c>
      <c r="V1303" s="35">
        <v>4.8000000000000001E-2</v>
      </c>
      <c r="W1303" s="9" t="s">
        <v>153</v>
      </c>
      <c r="X1303" s="15">
        <v>1302</v>
      </c>
      <c r="Y1303" s="39">
        <v>0.48814471558082245</v>
      </c>
      <c r="Z1303" s="39">
        <v>0.47080933173153078</v>
      </c>
      <c r="AA1303" s="39">
        <v>0.49510948202232935</v>
      </c>
      <c r="AB1303" s="39">
        <v>0.50315231864743237</v>
      </c>
      <c r="AC1303" s="39">
        <v>0.48164876619117808</v>
      </c>
      <c r="AD1303" s="39">
        <v>0.46225828273735386</v>
      </c>
      <c r="AE1303" s="39">
        <v>0.48822690312456352</v>
      </c>
      <c r="AF1303" s="40">
        <v>0.50078283715391503</v>
      </c>
    </row>
    <row r="1304" spans="1:32">
      <c r="A1304" s="15">
        <v>1302</v>
      </c>
      <c r="B1304" s="16">
        <v>0</v>
      </c>
      <c r="C1304" s="20">
        <v>0.91</v>
      </c>
      <c r="D1304" s="20">
        <v>0.21727233298780477</v>
      </c>
      <c r="E1304" s="20">
        <v>0.09</v>
      </c>
      <c r="F1304" s="8" t="s">
        <v>434</v>
      </c>
      <c r="G1304" s="24">
        <v>0.50215098114995937</v>
      </c>
      <c r="H1304" s="24">
        <v>0.50505830715321576</v>
      </c>
      <c r="I1304" s="25">
        <v>0.51389108762201052</v>
      </c>
      <c r="L1304" s="15">
        <v>1302</v>
      </c>
      <c r="M1304" s="16">
        <v>1</v>
      </c>
      <c r="N1304" s="16">
        <v>1</v>
      </c>
      <c r="O1304" s="16">
        <v>0</v>
      </c>
      <c r="P1304" s="16">
        <v>62</v>
      </c>
      <c r="Q1304" s="29">
        <v>50</v>
      </c>
      <c r="R1304" s="20">
        <v>0.62250000000000005</v>
      </c>
      <c r="S1304" s="32">
        <v>31.125000000000004</v>
      </c>
      <c r="T1304" s="35">
        <v>4.0999999999999996</v>
      </c>
      <c r="U1304" s="35">
        <v>3.19</v>
      </c>
      <c r="V1304" s="35">
        <v>8.199999999999999E-2</v>
      </c>
      <c r="W1304" s="9" t="s">
        <v>155</v>
      </c>
      <c r="X1304" s="15">
        <v>1303</v>
      </c>
      <c r="Y1304" s="39">
        <v>0.4675356000241046</v>
      </c>
      <c r="Z1304" s="39">
        <v>0.47899990895383787</v>
      </c>
      <c r="AA1304" s="39">
        <v>0.49729332707688961</v>
      </c>
      <c r="AB1304" s="39">
        <v>0.48975319019732283</v>
      </c>
      <c r="AC1304" s="39">
        <v>0.45813427400060919</v>
      </c>
      <c r="AD1304" s="39">
        <v>0.47400650482697448</v>
      </c>
      <c r="AE1304" s="39">
        <v>0.4885543531726359</v>
      </c>
      <c r="AF1304" s="40">
        <v>0.48509740462522205</v>
      </c>
    </row>
    <row r="1305" spans="1:32">
      <c r="A1305" s="15">
        <v>1303</v>
      </c>
      <c r="B1305" s="16">
        <v>1</v>
      </c>
      <c r="C1305" s="20">
        <v>0.09</v>
      </c>
      <c r="D1305" s="20">
        <v>0.92991526154182269</v>
      </c>
      <c r="E1305" s="20">
        <v>0.37</v>
      </c>
      <c r="F1305" s="8" t="s">
        <v>436</v>
      </c>
      <c r="G1305" s="24">
        <v>1.1806975792167318</v>
      </c>
      <c r="H1305" s="24">
        <v>1.1875335168189598</v>
      </c>
      <c r="I1305" s="25">
        <v>1.2083018572359716</v>
      </c>
      <c r="L1305" s="15">
        <v>1303</v>
      </c>
      <c r="M1305" s="16">
        <v>1</v>
      </c>
      <c r="N1305" s="16">
        <v>1</v>
      </c>
      <c r="O1305" s="16">
        <v>0</v>
      </c>
      <c r="P1305" s="16">
        <v>63</v>
      </c>
      <c r="Q1305" s="29">
        <v>45</v>
      </c>
      <c r="R1305" s="20">
        <v>0.62250000000000005</v>
      </c>
      <c r="S1305" s="32">
        <v>28.012500000000003</v>
      </c>
      <c r="T1305" s="35">
        <v>1.76</v>
      </c>
      <c r="U1305" s="35">
        <v>1.04</v>
      </c>
      <c r="V1305" s="35">
        <v>3.911111111111111E-2</v>
      </c>
      <c r="W1305" s="9" t="s">
        <v>153</v>
      </c>
      <c r="X1305" s="15">
        <v>1304</v>
      </c>
      <c r="Y1305" s="39">
        <v>0.48785081769626398</v>
      </c>
      <c r="Z1305" s="39">
        <v>0.48829267678597166</v>
      </c>
      <c r="AA1305" s="39">
        <v>0.48819148925784372</v>
      </c>
      <c r="AB1305" s="39">
        <v>0.48559260376924784</v>
      </c>
      <c r="AC1305" s="39">
        <v>0.4784013492793126</v>
      </c>
      <c r="AD1305" s="39">
        <v>0.48114547513605277</v>
      </c>
      <c r="AE1305" s="39">
        <v>0.48050852385673898</v>
      </c>
      <c r="AF1305" s="40">
        <v>0.48282964673257167</v>
      </c>
    </row>
    <row r="1306" spans="1:32">
      <c r="A1306" s="15">
        <v>1304</v>
      </c>
      <c r="B1306" s="16">
        <v>0</v>
      </c>
      <c r="C1306" s="20">
        <v>0.94</v>
      </c>
      <c r="D1306" s="20">
        <v>0.17188516685452584</v>
      </c>
      <c r="E1306" s="20">
        <v>0.06</v>
      </c>
      <c r="F1306" s="8" t="s">
        <v>434</v>
      </c>
      <c r="G1306" s="24">
        <v>1.2271955661960059</v>
      </c>
      <c r="H1306" s="24">
        <v>1.2343007152739027</v>
      </c>
      <c r="I1306" s="25">
        <v>1.2558869501621914</v>
      </c>
      <c r="L1306" s="15">
        <v>1304</v>
      </c>
      <c r="M1306" s="16">
        <v>1</v>
      </c>
      <c r="N1306" s="16">
        <v>1</v>
      </c>
      <c r="O1306" s="16">
        <v>0</v>
      </c>
      <c r="P1306" s="16">
        <v>64</v>
      </c>
      <c r="Q1306" s="29">
        <v>49</v>
      </c>
      <c r="R1306" s="20">
        <v>0.62250000000000005</v>
      </c>
      <c r="S1306" s="32">
        <v>30.502500000000001</v>
      </c>
      <c r="T1306" s="35">
        <v>5.27</v>
      </c>
      <c r="U1306" s="35">
        <v>4.6100000000000003</v>
      </c>
      <c r="V1306" s="35">
        <v>0.10755102040816325</v>
      </c>
      <c r="W1306" s="9" t="s">
        <v>156</v>
      </c>
      <c r="X1306" s="15">
        <v>1305</v>
      </c>
      <c r="Y1306" s="39">
        <v>0.49715535008700079</v>
      </c>
      <c r="Z1306" s="39">
        <v>0.47917675871262155</v>
      </c>
      <c r="AA1306" s="39">
        <v>0.49690205206538207</v>
      </c>
      <c r="AB1306" s="39">
        <v>0.47746551739462489</v>
      </c>
      <c r="AC1306" s="39">
        <v>0.4903255438511917</v>
      </c>
      <c r="AD1306" s="39">
        <v>0.47179339924539587</v>
      </c>
      <c r="AE1306" s="39">
        <v>0.48841289919511055</v>
      </c>
      <c r="AF1306" s="40">
        <v>0.47405528385560342</v>
      </c>
    </row>
    <row r="1307" spans="1:32">
      <c r="A1307" s="15">
        <v>1305</v>
      </c>
      <c r="B1307" s="16">
        <v>0</v>
      </c>
      <c r="C1307" s="20">
        <v>0.89</v>
      </c>
      <c r="D1307" s="20">
        <v>0.24559627500636821</v>
      </c>
      <c r="E1307" s="20">
        <v>0.11</v>
      </c>
      <c r="F1307" s="8" t="s">
        <v>434</v>
      </c>
      <c r="G1307" s="24">
        <v>0.41507604727923475</v>
      </c>
      <c r="H1307" s="24">
        <v>0.41747923164187456</v>
      </c>
      <c r="I1307" s="25">
        <v>0.42478037361132076</v>
      </c>
      <c r="L1307" s="15">
        <v>1305</v>
      </c>
      <c r="M1307" s="16">
        <v>1</v>
      </c>
      <c r="N1307" s="16">
        <v>1</v>
      </c>
      <c r="O1307" s="16">
        <v>0</v>
      </c>
      <c r="P1307" s="16">
        <v>65</v>
      </c>
      <c r="Q1307" s="29">
        <v>41</v>
      </c>
      <c r="R1307" s="20">
        <v>0.62250000000000005</v>
      </c>
      <c r="S1307" s="32">
        <v>25.522500000000001</v>
      </c>
      <c r="T1307" s="35">
        <v>0.70000000000000007</v>
      </c>
      <c r="U1307" s="35">
        <v>7.0000000000000007E-2</v>
      </c>
      <c r="V1307" s="35">
        <v>1.7073170731707318E-2</v>
      </c>
      <c r="W1307" s="9" t="s">
        <v>152</v>
      </c>
      <c r="X1307" s="15">
        <v>1306</v>
      </c>
      <c r="Y1307" s="39">
        <v>0.48471401287204025</v>
      </c>
      <c r="Z1307" s="39">
        <v>0.4766364176976306</v>
      </c>
      <c r="AA1307" s="39">
        <v>0.49905537912635362</v>
      </c>
      <c r="AB1307" s="39">
        <v>0.4884139227390118</v>
      </c>
      <c r="AC1307" s="39">
        <v>0.47787454803807006</v>
      </c>
      <c r="AD1307" s="39">
        <v>0.47041101419838366</v>
      </c>
      <c r="AE1307" s="39">
        <v>0.49073124689379283</v>
      </c>
      <c r="AF1307" s="40">
        <v>0.48296577468407725</v>
      </c>
    </row>
    <row r="1308" spans="1:32">
      <c r="A1308" s="15">
        <v>1306</v>
      </c>
      <c r="B1308" s="16">
        <v>1</v>
      </c>
      <c r="C1308" s="20">
        <v>0.02</v>
      </c>
      <c r="D1308" s="20">
        <v>0.99756714174924133</v>
      </c>
      <c r="E1308" s="20">
        <v>1</v>
      </c>
      <c r="F1308" s="8" t="s">
        <v>436</v>
      </c>
      <c r="G1308" s="24">
        <v>1.0348376883053381</v>
      </c>
      <c r="H1308" s="24">
        <v>1.0408291343709615</v>
      </c>
      <c r="I1308" s="25">
        <v>1.0590318153668321</v>
      </c>
      <c r="L1308" s="15">
        <v>1306</v>
      </c>
      <c r="M1308" s="16">
        <v>1</v>
      </c>
      <c r="N1308" s="16">
        <v>1</v>
      </c>
      <c r="O1308" s="16">
        <v>0</v>
      </c>
      <c r="P1308" s="16">
        <v>66</v>
      </c>
      <c r="Q1308" s="29">
        <v>55</v>
      </c>
      <c r="R1308" s="20">
        <v>0.62250000000000005</v>
      </c>
      <c r="S1308" s="32">
        <v>34.237500000000004</v>
      </c>
      <c r="T1308" s="35">
        <v>3.44</v>
      </c>
      <c r="U1308" s="35">
        <v>2.69</v>
      </c>
      <c r="V1308" s="35">
        <v>6.2545454545454543E-2</v>
      </c>
      <c r="W1308" s="9" t="s">
        <v>155</v>
      </c>
      <c r="X1308" s="15">
        <v>1307</v>
      </c>
      <c r="Y1308" s="39">
        <v>0.48911172165277017</v>
      </c>
      <c r="Z1308" s="39">
        <v>0.49731593947388819</v>
      </c>
      <c r="AA1308" s="39">
        <v>0.47689906192934706</v>
      </c>
      <c r="AB1308" s="39">
        <v>0.48418524578343436</v>
      </c>
      <c r="AC1308" s="39">
        <v>0.47998944715907133</v>
      </c>
      <c r="AD1308" s="39">
        <v>0.49302566368192957</v>
      </c>
      <c r="AE1308" s="39">
        <v>0.47111641708020785</v>
      </c>
      <c r="AF1308" s="40">
        <v>0.48288288363891374</v>
      </c>
    </row>
    <row r="1309" spans="1:32">
      <c r="A1309" s="15">
        <v>1307</v>
      </c>
      <c r="B1309" s="16">
        <v>1</v>
      </c>
      <c r="C1309" s="20">
        <v>0.94</v>
      </c>
      <c r="D1309" s="20">
        <v>0.17188516685452584</v>
      </c>
      <c r="E1309" s="20">
        <v>0.06</v>
      </c>
      <c r="F1309" s="8" t="s">
        <v>434</v>
      </c>
      <c r="G1309" s="24">
        <v>1.0419847051292308</v>
      </c>
      <c r="H1309" s="24">
        <v>1.0480175305979378</v>
      </c>
      <c r="I1309" s="25">
        <v>1.0663459268328142</v>
      </c>
      <c r="L1309" s="15">
        <v>1307</v>
      </c>
      <c r="M1309" s="16">
        <v>1</v>
      </c>
      <c r="N1309" s="16">
        <v>1</v>
      </c>
      <c r="O1309" s="16">
        <v>0</v>
      </c>
      <c r="P1309" s="16">
        <v>67</v>
      </c>
      <c r="Q1309" s="29">
        <v>44</v>
      </c>
      <c r="R1309" s="20">
        <v>0.62250000000000005</v>
      </c>
      <c r="S1309" s="32">
        <v>27.39</v>
      </c>
      <c r="T1309" s="35">
        <v>3.72</v>
      </c>
      <c r="U1309" s="35">
        <v>3.07</v>
      </c>
      <c r="V1309" s="35">
        <v>8.4545454545454549E-2</v>
      </c>
      <c r="W1309" s="9" t="s">
        <v>155</v>
      </c>
      <c r="X1309" s="15">
        <v>1308</v>
      </c>
      <c r="Y1309" s="39">
        <v>0.47666122611009615</v>
      </c>
      <c r="Z1309" s="39">
        <v>0.48345001070418681</v>
      </c>
      <c r="AA1309" s="39">
        <v>0.48907863243397331</v>
      </c>
      <c r="AB1309" s="39">
        <v>0.49125504081165622</v>
      </c>
      <c r="AC1309" s="39">
        <v>0.46813135423601754</v>
      </c>
      <c r="AD1309" s="39">
        <v>0.47508868283520866</v>
      </c>
      <c r="AE1309" s="39">
        <v>0.48451511029922123</v>
      </c>
      <c r="AF1309" s="40">
        <v>0.48700912936917612</v>
      </c>
    </row>
    <row r="1310" spans="1:32">
      <c r="A1310" s="15">
        <v>1308</v>
      </c>
      <c r="B1310" s="16">
        <v>0</v>
      </c>
      <c r="C1310" s="20">
        <v>0.9</v>
      </c>
      <c r="D1310" s="20">
        <v>0.23159538658365303</v>
      </c>
      <c r="E1310" s="20">
        <v>0.1</v>
      </c>
      <c r="F1310" s="8" t="s">
        <v>434</v>
      </c>
      <c r="G1310" s="24">
        <v>0.57371271754891995</v>
      </c>
      <c r="H1310" s="24">
        <v>0.57703436773928529</v>
      </c>
      <c r="I1310" s="25">
        <v>0.5871259112719901</v>
      </c>
      <c r="L1310" s="15">
        <v>1308</v>
      </c>
      <c r="M1310" s="16">
        <v>1</v>
      </c>
      <c r="N1310" s="16">
        <v>1</v>
      </c>
      <c r="O1310" s="16">
        <v>0</v>
      </c>
      <c r="P1310" s="16">
        <v>68</v>
      </c>
      <c r="Q1310" s="29">
        <v>40</v>
      </c>
      <c r="R1310" s="20">
        <v>0.62250000000000005</v>
      </c>
      <c r="S1310" s="32">
        <v>24.900000000000002</v>
      </c>
      <c r="T1310" s="35">
        <v>1.45</v>
      </c>
      <c r="U1310" s="35">
        <v>0.97</v>
      </c>
      <c r="V1310" s="35">
        <v>3.6249999999999998E-2</v>
      </c>
      <c r="W1310" s="9" t="s">
        <v>153</v>
      </c>
      <c r="X1310" s="15">
        <v>1309</v>
      </c>
      <c r="Y1310" s="39">
        <v>0.48988661490722063</v>
      </c>
      <c r="Z1310" s="39">
        <v>0.49123793671002097</v>
      </c>
      <c r="AA1310" s="39">
        <v>0.48296195468845871</v>
      </c>
      <c r="AB1310" s="39">
        <v>0.48590773811155125</v>
      </c>
      <c r="AC1310" s="39">
        <v>0.4842900209164287</v>
      </c>
      <c r="AD1310" s="39">
        <v>0.48340234396468607</v>
      </c>
      <c r="AE1310" s="39">
        <v>0.47576094739792141</v>
      </c>
      <c r="AF1310" s="40">
        <v>0.48509662155408168</v>
      </c>
    </row>
    <row r="1311" spans="1:32">
      <c r="A1311" s="15">
        <v>1309</v>
      </c>
      <c r="B1311" s="16">
        <v>0</v>
      </c>
      <c r="C1311" s="20">
        <v>0.94</v>
      </c>
      <c r="D1311" s="20">
        <v>0.17188516685452584</v>
      </c>
      <c r="E1311" s="20">
        <v>0.06</v>
      </c>
      <c r="F1311" s="8" t="s">
        <v>434</v>
      </c>
      <c r="G1311" s="24">
        <v>1.6070985217331513</v>
      </c>
      <c r="H1311" s="24">
        <v>1.6164032119506826</v>
      </c>
      <c r="I1311" s="25">
        <v>1.6446718979974282</v>
      </c>
      <c r="L1311" s="15">
        <v>1309</v>
      </c>
      <c r="M1311" s="16">
        <v>1</v>
      </c>
      <c r="N1311" s="16">
        <v>1</v>
      </c>
      <c r="O1311" s="16">
        <v>0</v>
      </c>
      <c r="P1311" s="16">
        <v>69</v>
      </c>
      <c r="Q1311" s="29">
        <v>47</v>
      </c>
      <c r="R1311" s="20">
        <v>0.62250000000000005</v>
      </c>
      <c r="S1311" s="32">
        <v>29.257500000000004</v>
      </c>
      <c r="T1311" s="35">
        <v>2.68</v>
      </c>
      <c r="U1311" s="35">
        <v>2.16</v>
      </c>
      <c r="V1311" s="35">
        <v>5.7021276595744685E-2</v>
      </c>
      <c r="W1311" s="9" t="s">
        <v>154</v>
      </c>
      <c r="X1311" s="15">
        <v>1310</v>
      </c>
      <c r="Y1311" s="39">
        <v>0.48457024921557079</v>
      </c>
      <c r="Z1311" s="39">
        <v>0.50200640851041445</v>
      </c>
      <c r="AA1311" s="39">
        <v>0.47341816819297289</v>
      </c>
      <c r="AB1311" s="39">
        <v>0.49382792542971282</v>
      </c>
      <c r="AC1311" s="39">
        <v>0.47819481158908211</v>
      </c>
      <c r="AD1311" s="39">
        <v>0.49581564609471573</v>
      </c>
      <c r="AE1311" s="39">
        <v>0.46543642240045746</v>
      </c>
      <c r="AF1311" s="40">
        <v>0.48934420013250413</v>
      </c>
    </row>
    <row r="1312" spans="1:32">
      <c r="A1312" s="15">
        <v>1310</v>
      </c>
      <c r="B1312" s="16">
        <v>1</v>
      </c>
      <c r="C1312" s="20">
        <v>0.38</v>
      </c>
      <c r="D1312" s="20">
        <v>0.77679102272569922</v>
      </c>
      <c r="E1312" s="20">
        <v>0.04</v>
      </c>
      <c r="F1312" s="8" t="s">
        <v>436</v>
      </c>
      <c r="G1312" s="24">
        <v>0.85668078992139984</v>
      </c>
      <c r="H1312" s="24">
        <v>0.86164075302119303</v>
      </c>
      <c r="I1312" s="25">
        <v>0.87670967379056153</v>
      </c>
      <c r="L1312" s="15">
        <v>1310</v>
      </c>
      <c r="M1312" s="16">
        <v>1</v>
      </c>
      <c r="N1312" s="16">
        <v>1</v>
      </c>
      <c r="O1312" s="16">
        <v>0</v>
      </c>
      <c r="P1312" s="16">
        <v>70</v>
      </c>
      <c r="Q1312" s="29">
        <v>38</v>
      </c>
      <c r="R1312" s="20">
        <v>0.62250000000000005</v>
      </c>
      <c r="S1312" s="32">
        <v>23.655000000000001</v>
      </c>
      <c r="T1312" s="35">
        <v>0.98</v>
      </c>
      <c r="U1312" s="35">
        <v>0.43</v>
      </c>
      <c r="V1312" s="35">
        <v>2.5789473684210525E-2</v>
      </c>
      <c r="W1312" s="9" t="s">
        <v>152</v>
      </c>
      <c r="X1312" s="15">
        <v>1311</v>
      </c>
      <c r="Y1312" s="39">
        <v>0.47357718157585532</v>
      </c>
      <c r="Z1312" s="39">
        <v>0.48664822050209278</v>
      </c>
      <c r="AA1312" s="39">
        <v>0.49054744845873194</v>
      </c>
      <c r="AB1312" s="39">
        <v>0.48322785555480136</v>
      </c>
      <c r="AC1312" s="39">
        <v>0.46709685869168088</v>
      </c>
      <c r="AD1312" s="39">
        <v>0.4769743378099674</v>
      </c>
      <c r="AE1312" s="39">
        <v>0.48291038421193244</v>
      </c>
      <c r="AF1312" s="40">
        <v>0.48170606969760066</v>
      </c>
    </row>
    <row r="1313" spans="1:32">
      <c r="A1313" s="15">
        <v>1311</v>
      </c>
      <c r="B1313" s="16">
        <v>0</v>
      </c>
      <c r="C1313" s="20">
        <v>0.02</v>
      </c>
      <c r="D1313" s="20">
        <v>0.99917029198757767</v>
      </c>
      <c r="E1313" s="20">
        <v>1</v>
      </c>
      <c r="F1313" s="8" t="s">
        <v>436</v>
      </c>
      <c r="G1313" s="24">
        <v>1.1525171866930846</v>
      </c>
      <c r="H1313" s="24">
        <v>1.1591899670158459</v>
      </c>
      <c r="I1313" s="25">
        <v>1.1794626174311855</v>
      </c>
      <c r="L1313" s="15">
        <v>1311</v>
      </c>
      <c r="M1313" s="16">
        <v>1</v>
      </c>
      <c r="N1313" s="16">
        <v>1</v>
      </c>
      <c r="O1313" s="16">
        <v>0</v>
      </c>
      <c r="P1313" s="16">
        <v>71</v>
      </c>
      <c r="Q1313" s="29">
        <v>48</v>
      </c>
      <c r="R1313" s="20">
        <v>0.62250000000000005</v>
      </c>
      <c r="S1313" s="32">
        <v>29.880000000000003</v>
      </c>
      <c r="T1313" s="35">
        <v>3.83</v>
      </c>
      <c r="U1313" s="35">
        <v>3.17</v>
      </c>
      <c r="V1313" s="35">
        <v>7.9791666666666664E-2</v>
      </c>
      <c r="W1313" s="9" t="s">
        <v>155</v>
      </c>
      <c r="X1313" s="15">
        <v>1312</v>
      </c>
      <c r="Y1313" s="39">
        <v>0.48026853260665364</v>
      </c>
      <c r="Z1313" s="39">
        <v>0.49053430694384231</v>
      </c>
      <c r="AA1313" s="39">
        <v>0.48099247169538223</v>
      </c>
      <c r="AB1313" s="39">
        <v>0.49260239746835344</v>
      </c>
      <c r="AC1313" s="39">
        <v>0.47328529544344378</v>
      </c>
      <c r="AD1313" s="39">
        <v>0.48417719937832054</v>
      </c>
      <c r="AE1313" s="39">
        <v>0.4744239673663051</v>
      </c>
      <c r="AF1313" s="40">
        <v>0.48867748197999755</v>
      </c>
    </row>
    <row r="1314" spans="1:32">
      <c r="A1314" s="15">
        <v>1312</v>
      </c>
      <c r="B1314" s="16">
        <v>1</v>
      </c>
      <c r="C1314" s="20">
        <v>0.96</v>
      </c>
      <c r="D1314" s="20">
        <v>0.13880369068795359</v>
      </c>
      <c r="E1314" s="20">
        <v>0.04</v>
      </c>
      <c r="F1314" s="8" t="s">
        <v>434</v>
      </c>
      <c r="G1314" s="24">
        <v>0.96929399901986923</v>
      </c>
      <c r="H1314" s="24">
        <v>0.97490596385502171</v>
      </c>
      <c r="I1314" s="25">
        <v>0.99195573857308772</v>
      </c>
      <c r="L1314" s="15">
        <v>1312</v>
      </c>
      <c r="M1314" s="16">
        <v>1</v>
      </c>
      <c r="N1314" s="16">
        <v>1</v>
      </c>
      <c r="O1314" s="16">
        <v>0</v>
      </c>
      <c r="P1314" s="16">
        <v>72</v>
      </c>
      <c r="Q1314" s="29">
        <v>37</v>
      </c>
      <c r="R1314" s="20">
        <v>0.62250000000000005</v>
      </c>
      <c r="S1314" s="32">
        <v>23.032500000000002</v>
      </c>
      <c r="T1314" s="35">
        <v>1.9200000000000002</v>
      </c>
      <c r="U1314" s="35">
        <v>1.33</v>
      </c>
      <c r="V1314" s="35">
        <v>5.1891891891891896E-2</v>
      </c>
      <c r="W1314" s="9" t="s">
        <v>153</v>
      </c>
      <c r="X1314" s="15">
        <v>1313</v>
      </c>
      <c r="Y1314" s="39">
        <v>0.47518631802862238</v>
      </c>
      <c r="Z1314" s="39">
        <v>0.48374551550892408</v>
      </c>
      <c r="AA1314" s="39">
        <v>0.48402268492983752</v>
      </c>
      <c r="AB1314" s="39">
        <v>0.4843824588688313</v>
      </c>
      <c r="AC1314" s="39">
        <v>0.46708100568515948</v>
      </c>
      <c r="AD1314" s="39">
        <v>0.47517964671312118</v>
      </c>
      <c r="AE1314" s="39">
        <v>0.4779554977498866</v>
      </c>
      <c r="AF1314" s="40">
        <v>0.47965964320011067</v>
      </c>
    </row>
    <row r="1315" spans="1:32">
      <c r="A1315" s="15">
        <v>1313</v>
      </c>
      <c r="B1315" s="16">
        <v>1</v>
      </c>
      <c r="C1315" s="20">
        <v>0.02</v>
      </c>
      <c r="D1315" s="20">
        <v>0.99756714174924133</v>
      </c>
      <c r="E1315" s="20">
        <v>1</v>
      </c>
      <c r="F1315" s="8" t="s">
        <v>436</v>
      </c>
      <c r="G1315" s="24">
        <v>1.0863249391306899</v>
      </c>
      <c r="H1315" s="24">
        <v>1.092614483236106</v>
      </c>
      <c r="I1315" s="25">
        <v>1.11172281930496</v>
      </c>
      <c r="L1315" s="15">
        <v>1313</v>
      </c>
      <c r="M1315" s="16">
        <v>1</v>
      </c>
      <c r="N1315" s="16">
        <v>1</v>
      </c>
      <c r="O1315" s="16">
        <v>0</v>
      </c>
      <c r="P1315" s="16">
        <v>73</v>
      </c>
      <c r="Q1315" s="29">
        <v>59</v>
      </c>
      <c r="R1315" s="20">
        <v>0.62250000000000005</v>
      </c>
      <c r="S1315" s="32">
        <v>36.727500000000006</v>
      </c>
      <c r="T1315" s="35">
        <v>1.99</v>
      </c>
      <c r="U1315" s="35">
        <v>1.1399999999999999</v>
      </c>
      <c r="V1315" s="35">
        <v>3.3728813559322036E-2</v>
      </c>
      <c r="W1315" s="9" t="s">
        <v>153</v>
      </c>
      <c r="X1315" s="15">
        <v>1314</v>
      </c>
      <c r="Y1315" s="39">
        <v>0.48897702660020026</v>
      </c>
      <c r="Z1315" s="39">
        <v>0.48442747792268404</v>
      </c>
      <c r="AA1315" s="39">
        <v>0.48471605852941735</v>
      </c>
      <c r="AB1315" s="39">
        <v>0.48454086264774771</v>
      </c>
      <c r="AC1315" s="39">
        <v>0.48108742130064208</v>
      </c>
      <c r="AD1315" s="39">
        <v>0.47811378266202492</v>
      </c>
      <c r="AE1315" s="39">
        <v>0.47742715669233216</v>
      </c>
      <c r="AF1315" s="40">
        <v>0.4807687878783673</v>
      </c>
    </row>
    <row r="1316" spans="1:32">
      <c r="A1316" s="15">
        <v>1314</v>
      </c>
      <c r="B1316" s="16">
        <v>0</v>
      </c>
      <c r="C1316" s="20">
        <v>0.02</v>
      </c>
      <c r="D1316" s="20">
        <v>0.99835916395484214</v>
      </c>
      <c r="E1316" s="20">
        <v>1</v>
      </c>
      <c r="F1316" s="8" t="s">
        <v>436</v>
      </c>
      <c r="G1316" s="24">
        <v>1.0059359216215855</v>
      </c>
      <c r="H1316" s="24">
        <v>1.0117600338354911</v>
      </c>
      <c r="I1316" s="25">
        <v>1.0294543359376407</v>
      </c>
      <c r="L1316" s="15">
        <v>1314</v>
      </c>
      <c r="M1316" s="16">
        <v>1</v>
      </c>
      <c r="N1316" s="16">
        <v>1</v>
      </c>
      <c r="O1316" s="16">
        <v>0</v>
      </c>
      <c r="P1316" s="16">
        <v>74</v>
      </c>
      <c r="Q1316" s="29">
        <v>47</v>
      </c>
      <c r="R1316" s="20">
        <v>0.62250000000000005</v>
      </c>
      <c r="S1316" s="32">
        <v>29.257500000000004</v>
      </c>
      <c r="T1316" s="35">
        <v>1.1900000000000002</v>
      </c>
      <c r="U1316" s="35">
        <v>0.47</v>
      </c>
      <c r="V1316" s="35">
        <v>2.5319148936170217E-2</v>
      </c>
      <c r="W1316" s="9" t="s">
        <v>153</v>
      </c>
      <c r="X1316" s="15">
        <v>1315</v>
      </c>
      <c r="Y1316" s="39">
        <v>0.47449489734609496</v>
      </c>
      <c r="Z1316" s="39">
        <v>0.48244805383020095</v>
      </c>
      <c r="AA1316" s="39">
        <v>0.49264245065676998</v>
      </c>
      <c r="AB1316" s="39">
        <v>0.49073295325427274</v>
      </c>
      <c r="AC1316" s="39">
        <v>0.46752221182243359</v>
      </c>
      <c r="AD1316" s="39">
        <v>0.47838593297076731</v>
      </c>
      <c r="AE1316" s="39">
        <v>0.48460684353335309</v>
      </c>
      <c r="AF1316" s="40">
        <v>0.4867891139451741</v>
      </c>
    </row>
    <row r="1317" spans="1:32">
      <c r="A1317" s="15">
        <v>1315</v>
      </c>
      <c r="B1317" s="16">
        <v>0</v>
      </c>
      <c r="C1317" s="20">
        <v>0.12</v>
      </c>
      <c r="D1317" s="20">
        <v>0.93053810471965603</v>
      </c>
      <c r="E1317" s="20">
        <v>0.04</v>
      </c>
      <c r="F1317" s="8" t="s">
        <v>436</v>
      </c>
      <c r="G1317" s="24">
        <v>1.0966496632560565</v>
      </c>
      <c r="H1317" s="24">
        <v>1.1029989848786994</v>
      </c>
      <c r="I1317" s="25">
        <v>1.1222889317081086</v>
      </c>
      <c r="L1317" s="15">
        <v>1315</v>
      </c>
      <c r="M1317" s="16">
        <v>1</v>
      </c>
      <c r="N1317" s="16">
        <v>1</v>
      </c>
      <c r="O1317" s="16">
        <v>0</v>
      </c>
      <c r="P1317" s="16">
        <v>75</v>
      </c>
      <c r="Q1317" s="29">
        <v>43</v>
      </c>
      <c r="R1317" s="20">
        <v>0.62250000000000005</v>
      </c>
      <c r="S1317" s="32">
        <v>26.767500000000002</v>
      </c>
      <c r="T1317" s="35">
        <v>1.58</v>
      </c>
      <c r="U1317" s="35">
        <v>0.92</v>
      </c>
      <c r="V1317" s="35">
        <v>3.6744186046511633E-2</v>
      </c>
      <c r="W1317" s="9" t="s">
        <v>153</v>
      </c>
      <c r="X1317" s="15">
        <v>1316</v>
      </c>
      <c r="Y1317" s="39">
        <v>0.46765067350082407</v>
      </c>
      <c r="Z1317" s="39">
        <v>0.49086705974623163</v>
      </c>
      <c r="AA1317" s="39">
        <v>0.49694159198895443</v>
      </c>
      <c r="AB1317" s="39">
        <v>0.49439191034142255</v>
      </c>
      <c r="AC1317" s="39">
        <v>0.45942693168247933</v>
      </c>
      <c r="AD1317" s="39">
        <v>0.48542845290171766</v>
      </c>
      <c r="AE1317" s="39">
        <v>0.488128871271168</v>
      </c>
      <c r="AF1317" s="40">
        <v>0.48829031189140454</v>
      </c>
    </row>
    <row r="1318" spans="1:32">
      <c r="A1318" s="15">
        <v>1316</v>
      </c>
      <c r="B1318" s="16">
        <v>1</v>
      </c>
      <c r="C1318" s="20">
        <v>0.11</v>
      </c>
      <c r="D1318" s="20">
        <v>0.92744903430657366</v>
      </c>
      <c r="E1318" s="20">
        <v>0.56000000000000005</v>
      </c>
      <c r="F1318" s="8" t="s">
        <v>436</v>
      </c>
      <c r="G1318" s="24">
        <v>0.94681913773908644</v>
      </c>
      <c r="H1318" s="24">
        <v>0.95230097886429099</v>
      </c>
      <c r="I1318" s="25">
        <v>0.9689554232470361</v>
      </c>
      <c r="L1318" s="15">
        <v>1316</v>
      </c>
      <c r="M1318" s="16">
        <v>1</v>
      </c>
      <c r="N1318" s="16">
        <v>1</v>
      </c>
      <c r="O1318" s="16">
        <v>0</v>
      </c>
      <c r="P1318" s="16">
        <v>76</v>
      </c>
      <c r="Q1318" s="29">
        <v>61</v>
      </c>
      <c r="R1318" s="20">
        <v>0.62250000000000005</v>
      </c>
      <c r="S1318" s="32">
        <v>37.972500000000004</v>
      </c>
      <c r="T1318" s="35">
        <v>3.93</v>
      </c>
      <c r="U1318" s="35">
        <v>3.17</v>
      </c>
      <c r="V1318" s="35">
        <v>6.4426229508196722E-2</v>
      </c>
      <c r="W1318" s="9" t="s">
        <v>155</v>
      </c>
      <c r="X1318" s="15">
        <v>1317</v>
      </c>
      <c r="Y1318" s="39">
        <v>0.49142079585104315</v>
      </c>
      <c r="Z1318" s="39">
        <v>0.48630935736130898</v>
      </c>
      <c r="AA1318" s="39">
        <v>0.50115236257370244</v>
      </c>
      <c r="AB1318" s="39">
        <v>0.4886773261015388</v>
      </c>
      <c r="AC1318" s="39">
        <v>0.48712471666099522</v>
      </c>
      <c r="AD1318" s="39">
        <v>0.48020455695620451</v>
      </c>
      <c r="AE1318" s="39">
        <v>0.49443520022040194</v>
      </c>
      <c r="AF1318" s="40">
        <v>0.48650145850364429</v>
      </c>
    </row>
    <row r="1319" spans="1:32">
      <c r="A1319" s="15">
        <v>1317</v>
      </c>
      <c r="B1319" s="16">
        <v>0</v>
      </c>
      <c r="C1319" s="20">
        <v>0.36</v>
      </c>
      <c r="D1319" s="20">
        <v>0.59801126941110205</v>
      </c>
      <c r="E1319" s="20">
        <v>0.1</v>
      </c>
      <c r="F1319" s="8" t="s">
        <v>436</v>
      </c>
      <c r="G1319" s="24">
        <v>0.77058338206207677</v>
      </c>
      <c r="H1319" s="24">
        <v>0.77504486314733889</v>
      </c>
      <c r="I1319" s="25">
        <v>0.78859933999226828</v>
      </c>
      <c r="L1319" s="15">
        <v>1317</v>
      </c>
      <c r="M1319" s="16">
        <v>1</v>
      </c>
      <c r="N1319" s="16">
        <v>1</v>
      </c>
      <c r="O1319" s="16">
        <v>0</v>
      </c>
      <c r="P1319" s="16">
        <v>77</v>
      </c>
      <c r="Q1319" s="29">
        <v>42</v>
      </c>
      <c r="R1319" s="20">
        <v>0.62250000000000005</v>
      </c>
      <c r="S1319" s="32">
        <v>26.145000000000003</v>
      </c>
      <c r="T1319" s="35">
        <v>2.81</v>
      </c>
      <c r="U1319" s="35">
        <v>2.17</v>
      </c>
      <c r="V1319" s="35">
        <v>6.6904761904761911E-2</v>
      </c>
      <c r="W1319" s="9" t="s">
        <v>154</v>
      </c>
      <c r="X1319" s="15">
        <v>1318</v>
      </c>
      <c r="Y1319" s="39">
        <v>0.48190611151081281</v>
      </c>
      <c r="Z1319" s="39">
        <v>0.48628574832362592</v>
      </c>
      <c r="AA1319" s="39">
        <v>0.49931909976292865</v>
      </c>
      <c r="AB1319" s="39">
        <v>0.48773437217730786</v>
      </c>
      <c r="AC1319" s="39">
        <v>0.4752279468494201</v>
      </c>
      <c r="AD1319" s="39">
        <v>0.47930173597017384</v>
      </c>
      <c r="AE1319" s="39">
        <v>0.49313245484727686</v>
      </c>
      <c r="AF1319" s="40">
        <v>0.48399929911819239</v>
      </c>
    </row>
    <row r="1320" spans="1:32">
      <c r="A1320" s="15">
        <v>1318</v>
      </c>
      <c r="B1320" s="16">
        <v>0</v>
      </c>
      <c r="C1320" s="20">
        <v>0.02</v>
      </c>
      <c r="D1320" s="20">
        <v>0.99917029198757767</v>
      </c>
      <c r="E1320" s="20">
        <v>1</v>
      </c>
      <c r="F1320" s="8" t="s">
        <v>436</v>
      </c>
      <c r="G1320" s="24">
        <v>0.94899173228741429</v>
      </c>
      <c r="H1320" s="24">
        <v>0.95448615218048349</v>
      </c>
      <c r="I1320" s="25">
        <v>0.97117881226211888</v>
      </c>
      <c r="L1320" s="15">
        <v>1318</v>
      </c>
      <c r="M1320" s="16">
        <v>1</v>
      </c>
      <c r="N1320" s="16">
        <v>1</v>
      </c>
      <c r="O1320" s="16">
        <v>0</v>
      </c>
      <c r="P1320" s="16">
        <v>78</v>
      </c>
      <c r="Q1320" s="29">
        <v>44</v>
      </c>
      <c r="R1320" s="20">
        <v>0.62250000000000005</v>
      </c>
      <c r="S1320" s="32">
        <v>27.39</v>
      </c>
      <c r="T1320" s="35">
        <v>0.99</v>
      </c>
      <c r="U1320" s="35">
        <v>0.34</v>
      </c>
      <c r="V1320" s="35">
        <v>2.2499999999999999E-2</v>
      </c>
      <c r="W1320" s="9" t="s">
        <v>152</v>
      </c>
      <c r="X1320" s="15">
        <v>1319</v>
      </c>
      <c r="Y1320" s="39">
        <v>0.4804100617424964</v>
      </c>
      <c r="Z1320" s="39">
        <v>0.48152452723930811</v>
      </c>
      <c r="AA1320" s="39">
        <v>0.49071846095079169</v>
      </c>
      <c r="AB1320" s="39">
        <v>0.49411374966466143</v>
      </c>
      <c r="AC1320" s="39">
        <v>0.47422909878101654</v>
      </c>
      <c r="AD1320" s="39">
        <v>0.47344517557912452</v>
      </c>
      <c r="AE1320" s="39">
        <v>0.48271233039411171</v>
      </c>
      <c r="AF1320" s="40">
        <v>0.49182885942222421</v>
      </c>
    </row>
    <row r="1321" spans="1:32">
      <c r="A1321" s="15">
        <v>1319</v>
      </c>
      <c r="B1321" s="16">
        <v>0</v>
      </c>
      <c r="C1321" s="20">
        <v>0.02</v>
      </c>
      <c r="D1321" s="20">
        <v>0.99679477127711513</v>
      </c>
      <c r="E1321" s="20">
        <v>1</v>
      </c>
      <c r="F1321" s="8" t="s">
        <v>436</v>
      </c>
      <c r="G1321" s="24">
        <v>1.0133636836883719</v>
      </c>
      <c r="H1321" s="24">
        <v>1.0192308007486552</v>
      </c>
      <c r="I1321" s="25">
        <v>1.0370557563677214</v>
      </c>
      <c r="L1321" s="15">
        <v>1319</v>
      </c>
      <c r="M1321" s="16">
        <v>1</v>
      </c>
      <c r="N1321" s="16">
        <v>1</v>
      </c>
      <c r="O1321" s="16">
        <v>0</v>
      </c>
      <c r="P1321" s="16">
        <v>79</v>
      </c>
      <c r="Q1321" s="29">
        <v>39</v>
      </c>
      <c r="R1321" s="20">
        <v>0.62250000000000005</v>
      </c>
      <c r="S1321" s="32">
        <v>24.277500000000003</v>
      </c>
      <c r="T1321" s="35">
        <v>3.08</v>
      </c>
      <c r="U1321" s="35">
        <v>2.4700000000000002</v>
      </c>
      <c r="V1321" s="35">
        <v>7.8974358974358977E-2</v>
      </c>
      <c r="W1321" s="9" t="s">
        <v>155</v>
      </c>
      <c r="X1321" s="15">
        <v>1320</v>
      </c>
      <c r="Y1321" s="39">
        <v>0.48575861475908022</v>
      </c>
      <c r="Z1321" s="39">
        <v>0.47172295984953522</v>
      </c>
      <c r="AA1321" s="39">
        <v>0.48453782730361672</v>
      </c>
      <c r="AB1321" s="39">
        <v>0.47622908561353061</v>
      </c>
      <c r="AC1321" s="39">
        <v>0.48248530836450121</v>
      </c>
      <c r="AD1321" s="39">
        <v>0.46495177293711965</v>
      </c>
      <c r="AE1321" s="39">
        <v>0.47924277565264489</v>
      </c>
      <c r="AF1321" s="40">
        <v>0.47252554241944655</v>
      </c>
    </row>
    <row r="1322" spans="1:32">
      <c r="A1322" s="15">
        <v>1320</v>
      </c>
      <c r="B1322" s="16">
        <v>0</v>
      </c>
      <c r="C1322" s="20">
        <v>0.02</v>
      </c>
      <c r="D1322" s="20">
        <v>0.99679477127711513</v>
      </c>
      <c r="E1322" s="20">
        <v>1</v>
      </c>
      <c r="F1322" s="8" t="s">
        <v>436</v>
      </c>
      <c r="G1322" s="24">
        <v>1.0021912466914475</v>
      </c>
      <c r="H1322" s="24">
        <v>1.0079936781933625</v>
      </c>
      <c r="I1322" s="25">
        <v>1.0256221118758007</v>
      </c>
      <c r="L1322" s="15">
        <v>1320</v>
      </c>
      <c r="M1322" s="16">
        <v>1</v>
      </c>
      <c r="N1322" s="16">
        <v>1</v>
      </c>
      <c r="O1322" s="16">
        <v>0</v>
      </c>
      <c r="P1322" s="16">
        <v>80</v>
      </c>
      <c r="Q1322" s="29">
        <v>54</v>
      </c>
      <c r="R1322" s="20">
        <v>0.62250000000000005</v>
      </c>
      <c r="S1322" s="32">
        <v>33.615000000000002</v>
      </c>
      <c r="T1322" s="35">
        <v>4.21</v>
      </c>
      <c r="U1322" s="35">
        <v>3.49</v>
      </c>
      <c r="V1322" s="35">
        <v>7.7962962962962956E-2</v>
      </c>
      <c r="W1322" s="9" t="s">
        <v>155</v>
      </c>
      <c r="X1322" s="15">
        <v>1321</v>
      </c>
      <c r="Y1322" s="39">
        <v>0.49765911366170995</v>
      </c>
      <c r="Z1322" s="39">
        <v>0.48638314815989148</v>
      </c>
      <c r="AA1322" s="39">
        <v>0.48930294365218346</v>
      </c>
      <c r="AB1322" s="39">
        <v>0.48917813627023882</v>
      </c>
      <c r="AC1322" s="39">
        <v>0.49183857587786101</v>
      </c>
      <c r="AD1322" s="39">
        <v>0.4803001311836112</v>
      </c>
      <c r="AE1322" s="39">
        <v>0.4805839072652166</v>
      </c>
      <c r="AF1322" s="40">
        <v>0.48749752672988006</v>
      </c>
    </row>
    <row r="1323" spans="1:32">
      <c r="A1323" s="15">
        <v>1321</v>
      </c>
      <c r="B1323" s="16">
        <v>0</v>
      </c>
      <c r="C1323" s="20">
        <v>0.02</v>
      </c>
      <c r="D1323" s="20">
        <v>0.99679477127711513</v>
      </c>
      <c r="E1323" s="20">
        <v>1</v>
      </c>
      <c r="F1323" s="8" t="s">
        <v>436</v>
      </c>
      <c r="G1323" s="24">
        <v>1.0489601758557545</v>
      </c>
      <c r="H1323" s="24">
        <v>1.0550333875194298</v>
      </c>
      <c r="I1323" s="25">
        <v>1.0734844815163471</v>
      </c>
      <c r="L1323" s="15">
        <v>1321</v>
      </c>
      <c r="M1323" s="16">
        <v>1</v>
      </c>
      <c r="N1323" s="16">
        <v>1</v>
      </c>
      <c r="O1323" s="16">
        <v>0</v>
      </c>
      <c r="P1323" s="16">
        <v>81</v>
      </c>
      <c r="Q1323" s="29">
        <v>47</v>
      </c>
      <c r="R1323" s="20">
        <v>0.62250000000000005</v>
      </c>
      <c r="S1323" s="32">
        <v>29.257500000000004</v>
      </c>
      <c r="T1323" s="35">
        <v>2.67</v>
      </c>
      <c r="U1323" s="35">
        <v>1.86</v>
      </c>
      <c r="V1323" s="35">
        <v>5.6808510638297872E-2</v>
      </c>
      <c r="W1323" s="9" t="s">
        <v>154</v>
      </c>
      <c r="X1323" s="15">
        <v>1322</v>
      </c>
      <c r="Y1323" s="39">
        <v>0.48390325946759893</v>
      </c>
      <c r="Z1323" s="39">
        <v>0.49874781501989907</v>
      </c>
      <c r="AA1323" s="39">
        <v>0.47966573383132688</v>
      </c>
      <c r="AB1323" s="39">
        <v>0.46838886440343752</v>
      </c>
      <c r="AC1323" s="39">
        <v>0.47202310437353301</v>
      </c>
      <c r="AD1323" s="39">
        <v>0.49243740754542775</v>
      </c>
      <c r="AE1323" s="39">
        <v>0.47638688357872405</v>
      </c>
      <c r="AF1323" s="40">
        <v>0.46117510054446309</v>
      </c>
    </row>
    <row r="1324" spans="1:32">
      <c r="A1324" s="15">
        <v>1322</v>
      </c>
      <c r="B1324" s="16">
        <v>1</v>
      </c>
      <c r="C1324" s="20">
        <v>0.17</v>
      </c>
      <c r="D1324" s="20">
        <v>0.90454800637414079</v>
      </c>
      <c r="E1324" s="20">
        <v>0.06</v>
      </c>
      <c r="F1324" s="8" t="s">
        <v>436</v>
      </c>
      <c r="G1324" s="24">
        <v>0.99262272104150218</v>
      </c>
      <c r="H1324" s="24">
        <v>0.99836975322233801</v>
      </c>
      <c r="I1324" s="25">
        <v>1.0158298775921417</v>
      </c>
      <c r="L1324" s="15">
        <v>1322</v>
      </c>
      <c r="M1324" s="16">
        <v>1</v>
      </c>
      <c r="N1324" s="16">
        <v>1</v>
      </c>
      <c r="O1324" s="16">
        <v>0</v>
      </c>
      <c r="P1324" s="16">
        <v>82</v>
      </c>
      <c r="Q1324" s="29">
        <v>49</v>
      </c>
      <c r="R1324" s="20">
        <v>0.62250000000000005</v>
      </c>
      <c r="S1324" s="32">
        <v>30.502500000000001</v>
      </c>
      <c r="T1324" s="35">
        <v>2.46</v>
      </c>
      <c r="U1324" s="35">
        <v>1.76</v>
      </c>
      <c r="V1324" s="35">
        <v>5.020408163265306E-2</v>
      </c>
      <c r="W1324" s="9" t="s">
        <v>154</v>
      </c>
      <c r="X1324" s="15">
        <v>1323</v>
      </c>
      <c r="Y1324" s="39">
        <v>0.48593323766072855</v>
      </c>
      <c r="Z1324" s="39">
        <v>0.48990106329208949</v>
      </c>
      <c r="AA1324" s="39">
        <v>0.47466137133705766</v>
      </c>
      <c r="AB1324" s="39">
        <v>0.47028636948964336</v>
      </c>
      <c r="AC1324" s="39">
        <v>0.48063464934833755</v>
      </c>
      <c r="AD1324" s="39">
        <v>0.48321606493220431</v>
      </c>
      <c r="AE1324" s="39">
        <v>0.46845883076786893</v>
      </c>
      <c r="AF1324" s="40">
        <v>0.46458571800379328</v>
      </c>
    </row>
    <row r="1325" spans="1:32">
      <c r="A1325" s="15">
        <v>1323</v>
      </c>
      <c r="B1325" s="16">
        <v>0</v>
      </c>
      <c r="C1325" s="20">
        <v>0.02</v>
      </c>
      <c r="D1325" s="20">
        <v>0.99756714174924133</v>
      </c>
      <c r="E1325" s="20">
        <v>1</v>
      </c>
      <c r="F1325" s="8" t="s">
        <v>436</v>
      </c>
      <c r="G1325" s="24">
        <v>1.0604990451642575</v>
      </c>
      <c r="H1325" s="24">
        <v>1.0666390639358507</v>
      </c>
      <c r="I1325" s="25">
        <v>1.0852931253734106</v>
      </c>
      <c r="L1325" s="15">
        <v>1323</v>
      </c>
      <c r="M1325" s="16">
        <v>1</v>
      </c>
      <c r="N1325" s="16">
        <v>1</v>
      </c>
      <c r="O1325" s="16">
        <v>0</v>
      </c>
      <c r="P1325" s="16">
        <v>83</v>
      </c>
      <c r="Q1325" s="29">
        <v>61</v>
      </c>
      <c r="R1325" s="20">
        <v>0.62250000000000005</v>
      </c>
      <c r="S1325" s="32">
        <v>37.972500000000004</v>
      </c>
      <c r="T1325" s="35">
        <v>2.5300000000000002</v>
      </c>
      <c r="U1325" s="35">
        <v>1.64</v>
      </c>
      <c r="V1325" s="35">
        <v>4.1475409836065576E-2</v>
      </c>
      <c r="W1325" s="9" t="s">
        <v>154</v>
      </c>
      <c r="X1325" s="15">
        <v>1324</v>
      </c>
      <c r="Y1325" s="39">
        <v>0.49571913630486852</v>
      </c>
      <c r="Z1325" s="39">
        <v>0.49089160290868672</v>
      </c>
      <c r="AA1325" s="39">
        <v>0.49429918029679809</v>
      </c>
      <c r="AB1325" s="39">
        <v>0.48861048886129549</v>
      </c>
      <c r="AC1325" s="39">
        <v>0.489453453404393</v>
      </c>
      <c r="AD1325" s="39">
        <v>0.48195900672206837</v>
      </c>
      <c r="AE1325" s="39">
        <v>0.48727309861800699</v>
      </c>
      <c r="AF1325" s="40">
        <v>0.48414379544762337</v>
      </c>
    </row>
    <row r="1326" spans="1:32">
      <c r="A1326" s="15">
        <v>1324</v>
      </c>
      <c r="B1326" s="16">
        <v>1</v>
      </c>
      <c r="C1326" s="20">
        <v>0.91</v>
      </c>
      <c r="D1326" s="20">
        <v>0.21727233298780477</v>
      </c>
      <c r="E1326" s="20">
        <v>0.09</v>
      </c>
      <c r="F1326" s="8" t="s">
        <v>434</v>
      </c>
      <c r="G1326" s="24">
        <v>0.35568222355213747</v>
      </c>
      <c r="H1326" s="24">
        <v>0.35774153283609239</v>
      </c>
      <c r="I1326" s="25">
        <v>0.36399794398577129</v>
      </c>
      <c r="L1326" s="15">
        <v>1324</v>
      </c>
      <c r="M1326" s="16">
        <v>1</v>
      </c>
      <c r="N1326" s="16">
        <v>1</v>
      </c>
      <c r="O1326" s="16">
        <v>1</v>
      </c>
      <c r="P1326" s="16">
        <v>0</v>
      </c>
      <c r="Q1326" s="29">
        <v>60</v>
      </c>
      <c r="R1326" s="20">
        <v>0.62250000000000005</v>
      </c>
      <c r="S1326" s="32">
        <v>37.35</v>
      </c>
      <c r="T1326" s="35">
        <v>3.96</v>
      </c>
      <c r="U1326" s="35">
        <v>3.05</v>
      </c>
      <c r="V1326" s="35">
        <v>6.6000000000000003E-2</v>
      </c>
      <c r="W1326" s="9" t="s">
        <v>155</v>
      </c>
      <c r="X1326" s="15">
        <v>1325</v>
      </c>
      <c r="Y1326" s="39">
        <v>0.49620721698193926</v>
      </c>
      <c r="Z1326" s="39">
        <v>0.5062176915619151</v>
      </c>
      <c r="AA1326" s="39">
        <v>0.49365778986260889</v>
      </c>
      <c r="AB1326" s="39">
        <v>0.48320159712544369</v>
      </c>
      <c r="AC1326" s="39">
        <v>0.49088312025654601</v>
      </c>
      <c r="AD1326" s="39">
        <v>0.49923290096990719</v>
      </c>
      <c r="AE1326" s="39">
        <v>0.48557642800935641</v>
      </c>
      <c r="AF1326" s="40">
        <v>0.47704824227103421</v>
      </c>
    </row>
    <row r="1327" spans="1:32">
      <c r="A1327" s="15">
        <v>1325</v>
      </c>
      <c r="B1327" s="16">
        <v>0</v>
      </c>
      <c r="C1327" s="20">
        <v>0.02</v>
      </c>
      <c r="D1327" s="20">
        <v>0.99835916395484214</v>
      </c>
      <c r="E1327" s="20">
        <v>1</v>
      </c>
      <c r="F1327" s="8" t="s">
        <v>436</v>
      </c>
      <c r="G1327" s="24">
        <v>1.002720114398262</v>
      </c>
      <c r="H1327" s="24">
        <v>1.0085256079092022</v>
      </c>
      <c r="I1327" s="25">
        <v>1.0261633443163718</v>
      </c>
      <c r="L1327" s="15">
        <v>1325</v>
      </c>
      <c r="M1327" s="16">
        <v>1</v>
      </c>
      <c r="N1327" s="16">
        <v>1</v>
      </c>
      <c r="O1327" s="16">
        <v>1</v>
      </c>
      <c r="P1327" s="16">
        <v>1</v>
      </c>
      <c r="Q1327" s="29">
        <v>55</v>
      </c>
      <c r="R1327" s="20">
        <v>0.62250000000000005</v>
      </c>
      <c r="S1327" s="32">
        <v>34.237500000000004</v>
      </c>
      <c r="T1327" s="35">
        <v>4.2700000000000005</v>
      </c>
      <c r="U1327" s="35">
        <v>3.67</v>
      </c>
      <c r="V1327" s="35">
        <v>7.7636363636363642E-2</v>
      </c>
      <c r="W1327" s="9" t="s">
        <v>155</v>
      </c>
      <c r="X1327" s="15">
        <v>1326</v>
      </c>
      <c r="Y1327" s="39">
        <v>0.47683896170988599</v>
      </c>
      <c r="Z1327" s="39">
        <v>0.48209536951074056</v>
      </c>
      <c r="AA1327" s="39">
        <v>0.49082446067219399</v>
      </c>
      <c r="AB1327" s="39">
        <v>0.48214279272225219</v>
      </c>
      <c r="AC1327" s="39">
        <v>0.46820892587395962</v>
      </c>
      <c r="AD1327" s="39">
        <v>0.47403621495920695</v>
      </c>
      <c r="AE1327" s="39">
        <v>0.48164830664685282</v>
      </c>
      <c r="AF1327" s="40">
        <v>0.47849387573777002</v>
      </c>
    </row>
    <row r="1328" spans="1:32">
      <c r="A1328" s="15">
        <v>1326</v>
      </c>
      <c r="B1328" s="16">
        <v>1</v>
      </c>
      <c r="C1328" s="20">
        <v>0.34</v>
      </c>
      <c r="D1328" s="20">
        <v>0.6354169296157075</v>
      </c>
      <c r="E1328" s="20">
        <v>0.05</v>
      </c>
      <c r="F1328" s="8" t="s">
        <v>436</v>
      </c>
      <c r="G1328" s="24">
        <v>1.0204034413049483</v>
      </c>
      <c r="H1328" s="24">
        <v>1.0263113167648834</v>
      </c>
      <c r="I1328" s="25">
        <v>1.0442601009453085</v>
      </c>
      <c r="L1328" s="15">
        <v>1326</v>
      </c>
      <c r="M1328" s="16">
        <v>1</v>
      </c>
      <c r="N1328" s="16">
        <v>1</v>
      </c>
      <c r="O1328" s="16">
        <v>1</v>
      </c>
      <c r="P1328" s="16">
        <v>2</v>
      </c>
      <c r="Q1328" s="29">
        <v>38</v>
      </c>
      <c r="R1328" s="20">
        <v>0.62250000000000005</v>
      </c>
      <c r="S1328" s="32">
        <v>23.655000000000001</v>
      </c>
      <c r="T1328" s="35">
        <v>0.78</v>
      </c>
      <c r="U1328" s="35">
        <v>0.26</v>
      </c>
      <c r="V1328" s="35">
        <v>2.0526315789473684E-2</v>
      </c>
      <c r="W1328" s="9" t="s">
        <v>152</v>
      </c>
      <c r="X1328" s="15">
        <v>1327</v>
      </c>
      <c r="Y1328" s="39">
        <v>0.48741563433682428</v>
      </c>
      <c r="Z1328" s="39">
        <v>0.47787694342571962</v>
      </c>
      <c r="AA1328" s="39">
        <v>0.48726351529210926</v>
      </c>
      <c r="AB1328" s="39">
        <v>0.49727024954059512</v>
      </c>
      <c r="AC1328" s="39">
        <v>0.48366964179486394</v>
      </c>
      <c r="AD1328" s="39">
        <v>0.46974642575184056</v>
      </c>
      <c r="AE1328" s="39">
        <v>0.4799559456157636</v>
      </c>
      <c r="AF1328" s="40">
        <v>0.49340543493667022</v>
      </c>
    </row>
    <row r="1329" spans="1:32">
      <c r="A1329" s="15">
        <v>1327</v>
      </c>
      <c r="B1329" s="16">
        <v>0</v>
      </c>
      <c r="C1329" s="20">
        <v>0.02</v>
      </c>
      <c r="D1329" s="20">
        <v>0.99835916395484214</v>
      </c>
      <c r="E1329" s="20">
        <v>1</v>
      </c>
      <c r="F1329" s="8" t="s">
        <v>436</v>
      </c>
      <c r="G1329" s="24">
        <v>1.4069528054657645</v>
      </c>
      <c r="H1329" s="24">
        <v>1.4150987030747222</v>
      </c>
      <c r="I1329" s="25">
        <v>1.4398468480094879</v>
      </c>
      <c r="L1329" s="15">
        <v>1327</v>
      </c>
      <c r="M1329" s="16">
        <v>1</v>
      </c>
      <c r="N1329" s="16">
        <v>1</v>
      </c>
      <c r="O1329" s="16">
        <v>1</v>
      </c>
      <c r="P1329" s="16">
        <v>3</v>
      </c>
      <c r="Q1329" s="29">
        <v>60</v>
      </c>
      <c r="R1329" s="20">
        <v>0.62250000000000005</v>
      </c>
      <c r="S1329" s="32">
        <v>37.35</v>
      </c>
      <c r="T1329" s="35">
        <v>1.57</v>
      </c>
      <c r="U1329" s="35">
        <v>0.74</v>
      </c>
      <c r="V1329" s="35">
        <v>2.6166666666666668E-2</v>
      </c>
      <c r="W1329" s="9" t="s">
        <v>153</v>
      </c>
      <c r="X1329" s="15">
        <v>1328</v>
      </c>
      <c r="Y1329" s="39">
        <v>0.48245549913579933</v>
      </c>
      <c r="Z1329" s="39">
        <v>0.47971669509245268</v>
      </c>
      <c r="AA1329" s="39">
        <v>0.49467737616499424</v>
      </c>
      <c r="AB1329" s="39">
        <v>0.47832226587411525</v>
      </c>
      <c r="AC1329" s="39">
        <v>0.47591938843035364</v>
      </c>
      <c r="AD1329" s="39">
        <v>0.47304005263930832</v>
      </c>
      <c r="AE1329" s="39">
        <v>0.48876534144902534</v>
      </c>
      <c r="AF1329" s="40">
        <v>0.47664504023769944</v>
      </c>
    </row>
    <row r="1330" spans="1:32">
      <c r="A1330" s="15">
        <v>1328</v>
      </c>
      <c r="B1330" s="16">
        <v>1</v>
      </c>
      <c r="C1330" s="20">
        <v>0.43</v>
      </c>
      <c r="D1330" s="20">
        <v>0.55575040952181254</v>
      </c>
      <c r="E1330" s="20">
        <v>0.23</v>
      </c>
      <c r="F1330" s="8" t="s">
        <v>436</v>
      </c>
      <c r="G1330" s="24">
        <v>0.5245363307451939</v>
      </c>
      <c r="H1330" s="24">
        <v>0.52757326220858736</v>
      </c>
      <c r="I1330" s="25">
        <v>0.5367997985120101</v>
      </c>
      <c r="L1330" s="15">
        <v>1328</v>
      </c>
      <c r="M1330" s="16">
        <v>1</v>
      </c>
      <c r="N1330" s="16">
        <v>1</v>
      </c>
      <c r="O1330" s="16">
        <v>1</v>
      </c>
      <c r="P1330" s="16">
        <v>4</v>
      </c>
      <c r="Q1330" s="29">
        <v>61</v>
      </c>
      <c r="R1330" s="20">
        <v>0.62250000000000005</v>
      </c>
      <c r="S1330" s="32">
        <v>37.972500000000004</v>
      </c>
      <c r="T1330" s="35">
        <v>2.91</v>
      </c>
      <c r="U1330" s="35">
        <v>2.04</v>
      </c>
      <c r="V1330" s="35">
        <v>4.770491803278689E-2</v>
      </c>
      <c r="W1330" s="9" t="s">
        <v>154</v>
      </c>
      <c r="X1330" s="15">
        <v>1329</v>
      </c>
      <c r="Y1330" s="39">
        <v>0.476947348570532</v>
      </c>
      <c r="Z1330" s="39">
        <v>0.48562847370844525</v>
      </c>
      <c r="AA1330" s="39">
        <v>0.49278443669509103</v>
      </c>
      <c r="AB1330" s="39">
        <v>0.49179653178116695</v>
      </c>
      <c r="AC1330" s="39">
        <v>0.47172064956931375</v>
      </c>
      <c r="AD1330" s="39">
        <v>0.47824168306039189</v>
      </c>
      <c r="AE1330" s="39">
        <v>0.48655542657816803</v>
      </c>
      <c r="AF1330" s="40">
        <v>0.48970111220423657</v>
      </c>
    </row>
    <row r="1331" spans="1:32">
      <c r="A1331" s="15">
        <v>1329</v>
      </c>
      <c r="B1331" s="16">
        <v>0</v>
      </c>
      <c r="C1331" s="20">
        <v>0.89</v>
      </c>
      <c r="D1331" s="20">
        <v>0.24559627500636821</v>
      </c>
      <c r="E1331" s="20">
        <v>0.11</v>
      </c>
      <c r="F1331" s="8" t="s">
        <v>434</v>
      </c>
      <c r="G1331" s="24">
        <v>0.47683979024608131</v>
      </c>
      <c r="H1331" s="24">
        <v>0.47960057091486541</v>
      </c>
      <c r="I1331" s="25">
        <v>0.48798813032256472</v>
      </c>
      <c r="L1331" s="15">
        <v>1329</v>
      </c>
      <c r="M1331" s="16">
        <v>1</v>
      </c>
      <c r="N1331" s="16">
        <v>1</v>
      </c>
      <c r="O1331" s="16">
        <v>1</v>
      </c>
      <c r="P1331" s="16">
        <v>5</v>
      </c>
      <c r="Q1331" s="29">
        <v>66</v>
      </c>
      <c r="R1331" s="20">
        <v>0.62250000000000005</v>
      </c>
      <c r="S1331" s="32">
        <v>41.085000000000001</v>
      </c>
      <c r="T1331" s="35">
        <v>3.5500000000000003</v>
      </c>
      <c r="U1331" s="35">
        <v>2.39</v>
      </c>
      <c r="V1331" s="35">
        <v>5.3787878787878794E-2</v>
      </c>
      <c r="W1331" s="9" t="s">
        <v>155</v>
      </c>
      <c r="X1331" s="15">
        <v>1330</v>
      </c>
      <c r="Y1331" s="39">
        <v>0.47989201217134109</v>
      </c>
      <c r="Z1331" s="39">
        <v>0.47960474917819262</v>
      </c>
      <c r="AA1331" s="39">
        <v>0.48961123871656004</v>
      </c>
      <c r="AB1331" s="39">
        <v>0.48735967233799876</v>
      </c>
      <c r="AC1331" s="39">
        <v>0.47302493570224502</v>
      </c>
      <c r="AD1331" s="39">
        <v>0.47332703214814831</v>
      </c>
      <c r="AE1331" s="39">
        <v>0.48316456571989025</v>
      </c>
      <c r="AF1331" s="40">
        <v>0.48415612197157715</v>
      </c>
    </row>
    <row r="1332" spans="1:32">
      <c r="A1332" s="15">
        <v>1330</v>
      </c>
      <c r="B1332" s="16">
        <v>1</v>
      </c>
      <c r="C1332" s="20">
        <v>0.14000000000000001</v>
      </c>
      <c r="D1332" s="20">
        <v>0.87568998667890008</v>
      </c>
      <c r="E1332" s="20">
        <v>0.14000000000000001</v>
      </c>
      <c r="F1332" s="8" t="s">
        <v>436</v>
      </c>
      <c r="G1332" s="24">
        <v>0.76318677061768314</v>
      </c>
      <c r="H1332" s="24">
        <v>0.76760542721071978</v>
      </c>
      <c r="I1332" s="25">
        <v>0.78102979847475063</v>
      </c>
      <c r="L1332" s="15">
        <v>1330</v>
      </c>
      <c r="M1332" s="16">
        <v>1</v>
      </c>
      <c r="N1332" s="16">
        <v>1</v>
      </c>
      <c r="O1332" s="16">
        <v>1</v>
      </c>
      <c r="P1332" s="16">
        <v>6</v>
      </c>
      <c r="Q1332" s="29">
        <v>49</v>
      </c>
      <c r="R1332" s="20">
        <v>0.62250000000000005</v>
      </c>
      <c r="S1332" s="32">
        <v>30.502500000000001</v>
      </c>
      <c r="T1332" s="35">
        <v>1.3900000000000001</v>
      </c>
      <c r="U1332" s="35">
        <v>0.79</v>
      </c>
      <c r="V1332" s="35">
        <v>2.8367346938775514E-2</v>
      </c>
      <c r="W1332" s="9" t="s">
        <v>153</v>
      </c>
      <c r="X1332" s="15">
        <v>1331</v>
      </c>
      <c r="Y1332" s="39">
        <v>0.50067225870379028</v>
      </c>
      <c r="Z1332" s="39">
        <v>0.4950690266388405</v>
      </c>
      <c r="AA1332" s="39">
        <v>0.49349943137155028</v>
      </c>
      <c r="AB1332" s="39">
        <v>0.49830564586487236</v>
      </c>
      <c r="AC1332" s="39">
        <v>0.49403590413709886</v>
      </c>
      <c r="AD1332" s="39">
        <v>0.49014097211031543</v>
      </c>
      <c r="AE1332" s="39">
        <v>0.48916843605029259</v>
      </c>
      <c r="AF1332" s="40">
        <v>0.49597231230777222</v>
      </c>
    </row>
    <row r="1333" spans="1:32">
      <c r="A1333" s="15">
        <v>1331</v>
      </c>
      <c r="B1333" s="16">
        <v>0</v>
      </c>
      <c r="C1333" s="20">
        <v>0.95</v>
      </c>
      <c r="D1333" s="20">
        <v>0.15570568692893463</v>
      </c>
      <c r="E1333" s="20">
        <v>0.05</v>
      </c>
      <c r="F1333" s="8" t="s">
        <v>434</v>
      </c>
      <c r="G1333" s="24">
        <v>0.85511180372640616</v>
      </c>
      <c r="H1333" s="24">
        <v>0.86006268279662523</v>
      </c>
      <c r="I1333" s="25">
        <v>0.87510400527157794</v>
      </c>
      <c r="L1333" s="15">
        <v>1331</v>
      </c>
      <c r="M1333" s="16">
        <v>1</v>
      </c>
      <c r="N1333" s="16">
        <v>1</v>
      </c>
      <c r="O1333" s="16">
        <v>1</v>
      </c>
      <c r="P1333" s="16">
        <v>7</v>
      </c>
      <c r="Q1333" s="29">
        <v>65</v>
      </c>
      <c r="R1333" s="20">
        <v>0.62250000000000005</v>
      </c>
      <c r="S1333" s="32">
        <v>40.462500000000006</v>
      </c>
      <c r="T1333" s="35">
        <v>3.94</v>
      </c>
      <c r="U1333" s="35">
        <v>2.92</v>
      </c>
      <c r="V1333" s="35">
        <v>6.0615384615384613E-2</v>
      </c>
      <c r="W1333" s="9" t="s">
        <v>155</v>
      </c>
      <c r="X1333" s="15">
        <v>1332</v>
      </c>
      <c r="Y1333" s="39">
        <v>0.47677386910112335</v>
      </c>
      <c r="Z1333" s="39">
        <v>0.49414222236285466</v>
      </c>
      <c r="AA1333" s="39">
        <v>0.49263251482625531</v>
      </c>
      <c r="AB1333" s="39">
        <v>0.49597330576745469</v>
      </c>
      <c r="AC1333" s="39">
        <v>0.46872886554347809</v>
      </c>
      <c r="AD1333" s="39">
        <v>0.48608641089813126</v>
      </c>
      <c r="AE1333" s="39">
        <v>0.48485922283139943</v>
      </c>
      <c r="AF1333" s="40">
        <v>0.49078061612415319</v>
      </c>
    </row>
    <row r="1334" spans="1:32">
      <c r="A1334" s="15">
        <v>1332</v>
      </c>
      <c r="B1334" s="16">
        <v>0</v>
      </c>
      <c r="C1334" s="20">
        <v>0.39</v>
      </c>
      <c r="D1334" s="20">
        <v>0.7058601436491615</v>
      </c>
      <c r="E1334" s="20">
        <v>7.0000000000000007E-2</v>
      </c>
      <c r="F1334" s="8" t="s">
        <v>436</v>
      </c>
      <c r="G1334" s="24">
        <v>0.92486073434608218</v>
      </c>
      <c r="H1334" s="24">
        <v>0.93021544192067951</v>
      </c>
      <c r="I1334" s="25">
        <v>0.94648364040548483</v>
      </c>
      <c r="L1334" s="15">
        <v>1332</v>
      </c>
      <c r="M1334" s="16">
        <v>1</v>
      </c>
      <c r="N1334" s="16">
        <v>1</v>
      </c>
      <c r="O1334" s="16">
        <v>1</v>
      </c>
      <c r="P1334" s="16">
        <v>8</v>
      </c>
      <c r="Q1334" s="29">
        <v>71</v>
      </c>
      <c r="R1334" s="20">
        <v>0.62250000000000005</v>
      </c>
      <c r="S1334" s="32">
        <v>44.197500000000005</v>
      </c>
      <c r="T1334" s="35">
        <v>1.52</v>
      </c>
      <c r="U1334" s="35">
        <v>0.57999999999999996</v>
      </c>
      <c r="V1334" s="35">
        <v>2.1408450704225351E-2</v>
      </c>
      <c r="W1334" s="9" t="s">
        <v>153</v>
      </c>
      <c r="X1334" s="15">
        <v>1333</v>
      </c>
      <c r="Y1334" s="39">
        <v>0.48539158402175669</v>
      </c>
      <c r="Z1334" s="39">
        <v>0.47656679917664918</v>
      </c>
      <c r="AA1334" s="39">
        <v>0.49430853953601883</v>
      </c>
      <c r="AB1334" s="39">
        <v>0.49064098210013712</v>
      </c>
      <c r="AC1334" s="39">
        <v>0.47737992770265852</v>
      </c>
      <c r="AD1334" s="39">
        <v>0.47206431203511617</v>
      </c>
      <c r="AE1334" s="39">
        <v>0.48856977658299339</v>
      </c>
      <c r="AF1334" s="40">
        <v>0.48214401227250275</v>
      </c>
    </row>
    <row r="1335" spans="1:32">
      <c r="A1335" s="15">
        <v>1333</v>
      </c>
      <c r="B1335" s="16">
        <v>0</v>
      </c>
      <c r="C1335" s="20">
        <v>0.28000000000000003</v>
      </c>
      <c r="D1335" s="20">
        <v>0.79137388127352504</v>
      </c>
      <c r="E1335" s="20">
        <v>0.08</v>
      </c>
      <c r="F1335" s="8" t="s">
        <v>436</v>
      </c>
      <c r="G1335" s="24">
        <v>0.72798992267880835</v>
      </c>
      <c r="H1335" s="24">
        <v>0.73220479850652409</v>
      </c>
      <c r="I1335" s="25">
        <v>0.74501006109068013</v>
      </c>
      <c r="L1335" s="15">
        <v>1333</v>
      </c>
      <c r="M1335" s="16">
        <v>1</v>
      </c>
      <c r="N1335" s="16">
        <v>1</v>
      </c>
      <c r="O1335" s="16">
        <v>1</v>
      </c>
      <c r="P1335" s="16">
        <v>9</v>
      </c>
      <c r="Q1335" s="29">
        <v>67</v>
      </c>
      <c r="R1335" s="20">
        <v>0.62250000000000005</v>
      </c>
      <c r="S1335" s="32">
        <v>41.707500000000003</v>
      </c>
      <c r="T1335" s="35">
        <v>2.68</v>
      </c>
      <c r="U1335" s="35">
        <v>1.56</v>
      </c>
      <c r="V1335" s="35">
        <v>0.04</v>
      </c>
      <c r="W1335" s="9" t="s">
        <v>154</v>
      </c>
      <c r="X1335" s="15">
        <v>1334</v>
      </c>
      <c r="Y1335" s="39">
        <v>0.47074389249825188</v>
      </c>
      <c r="Z1335" s="39">
        <v>0.4842238106325627</v>
      </c>
      <c r="AA1335" s="39">
        <v>0.49077375492458752</v>
      </c>
      <c r="AB1335" s="39">
        <v>0.47766762849492517</v>
      </c>
      <c r="AC1335" s="39">
        <v>0.46452136884863893</v>
      </c>
      <c r="AD1335" s="39">
        <v>0.48058415665666526</v>
      </c>
      <c r="AE1335" s="39">
        <v>0.48320441344867143</v>
      </c>
      <c r="AF1335" s="40">
        <v>0.471052297184756</v>
      </c>
    </row>
    <row r="1336" spans="1:32">
      <c r="A1336" s="15">
        <v>1334</v>
      </c>
      <c r="B1336" s="16">
        <v>0</v>
      </c>
      <c r="C1336" s="20">
        <v>0.02</v>
      </c>
      <c r="D1336" s="20">
        <v>0.99835916395484214</v>
      </c>
      <c r="E1336" s="20">
        <v>1</v>
      </c>
      <c r="F1336" s="8" t="s">
        <v>436</v>
      </c>
      <c r="G1336" s="24">
        <v>1.0356099544675295</v>
      </c>
      <c r="H1336" s="24">
        <v>1.0416058717571055</v>
      </c>
      <c r="I1336" s="25">
        <v>1.0598221368297382</v>
      </c>
      <c r="L1336" s="15">
        <v>1334</v>
      </c>
      <c r="M1336" s="16">
        <v>1</v>
      </c>
      <c r="N1336" s="16">
        <v>1</v>
      </c>
      <c r="O1336" s="16">
        <v>1</v>
      </c>
      <c r="P1336" s="16">
        <v>10</v>
      </c>
      <c r="Q1336" s="29">
        <v>78</v>
      </c>
      <c r="R1336" s="20">
        <v>0.62250000000000005</v>
      </c>
      <c r="S1336" s="32">
        <v>48.555000000000007</v>
      </c>
      <c r="T1336" s="35">
        <v>4.5200000000000005</v>
      </c>
      <c r="U1336" s="35">
        <v>3.25</v>
      </c>
      <c r="V1336" s="35">
        <v>5.7948717948717955E-2</v>
      </c>
      <c r="W1336" s="9" t="s">
        <v>155</v>
      </c>
      <c r="X1336" s="15">
        <v>1335</v>
      </c>
      <c r="Y1336" s="39">
        <v>0.48869516465622487</v>
      </c>
      <c r="Z1336" s="39">
        <v>0.4786097313521242</v>
      </c>
      <c r="AA1336" s="39">
        <v>0.4826982286162671</v>
      </c>
      <c r="AB1336" s="39">
        <v>0.50207418970995499</v>
      </c>
      <c r="AC1336" s="39">
        <v>0.48301192291668443</v>
      </c>
      <c r="AD1336" s="39">
        <v>0.4686763933236579</v>
      </c>
      <c r="AE1336" s="39">
        <v>0.47697900401107485</v>
      </c>
      <c r="AF1336" s="40">
        <v>0.49721776726872779</v>
      </c>
    </row>
    <row r="1337" spans="1:32">
      <c r="A1337" s="15">
        <v>1335</v>
      </c>
      <c r="B1337" s="16">
        <v>0</v>
      </c>
      <c r="C1337" s="20">
        <v>0.94</v>
      </c>
      <c r="D1337" s="20">
        <v>0.17188516685452584</v>
      </c>
      <c r="E1337" s="20">
        <v>0.06</v>
      </c>
      <c r="F1337" s="8" t="s">
        <v>434</v>
      </c>
      <c r="G1337" s="24">
        <v>0.8230159192908123</v>
      </c>
      <c r="H1337" s="24">
        <v>0.82778097138285156</v>
      </c>
      <c r="I1337" s="25">
        <v>0.84225773078451871</v>
      </c>
      <c r="L1337" s="15">
        <v>1335</v>
      </c>
      <c r="M1337" s="16">
        <v>1</v>
      </c>
      <c r="N1337" s="16">
        <v>1</v>
      </c>
      <c r="O1337" s="16">
        <v>2</v>
      </c>
      <c r="P1337" s="16">
        <v>11</v>
      </c>
      <c r="Q1337" s="29">
        <v>43</v>
      </c>
      <c r="R1337" s="20">
        <v>0.62250000000000005</v>
      </c>
      <c r="S1337" s="32">
        <v>26.767500000000002</v>
      </c>
      <c r="T1337" s="35">
        <v>0.94000000000000006</v>
      </c>
      <c r="U1337" s="35">
        <v>0.38</v>
      </c>
      <c r="V1337" s="35">
        <v>2.1860465116279072E-2</v>
      </c>
      <c r="W1337" s="9" t="s">
        <v>152</v>
      </c>
      <c r="X1337" s="15">
        <v>1336</v>
      </c>
      <c r="Y1337" s="39">
        <v>0.48407505635960274</v>
      </c>
      <c r="Z1337" s="39">
        <v>0.49146982799808875</v>
      </c>
      <c r="AA1337" s="39">
        <v>0.4852315814104215</v>
      </c>
      <c r="AB1337" s="39">
        <v>0.48485335610553387</v>
      </c>
      <c r="AC1337" s="39">
        <v>0.47732100989263687</v>
      </c>
      <c r="AD1337" s="39">
        <v>0.4846502605796229</v>
      </c>
      <c r="AE1337" s="39">
        <v>0.4786071798402774</v>
      </c>
      <c r="AF1337" s="40">
        <v>0.48115074973931271</v>
      </c>
    </row>
    <row r="1338" spans="1:32">
      <c r="A1338" s="15">
        <v>1336</v>
      </c>
      <c r="B1338" s="16">
        <v>1</v>
      </c>
      <c r="C1338" s="20">
        <v>0.15</v>
      </c>
      <c r="D1338" s="20">
        <v>0.87175307380114653</v>
      </c>
      <c r="E1338" s="20">
        <v>0.51</v>
      </c>
      <c r="F1338" s="8" t="s">
        <v>436</v>
      </c>
      <c r="G1338" s="24">
        <v>1.052734985006524</v>
      </c>
      <c r="H1338" s="24">
        <v>1.0588300518516354</v>
      </c>
      <c r="I1338" s="25">
        <v>1.0773475443258871</v>
      </c>
      <c r="L1338" s="15">
        <v>1336</v>
      </c>
      <c r="M1338" s="16">
        <v>1</v>
      </c>
      <c r="N1338" s="16">
        <v>1</v>
      </c>
      <c r="O1338" s="16">
        <v>2</v>
      </c>
      <c r="P1338" s="16">
        <v>12</v>
      </c>
      <c r="Q1338" s="29">
        <v>32</v>
      </c>
      <c r="R1338" s="20">
        <v>0.62250000000000005</v>
      </c>
      <c r="S1338" s="32">
        <v>19.920000000000002</v>
      </c>
      <c r="T1338" s="35">
        <v>1.65</v>
      </c>
      <c r="U1338" s="35">
        <v>1.1599999999999999</v>
      </c>
      <c r="V1338" s="35">
        <v>5.1562499999999997E-2</v>
      </c>
      <c r="W1338" s="9" t="s">
        <v>153</v>
      </c>
      <c r="X1338" s="15">
        <v>1337</v>
      </c>
      <c r="Y1338" s="39">
        <v>0.49087856551910913</v>
      </c>
      <c r="Z1338" s="39">
        <v>0.48998617538496486</v>
      </c>
      <c r="AA1338" s="39">
        <v>0.48658536916614631</v>
      </c>
      <c r="AB1338" s="39">
        <v>0.49513064380850857</v>
      </c>
      <c r="AC1338" s="39">
        <v>0.48309085095780319</v>
      </c>
      <c r="AD1338" s="39">
        <v>0.48310020532639297</v>
      </c>
      <c r="AE1338" s="39">
        <v>0.4776564615999857</v>
      </c>
      <c r="AF1338" s="40">
        <v>0.49287902365245462</v>
      </c>
    </row>
    <row r="1339" spans="1:32">
      <c r="A1339" s="15">
        <v>1337</v>
      </c>
      <c r="B1339" s="16">
        <v>0</v>
      </c>
      <c r="C1339" s="20">
        <v>0.7</v>
      </c>
      <c r="D1339" s="20">
        <v>0.46370531669851839</v>
      </c>
      <c r="E1339" s="20">
        <v>0.12</v>
      </c>
      <c r="F1339" s="8" t="s">
        <v>438</v>
      </c>
      <c r="G1339" s="24">
        <v>0.68102431751987313</v>
      </c>
      <c r="H1339" s="24">
        <v>0.68496727448202277</v>
      </c>
      <c r="I1339" s="25">
        <v>0.69694641724260897</v>
      </c>
      <c r="L1339" s="15">
        <v>1337</v>
      </c>
      <c r="M1339" s="16">
        <v>1</v>
      </c>
      <c r="N1339" s="16">
        <v>1</v>
      </c>
      <c r="O1339" s="16">
        <v>2</v>
      </c>
      <c r="P1339" s="16">
        <v>13</v>
      </c>
      <c r="Q1339" s="29">
        <v>37</v>
      </c>
      <c r="R1339" s="20">
        <v>0.62250000000000005</v>
      </c>
      <c r="S1339" s="32">
        <v>23.032500000000002</v>
      </c>
      <c r="T1339" s="35">
        <v>1.76</v>
      </c>
      <c r="U1339" s="35">
        <v>1.31</v>
      </c>
      <c r="V1339" s="35">
        <v>4.7567567567567567E-2</v>
      </c>
      <c r="W1339" s="9" t="s">
        <v>153</v>
      </c>
      <c r="X1339" s="15">
        <v>1338</v>
      </c>
      <c r="Y1339" s="39">
        <v>0.4909864542594044</v>
      </c>
      <c r="Z1339" s="39">
        <v>0.49657910470926964</v>
      </c>
      <c r="AA1339" s="39">
        <v>0.50863003931553419</v>
      </c>
      <c r="AB1339" s="39">
        <v>0.49135475448976229</v>
      </c>
      <c r="AC1339" s="39">
        <v>0.48468789543760188</v>
      </c>
      <c r="AD1339" s="39">
        <v>0.49003570242875766</v>
      </c>
      <c r="AE1339" s="39">
        <v>0.50027888992760106</v>
      </c>
      <c r="AF1339" s="40">
        <v>0.48437608853784136</v>
      </c>
    </row>
    <row r="1340" spans="1:32">
      <c r="A1340" s="15">
        <v>1338</v>
      </c>
      <c r="B1340" s="16">
        <v>1</v>
      </c>
      <c r="C1340" s="20">
        <v>0.15</v>
      </c>
      <c r="D1340" s="20">
        <v>0.89107885582959101</v>
      </c>
      <c r="E1340" s="20">
        <v>0.14000000000000001</v>
      </c>
      <c r="F1340" s="8" t="s">
        <v>436</v>
      </c>
      <c r="G1340" s="24">
        <v>1.0319446713806633</v>
      </c>
      <c r="H1340" s="24">
        <v>1.037919367616756</v>
      </c>
      <c r="I1340" s="25">
        <v>1.0560711607634587</v>
      </c>
      <c r="L1340" s="15">
        <v>1338</v>
      </c>
      <c r="M1340" s="16">
        <v>1</v>
      </c>
      <c r="N1340" s="16">
        <v>1</v>
      </c>
      <c r="O1340" s="16">
        <v>2</v>
      </c>
      <c r="P1340" s="16">
        <v>14</v>
      </c>
      <c r="Q1340" s="29">
        <v>34</v>
      </c>
      <c r="R1340" s="20">
        <v>0.62250000000000005</v>
      </c>
      <c r="S1340" s="32">
        <v>21.165000000000003</v>
      </c>
      <c r="T1340" s="35">
        <v>3.5300000000000002</v>
      </c>
      <c r="U1340" s="35">
        <v>3.02</v>
      </c>
      <c r="V1340" s="35">
        <v>0.10382352941176472</v>
      </c>
      <c r="W1340" s="9" t="s">
        <v>155</v>
      </c>
      <c r="X1340" s="15">
        <v>1339</v>
      </c>
      <c r="Y1340" s="39">
        <v>0.48245194046905598</v>
      </c>
      <c r="Z1340" s="39">
        <v>0.47404393440008041</v>
      </c>
      <c r="AA1340" s="39">
        <v>0.47723663824485923</v>
      </c>
      <c r="AB1340" s="39">
        <v>0.48447947683938014</v>
      </c>
      <c r="AC1340" s="39">
        <v>0.47750402234667527</v>
      </c>
      <c r="AD1340" s="39">
        <v>0.46312608457627985</v>
      </c>
      <c r="AE1340" s="39">
        <v>0.46880818646387284</v>
      </c>
      <c r="AF1340" s="40">
        <v>0.48425430653826651</v>
      </c>
    </row>
    <row r="1341" spans="1:32">
      <c r="A1341" s="15">
        <v>1339</v>
      </c>
      <c r="B1341" s="16">
        <v>1</v>
      </c>
      <c r="C1341" s="20">
        <v>0.53</v>
      </c>
      <c r="D1341" s="20">
        <v>0.64603089965068516</v>
      </c>
      <c r="E1341" s="20">
        <v>0.47</v>
      </c>
      <c r="F1341" s="8" t="s">
        <v>438</v>
      </c>
      <c r="G1341" s="24">
        <v>0.7761222860811321</v>
      </c>
      <c r="H1341" s="24">
        <v>0.78061583600681994</v>
      </c>
      <c r="I1341" s="25">
        <v>0.79426774156358027</v>
      </c>
      <c r="L1341" s="15">
        <v>1339</v>
      </c>
      <c r="M1341" s="16">
        <v>1</v>
      </c>
      <c r="N1341" s="16">
        <v>1</v>
      </c>
      <c r="O1341" s="16">
        <v>2</v>
      </c>
      <c r="P1341" s="16">
        <v>15</v>
      </c>
      <c r="Q1341" s="29">
        <v>33</v>
      </c>
      <c r="R1341" s="20">
        <v>0.62250000000000005</v>
      </c>
      <c r="S1341" s="32">
        <v>20.5425</v>
      </c>
      <c r="T1341" s="35">
        <v>1.99</v>
      </c>
      <c r="U1341" s="35">
        <v>1.53</v>
      </c>
      <c r="V1341" s="35">
        <v>6.0303030303030303E-2</v>
      </c>
      <c r="W1341" s="9" t="s">
        <v>153</v>
      </c>
      <c r="X1341" s="15">
        <v>1340</v>
      </c>
      <c r="Y1341" s="39">
        <v>0.48885730720997161</v>
      </c>
      <c r="Z1341" s="39">
        <v>0.48917672780730892</v>
      </c>
      <c r="AA1341" s="39">
        <v>0.49028343280852127</v>
      </c>
      <c r="AB1341" s="39">
        <v>0.48709397735171162</v>
      </c>
      <c r="AC1341" s="39">
        <v>0.48323535086613684</v>
      </c>
      <c r="AD1341" s="39">
        <v>0.48210955196859434</v>
      </c>
      <c r="AE1341" s="39">
        <v>0.48321002637859373</v>
      </c>
      <c r="AF1341" s="40">
        <v>0.48008849821441774</v>
      </c>
    </row>
    <row r="1342" spans="1:32">
      <c r="A1342" s="15">
        <v>1340</v>
      </c>
      <c r="B1342" s="16">
        <v>0</v>
      </c>
      <c r="C1342" s="20">
        <v>0.18</v>
      </c>
      <c r="D1342" s="20">
        <v>0.86924461104572526</v>
      </c>
      <c r="E1342" s="20">
        <v>0.06</v>
      </c>
      <c r="F1342" s="8" t="s">
        <v>436</v>
      </c>
      <c r="G1342" s="24">
        <v>0.76995134949478394</v>
      </c>
      <c r="H1342" s="24">
        <v>0.77440917127281228</v>
      </c>
      <c r="I1342" s="25">
        <v>0.78795253073447324</v>
      </c>
      <c r="L1342" s="15">
        <v>1340</v>
      </c>
      <c r="M1342" s="16">
        <v>1</v>
      </c>
      <c r="N1342" s="16">
        <v>1</v>
      </c>
      <c r="O1342" s="16">
        <v>2</v>
      </c>
      <c r="P1342" s="16">
        <v>16</v>
      </c>
      <c r="Q1342" s="29">
        <v>35</v>
      </c>
      <c r="R1342" s="20">
        <v>0.62250000000000005</v>
      </c>
      <c r="S1342" s="32">
        <v>21.787500000000001</v>
      </c>
      <c r="T1342" s="35">
        <v>2.4300000000000002</v>
      </c>
      <c r="U1342" s="35">
        <v>1.93</v>
      </c>
      <c r="V1342" s="35">
        <v>6.9428571428571437E-2</v>
      </c>
      <c r="W1342" s="9" t="s">
        <v>154</v>
      </c>
      <c r="X1342" s="15">
        <v>1341</v>
      </c>
      <c r="Y1342" s="39">
        <v>0.49255349687782213</v>
      </c>
      <c r="Z1342" s="39">
        <v>0.47930852367655363</v>
      </c>
      <c r="AA1342" s="39">
        <v>0.48748608657837889</v>
      </c>
      <c r="AB1342" s="39">
        <v>0.50150302999883833</v>
      </c>
      <c r="AC1342" s="39">
        <v>0.48459550796346185</v>
      </c>
      <c r="AD1342" s="39">
        <v>0.47222446616361891</v>
      </c>
      <c r="AE1342" s="39">
        <v>0.47990542034131745</v>
      </c>
      <c r="AF1342" s="40">
        <v>0.49628831900052139</v>
      </c>
    </row>
    <row r="1343" spans="1:32">
      <c r="A1343" s="15">
        <v>1341</v>
      </c>
      <c r="B1343" s="16">
        <v>0</v>
      </c>
      <c r="C1343" s="20">
        <v>0.02</v>
      </c>
      <c r="D1343" s="20">
        <v>0.99835916395484214</v>
      </c>
      <c r="E1343" s="20">
        <v>1</v>
      </c>
      <c r="F1343" s="8" t="s">
        <v>436</v>
      </c>
      <c r="G1343" s="24">
        <v>1.0560627584379803</v>
      </c>
      <c r="H1343" s="24">
        <v>1.0621770922418219</v>
      </c>
      <c r="I1343" s="25">
        <v>1.0807531198843265</v>
      </c>
      <c r="L1343" s="15">
        <v>1341</v>
      </c>
      <c r="M1343" s="16">
        <v>1</v>
      </c>
      <c r="N1343" s="16">
        <v>1</v>
      </c>
      <c r="O1343" s="16">
        <v>2</v>
      </c>
      <c r="P1343" s="16">
        <v>17</v>
      </c>
      <c r="Q1343" s="29">
        <v>34</v>
      </c>
      <c r="R1343" s="20">
        <v>0.62250000000000005</v>
      </c>
      <c r="S1343" s="32">
        <v>21.165000000000003</v>
      </c>
      <c r="T1343" s="35">
        <v>0.83000000000000007</v>
      </c>
      <c r="U1343" s="35">
        <v>0.39</v>
      </c>
      <c r="V1343" s="35">
        <v>2.4411764705882355E-2</v>
      </c>
      <c r="W1343" s="9" t="s">
        <v>152</v>
      </c>
      <c r="X1343" s="15">
        <v>1342</v>
      </c>
      <c r="Y1343" s="39">
        <v>0.49257592906674513</v>
      </c>
      <c r="Z1343" s="39">
        <v>0.49504698121285806</v>
      </c>
      <c r="AA1343" s="39">
        <v>0.47612793311749946</v>
      </c>
      <c r="AB1343" s="39">
        <v>0.48581342666405636</v>
      </c>
      <c r="AC1343" s="39">
        <v>0.48578008809285905</v>
      </c>
      <c r="AD1343" s="39">
        <v>0.48647788115207291</v>
      </c>
      <c r="AE1343" s="39">
        <v>0.47092353274025667</v>
      </c>
      <c r="AF1343" s="40">
        <v>0.48111633993284403</v>
      </c>
    </row>
    <row r="1344" spans="1:32">
      <c r="A1344" s="15">
        <v>1342</v>
      </c>
      <c r="B1344" s="16">
        <v>0</v>
      </c>
      <c r="C1344" s="20">
        <v>0.9</v>
      </c>
      <c r="D1344" s="20">
        <v>0.231595386583653</v>
      </c>
      <c r="E1344" s="20">
        <v>0.1</v>
      </c>
      <c r="F1344" s="8" t="s">
        <v>434</v>
      </c>
      <c r="G1344" s="24">
        <v>0.90649317903204329</v>
      </c>
      <c r="H1344" s="24">
        <v>0.91174154314982125</v>
      </c>
      <c r="I1344" s="25">
        <v>0.9276866583590232</v>
      </c>
      <c r="L1344" s="15">
        <v>1342</v>
      </c>
      <c r="M1344" s="16">
        <v>1</v>
      </c>
      <c r="N1344" s="16">
        <v>1</v>
      </c>
      <c r="O1344" s="16">
        <v>2</v>
      </c>
      <c r="P1344" s="16">
        <v>18</v>
      </c>
      <c r="Q1344" s="29">
        <v>39</v>
      </c>
      <c r="R1344" s="20">
        <v>0.62250000000000005</v>
      </c>
      <c r="S1344" s="32">
        <v>24.277500000000003</v>
      </c>
      <c r="T1344" s="35">
        <v>1.71</v>
      </c>
      <c r="U1344" s="35">
        <v>1.1299999999999999</v>
      </c>
      <c r="V1344" s="35">
        <v>4.3846153846153847E-2</v>
      </c>
      <c r="W1344" s="9" t="s">
        <v>153</v>
      </c>
      <c r="X1344" s="15">
        <v>1343</v>
      </c>
      <c r="Y1344" s="39">
        <v>0.48757093680105446</v>
      </c>
      <c r="Z1344" s="39">
        <v>0.48128680521848505</v>
      </c>
      <c r="AA1344" s="39">
        <v>0.48729018469100155</v>
      </c>
      <c r="AB1344" s="39">
        <v>0.49243001710112444</v>
      </c>
      <c r="AC1344" s="39">
        <v>0.48018077653117364</v>
      </c>
      <c r="AD1344" s="39">
        <v>0.47211450069362182</v>
      </c>
      <c r="AE1344" s="39">
        <v>0.48323232421881063</v>
      </c>
      <c r="AF1344" s="40">
        <v>0.48808480701496315</v>
      </c>
    </row>
    <row r="1345" spans="1:32">
      <c r="A1345" s="15">
        <v>1343</v>
      </c>
      <c r="B1345" s="16">
        <v>1</v>
      </c>
      <c r="C1345" s="20">
        <v>0.01</v>
      </c>
      <c r="D1345" s="20">
        <v>0.99999999999999978</v>
      </c>
      <c r="E1345" s="20">
        <v>1</v>
      </c>
      <c r="F1345" s="8" t="s">
        <v>436</v>
      </c>
      <c r="G1345" s="24">
        <v>0.99417243995060578</v>
      </c>
      <c r="H1345" s="24">
        <v>0.99992844460834862</v>
      </c>
      <c r="I1345" s="25">
        <v>1.0174158283631307</v>
      </c>
      <c r="L1345" s="15">
        <v>1343</v>
      </c>
      <c r="M1345" s="16">
        <v>1</v>
      </c>
      <c r="N1345" s="16">
        <v>1</v>
      </c>
      <c r="O1345" s="16">
        <v>2</v>
      </c>
      <c r="P1345" s="16">
        <v>19</v>
      </c>
      <c r="Q1345" s="29">
        <v>36</v>
      </c>
      <c r="R1345" s="20">
        <v>0.62250000000000005</v>
      </c>
      <c r="S1345" s="32">
        <v>22.410000000000004</v>
      </c>
      <c r="T1345" s="35">
        <v>1.1800000000000002</v>
      </c>
      <c r="U1345" s="35">
        <v>0.56999999999999995</v>
      </c>
      <c r="V1345" s="35">
        <v>3.2777777777777781E-2</v>
      </c>
      <c r="W1345" s="9" t="s">
        <v>153</v>
      </c>
      <c r="X1345" s="15">
        <v>1344</v>
      </c>
      <c r="Y1345" s="39">
        <v>0.48455766302317638</v>
      </c>
      <c r="Z1345" s="39">
        <v>0.48016528315831331</v>
      </c>
      <c r="AA1345" s="39">
        <v>0.49754540874716213</v>
      </c>
      <c r="AB1345" s="39">
        <v>0.4904494764014577</v>
      </c>
      <c r="AC1345" s="39">
        <v>0.47955060169855035</v>
      </c>
      <c r="AD1345" s="39">
        <v>0.47251962578220008</v>
      </c>
      <c r="AE1345" s="39">
        <v>0.48888709580184575</v>
      </c>
      <c r="AF1345" s="40">
        <v>0.48939784436798717</v>
      </c>
    </row>
    <row r="1346" spans="1:32">
      <c r="A1346" s="15">
        <v>1344</v>
      </c>
      <c r="B1346" s="16">
        <v>0</v>
      </c>
      <c r="C1346" s="20">
        <v>0.14000000000000001</v>
      </c>
      <c r="D1346" s="20">
        <v>0.88948854100745778</v>
      </c>
      <c r="E1346" s="20">
        <v>0.13</v>
      </c>
      <c r="F1346" s="8" t="s">
        <v>436</v>
      </c>
      <c r="G1346" s="24">
        <v>0.99281386482860579</v>
      </c>
      <c r="H1346" s="24">
        <v>0.99856200368317816</v>
      </c>
      <c r="I1346" s="25">
        <v>1.016025490251151</v>
      </c>
      <c r="L1346" s="15">
        <v>1344</v>
      </c>
      <c r="M1346" s="16">
        <v>1</v>
      </c>
      <c r="N1346" s="16">
        <v>1</v>
      </c>
      <c r="O1346" s="16">
        <v>2</v>
      </c>
      <c r="P1346" s="16">
        <v>20</v>
      </c>
      <c r="Q1346" s="29">
        <v>37</v>
      </c>
      <c r="R1346" s="20">
        <v>0.62250000000000005</v>
      </c>
      <c r="S1346" s="32">
        <v>23.032500000000002</v>
      </c>
      <c r="T1346" s="35">
        <v>3.23</v>
      </c>
      <c r="U1346" s="35">
        <v>2.73</v>
      </c>
      <c r="V1346" s="35">
        <v>8.7297297297297294E-2</v>
      </c>
      <c r="W1346" s="9" t="s">
        <v>155</v>
      </c>
      <c r="X1346" s="15">
        <v>1345</v>
      </c>
      <c r="Y1346" s="39">
        <v>0.496026083215312</v>
      </c>
      <c r="Z1346" s="39">
        <v>0.47790744297906046</v>
      </c>
      <c r="AA1346" s="39">
        <v>0.49105190264324872</v>
      </c>
      <c r="AB1346" s="39">
        <v>0.4839631054248914</v>
      </c>
      <c r="AC1346" s="39">
        <v>0.48882190337882536</v>
      </c>
      <c r="AD1346" s="39">
        <v>0.47215576078239946</v>
      </c>
      <c r="AE1346" s="39">
        <v>0.48444537538095733</v>
      </c>
      <c r="AF1346" s="40">
        <v>0.47816931769147053</v>
      </c>
    </row>
    <row r="1347" spans="1:32">
      <c r="A1347" s="15">
        <v>1345</v>
      </c>
      <c r="B1347" s="16">
        <v>0</v>
      </c>
      <c r="C1347" s="20">
        <v>0.13</v>
      </c>
      <c r="D1347" s="20">
        <v>0.89208543341591784</v>
      </c>
      <c r="E1347" s="20">
        <v>0.11</v>
      </c>
      <c r="F1347" s="8" t="s">
        <v>436</v>
      </c>
      <c r="G1347" s="24">
        <v>1.2592195256343655</v>
      </c>
      <c r="H1347" s="24">
        <v>1.2665100852630675</v>
      </c>
      <c r="I1347" s="25">
        <v>1.2886596180718597</v>
      </c>
      <c r="L1347" s="15">
        <v>1345</v>
      </c>
      <c r="M1347" s="16">
        <v>1</v>
      </c>
      <c r="N1347" s="16">
        <v>1</v>
      </c>
      <c r="O1347" s="16">
        <v>2</v>
      </c>
      <c r="P1347" s="16">
        <v>21</v>
      </c>
      <c r="Q1347" s="29">
        <v>35</v>
      </c>
      <c r="R1347" s="20">
        <v>0.62250000000000005</v>
      </c>
      <c r="S1347" s="32">
        <v>21.787500000000001</v>
      </c>
      <c r="T1347" s="35">
        <v>2.2599999999999998</v>
      </c>
      <c r="U1347" s="35">
        <v>1.84</v>
      </c>
      <c r="V1347" s="35">
        <v>6.4571428571428571E-2</v>
      </c>
      <c r="W1347" s="9" t="s">
        <v>154</v>
      </c>
      <c r="X1347" s="15">
        <v>1346</v>
      </c>
      <c r="Y1347" s="39">
        <v>0.47791270026156862</v>
      </c>
      <c r="Z1347" s="39">
        <v>0.48025480619039895</v>
      </c>
      <c r="AA1347" s="39">
        <v>0.49337411782903012</v>
      </c>
      <c r="AB1347" s="39">
        <v>0.4827420177232013</v>
      </c>
      <c r="AC1347" s="39">
        <v>0.47496144785383138</v>
      </c>
      <c r="AD1347" s="39">
        <v>0.47415860506865848</v>
      </c>
      <c r="AE1347" s="39">
        <v>0.48860119664975654</v>
      </c>
      <c r="AF1347" s="40">
        <v>0.47797135654098405</v>
      </c>
    </row>
    <row r="1348" spans="1:32">
      <c r="A1348" s="15">
        <v>1346</v>
      </c>
      <c r="B1348" s="16">
        <v>1</v>
      </c>
      <c r="C1348" s="20">
        <v>0.6</v>
      </c>
      <c r="D1348" s="20">
        <v>0.46940187642323244</v>
      </c>
      <c r="E1348" s="20">
        <v>0.15</v>
      </c>
      <c r="F1348" s="8" t="s">
        <v>438</v>
      </c>
      <c r="G1348" s="24">
        <v>1.9712686190263664</v>
      </c>
      <c r="H1348" s="24">
        <v>1.9826817611502234</v>
      </c>
      <c r="I1348" s="25">
        <v>1.6578926537592125</v>
      </c>
      <c r="L1348" s="15">
        <v>1346</v>
      </c>
      <c r="M1348" s="16">
        <v>1</v>
      </c>
      <c r="N1348" s="16">
        <v>1</v>
      </c>
      <c r="O1348" s="16">
        <v>2</v>
      </c>
      <c r="P1348" s="16">
        <v>22</v>
      </c>
      <c r="Q1348" s="29">
        <v>36</v>
      </c>
      <c r="R1348" s="20">
        <v>0.62250000000000005</v>
      </c>
      <c r="S1348" s="32">
        <v>22.410000000000004</v>
      </c>
      <c r="T1348" s="35">
        <v>2.59</v>
      </c>
      <c r="U1348" s="35">
        <v>2.19</v>
      </c>
      <c r="V1348" s="35">
        <v>7.1944444444444436E-2</v>
      </c>
      <c r="W1348" s="9" t="s">
        <v>154</v>
      </c>
      <c r="X1348" s="15">
        <v>1347</v>
      </c>
      <c r="Y1348" s="39">
        <v>0.48801578114760619</v>
      </c>
      <c r="Z1348" s="39">
        <v>0.49196004983970765</v>
      </c>
      <c r="AA1348" s="39">
        <v>0.48527766328549354</v>
      </c>
      <c r="AB1348" s="39">
        <v>0.48518128050133541</v>
      </c>
      <c r="AC1348" s="39">
        <v>0.47926150813812968</v>
      </c>
      <c r="AD1348" s="39">
        <v>0.48394026976824461</v>
      </c>
      <c r="AE1348" s="39">
        <v>0.48086885675597335</v>
      </c>
      <c r="AF1348" s="40">
        <v>0.47795160928339192</v>
      </c>
    </row>
    <row r="1349" spans="1:32">
      <c r="A1349" s="15">
        <v>1347</v>
      </c>
      <c r="B1349" s="16">
        <v>0</v>
      </c>
      <c r="C1349" s="20">
        <v>0.13</v>
      </c>
      <c r="D1349" s="20">
        <v>0.87939304878149804</v>
      </c>
      <c r="E1349" s="20">
        <v>0.13</v>
      </c>
      <c r="F1349" s="8" t="s">
        <v>436</v>
      </c>
      <c r="G1349" s="24">
        <v>0.92803605802528533</v>
      </c>
      <c r="H1349" s="24">
        <v>0.93340914991346136</v>
      </c>
      <c r="I1349" s="25">
        <v>0.94973320199216293</v>
      </c>
      <c r="L1349" s="15">
        <v>1347</v>
      </c>
      <c r="M1349" s="16">
        <v>1</v>
      </c>
      <c r="N1349" s="16">
        <v>1</v>
      </c>
      <c r="O1349" s="16">
        <v>2</v>
      </c>
      <c r="P1349" s="16">
        <v>23</v>
      </c>
      <c r="Q1349" s="29">
        <v>31</v>
      </c>
      <c r="R1349" s="20">
        <v>0.62250000000000005</v>
      </c>
      <c r="S1349" s="32">
        <v>19.297500000000003</v>
      </c>
      <c r="T1349" s="35">
        <v>0.69000000000000006</v>
      </c>
      <c r="U1349" s="35">
        <v>0.31</v>
      </c>
      <c r="V1349" s="35">
        <v>2.2258064516129033E-2</v>
      </c>
      <c r="W1349" s="9" t="s">
        <v>152</v>
      </c>
      <c r="X1349" s="15">
        <v>1348</v>
      </c>
      <c r="Y1349" s="39">
        <v>0.48107845426516876</v>
      </c>
      <c r="Z1349" s="39">
        <v>0.49676642902303092</v>
      </c>
      <c r="AA1349" s="39">
        <v>0.48286101437756063</v>
      </c>
      <c r="AB1349" s="39">
        <v>0.49248637010430285</v>
      </c>
      <c r="AC1349" s="39">
        <v>0.47615754648286146</v>
      </c>
      <c r="AD1349" s="39">
        <v>0.48515602564290339</v>
      </c>
      <c r="AE1349" s="39">
        <v>0.47464719996496624</v>
      </c>
      <c r="AF1349" s="40">
        <v>0.4901107507095962</v>
      </c>
    </row>
    <row r="1350" spans="1:32">
      <c r="A1350" s="15">
        <v>1348</v>
      </c>
      <c r="B1350" s="16">
        <v>0</v>
      </c>
      <c r="C1350" s="20">
        <v>0.02</v>
      </c>
      <c r="D1350" s="20">
        <v>0.99679477127711513</v>
      </c>
      <c r="E1350" s="20">
        <v>1</v>
      </c>
      <c r="F1350" s="8" t="s">
        <v>436</v>
      </c>
      <c r="G1350" s="24">
        <v>1.1215197897297944</v>
      </c>
      <c r="H1350" s="24">
        <v>1.1280131030364438</v>
      </c>
      <c r="I1350" s="25">
        <v>1.147740512652186</v>
      </c>
      <c r="L1350" s="15">
        <v>1348</v>
      </c>
      <c r="M1350" s="16">
        <v>1</v>
      </c>
      <c r="N1350" s="16">
        <v>1</v>
      </c>
      <c r="O1350" s="16">
        <v>2</v>
      </c>
      <c r="P1350" s="16">
        <v>24</v>
      </c>
      <c r="Q1350" s="29">
        <v>37</v>
      </c>
      <c r="R1350" s="20">
        <v>0.62250000000000005</v>
      </c>
      <c r="S1350" s="32">
        <v>23.032500000000002</v>
      </c>
      <c r="T1350" s="35">
        <v>0.81</v>
      </c>
      <c r="U1350" s="35">
        <v>0.22</v>
      </c>
      <c r="V1350" s="35">
        <v>2.1891891891891894E-2</v>
      </c>
      <c r="W1350" s="9" t="s">
        <v>152</v>
      </c>
      <c r="X1350" s="15">
        <v>1349</v>
      </c>
      <c r="Y1350" s="39">
        <v>0.48294456845160133</v>
      </c>
      <c r="Z1350" s="39">
        <v>0.4610641146963062</v>
      </c>
      <c r="AA1350" s="39">
        <v>0.47629915604062201</v>
      </c>
      <c r="AB1350" s="39">
        <v>0.48701718462766869</v>
      </c>
      <c r="AC1350" s="39">
        <v>0.47566708805490093</v>
      </c>
      <c r="AD1350" s="39">
        <v>0.45744681299416917</v>
      </c>
      <c r="AE1350" s="39">
        <v>0.47083320989526828</v>
      </c>
      <c r="AF1350" s="40">
        <v>0.48338411342506693</v>
      </c>
    </row>
    <row r="1351" spans="1:32">
      <c r="A1351" s="15">
        <v>1349</v>
      </c>
      <c r="B1351" s="16">
        <v>1</v>
      </c>
      <c r="C1351" s="20">
        <v>0.19</v>
      </c>
      <c r="D1351" s="20">
        <v>0.85940965043087314</v>
      </c>
      <c r="E1351" s="20">
        <v>7.0000000000000007E-2</v>
      </c>
      <c r="F1351" s="8" t="s">
        <v>436</v>
      </c>
      <c r="G1351" s="24">
        <v>1.1965328745190471</v>
      </c>
      <c r="H1351" s="24">
        <v>1.2034604944390039</v>
      </c>
      <c r="I1351" s="25">
        <v>1.2245073759568288</v>
      </c>
      <c r="L1351" s="15">
        <v>1349</v>
      </c>
      <c r="M1351" s="16">
        <v>1</v>
      </c>
      <c r="N1351" s="16">
        <v>1</v>
      </c>
      <c r="O1351" s="16">
        <v>2</v>
      </c>
      <c r="P1351" s="16">
        <v>25</v>
      </c>
      <c r="Q1351" s="29">
        <v>34</v>
      </c>
      <c r="R1351" s="20">
        <v>0.62250000000000005</v>
      </c>
      <c r="S1351" s="32">
        <v>21.165000000000003</v>
      </c>
      <c r="T1351" s="35">
        <v>1.48</v>
      </c>
      <c r="U1351" s="35">
        <v>1.02</v>
      </c>
      <c r="V1351" s="35">
        <v>4.3529411764705879E-2</v>
      </c>
      <c r="W1351" s="9" t="s">
        <v>153</v>
      </c>
      <c r="X1351" s="15">
        <v>1350</v>
      </c>
      <c r="Y1351" s="39">
        <v>0.48467665663845977</v>
      </c>
      <c r="Z1351" s="39">
        <v>0.48547550579099391</v>
      </c>
      <c r="AA1351" s="39">
        <v>0.47548584271863004</v>
      </c>
      <c r="AB1351" s="39">
        <v>0.46947922643529638</v>
      </c>
      <c r="AC1351" s="39">
        <v>0.47794038372196945</v>
      </c>
      <c r="AD1351" s="39">
        <v>0.4807345183717775</v>
      </c>
      <c r="AE1351" s="39">
        <v>0.46894410078731924</v>
      </c>
      <c r="AF1351" s="40">
        <v>0.46494858482556156</v>
      </c>
    </row>
    <row r="1352" spans="1:32">
      <c r="A1352" s="15">
        <v>1350</v>
      </c>
      <c r="B1352" s="16">
        <v>1</v>
      </c>
      <c r="C1352" s="20">
        <v>0.95</v>
      </c>
      <c r="D1352" s="20">
        <v>0.15570568692893463</v>
      </c>
      <c r="E1352" s="20">
        <v>0.05</v>
      </c>
      <c r="F1352" s="8" t="s">
        <v>434</v>
      </c>
      <c r="G1352" s="24">
        <v>0.58536520838915473</v>
      </c>
      <c r="H1352" s="24">
        <v>0.588754323527104</v>
      </c>
      <c r="I1352" s="25">
        <v>0.59905083309068408</v>
      </c>
      <c r="L1352" s="15">
        <v>1350</v>
      </c>
      <c r="M1352" s="16">
        <v>1</v>
      </c>
      <c r="N1352" s="16">
        <v>1</v>
      </c>
      <c r="O1352" s="16">
        <v>2</v>
      </c>
      <c r="P1352" s="16">
        <v>26</v>
      </c>
      <c r="Q1352" s="29">
        <v>48</v>
      </c>
      <c r="R1352" s="20">
        <v>0.62250000000000005</v>
      </c>
      <c r="S1352" s="32">
        <v>29.880000000000003</v>
      </c>
      <c r="T1352" s="35">
        <v>1.5</v>
      </c>
      <c r="U1352" s="35">
        <v>0.71</v>
      </c>
      <c r="V1352" s="35">
        <v>3.125E-2</v>
      </c>
      <c r="W1352" s="9" t="s">
        <v>153</v>
      </c>
      <c r="X1352" s="15">
        <v>1351</v>
      </c>
      <c r="Y1352" s="39">
        <v>0.48032268536795303</v>
      </c>
      <c r="Z1352" s="39">
        <v>0.49265244990331047</v>
      </c>
      <c r="AA1352" s="39">
        <v>0.48302074664536881</v>
      </c>
      <c r="AB1352" s="39">
        <v>0.48147410037798311</v>
      </c>
      <c r="AC1352" s="39">
        <v>0.47287036293910578</v>
      </c>
      <c r="AD1352" s="39">
        <v>0.4863285065571829</v>
      </c>
      <c r="AE1352" s="39">
        <v>0.47527990148275662</v>
      </c>
      <c r="AF1352" s="40">
        <v>0.47730207992116203</v>
      </c>
    </row>
    <row r="1353" spans="1:32">
      <c r="A1353" s="15">
        <v>1351</v>
      </c>
      <c r="B1353" s="16">
        <v>0</v>
      </c>
      <c r="C1353" s="20">
        <v>0.21</v>
      </c>
      <c r="D1353" s="20">
        <v>0.79251168303441988</v>
      </c>
      <c r="E1353" s="20">
        <v>0.12</v>
      </c>
      <c r="F1353" s="8" t="s">
        <v>436</v>
      </c>
      <c r="G1353" s="24">
        <v>1.466287559423916</v>
      </c>
      <c r="H1353" s="24">
        <v>1.4747769901126742</v>
      </c>
      <c r="I1353" s="25">
        <v>1.5005688268364754</v>
      </c>
      <c r="L1353" s="15">
        <v>1351</v>
      </c>
      <c r="M1353" s="16">
        <v>1</v>
      </c>
      <c r="N1353" s="16">
        <v>1</v>
      </c>
      <c r="O1353" s="16">
        <v>2</v>
      </c>
      <c r="P1353" s="16">
        <v>27</v>
      </c>
      <c r="Q1353" s="29">
        <v>34</v>
      </c>
      <c r="R1353" s="20">
        <v>0.62250000000000005</v>
      </c>
      <c r="S1353" s="32">
        <v>21.165000000000003</v>
      </c>
      <c r="T1353" s="35">
        <v>1.6</v>
      </c>
      <c r="U1353" s="35">
        <v>1.05</v>
      </c>
      <c r="V1353" s="35">
        <v>4.7058823529411764E-2</v>
      </c>
      <c r="W1353" s="9" t="s">
        <v>153</v>
      </c>
      <c r="X1353" s="15">
        <v>1352</v>
      </c>
      <c r="Y1353" s="39">
        <v>0.47603493600888674</v>
      </c>
      <c r="Z1353" s="39">
        <v>0.46704150001175543</v>
      </c>
      <c r="AA1353" s="39">
        <v>0.48282458129624584</v>
      </c>
      <c r="AB1353" s="39">
        <v>0.4742637657996574</v>
      </c>
      <c r="AC1353" s="39">
        <v>0.4713709470997009</v>
      </c>
      <c r="AD1353" s="39">
        <v>0.46368191021083677</v>
      </c>
      <c r="AE1353" s="39">
        <v>0.47774797684470649</v>
      </c>
      <c r="AF1353" s="40">
        <v>0.46823170437104239</v>
      </c>
    </row>
    <row r="1354" spans="1:32">
      <c r="A1354" s="15">
        <v>1352</v>
      </c>
      <c r="B1354" s="16">
        <v>1</v>
      </c>
      <c r="C1354" s="20">
        <v>0.46</v>
      </c>
      <c r="D1354" s="20">
        <v>0.47824690584491225</v>
      </c>
      <c r="E1354" s="20">
        <v>0.11</v>
      </c>
      <c r="F1354" s="8" t="s">
        <v>436</v>
      </c>
      <c r="G1354" s="24">
        <v>0.64942757349623359</v>
      </c>
      <c r="H1354" s="24">
        <v>0.65318759337577947</v>
      </c>
      <c r="I1354" s="25">
        <v>0.66461095288796823</v>
      </c>
      <c r="L1354" s="15">
        <v>1352</v>
      </c>
      <c r="M1354" s="16">
        <v>1</v>
      </c>
      <c r="N1354" s="16">
        <v>1</v>
      </c>
      <c r="O1354" s="16">
        <v>2</v>
      </c>
      <c r="P1354" s="16">
        <v>28</v>
      </c>
      <c r="Q1354" s="29">
        <v>28</v>
      </c>
      <c r="R1354" s="20">
        <v>0.62250000000000005</v>
      </c>
      <c r="S1354" s="32">
        <v>17.43</v>
      </c>
      <c r="T1354" s="35">
        <v>2.8800000000000003</v>
      </c>
      <c r="U1354" s="35">
        <v>2.5</v>
      </c>
      <c r="V1354" s="35">
        <v>0.10285714285714287</v>
      </c>
      <c r="W1354" s="9" t="s">
        <v>154</v>
      </c>
      <c r="X1354" s="15">
        <v>1353</v>
      </c>
      <c r="Y1354" s="39">
        <v>0.49020587970732732</v>
      </c>
      <c r="Z1354" s="39">
        <v>0.48948747243374502</v>
      </c>
      <c r="AA1354" s="39">
        <v>0.4851354038270147</v>
      </c>
      <c r="AB1354" s="39">
        <v>0.49397045390780719</v>
      </c>
      <c r="AC1354" s="39">
        <v>0.48681559397454416</v>
      </c>
      <c r="AD1354" s="39">
        <v>0.48029003663646258</v>
      </c>
      <c r="AE1354" s="39">
        <v>0.47830008968212778</v>
      </c>
      <c r="AF1354" s="40">
        <v>0.48958372510173426</v>
      </c>
    </row>
    <row r="1355" spans="1:32">
      <c r="A1355" s="15">
        <v>1353</v>
      </c>
      <c r="B1355" s="16">
        <v>0</v>
      </c>
      <c r="C1355" s="20">
        <v>0.88</v>
      </c>
      <c r="D1355" s="20">
        <v>0.25930874124763043</v>
      </c>
      <c r="E1355" s="20">
        <v>0.12</v>
      </c>
      <c r="F1355" s="8" t="s">
        <v>434</v>
      </c>
      <c r="G1355" s="24">
        <v>0.5594421229269001</v>
      </c>
      <c r="H1355" s="24">
        <v>0.56268115001707442</v>
      </c>
      <c r="I1355" s="25">
        <v>0.57252167536165033</v>
      </c>
      <c r="L1355" s="15">
        <v>1353</v>
      </c>
      <c r="M1355" s="16">
        <v>1</v>
      </c>
      <c r="N1355" s="16">
        <v>1</v>
      </c>
      <c r="O1355" s="16">
        <v>2</v>
      </c>
      <c r="P1355" s="16">
        <v>29</v>
      </c>
      <c r="Q1355" s="29">
        <v>36</v>
      </c>
      <c r="R1355" s="20">
        <v>0.62250000000000005</v>
      </c>
      <c r="S1355" s="32">
        <v>22.410000000000004</v>
      </c>
      <c r="T1355" s="35">
        <v>1.33</v>
      </c>
      <c r="U1355" s="35">
        <v>0.82</v>
      </c>
      <c r="V1355" s="35">
        <v>3.6944444444444446E-2</v>
      </c>
      <c r="W1355" s="9" t="s">
        <v>153</v>
      </c>
      <c r="X1355" s="15">
        <v>1354</v>
      </c>
      <c r="Y1355" s="39">
        <v>0.48224771021800694</v>
      </c>
      <c r="Z1355" s="39">
        <v>0.48116788380199038</v>
      </c>
      <c r="AA1355" s="39">
        <v>0.47995713747877145</v>
      </c>
      <c r="AB1355" s="39">
        <v>0.48840956511705175</v>
      </c>
      <c r="AC1355" s="39">
        <v>0.47600167390676085</v>
      </c>
      <c r="AD1355" s="39">
        <v>0.47555351278149988</v>
      </c>
      <c r="AE1355" s="39">
        <v>0.47210750907976717</v>
      </c>
      <c r="AF1355" s="40">
        <v>0.48300159259106812</v>
      </c>
    </row>
    <row r="1356" spans="1:32">
      <c r="A1356" s="15">
        <v>1354</v>
      </c>
      <c r="B1356" s="16">
        <v>0</v>
      </c>
      <c r="C1356" s="20">
        <v>0.92</v>
      </c>
      <c r="D1356" s="20">
        <v>0.20258497911151899</v>
      </c>
      <c r="E1356" s="20">
        <v>0.08</v>
      </c>
      <c r="F1356" s="8" t="s">
        <v>434</v>
      </c>
      <c r="G1356" s="24">
        <v>1.5567729185097836</v>
      </c>
      <c r="H1356" s="24">
        <v>1.565786236330619</v>
      </c>
      <c r="I1356" s="25">
        <v>1.5931697005577961</v>
      </c>
      <c r="L1356" s="15">
        <v>1354</v>
      </c>
      <c r="M1356" s="16">
        <v>1</v>
      </c>
      <c r="N1356" s="16">
        <v>1</v>
      </c>
      <c r="O1356" s="16">
        <v>2</v>
      </c>
      <c r="P1356" s="16">
        <v>30</v>
      </c>
      <c r="Q1356" s="29">
        <v>36</v>
      </c>
      <c r="R1356" s="20">
        <v>0.62250000000000005</v>
      </c>
      <c r="S1356" s="32">
        <v>22.410000000000004</v>
      </c>
      <c r="T1356" s="35">
        <v>3.07</v>
      </c>
      <c r="U1356" s="35">
        <v>2.5099999999999998</v>
      </c>
      <c r="V1356" s="35">
        <v>8.5277777777777772E-2</v>
      </c>
      <c r="W1356" s="9" t="s">
        <v>155</v>
      </c>
      <c r="X1356" s="15">
        <v>1355</v>
      </c>
      <c r="Y1356" s="39">
        <v>0.47895119382177553</v>
      </c>
      <c r="Z1356" s="39">
        <v>0.48224450701383254</v>
      </c>
      <c r="AA1356" s="39">
        <v>0.4897941606512618</v>
      </c>
      <c r="AB1356" s="39">
        <v>0.48385051051075889</v>
      </c>
      <c r="AC1356" s="39">
        <v>0.46982811729441654</v>
      </c>
      <c r="AD1356" s="39">
        <v>0.47362607295301351</v>
      </c>
      <c r="AE1356" s="39">
        <v>0.48280721617755351</v>
      </c>
      <c r="AF1356" s="40">
        <v>0.48099690679837848</v>
      </c>
    </row>
    <row r="1357" spans="1:32">
      <c r="A1357" s="15">
        <v>1355</v>
      </c>
      <c r="B1357" s="16">
        <v>0</v>
      </c>
      <c r="C1357" s="20">
        <v>0.89</v>
      </c>
      <c r="D1357" s="20">
        <v>0.24559627500636821</v>
      </c>
      <c r="E1357" s="20">
        <v>0.11</v>
      </c>
      <c r="F1357" s="8" t="s">
        <v>434</v>
      </c>
      <c r="G1357" s="24">
        <v>0.66686442708131766</v>
      </c>
      <c r="H1357" s="24">
        <v>0.6707254018922405</v>
      </c>
      <c r="I1357" s="25">
        <v>0.68245547373909576</v>
      </c>
      <c r="L1357" s="15">
        <v>1355</v>
      </c>
      <c r="M1357" s="16">
        <v>1</v>
      </c>
      <c r="N1357" s="16">
        <v>1</v>
      </c>
      <c r="O1357" s="16">
        <v>2</v>
      </c>
      <c r="P1357" s="16">
        <v>31</v>
      </c>
      <c r="Q1357" s="29">
        <v>34</v>
      </c>
      <c r="R1357" s="20">
        <v>0.62250000000000005</v>
      </c>
      <c r="S1357" s="32">
        <v>21.165000000000003</v>
      </c>
      <c r="T1357" s="35">
        <v>1.83</v>
      </c>
      <c r="U1357" s="35">
        <v>1.38</v>
      </c>
      <c r="V1357" s="35">
        <v>5.3823529411764708E-2</v>
      </c>
      <c r="W1357" s="9" t="s">
        <v>153</v>
      </c>
      <c r="X1357" s="15">
        <v>1356</v>
      </c>
      <c r="Y1357" s="39">
        <v>0.47919135621911052</v>
      </c>
      <c r="Z1357" s="39">
        <v>0.49321623732486769</v>
      </c>
      <c r="AA1357" s="39">
        <v>0.48595458205502506</v>
      </c>
      <c r="AB1357" s="39">
        <v>0.48266412060959957</v>
      </c>
      <c r="AC1357" s="39">
        <v>0.47240826913918738</v>
      </c>
      <c r="AD1357" s="39">
        <v>0.48522488982708795</v>
      </c>
      <c r="AE1357" s="39">
        <v>0.4774445877202198</v>
      </c>
      <c r="AF1357" s="40">
        <v>0.47940587201311757</v>
      </c>
    </row>
    <row r="1358" spans="1:32">
      <c r="A1358" s="15">
        <v>1356</v>
      </c>
      <c r="B1358" s="16">
        <v>1</v>
      </c>
      <c r="C1358" s="20">
        <v>0.16</v>
      </c>
      <c r="D1358" s="20">
        <v>0.86014882661842562</v>
      </c>
      <c r="E1358" s="20">
        <v>0.08</v>
      </c>
      <c r="F1358" s="8" t="s">
        <v>436</v>
      </c>
      <c r="G1358" s="24">
        <v>1.2251429513761751</v>
      </c>
      <c r="H1358" s="24">
        <v>1.2322362163382097</v>
      </c>
      <c r="I1358" s="25">
        <v>1.2537863459578218</v>
      </c>
      <c r="L1358" s="15">
        <v>1356</v>
      </c>
      <c r="M1358" s="16">
        <v>1</v>
      </c>
      <c r="N1358" s="16">
        <v>1</v>
      </c>
      <c r="O1358" s="16">
        <v>2</v>
      </c>
      <c r="P1358" s="16">
        <v>32</v>
      </c>
      <c r="Q1358" s="29">
        <v>41</v>
      </c>
      <c r="R1358" s="20">
        <v>0.62250000000000005</v>
      </c>
      <c r="S1358" s="32">
        <v>25.522500000000001</v>
      </c>
      <c r="T1358" s="35">
        <v>2</v>
      </c>
      <c r="U1358" s="35">
        <v>1.37</v>
      </c>
      <c r="V1358" s="35">
        <v>4.878048780487805E-2</v>
      </c>
      <c r="W1358" s="9" t="s">
        <v>154</v>
      </c>
      <c r="X1358" s="15">
        <v>1357</v>
      </c>
      <c r="Y1358" s="39">
        <v>0.49992136305332141</v>
      </c>
      <c r="Z1358" s="39">
        <v>0.50971590812766943</v>
      </c>
      <c r="AA1358" s="39">
        <v>0.48560225887128411</v>
      </c>
      <c r="AB1358" s="39">
        <v>0.48476689819581376</v>
      </c>
      <c r="AC1358" s="39">
        <v>0.4936213084042671</v>
      </c>
      <c r="AD1358" s="39">
        <v>0.50140554105455093</v>
      </c>
      <c r="AE1358" s="39">
        <v>0.47818950202608546</v>
      </c>
      <c r="AF1358" s="40">
        <v>0.47780166811858582</v>
      </c>
    </row>
    <row r="1359" spans="1:32">
      <c r="A1359" s="15">
        <v>1357</v>
      </c>
      <c r="B1359" s="16">
        <v>0</v>
      </c>
      <c r="C1359" s="20">
        <v>0.02</v>
      </c>
      <c r="D1359" s="20">
        <v>0.99835916395484214</v>
      </c>
      <c r="E1359" s="20">
        <v>1</v>
      </c>
      <c r="F1359" s="8" t="s">
        <v>436</v>
      </c>
      <c r="G1359" s="24">
        <v>1.0083956469523827</v>
      </c>
      <c r="H1359" s="24">
        <v>1.0142340003480912</v>
      </c>
      <c r="I1359" s="25">
        <v>1.03197156874798</v>
      </c>
      <c r="L1359" s="15">
        <v>1357</v>
      </c>
      <c r="M1359" s="16">
        <v>1</v>
      </c>
      <c r="N1359" s="16">
        <v>1</v>
      </c>
      <c r="O1359" s="16">
        <v>2</v>
      </c>
      <c r="P1359" s="16">
        <v>33</v>
      </c>
      <c r="Q1359" s="29">
        <v>42</v>
      </c>
      <c r="R1359" s="20">
        <v>0.62250000000000005</v>
      </c>
      <c r="S1359" s="32">
        <v>26.145000000000003</v>
      </c>
      <c r="T1359" s="35">
        <v>2.19</v>
      </c>
      <c r="U1359" s="35">
        <v>1.68</v>
      </c>
      <c r="V1359" s="35">
        <v>5.2142857142857144E-2</v>
      </c>
      <c r="W1359" s="9" t="s">
        <v>154</v>
      </c>
      <c r="X1359" s="15">
        <v>1358</v>
      </c>
      <c r="Y1359" s="39">
        <v>0.49713868306498699</v>
      </c>
      <c r="Z1359" s="39">
        <v>0.5017127324402163</v>
      </c>
      <c r="AA1359" s="39">
        <v>0.4909267997415529</v>
      </c>
      <c r="AB1359" s="39">
        <v>0.48587268580574583</v>
      </c>
      <c r="AC1359" s="39">
        <v>0.49066231994649195</v>
      </c>
      <c r="AD1359" s="39">
        <v>0.49174462137573949</v>
      </c>
      <c r="AE1359" s="39">
        <v>0.48392864359262061</v>
      </c>
      <c r="AF1359" s="40">
        <v>0.48172833579591801</v>
      </c>
    </row>
    <row r="1360" spans="1:32">
      <c r="A1360" s="15">
        <v>1358</v>
      </c>
      <c r="B1360" s="16">
        <v>0</v>
      </c>
      <c r="C1360" s="20">
        <v>0.89</v>
      </c>
      <c r="D1360" s="20">
        <v>0.24559627500636821</v>
      </c>
      <c r="E1360" s="20">
        <v>0.11</v>
      </c>
      <c r="F1360" s="8" t="s">
        <v>434</v>
      </c>
      <c r="G1360" s="24">
        <v>1.052958034188098</v>
      </c>
      <c r="H1360" s="24">
        <v>1.0590543924310356</v>
      </c>
      <c r="I1360" s="25">
        <v>1.0775758083158324</v>
      </c>
      <c r="L1360" s="15">
        <v>1358</v>
      </c>
      <c r="M1360" s="16">
        <v>1</v>
      </c>
      <c r="N1360" s="16">
        <v>1</v>
      </c>
      <c r="O1360" s="16">
        <v>3</v>
      </c>
      <c r="P1360" s="16">
        <v>34</v>
      </c>
      <c r="Q1360" s="29">
        <v>63</v>
      </c>
      <c r="R1360" s="20">
        <v>0.62250000000000005</v>
      </c>
      <c r="S1360" s="32">
        <v>39.217500000000001</v>
      </c>
      <c r="T1360" s="35">
        <v>2.4</v>
      </c>
      <c r="U1360" s="35">
        <v>1.52</v>
      </c>
      <c r="V1360" s="35">
        <v>3.8095238095238092E-2</v>
      </c>
      <c r="W1360" s="9" t="s">
        <v>154</v>
      </c>
      <c r="X1360" s="15">
        <v>1359</v>
      </c>
      <c r="Y1360" s="39">
        <v>0.48202192239048425</v>
      </c>
      <c r="Z1360" s="39">
        <v>0.50474512687820727</v>
      </c>
      <c r="AA1360" s="39">
        <v>0.48807713616009091</v>
      </c>
      <c r="AB1360" s="39">
        <v>0.49238685290114276</v>
      </c>
      <c r="AC1360" s="39">
        <v>0.47598415856219545</v>
      </c>
      <c r="AD1360" s="39">
        <v>0.49547974448187332</v>
      </c>
      <c r="AE1360" s="39">
        <v>0.47979866751988964</v>
      </c>
      <c r="AF1360" s="40">
        <v>0.49150371707808832</v>
      </c>
    </row>
    <row r="1361" spans="1:32">
      <c r="A1361" s="15">
        <v>1359</v>
      </c>
      <c r="B1361" s="16">
        <v>0</v>
      </c>
      <c r="C1361" s="20">
        <v>0.92</v>
      </c>
      <c r="D1361" s="20">
        <v>0.20258497911151899</v>
      </c>
      <c r="E1361" s="20">
        <v>0.08</v>
      </c>
      <c r="F1361" s="8" t="s">
        <v>434</v>
      </c>
      <c r="G1361" s="24">
        <v>1.1858575465695986</v>
      </c>
      <c r="H1361" s="24">
        <v>1.1927233590656814</v>
      </c>
      <c r="I1361" s="25">
        <v>1.2135824627402889</v>
      </c>
      <c r="L1361" s="15">
        <v>1359</v>
      </c>
      <c r="M1361" s="16">
        <v>1</v>
      </c>
      <c r="N1361" s="16">
        <v>1</v>
      </c>
      <c r="O1361" s="16">
        <v>3</v>
      </c>
      <c r="P1361" s="16">
        <v>35</v>
      </c>
      <c r="Q1361" s="29">
        <v>68</v>
      </c>
      <c r="R1361" s="20">
        <v>0.62250000000000005</v>
      </c>
      <c r="S1361" s="32">
        <v>42.330000000000005</v>
      </c>
      <c r="T1361" s="35">
        <v>2.4899999999999998</v>
      </c>
      <c r="U1361" s="35">
        <v>1.55</v>
      </c>
      <c r="V1361" s="35">
        <v>3.6617647058823526E-2</v>
      </c>
      <c r="W1361" s="9" t="s">
        <v>154</v>
      </c>
      <c r="X1361" s="15">
        <v>1360</v>
      </c>
      <c r="Y1361" s="39">
        <v>0.48748173164967623</v>
      </c>
      <c r="Z1361" s="39">
        <v>0.48177364721402538</v>
      </c>
      <c r="AA1361" s="39">
        <v>0.48384106405343802</v>
      </c>
      <c r="AB1361" s="39">
        <v>0.48450466739199632</v>
      </c>
      <c r="AC1361" s="39">
        <v>0.47966601654338614</v>
      </c>
      <c r="AD1361" s="39">
        <v>0.47544127783043089</v>
      </c>
      <c r="AE1361" s="39">
        <v>0.47906633411748956</v>
      </c>
      <c r="AF1361" s="40">
        <v>0.47929616931884117</v>
      </c>
    </row>
    <row r="1362" spans="1:32">
      <c r="A1362" s="15">
        <v>1360</v>
      </c>
      <c r="B1362" s="16">
        <v>0</v>
      </c>
      <c r="C1362" s="20">
        <v>0.02</v>
      </c>
      <c r="D1362" s="20">
        <v>0.99917029198757767</v>
      </c>
      <c r="E1362" s="20">
        <v>1</v>
      </c>
      <c r="F1362" s="8" t="s">
        <v>436</v>
      </c>
      <c r="G1362" s="24">
        <v>1.0710781593535317</v>
      </c>
      <c r="H1362" s="24">
        <v>1.0772794284958866</v>
      </c>
      <c r="I1362" s="25">
        <v>1.0961195753872164</v>
      </c>
      <c r="L1362" s="15">
        <v>1360</v>
      </c>
      <c r="M1362" s="16">
        <v>1</v>
      </c>
      <c r="N1362" s="16">
        <v>1</v>
      </c>
      <c r="O1362" s="16">
        <v>3</v>
      </c>
      <c r="P1362" s="16">
        <v>36</v>
      </c>
      <c r="Q1362" s="29">
        <v>62</v>
      </c>
      <c r="R1362" s="20">
        <v>0.62250000000000005</v>
      </c>
      <c r="S1362" s="32">
        <v>38.595000000000006</v>
      </c>
      <c r="T1362" s="35">
        <v>4.2</v>
      </c>
      <c r="U1362" s="35">
        <v>3.29</v>
      </c>
      <c r="V1362" s="35">
        <v>6.7741935483870974E-2</v>
      </c>
      <c r="W1362" s="9" t="s">
        <v>155</v>
      </c>
      <c r="X1362" s="15">
        <v>1361</v>
      </c>
      <c r="Y1362" s="39">
        <v>0.50032309312130563</v>
      </c>
      <c r="Z1362" s="39">
        <v>0.48628952392816288</v>
      </c>
      <c r="AA1362" s="39">
        <v>0.49634927403386725</v>
      </c>
      <c r="AB1362" s="39">
        <v>0.50768468606762329</v>
      </c>
      <c r="AC1362" s="39">
        <v>0.48962042815212248</v>
      </c>
      <c r="AD1362" s="39">
        <v>0.4779897492126105</v>
      </c>
      <c r="AE1362" s="39">
        <v>0.48997815597770211</v>
      </c>
      <c r="AF1362" s="40">
        <v>0.50182949884069838</v>
      </c>
    </row>
    <row r="1363" spans="1:32">
      <c r="A1363" s="15">
        <v>1361</v>
      </c>
      <c r="B1363" s="16">
        <v>0</v>
      </c>
      <c r="C1363" s="20">
        <v>0.26</v>
      </c>
      <c r="D1363" s="20">
        <v>0.74492813301950545</v>
      </c>
      <c r="E1363" s="20">
        <v>0.12</v>
      </c>
      <c r="F1363" s="8" t="s">
        <v>436</v>
      </c>
      <c r="G1363" s="24">
        <v>0.8774154814736892</v>
      </c>
      <c r="H1363" s="24">
        <v>0.88249549314489295</v>
      </c>
      <c r="I1363" s="25">
        <v>0.89792913485566062</v>
      </c>
      <c r="L1363" s="15">
        <v>1361</v>
      </c>
      <c r="M1363" s="16">
        <v>1</v>
      </c>
      <c r="N1363" s="16">
        <v>1</v>
      </c>
      <c r="O1363" s="16">
        <v>3</v>
      </c>
      <c r="P1363" s="16">
        <v>37</v>
      </c>
      <c r="Q1363" s="29">
        <v>65</v>
      </c>
      <c r="R1363" s="20">
        <v>0.62250000000000005</v>
      </c>
      <c r="S1363" s="32">
        <v>40.462500000000006</v>
      </c>
      <c r="T1363" s="35">
        <v>4.93</v>
      </c>
      <c r="U1363" s="35">
        <v>3.88</v>
      </c>
      <c r="V1363" s="35">
        <v>7.5846153846153841E-2</v>
      </c>
      <c r="W1363" s="9" t="s">
        <v>155</v>
      </c>
      <c r="X1363" s="15">
        <v>1362</v>
      </c>
      <c r="Y1363" s="39">
        <v>0.48807716857937095</v>
      </c>
      <c r="Z1363" s="39">
        <v>0.47758930455467086</v>
      </c>
      <c r="AA1363" s="39">
        <v>0.48871407614462348</v>
      </c>
      <c r="AB1363" s="39">
        <v>0.48803860184630971</v>
      </c>
      <c r="AC1363" s="39">
        <v>0.48034615092138083</v>
      </c>
      <c r="AD1363" s="39">
        <v>0.47007281762524611</v>
      </c>
      <c r="AE1363" s="39">
        <v>0.48440760181604969</v>
      </c>
      <c r="AF1363" s="40">
        <v>0.48236053871878165</v>
      </c>
    </row>
    <row r="1364" spans="1:32">
      <c r="A1364" s="15">
        <v>1362</v>
      </c>
      <c r="B1364" s="16">
        <v>0</v>
      </c>
      <c r="C1364" s="20">
        <v>0.2</v>
      </c>
      <c r="D1364" s="20">
        <v>0.79600384083270437</v>
      </c>
      <c r="E1364" s="20">
        <v>7.0000000000000007E-2</v>
      </c>
      <c r="F1364" s="8" t="s">
        <v>436</v>
      </c>
      <c r="G1364" s="24">
        <v>0.95654023832068835</v>
      </c>
      <c r="H1364" s="24">
        <v>0.96207836213688047</v>
      </c>
      <c r="I1364" s="25">
        <v>0.97890379960850837</v>
      </c>
      <c r="L1364" s="15">
        <v>1362</v>
      </c>
      <c r="M1364" s="16">
        <v>1</v>
      </c>
      <c r="N1364" s="16">
        <v>1</v>
      </c>
      <c r="O1364" s="16">
        <v>3</v>
      </c>
      <c r="P1364" s="16">
        <v>38</v>
      </c>
      <c r="Q1364" s="29">
        <v>80</v>
      </c>
      <c r="R1364" s="20">
        <v>0.62250000000000005</v>
      </c>
      <c r="S1364" s="32">
        <v>49.800000000000004</v>
      </c>
      <c r="T1364" s="35">
        <v>4.43</v>
      </c>
      <c r="U1364" s="35">
        <v>3</v>
      </c>
      <c r="V1364" s="35">
        <v>5.5374999999999994E-2</v>
      </c>
      <c r="W1364" s="9" t="s">
        <v>155</v>
      </c>
      <c r="X1364" s="15">
        <v>1363</v>
      </c>
      <c r="Y1364" s="39">
        <v>0.46661625604134449</v>
      </c>
      <c r="Z1364" s="39">
        <v>0.490384677832436</v>
      </c>
      <c r="AA1364" s="39">
        <v>0.47216216890338725</v>
      </c>
      <c r="AB1364" s="39">
        <v>0.48340706944819739</v>
      </c>
      <c r="AC1364" s="39">
        <v>0.46109907219617713</v>
      </c>
      <c r="AD1364" s="39">
        <v>0.4842172623706289</v>
      </c>
      <c r="AE1364" s="39">
        <v>0.46390013120840512</v>
      </c>
      <c r="AF1364" s="40">
        <v>0.47948312462629306</v>
      </c>
    </row>
    <row r="1365" spans="1:32">
      <c r="A1365" s="15">
        <v>1363</v>
      </c>
      <c r="B1365" s="16">
        <v>1</v>
      </c>
      <c r="C1365" s="20">
        <v>0.93</v>
      </c>
      <c r="D1365" s="20">
        <v>0.18747949848141848</v>
      </c>
      <c r="E1365" s="20">
        <v>7.0000000000000007E-2</v>
      </c>
      <c r="F1365" s="8" t="s">
        <v>434</v>
      </c>
      <c r="G1365" s="24">
        <v>0.94482022190059134</v>
      </c>
      <c r="H1365" s="24">
        <v>0.95029048981332842</v>
      </c>
      <c r="I1365" s="25">
        <v>0.96690977348656626</v>
      </c>
      <c r="L1365" s="15">
        <v>1363</v>
      </c>
      <c r="M1365" s="16">
        <v>1</v>
      </c>
      <c r="N1365" s="16">
        <v>1</v>
      </c>
      <c r="O1365" s="16">
        <v>3</v>
      </c>
      <c r="P1365" s="16">
        <v>39</v>
      </c>
      <c r="Q1365" s="29">
        <v>72</v>
      </c>
      <c r="R1365" s="20">
        <v>0.62250000000000005</v>
      </c>
      <c r="S1365" s="32">
        <v>44.820000000000007</v>
      </c>
      <c r="T1365" s="35">
        <v>2.48</v>
      </c>
      <c r="U1365" s="35">
        <v>1.39</v>
      </c>
      <c r="V1365" s="35">
        <v>3.4444444444444444E-2</v>
      </c>
      <c r="W1365" s="9" t="s">
        <v>154</v>
      </c>
      <c r="X1365" s="15">
        <v>1364</v>
      </c>
      <c r="Y1365" s="39">
        <v>0.48526595246148024</v>
      </c>
      <c r="Z1365" s="39">
        <v>0.50048637656885597</v>
      </c>
      <c r="AA1365" s="39">
        <v>0.49701204175571628</v>
      </c>
      <c r="AB1365" s="39">
        <v>0.48415075434757537</v>
      </c>
      <c r="AC1365" s="39">
        <v>0.48120718361940418</v>
      </c>
      <c r="AD1365" s="39">
        <v>0.49195772145698041</v>
      </c>
      <c r="AE1365" s="39">
        <v>0.49075855605409552</v>
      </c>
      <c r="AF1365" s="40">
        <v>0.48189491889282643</v>
      </c>
    </row>
    <row r="1366" spans="1:32">
      <c r="A1366" s="15">
        <v>1364</v>
      </c>
      <c r="B1366" s="16">
        <v>1</v>
      </c>
      <c r="C1366" s="20">
        <v>0.94</v>
      </c>
      <c r="D1366" s="20">
        <v>0.17188516685452584</v>
      </c>
      <c r="E1366" s="20">
        <v>0.06</v>
      </c>
      <c r="F1366" s="8" t="s">
        <v>434</v>
      </c>
      <c r="G1366" s="24">
        <v>3.4156830643556924</v>
      </c>
      <c r="H1366" s="24">
        <v>2.3557193791407478</v>
      </c>
      <c r="I1366" s="25">
        <v>1.6578926537592125</v>
      </c>
      <c r="L1366" s="15">
        <v>1364</v>
      </c>
      <c r="M1366" s="16">
        <v>1</v>
      </c>
      <c r="N1366" s="16">
        <v>1</v>
      </c>
      <c r="O1366" s="16">
        <v>3</v>
      </c>
      <c r="P1366" s="16">
        <v>40</v>
      </c>
      <c r="Q1366" s="29">
        <v>59</v>
      </c>
      <c r="R1366" s="20">
        <v>0.62250000000000005</v>
      </c>
      <c r="S1366" s="32">
        <v>36.727500000000006</v>
      </c>
      <c r="T1366" s="35">
        <v>2.97</v>
      </c>
      <c r="U1366" s="35">
        <v>2.13</v>
      </c>
      <c r="V1366" s="35">
        <v>5.0338983050847462E-2</v>
      </c>
      <c r="W1366" s="9" t="s">
        <v>154</v>
      </c>
      <c r="X1366" s="15">
        <v>1365</v>
      </c>
      <c r="Y1366" s="39">
        <v>0.50237002608727954</v>
      </c>
      <c r="Z1366" s="39">
        <v>0.49000853644845827</v>
      </c>
      <c r="AA1366" s="39">
        <v>0.47051340921368645</v>
      </c>
      <c r="AB1366" s="39">
        <v>0.49054326749251409</v>
      </c>
      <c r="AC1366" s="39">
        <v>0.49340941701591312</v>
      </c>
      <c r="AD1366" s="39">
        <v>0.48328272388411475</v>
      </c>
      <c r="AE1366" s="39">
        <v>0.46428340186921363</v>
      </c>
      <c r="AF1366" s="40">
        <v>0.48490281221356701</v>
      </c>
    </row>
    <row r="1367" spans="1:32">
      <c r="A1367" s="15">
        <v>1365</v>
      </c>
      <c r="B1367" s="16">
        <v>1</v>
      </c>
      <c r="C1367" s="20">
        <v>0.94</v>
      </c>
      <c r="D1367" s="20">
        <v>0.17188516685452584</v>
      </c>
      <c r="E1367" s="20">
        <v>0.06</v>
      </c>
      <c r="F1367" s="8" t="s">
        <v>434</v>
      </c>
      <c r="G1367" s="24">
        <v>1.4709054886799149</v>
      </c>
      <c r="H1367" s="24">
        <v>1.4794216560003062</v>
      </c>
      <c r="I1367" s="25">
        <v>1.5052947215912604</v>
      </c>
      <c r="L1367" s="15">
        <v>1365</v>
      </c>
      <c r="M1367" s="16">
        <v>1</v>
      </c>
      <c r="N1367" s="16">
        <v>1</v>
      </c>
      <c r="O1367" s="16">
        <v>3</v>
      </c>
      <c r="P1367" s="16">
        <v>41</v>
      </c>
      <c r="Q1367" s="29">
        <v>54</v>
      </c>
      <c r="R1367" s="20">
        <v>0.62250000000000005</v>
      </c>
      <c r="S1367" s="32">
        <v>33.615000000000002</v>
      </c>
      <c r="T1367" s="35">
        <v>2.77</v>
      </c>
      <c r="U1367" s="35">
        <v>1.92</v>
      </c>
      <c r="V1367" s="35">
        <v>5.1296296296296298E-2</v>
      </c>
      <c r="W1367" s="9" t="s">
        <v>154</v>
      </c>
      <c r="X1367" s="15">
        <v>1366</v>
      </c>
      <c r="Y1367" s="39">
        <v>0.49103758852573082</v>
      </c>
      <c r="Z1367" s="39">
        <v>0.47833467199053215</v>
      </c>
      <c r="AA1367" s="39">
        <v>0.49714885566896883</v>
      </c>
      <c r="AB1367" s="39">
        <v>0.49269645005309914</v>
      </c>
      <c r="AC1367" s="39">
        <v>0.48387670834037816</v>
      </c>
      <c r="AD1367" s="39">
        <v>0.47223594593128204</v>
      </c>
      <c r="AE1367" s="39">
        <v>0.49065316636879364</v>
      </c>
      <c r="AF1367" s="40">
        <v>0.48772939342204286</v>
      </c>
    </row>
    <row r="1368" spans="1:32">
      <c r="A1368" s="15">
        <v>1366</v>
      </c>
      <c r="B1368" s="16">
        <v>1</v>
      </c>
      <c r="C1368" s="20">
        <v>0.88</v>
      </c>
      <c r="D1368" s="20">
        <v>0.25930874124763043</v>
      </c>
      <c r="E1368" s="20">
        <v>0.12</v>
      </c>
      <c r="F1368" s="8" t="s">
        <v>434</v>
      </c>
      <c r="G1368" s="24">
        <v>1.6058128856263829</v>
      </c>
      <c r="H1368" s="24">
        <v>1.6151101323390238</v>
      </c>
      <c r="I1368" s="25">
        <v>1.643356204188207</v>
      </c>
      <c r="L1368" s="15">
        <v>1366</v>
      </c>
      <c r="M1368" s="16">
        <v>1</v>
      </c>
      <c r="N1368" s="16">
        <v>1</v>
      </c>
      <c r="O1368" s="16">
        <v>3</v>
      </c>
      <c r="P1368" s="16">
        <v>42</v>
      </c>
      <c r="Q1368" s="29">
        <v>50</v>
      </c>
      <c r="R1368" s="20">
        <v>0.62250000000000005</v>
      </c>
      <c r="S1368" s="32">
        <v>31.125000000000004</v>
      </c>
      <c r="T1368" s="35">
        <v>3.5900000000000003</v>
      </c>
      <c r="U1368" s="35">
        <v>2.8</v>
      </c>
      <c r="V1368" s="35">
        <v>7.1800000000000003E-2</v>
      </c>
      <c r="W1368" s="9" t="s">
        <v>155</v>
      </c>
      <c r="X1368" s="15">
        <v>1367</v>
      </c>
      <c r="Y1368" s="39">
        <v>0.48187384874877925</v>
      </c>
      <c r="Z1368" s="39">
        <v>0.50062102572813028</v>
      </c>
      <c r="AA1368" s="39">
        <v>0.48203305596595797</v>
      </c>
      <c r="AB1368" s="39">
        <v>0.49595249432698391</v>
      </c>
      <c r="AC1368" s="39">
        <v>0.47313235795000308</v>
      </c>
      <c r="AD1368" s="39">
        <v>0.49277307815200372</v>
      </c>
      <c r="AE1368" s="39">
        <v>0.47333926258552933</v>
      </c>
      <c r="AF1368" s="40">
        <v>0.48897351226697611</v>
      </c>
    </row>
    <row r="1369" spans="1:32">
      <c r="A1369" s="15">
        <v>1367</v>
      </c>
      <c r="B1369" s="16">
        <v>0</v>
      </c>
      <c r="C1369" s="20">
        <v>0.14000000000000001</v>
      </c>
      <c r="D1369" s="20">
        <v>0.87454865592863196</v>
      </c>
      <c r="E1369" s="20">
        <v>0.11</v>
      </c>
      <c r="F1369" s="8" t="s">
        <v>436</v>
      </c>
      <c r="G1369" s="24">
        <v>0.98792226411833317</v>
      </c>
      <c r="H1369" s="24">
        <v>0.99364208185340885</v>
      </c>
      <c r="I1369" s="25">
        <v>1.0110195257034806</v>
      </c>
      <c r="L1369" s="15">
        <v>1367</v>
      </c>
      <c r="M1369" s="16">
        <v>1</v>
      </c>
      <c r="N1369" s="16">
        <v>1</v>
      </c>
      <c r="O1369" s="16">
        <v>3</v>
      </c>
      <c r="P1369" s="16">
        <v>43</v>
      </c>
      <c r="Q1369" s="29">
        <v>61</v>
      </c>
      <c r="R1369" s="20">
        <v>0.62250000000000005</v>
      </c>
      <c r="S1369" s="32">
        <v>37.972500000000004</v>
      </c>
      <c r="T1369" s="35">
        <v>2.14</v>
      </c>
      <c r="U1369" s="35">
        <v>1.27</v>
      </c>
      <c r="V1369" s="35">
        <v>3.5081967213114754E-2</v>
      </c>
      <c r="W1369" s="9" t="s">
        <v>154</v>
      </c>
      <c r="X1369" s="15">
        <v>1368</v>
      </c>
      <c r="Y1369" s="39">
        <v>0.4734338861197448</v>
      </c>
      <c r="Z1369" s="39">
        <v>0.49246854047968019</v>
      </c>
      <c r="AA1369" s="39">
        <v>0.47489135037541141</v>
      </c>
      <c r="AB1369" s="39">
        <v>0.47742766917648499</v>
      </c>
      <c r="AC1369" s="39">
        <v>0.46511290087966561</v>
      </c>
      <c r="AD1369" s="39">
        <v>0.48631502767203011</v>
      </c>
      <c r="AE1369" s="39">
        <v>0.46933298499575155</v>
      </c>
      <c r="AF1369" s="40">
        <v>0.47340429620420454</v>
      </c>
    </row>
    <row r="1370" spans="1:32">
      <c r="A1370" s="15">
        <v>1368</v>
      </c>
      <c r="B1370" s="16">
        <v>0</v>
      </c>
      <c r="C1370" s="20">
        <v>0.49</v>
      </c>
      <c r="D1370" s="20">
        <v>0.47056141818823649</v>
      </c>
      <c r="E1370" s="20">
        <v>0.09</v>
      </c>
      <c r="F1370" s="8" t="s">
        <v>436</v>
      </c>
      <c r="G1370" s="24">
        <v>1.05995819721142</v>
      </c>
      <c r="H1370" s="24">
        <v>1.0660950846114214</v>
      </c>
      <c r="I1370" s="25">
        <v>1.0847396325930414</v>
      </c>
      <c r="L1370" s="15">
        <v>1368</v>
      </c>
      <c r="M1370" s="16">
        <v>1</v>
      </c>
      <c r="N1370" s="16">
        <v>1</v>
      </c>
      <c r="O1370" s="16">
        <v>3</v>
      </c>
      <c r="P1370" s="16">
        <v>44</v>
      </c>
      <c r="Q1370" s="29">
        <v>69</v>
      </c>
      <c r="R1370" s="20">
        <v>0.62250000000000005</v>
      </c>
      <c r="S1370" s="32">
        <v>42.952500000000001</v>
      </c>
      <c r="T1370" s="35">
        <v>4.37</v>
      </c>
      <c r="U1370" s="35">
        <v>3.26</v>
      </c>
      <c r="V1370" s="35">
        <v>6.3333333333333339E-2</v>
      </c>
      <c r="W1370" s="9" t="s">
        <v>155</v>
      </c>
      <c r="X1370" s="15">
        <v>1369</v>
      </c>
      <c r="Y1370" s="39">
        <v>0.49316151085385163</v>
      </c>
      <c r="Z1370" s="39">
        <v>0.48116091355221818</v>
      </c>
      <c r="AA1370" s="39">
        <v>0.4926809975282137</v>
      </c>
      <c r="AB1370" s="39">
        <v>0.47351737318046905</v>
      </c>
      <c r="AC1370" s="39">
        <v>0.48751792239486469</v>
      </c>
      <c r="AD1370" s="39">
        <v>0.47298362230710023</v>
      </c>
      <c r="AE1370" s="39">
        <v>0.48595324596534789</v>
      </c>
      <c r="AF1370" s="40">
        <v>0.46775238489380278</v>
      </c>
    </row>
    <row r="1371" spans="1:32">
      <c r="A1371" s="15">
        <v>1369</v>
      </c>
      <c r="B1371" s="16">
        <v>0</v>
      </c>
      <c r="C1371" s="20">
        <v>0.48</v>
      </c>
      <c r="D1371" s="20">
        <v>0.63164173893215148</v>
      </c>
      <c r="E1371" s="20">
        <v>7.0000000000000007E-2</v>
      </c>
      <c r="F1371" s="8" t="s">
        <v>436</v>
      </c>
      <c r="G1371" s="24">
        <v>1.5253849695626827</v>
      </c>
      <c r="H1371" s="24">
        <v>1.534216559171111</v>
      </c>
      <c r="I1371" s="25">
        <v>1.5610479128322976</v>
      </c>
      <c r="L1371" s="15">
        <v>1369</v>
      </c>
      <c r="M1371" s="16">
        <v>1</v>
      </c>
      <c r="N1371" s="16">
        <v>1</v>
      </c>
      <c r="O1371" s="16">
        <v>3</v>
      </c>
      <c r="P1371" s="16">
        <v>45</v>
      </c>
      <c r="Q1371" s="29">
        <v>67</v>
      </c>
      <c r="R1371" s="20">
        <v>0.62250000000000005</v>
      </c>
      <c r="S1371" s="32">
        <v>41.707500000000003</v>
      </c>
      <c r="T1371" s="35">
        <v>2.92</v>
      </c>
      <c r="U1371" s="35">
        <v>2.16</v>
      </c>
      <c r="V1371" s="35">
        <v>4.3582089552238808E-2</v>
      </c>
      <c r="W1371" s="9" t="s">
        <v>154</v>
      </c>
      <c r="X1371" s="15">
        <v>1370</v>
      </c>
      <c r="Y1371" s="39">
        <v>0.49355295167496877</v>
      </c>
      <c r="Z1371" s="39">
        <v>0.48585952167107488</v>
      </c>
      <c r="AA1371" s="39">
        <v>0.49368374470072612</v>
      </c>
      <c r="AB1371" s="39">
        <v>0.4829434994150133</v>
      </c>
      <c r="AC1371" s="39">
        <v>0.48747136299860522</v>
      </c>
      <c r="AD1371" s="39">
        <v>0.47913318492813178</v>
      </c>
      <c r="AE1371" s="39">
        <v>0.48658099660186832</v>
      </c>
      <c r="AF1371" s="40">
        <v>0.47698164352219108</v>
      </c>
    </row>
    <row r="1372" spans="1:32">
      <c r="A1372" s="15">
        <v>1370</v>
      </c>
      <c r="B1372" s="16">
        <v>0</v>
      </c>
      <c r="C1372" s="20">
        <v>0.02</v>
      </c>
      <c r="D1372" s="20">
        <v>0.99835916395484214</v>
      </c>
      <c r="E1372" s="20">
        <v>1</v>
      </c>
      <c r="F1372" s="8" t="s">
        <v>436</v>
      </c>
      <c r="G1372" s="24">
        <v>1.1351305245255259</v>
      </c>
      <c r="H1372" s="24">
        <v>1.141702640512406</v>
      </c>
      <c r="I1372" s="25">
        <v>1.161669461454587</v>
      </c>
      <c r="L1372" s="15">
        <v>1370</v>
      </c>
      <c r="M1372" s="16">
        <v>1</v>
      </c>
      <c r="N1372" s="16">
        <v>1</v>
      </c>
      <c r="O1372" s="16">
        <v>3</v>
      </c>
      <c r="P1372" s="16">
        <v>46</v>
      </c>
      <c r="Q1372" s="29">
        <v>75</v>
      </c>
      <c r="R1372" s="20">
        <v>0.62250000000000005</v>
      </c>
      <c r="S1372" s="32">
        <v>46.687500000000007</v>
      </c>
      <c r="T1372" s="35">
        <v>3.04</v>
      </c>
      <c r="U1372" s="35">
        <v>1.98</v>
      </c>
      <c r="V1372" s="35">
        <v>4.0533333333333331E-2</v>
      </c>
      <c r="W1372" s="9" t="s">
        <v>155</v>
      </c>
      <c r="X1372" s="15">
        <v>1371</v>
      </c>
      <c r="Y1372" s="39">
        <v>0.48070410607722314</v>
      </c>
      <c r="Z1372" s="39">
        <v>0.49234408035698951</v>
      </c>
      <c r="AA1372" s="39">
        <v>0.48954796850228743</v>
      </c>
      <c r="AB1372" s="39">
        <v>0.48376662389759917</v>
      </c>
      <c r="AC1372" s="39">
        <v>0.47333302139127886</v>
      </c>
      <c r="AD1372" s="39">
        <v>0.48348581441591115</v>
      </c>
      <c r="AE1372" s="39">
        <v>0.48228463382283926</v>
      </c>
      <c r="AF1372" s="40">
        <v>0.47992502248063484</v>
      </c>
    </row>
    <row r="1373" spans="1:32">
      <c r="A1373" s="15">
        <v>1371</v>
      </c>
      <c r="B1373" s="16">
        <v>0</v>
      </c>
      <c r="C1373" s="20">
        <v>0.02</v>
      </c>
      <c r="D1373" s="20">
        <v>0.99679477127711513</v>
      </c>
      <c r="E1373" s="20">
        <v>1</v>
      </c>
      <c r="F1373" s="8" t="s">
        <v>436</v>
      </c>
      <c r="G1373" s="24">
        <v>1.6421876468012824</v>
      </c>
      <c r="H1373" s="24">
        <v>1.6516954940962099</v>
      </c>
      <c r="I1373" s="25">
        <v>1.6578926537592125</v>
      </c>
      <c r="L1373" s="15">
        <v>1371</v>
      </c>
      <c r="M1373" s="16">
        <v>1</v>
      </c>
      <c r="N1373" s="16">
        <v>1</v>
      </c>
      <c r="O1373" s="16">
        <v>3</v>
      </c>
      <c r="P1373" s="16">
        <v>47</v>
      </c>
      <c r="Q1373" s="29">
        <v>56</v>
      </c>
      <c r="R1373" s="20">
        <v>0.62250000000000005</v>
      </c>
      <c r="S1373" s="32">
        <v>34.86</v>
      </c>
      <c r="T1373" s="35">
        <v>2.0499999999999998</v>
      </c>
      <c r="U1373" s="35">
        <v>1.17</v>
      </c>
      <c r="V1373" s="35">
        <v>3.6607142857142852E-2</v>
      </c>
      <c r="W1373" s="9" t="s">
        <v>154</v>
      </c>
      <c r="X1373" s="15">
        <v>1372</v>
      </c>
      <c r="Y1373" s="39">
        <v>0.48824553526380465</v>
      </c>
      <c r="Z1373" s="39">
        <v>0.48752101456768798</v>
      </c>
      <c r="AA1373" s="39">
        <v>0.49389417118193341</v>
      </c>
      <c r="AB1373" s="39">
        <v>0.48622637302214861</v>
      </c>
      <c r="AC1373" s="39">
        <v>0.4806137905008418</v>
      </c>
      <c r="AD1373" s="39">
        <v>0.48194249811120587</v>
      </c>
      <c r="AE1373" s="39">
        <v>0.48695320487498656</v>
      </c>
      <c r="AF1373" s="40">
        <v>0.48059158065285357</v>
      </c>
    </row>
    <row r="1374" spans="1:32">
      <c r="A1374" s="15">
        <v>1372</v>
      </c>
      <c r="B1374" s="16">
        <v>1</v>
      </c>
      <c r="C1374" s="20">
        <v>0.94</v>
      </c>
      <c r="D1374" s="20">
        <v>0.17188516685452584</v>
      </c>
      <c r="E1374" s="20">
        <v>0.06</v>
      </c>
      <c r="F1374" s="8" t="s">
        <v>434</v>
      </c>
      <c r="G1374" s="24">
        <v>0.59332587159708783</v>
      </c>
      <c r="H1374" s="24">
        <v>0.59676107694299529</v>
      </c>
      <c r="I1374" s="25">
        <v>0.60719761369588932</v>
      </c>
      <c r="L1374" s="15">
        <v>1372</v>
      </c>
      <c r="M1374" s="16">
        <v>1</v>
      </c>
      <c r="N1374" s="16">
        <v>1</v>
      </c>
      <c r="O1374" s="16">
        <v>3</v>
      </c>
      <c r="P1374" s="16">
        <v>48</v>
      </c>
      <c r="Q1374" s="29">
        <v>41</v>
      </c>
      <c r="R1374" s="20">
        <v>0.62250000000000005</v>
      </c>
      <c r="S1374" s="32">
        <v>25.522500000000001</v>
      </c>
      <c r="T1374" s="35">
        <v>1.99</v>
      </c>
      <c r="U1374" s="35">
        <v>1.37</v>
      </c>
      <c r="V1374" s="35">
        <v>4.853658536585366E-2</v>
      </c>
      <c r="W1374" s="9" t="s">
        <v>153</v>
      </c>
      <c r="X1374" s="15">
        <v>1373</v>
      </c>
      <c r="Y1374" s="39">
        <v>0.47711893004493161</v>
      </c>
      <c r="Z1374" s="39">
        <v>0.48283851369823627</v>
      </c>
      <c r="AA1374" s="39">
        <v>0.49488401431396634</v>
      </c>
      <c r="AB1374" s="39">
        <v>0.49674717745792046</v>
      </c>
      <c r="AC1374" s="39">
        <v>0.47301379836042257</v>
      </c>
      <c r="AD1374" s="39">
        <v>0.47440891472835212</v>
      </c>
      <c r="AE1374" s="39">
        <v>0.48992674117233292</v>
      </c>
      <c r="AF1374" s="40">
        <v>0.49253763609082879</v>
      </c>
    </row>
    <row r="1375" spans="1:32">
      <c r="A1375" s="15">
        <v>1373</v>
      </c>
      <c r="B1375" s="16">
        <v>0</v>
      </c>
      <c r="C1375" s="20">
        <v>0.11</v>
      </c>
      <c r="D1375" s="20">
        <v>0.89530557643214526</v>
      </c>
      <c r="E1375" s="20">
        <v>0.47</v>
      </c>
      <c r="F1375" s="8" t="s">
        <v>436</v>
      </c>
      <c r="G1375" s="24">
        <v>0.84106522853165611</v>
      </c>
      <c r="H1375" s="24">
        <v>0.84593478151698553</v>
      </c>
      <c r="I1375" s="25">
        <v>0.86072902628086911</v>
      </c>
      <c r="L1375" s="15">
        <v>1373</v>
      </c>
      <c r="M1375" s="16">
        <v>1</v>
      </c>
      <c r="N1375" s="16">
        <v>1</v>
      </c>
      <c r="O1375" s="16">
        <v>3</v>
      </c>
      <c r="P1375" s="16">
        <v>49</v>
      </c>
      <c r="Q1375" s="29">
        <v>55</v>
      </c>
      <c r="R1375" s="20">
        <v>0.62250000000000005</v>
      </c>
      <c r="S1375" s="32">
        <v>34.237500000000004</v>
      </c>
      <c r="T1375" s="35">
        <v>2.09</v>
      </c>
      <c r="U1375" s="35">
        <v>1.35</v>
      </c>
      <c r="V1375" s="35">
        <v>3.7999999999999999E-2</v>
      </c>
      <c r="W1375" s="9" t="s">
        <v>154</v>
      </c>
      <c r="X1375" s="15">
        <v>1374</v>
      </c>
      <c r="Y1375" s="39">
        <v>0.48288465280557313</v>
      </c>
      <c r="Z1375" s="39">
        <v>0.49063171328270311</v>
      </c>
      <c r="AA1375" s="39">
        <v>0.47369626757400535</v>
      </c>
      <c r="AB1375" s="39">
        <v>0.48378047461886758</v>
      </c>
      <c r="AC1375" s="39">
        <v>0.47247110867506509</v>
      </c>
      <c r="AD1375" s="39">
        <v>0.48507990638274656</v>
      </c>
      <c r="AE1375" s="39">
        <v>0.46806636892835751</v>
      </c>
      <c r="AF1375" s="40">
        <v>0.47761682447348675</v>
      </c>
    </row>
    <row r="1376" spans="1:32">
      <c r="A1376" s="15">
        <v>1374</v>
      </c>
      <c r="B1376" s="16">
        <v>1</v>
      </c>
      <c r="C1376" s="20">
        <v>0.11</v>
      </c>
      <c r="D1376" s="20">
        <v>0.91233564920747401</v>
      </c>
      <c r="E1376" s="20">
        <v>0.25</v>
      </c>
      <c r="F1376" s="8" t="s">
        <v>436</v>
      </c>
      <c r="G1376" s="24">
        <v>1.0185990312923205</v>
      </c>
      <c r="H1376" s="24">
        <v>1.024496459678871</v>
      </c>
      <c r="I1376" s="25">
        <v>1.0424135044858496</v>
      </c>
      <c r="L1376" s="15">
        <v>1374</v>
      </c>
      <c r="M1376" s="16">
        <v>1</v>
      </c>
      <c r="N1376" s="16">
        <v>1</v>
      </c>
      <c r="O1376" s="16">
        <v>3</v>
      </c>
      <c r="P1376" s="16">
        <v>50</v>
      </c>
      <c r="Q1376" s="29">
        <v>66</v>
      </c>
      <c r="R1376" s="20">
        <v>0.62250000000000005</v>
      </c>
      <c r="S1376" s="32">
        <v>41.085000000000001</v>
      </c>
      <c r="T1376" s="35">
        <v>2.65</v>
      </c>
      <c r="U1376" s="35">
        <v>1.56</v>
      </c>
      <c r="V1376" s="35">
        <v>4.0151515151515153E-2</v>
      </c>
      <c r="W1376" s="9" t="s">
        <v>154</v>
      </c>
      <c r="X1376" s="15">
        <v>1375</v>
      </c>
      <c r="Y1376" s="39">
        <v>0.48325649349531785</v>
      </c>
      <c r="Z1376" s="39">
        <v>0.49980914431368162</v>
      </c>
      <c r="AA1376" s="39">
        <v>0.49318161326398258</v>
      </c>
      <c r="AB1376" s="39">
        <v>0.48183050248787729</v>
      </c>
      <c r="AC1376" s="39">
        <v>0.47401062540007638</v>
      </c>
      <c r="AD1376" s="39">
        <v>0.49504171067046976</v>
      </c>
      <c r="AE1376" s="39">
        <v>0.4887809470864366</v>
      </c>
      <c r="AF1376" s="40">
        <v>0.47953041767177879</v>
      </c>
    </row>
    <row r="1377" spans="1:32">
      <c r="A1377" s="15">
        <v>1375</v>
      </c>
      <c r="B1377" s="16">
        <v>1</v>
      </c>
      <c r="C1377" s="20">
        <v>0.91</v>
      </c>
      <c r="D1377" s="20">
        <v>0.21727233298780477</v>
      </c>
      <c r="E1377" s="20">
        <v>0.09</v>
      </c>
      <c r="F1377" s="8" t="s">
        <v>434</v>
      </c>
      <c r="G1377" s="24">
        <v>1.5048017238067004</v>
      </c>
      <c r="H1377" s="24">
        <v>1.5135141416762212</v>
      </c>
      <c r="I1377" s="25">
        <v>1.5399834383108906</v>
      </c>
      <c r="L1377" s="15">
        <v>1375</v>
      </c>
      <c r="M1377" s="16">
        <v>1</v>
      </c>
      <c r="N1377" s="16">
        <v>1</v>
      </c>
      <c r="O1377" s="16">
        <v>3</v>
      </c>
      <c r="P1377" s="16">
        <v>51</v>
      </c>
      <c r="Q1377" s="29">
        <v>63</v>
      </c>
      <c r="R1377" s="20">
        <v>0.62250000000000005</v>
      </c>
      <c r="S1377" s="32">
        <v>39.217500000000001</v>
      </c>
      <c r="T1377" s="35">
        <v>5</v>
      </c>
      <c r="U1377" s="35">
        <v>4.0999999999999996</v>
      </c>
      <c r="V1377" s="35">
        <v>7.9365079365079361E-2</v>
      </c>
      <c r="W1377" s="9" t="s">
        <v>156</v>
      </c>
      <c r="X1377" s="15">
        <v>1376</v>
      </c>
      <c r="Y1377" s="39">
        <v>0.48295699250842961</v>
      </c>
      <c r="Z1377" s="39">
        <v>0.49590933524426561</v>
      </c>
      <c r="AA1377" s="39">
        <v>0.47402949585570969</v>
      </c>
      <c r="AB1377" s="39">
        <v>0.49694018126854905</v>
      </c>
      <c r="AC1377" s="39">
        <v>0.47521945056688203</v>
      </c>
      <c r="AD1377" s="39">
        <v>0.48962988491895049</v>
      </c>
      <c r="AE1377" s="39">
        <v>0.46644018155432332</v>
      </c>
      <c r="AF1377" s="40">
        <v>0.4910514649138864</v>
      </c>
    </row>
    <row r="1378" spans="1:32">
      <c r="A1378" s="15">
        <v>1376</v>
      </c>
      <c r="B1378" s="16">
        <v>0</v>
      </c>
      <c r="C1378" s="20">
        <v>0.14000000000000001</v>
      </c>
      <c r="D1378" s="20">
        <v>0.84401398986737219</v>
      </c>
      <c r="E1378" s="20">
        <v>0.43</v>
      </c>
      <c r="F1378" s="8" t="s">
        <v>436</v>
      </c>
      <c r="G1378" s="24">
        <v>0.70771804701192498</v>
      </c>
      <c r="H1378" s="24">
        <v>0.71181555385406969</v>
      </c>
      <c r="I1378" s="25">
        <v>0.72426423637729209</v>
      </c>
      <c r="L1378" s="15">
        <v>1376</v>
      </c>
      <c r="M1378" s="16">
        <v>1</v>
      </c>
      <c r="N1378" s="16">
        <v>1</v>
      </c>
      <c r="O1378" s="16">
        <v>3</v>
      </c>
      <c r="P1378" s="16">
        <v>52</v>
      </c>
      <c r="Q1378" s="29">
        <v>63</v>
      </c>
      <c r="R1378" s="20">
        <v>0.62250000000000005</v>
      </c>
      <c r="S1378" s="32">
        <v>39.217500000000001</v>
      </c>
      <c r="T1378" s="35">
        <v>3.24</v>
      </c>
      <c r="U1378" s="35">
        <v>2.4</v>
      </c>
      <c r="V1378" s="35">
        <v>5.1428571428571435E-2</v>
      </c>
      <c r="W1378" s="9" t="s">
        <v>155</v>
      </c>
      <c r="X1378" s="15">
        <v>1377</v>
      </c>
      <c r="Y1378" s="39">
        <v>0.47713632941766471</v>
      </c>
      <c r="Z1378" s="39">
        <v>0.49519843775027184</v>
      </c>
      <c r="AA1378" s="39">
        <v>0.48684096401790306</v>
      </c>
      <c r="AB1378" s="39">
        <v>0.4934231977259661</v>
      </c>
      <c r="AC1378" s="39">
        <v>0.4715763921269201</v>
      </c>
      <c r="AD1378" s="39">
        <v>0.48534876338761296</v>
      </c>
      <c r="AE1378" s="39">
        <v>0.47912839874792612</v>
      </c>
      <c r="AF1378" s="40">
        <v>0.48908379646320893</v>
      </c>
    </row>
    <row r="1379" spans="1:32">
      <c r="A1379" s="15">
        <v>1377</v>
      </c>
      <c r="B1379" s="16">
        <v>1</v>
      </c>
      <c r="C1379" s="20">
        <v>0.09</v>
      </c>
      <c r="D1379" s="20">
        <v>0.93020344326823712</v>
      </c>
      <c r="E1379" s="20">
        <v>0.06</v>
      </c>
      <c r="F1379" s="8" t="s">
        <v>436</v>
      </c>
      <c r="G1379" s="24">
        <v>1.2087723230987231</v>
      </c>
      <c r="H1379" s="24">
        <v>1.2157708063017503</v>
      </c>
      <c r="I1379" s="25">
        <v>1.2370329783724598</v>
      </c>
      <c r="L1379" s="15">
        <v>1377</v>
      </c>
      <c r="M1379" s="16">
        <v>1</v>
      </c>
      <c r="N1379" s="16">
        <v>1</v>
      </c>
      <c r="O1379" s="16">
        <v>3</v>
      </c>
      <c r="P1379" s="16">
        <v>53</v>
      </c>
      <c r="Q1379" s="29">
        <v>55</v>
      </c>
      <c r="R1379" s="20">
        <v>0.62250000000000005</v>
      </c>
      <c r="S1379" s="32">
        <v>34.237500000000004</v>
      </c>
      <c r="T1379" s="35">
        <v>4.12</v>
      </c>
      <c r="U1379" s="35">
        <v>3.15</v>
      </c>
      <c r="V1379" s="35">
        <v>7.4909090909090911E-2</v>
      </c>
      <c r="W1379" s="9" t="s">
        <v>155</v>
      </c>
      <c r="X1379" s="15">
        <v>1378</v>
      </c>
      <c r="Y1379" s="39">
        <v>0.48641421559617021</v>
      </c>
      <c r="Z1379" s="39">
        <v>0.48438236537198459</v>
      </c>
      <c r="AA1379" s="39">
        <v>0.48874687678947726</v>
      </c>
      <c r="AB1379" s="39">
        <v>0.49674408674714149</v>
      </c>
      <c r="AC1379" s="39">
        <v>0.47836343493578104</v>
      </c>
      <c r="AD1379" s="39">
        <v>0.47758914335883546</v>
      </c>
      <c r="AE1379" s="39">
        <v>0.48130173702407431</v>
      </c>
      <c r="AF1379" s="40">
        <v>0.49217521470529196</v>
      </c>
    </row>
    <row r="1380" spans="1:32">
      <c r="A1380" s="15">
        <v>1378</v>
      </c>
      <c r="B1380" s="16">
        <v>1</v>
      </c>
      <c r="C1380" s="20">
        <v>0.16</v>
      </c>
      <c r="D1380" s="20">
        <v>0.90827180670927576</v>
      </c>
      <c r="E1380" s="20">
        <v>0.05</v>
      </c>
      <c r="F1380" s="8" t="s">
        <v>436</v>
      </c>
      <c r="G1380" s="24">
        <v>0.93126016678150492</v>
      </c>
      <c r="H1380" s="24">
        <v>0.93665192543640285</v>
      </c>
      <c r="I1380" s="25">
        <v>0.95303268923313389</v>
      </c>
      <c r="L1380" s="15">
        <v>1378</v>
      </c>
      <c r="M1380" s="16">
        <v>1</v>
      </c>
      <c r="N1380" s="16">
        <v>1</v>
      </c>
      <c r="O1380" s="16">
        <v>3</v>
      </c>
      <c r="P1380" s="16">
        <v>54</v>
      </c>
      <c r="Q1380" s="29">
        <v>49</v>
      </c>
      <c r="R1380" s="20">
        <v>0.62250000000000005</v>
      </c>
      <c r="S1380" s="32">
        <v>30.502500000000001</v>
      </c>
      <c r="T1380" s="35">
        <v>2.27</v>
      </c>
      <c r="U1380" s="35">
        <v>1.52</v>
      </c>
      <c r="V1380" s="35">
        <v>4.6326530612244898E-2</v>
      </c>
      <c r="W1380" s="9" t="s">
        <v>154</v>
      </c>
      <c r="X1380" s="15">
        <v>1379</v>
      </c>
      <c r="Y1380" s="39">
        <v>0.48932281842071707</v>
      </c>
      <c r="Z1380" s="39">
        <v>0.50287647179956552</v>
      </c>
      <c r="AA1380" s="39">
        <v>0.48494707991033054</v>
      </c>
      <c r="AB1380" s="39">
        <v>0.49473772268984156</v>
      </c>
      <c r="AC1380" s="39">
        <v>0.48275727283757641</v>
      </c>
      <c r="AD1380" s="39">
        <v>0.4934437180048129</v>
      </c>
      <c r="AE1380" s="39">
        <v>0.47510401430571958</v>
      </c>
      <c r="AF1380" s="40">
        <v>0.49081502873263744</v>
      </c>
    </row>
    <row r="1381" spans="1:32">
      <c r="A1381" s="15">
        <v>1379</v>
      </c>
      <c r="B1381" s="16">
        <v>1</v>
      </c>
      <c r="C1381" s="20">
        <v>0.02</v>
      </c>
      <c r="D1381" s="20">
        <v>0.99756714174924133</v>
      </c>
      <c r="E1381" s="20">
        <v>1</v>
      </c>
      <c r="F1381" s="8" t="s">
        <v>436</v>
      </c>
      <c r="G1381" s="24">
        <v>1.0208983101904456</v>
      </c>
      <c r="H1381" s="24">
        <v>1.026809050814909</v>
      </c>
      <c r="I1381" s="25">
        <v>1.044766539684542</v>
      </c>
      <c r="L1381" s="15">
        <v>1379</v>
      </c>
      <c r="M1381" s="16">
        <v>1</v>
      </c>
      <c r="N1381" s="16">
        <v>1</v>
      </c>
      <c r="O1381" s="16">
        <v>3</v>
      </c>
      <c r="P1381" s="16">
        <v>55</v>
      </c>
      <c r="Q1381" s="29">
        <v>65</v>
      </c>
      <c r="R1381" s="20">
        <v>0.62250000000000005</v>
      </c>
      <c r="S1381" s="32">
        <v>40.462500000000006</v>
      </c>
      <c r="T1381" s="35">
        <v>2.94</v>
      </c>
      <c r="U1381" s="35">
        <v>1.93</v>
      </c>
      <c r="V1381" s="35">
        <v>4.5230769230769227E-2</v>
      </c>
      <c r="W1381" s="9" t="s">
        <v>154</v>
      </c>
      <c r="X1381" s="15">
        <v>1380</v>
      </c>
      <c r="Y1381" s="39">
        <v>0.49035101378822682</v>
      </c>
      <c r="Z1381" s="39">
        <v>0.47387866141955387</v>
      </c>
      <c r="AA1381" s="39">
        <v>0.49115690747050911</v>
      </c>
      <c r="AB1381" s="39">
        <v>0.49039188735180234</v>
      </c>
      <c r="AC1381" s="39">
        <v>0.48228902522243544</v>
      </c>
      <c r="AD1381" s="39">
        <v>0.46385842087274759</v>
      </c>
      <c r="AE1381" s="39">
        <v>0.48603417340497956</v>
      </c>
      <c r="AF1381" s="40">
        <v>0.48502397136805592</v>
      </c>
    </row>
    <row r="1382" spans="1:32">
      <c r="A1382" s="15">
        <v>1380</v>
      </c>
      <c r="B1382" s="16">
        <v>1</v>
      </c>
      <c r="C1382" s="20">
        <v>0.91</v>
      </c>
      <c r="D1382" s="20">
        <v>0.21727233298780477</v>
      </c>
      <c r="E1382" s="20">
        <v>0.09</v>
      </c>
      <c r="F1382" s="8" t="s">
        <v>434</v>
      </c>
      <c r="G1382" s="24">
        <v>0.71839437344745238</v>
      </c>
      <c r="H1382" s="24">
        <v>0.72255369349445064</v>
      </c>
      <c r="I1382" s="25">
        <v>0.73519017142415077</v>
      </c>
      <c r="L1382" s="15">
        <v>1380</v>
      </c>
      <c r="M1382" s="16">
        <v>1</v>
      </c>
      <c r="N1382" s="16">
        <v>1</v>
      </c>
      <c r="O1382" s="16">
        <v>4</v>
      </c>
      <c r="P1382" s="16">
        <v>84</v>
      </c>
      <c r="Q1382" s="29">
        <v>44</v>
      </c>
      <c r="R1382" s="20">
        <v>0.62250000000000005</v>
      </c>
      <c r="S1382" s="32">
        <v>27.39</v>
      </c>
      <c r="T1382" s="35">
        <v>0.73</v>
      </c>
      <c r="U1382" s="35">
        <v>0</v>
      </c>
      <c r="V1382" s="35">
        <v>1.659090909090909E-2</v>
      </c>
      <c r="W1382" s="9" t="s">
        <v>152</v>
      </c>
      <c r="X1382" s="15">
        <v>1381</v>
      </c>
      <c r="Y1382" s="39">
        <v>0.47849673072760418</v>
      </c>
      <c r="Z1382" s="39">
        <v>0.48275483625150467</v>
      </c>
      <c r="AA1382" s="39">
        <v>0.48607724462474416</v>
      </c>
      <c r="AB1382" s="39">
        <v>0.49334091253291951</v>
      </c>
      <c r="AC1382" s="39">
        <v>0.47145475240875517</v>
      </c>
      <c r="AD1382" s="39">
        <v>0.47802314724309841</v>
      </c>
      <c r="AE1382" s="39">
        <v>0.47858973161099777</v>
      </c>
      <c r="AF1382" s="40">
        <v>0.49092759537066594</v>
      </c>
    </row>
    <row r="1383" spans="1:32">
      <c r="A1383" s="15">
        <v>1381</v>
      </c>
      <c r="B1383" s="16">
        <v>1</v>
      </c>
      <c r="C1383" s="20">
        <v>0.14000000000000001</v>
      </c>
      <c r="D1383" s="20">
        <v>0.84744757027868345</v>
      </c>
      <c r="E1383" s="20">
        <v>0.11</v>
      </c>
      <c r="F1383" s="8" t="s">
        <v>436</v>
      </c>
      <c r="G1383" s="24">
        <v>1.0490326437798816</v>
      </c>
      <c r="H1383" s="24">
        <v>1.0551062750143394</v>
      </c>
      <c r="I1383" s="25">
        <v>1.0735586437140632</v>
      </c>
      <c r="L1383" s="15">
        <v>1381</v>
      </c>
      <c r="M1383" s="16">
        <v>1</v>
      </c>
      <c r="N1383" s="16">
        <v>1</v>
      </c>
      <c r="O1383" s="16">
        <v>4</v>
      </c>
      <c r="P1383" s="16">
        <v>85</v>
      </c>
      <c r="Q1383" s="29">
        <v>51</v>
      </c>
      <c r="R1383" s="20">
        <v>0.62250000000000005</v>
      </c>
      <c r="S1383" s="32">
        <v>31.747500000000002</v>
      </c>
      <c r="T1383" s="35">
        <v>2.35</v>
      </c>
      <c r="U1383" s="35">
        <v>1.56</v>
      </c>
      <c r="V1383" s="35">
        <v>4.6078431372549022E-2</v>
      </c>
      <c r="W1383" s="9" t="s">
        <v>154</v>
      </c>
      <c r="X1383" s="15">
        <v>1382</v>
      </c>
      <c r="Y1383" s="39">
        <v>0.48287139836279208</v>
      </c>
      <c r="Z1383" s="39">
        <v>0.48730993352770136</v>
      </c>
      <c r="AA1383" s="39">
        <v>0.48733663673511785</v>
      </c>
      <c r="AB1383" s="39">
        <v>0.48845918141327355</v>
      </c>
      <c r="AC1383" s="39">
        <v>0.4739956703402014</v>
      </c>
      <c r="AD1383" s="39">
        <v>0.48114195074055549</v>
      </c>
      <c r="AE1383" s="39">
        <v>0.48066916629170847</v>
      </c>
      <c r="AF1383" s="40">
        <v>0.48565778444649083</v>
      </c>
    </row>
    <row r="1384" spans="1:32">
      <c r="A1384" s="15">
        <v>1382</v>
      </c>
      <c r="B1384" s="16">
        <v>0</v>
      </c>
      <c r="C1384" s="20">
        <v>0.19</v>
      </c>
      <c r="D1384" s="20">
        <v>0.84154233384198396</v>
      </c>
      <c r="E1384" s="20">
        <v>0.1</v>
      </c>
      <c r="F1384" s="8" t="s">
        <v>436</v>
      </c>
      <c r="G1384" s="24">
        <v>0.85798670922338971</v>
      </c>
      <c r="H1384" s="24">
        <v>0.86295423326259624</v>
      </c>
      <c r="I1384" s="25">
        <v>0.87804612500869772</v>
      </c>
      <c r="L1384" s="15">
        <v>1382</v>
      </c>
      <c r="M1384" s="16">
        <v>1</v>
      </c>
      <c r="N1384" s="16">
        <v>1</v>
      </c>
      <c r="O1384" s="16">
        <v>4</v>
      </c>
      <c r="P1384" s="16">
        <v>86</v>
      </c>
      <c r="Q1384" s="29">
        <v>50</v>
      </c>
      <c r="R1384" s="20">
        <v>0.62250000000000005</v>
      </c>
      <c r="S1384" s="32">
        <v>31.125000000000004</v>
      </c>
      <c r="T1384" s="35">
        <v>1.47</v>
      </c>
      <c r="U1384" s="35">
        <v>0.62</v>
      </c>
      <c r="V1384" s="35">
        <v>2.9399999999999999E-2</v>
      </c>
      <c r="W1384" s="9" t="s">
        <v>153</v>
      </c>
      <c r="X1384" s="15">
        <v>1383</v>
      </c>
      <c r="Y1384" s="39">
        <v>0.49179844991715937</v>
      </c>
      <c r="Z1384" s="39">
        <v>0.48293092707610458</v>
      </c>
      <c r="AA1384" s="39">
        <v>0.48321041099174683</v>
      </c>
      <c r="AB1384" s="39">
        <v>0.4899113876950737</v>
      </c>
      <c r="AC1384" s="39">
        <v>0.48378883646532184</v>
      </c>
      <c r="AD1384" s="39">
        <v>0.47557177027825348</v>
      </c>
      <c r="AE1384" s="39">
        <v>0.47520885145077713</v>
      </c>
      <c r="AF1384" s="40">
        <v>0.48633371240552825</v>
      </c>
    </row>
    <row r="1385" spans="1:32">
      <c r="A1385" s="15">
        <v>1383</v>
      </c>
      <c r="B1385" s="16">
        <v>1</v>
      </c>
      <c r="C1385" s="20">
        <v>0.92</v>
      </c>
      <c r="D1385" s="20">
        <v>0.20258497911151899</v>
      </c>
      <c r="E1385" s="20">
        <v>0.08</v>
      </c>
      <c r="F1385" s="8" t="s">
        <v>434</v>
      </c>
      <c r="G1385" s="24">
        <v>0.71756107649829193</v>
      </c>
      <c r="H1385" s="24">
        <v>0.72171557196865954</v>
      </c>
      <c r="I1385" s="25">
        <v>0.73433739229677453</v>
      </c>
      <c r="L1385" s="15">
        <v>1383</v>
      </c>
      <c r="M1385" s="16">
        <v>1</v>
      </c>
      <c r="N1385" s="16">
        <v>1</v>
      </c>
      <c r="O1385" s="16">
        <v>4</v>
      </c>
      <c r="P1385" s="16">
        <v>87</v>
      </c>
      <c r="Q1385" s="29">
        <v>38</v>
      </c>
      <c r="R1385" s="20">
        <v>0.62250000000000005</v>
      </c>
      <c r="S1385" s="32">
        <v>23.655000000000001</v>
      </c>
      <c r="T1385" s="35">
        <v>3.48</v>
      </c>
      <c r="U1385" s="35">
        <v>2.86</v>
      </c>
      <c r="V1385" s="35">
        <v>9.1578947368421051E-2</v>
      </c>
      <c r="W1385" s="9" t="s">
        <v>155</v>
      </c>
      <c r="X1385" s="15">
        <v>1384</v>
      </c>
      <c r="Y1385" s="39">
        <v>0.48667812362716528</v>
      </c>
      <c r="Z1385" s="39">
        <v>0.48806340095358558</v>
      </c>
      <c r="AA1385" s="39">
        <v>0.47689962607174907</v>
      </c>
      <c r="AB1385" s="39">
        <v>0.48280890320278624</v>
      </c>
      <c r="AC1385" s="39">
        <v>0.4825514267277547</v>
      </c>
      <c r="AD1385" s="39">
        <v>0.48301170769419333</v>
      </c>
      <c r="AE1385" s="39">
        <v>0.47075822532966649</v>
      </c>
      <c r="AF1385" s="40">
        <v>0.47795757652026366</v>
      </c>
    </row>
    <row r="1386" spans="1:32">
      <c r="A1386" s="15">
        <v>1384</v>
      </c>
      <c r="B1386" s="16">
        <v>1</v>
      </c>
      <c r="C1386" s="20">
        <v>0.93</v>
      </c>
      <c r="D1386" s="20">
        <v>0.18747949848141848</v>
      </c>
      <c r="E1386" s="20">
        <v>7.0000000000000007E-2</v>
      </c>
      <c r="F1386" s="8" t="s">
        <v>434</v>
      </c>
      <c r="G1386" s="24">
        <v>1.210444538069547</v>
      </c>
      <c r="H1386" s="24">
        <v>1.2174527029704105</v>
      </c>
      <c r="I1386" s="25">
        <v>1.2387442891183367</v>
      </c>
      <c r="L1386" s="15">
        <v>1384</v>
      </c>
      <c r="M1386" s="16">
        <v>1</v>
      </c>
      <c r="N1386" s="16">
        <v>1</v>
      </c>
      <c r="O1386" s="16">
        <v>4</v>
      </c>
      <c r="P1386" s="16">
        <v>88</v>
      </c>
      <c r="Q1386" s="29">
        <v>37</v>
      </c>
      <c r="R1386" s="20">
        <v>0.62250000000000005</v>
      </c>
      <c r="S1386" s="32">
        <v>23.032500000000002</v>
      </c>
      <c r="T1386" s="35">
        <v>2.82</v>
      </c>
      <c r="U1386" s="35">
        <v>2.3199999999999998</v>
      </c>
      <c r="V1386" s="35">
        <v>7.6216216216216215E-2</v>
      </c>
      <c r="W1386" s="9" t="s">
        <v>154</v>
      </c>
      <c r="X1386" s="15">
        <v>1385</v>
      </c>
      <c r="Y1386" s="39">
        <v>0.48599600804331344</v>
      </c>
      <c r="Z1386" s="39">
        <v>0.49325086751486136</v>
      </c>
      <c r="AA1386" s="39">
        <v>0.48731527170175759</v>
      </c>
      <c r="AB1386" s="39">
        <v>0.48867913410803859</v>
      </c>
      <c r="AC1386" s="39">
        <v>0.4784798282034029</v>
      </c>
      <c r="AD1386" s="39">
        <v>0.48748655332590601</v>
      </c>
      <c r="AE1386" s="39">
        <v>0.48138125258169995</v>
      </c>
      <c r="AF1386" s="40">
        <v>0.4838569599944052</v>
      </c>
    </row>
    <row r="1387" spans="1:32">
      <c r="A1387" s="15">
        <v>1385</v>
      </c>
      <c r="B1387" s="16">
        <v>0</v>
      </c>
      <c r="C1387" s="20">
        <v>0.56999999999999995</v>
      </c>
      <c r="D1387" s="20">
        <v>0.48658424096815411</v>
      </c>
      <c r="E1387" s="20">
        <v>0.04</v>
      </c>
      <c r="F1387" s="8" t="s">
        <v>438</v>
      </c>
      <c r="G1387" s="24">
        <v>0.94566181365201896</v>
      </c>
      <c r="H1387" s="24">
        <v>0.95113695416617461</v>
      </c>
      <c r="I1387" s="25">
        <v>0.96777104134565606</v>
      </c>
      <c r="L1387" s="15">
        <v>1385</v>
      </c>
      <c r="M1387" s="16">
        <v>1</v>
      </c>
      <c r="N1387" s="16">
        <v>1</v>
      </c>
      <c r="O1387" s="16">
        <v>4</v>
      </c>
      <c r="P1387" s="16">
        <v>89</v>
      </c>
      <c r="Q1387" s="29">
        <v>20</v>
      </c>
      <c r="R1387" s="20">
        <v>0.62250000000000005</v>
      </c>
      <c r="S1387" s="32">
        <v>12.450000000000001</v>
      </c>
      <c r="T1387" s="35">
        <v>1.45</v>
      </c>
      <c r="U1387" s="35">
        <v>1.1299999999999999</v>
      </c>
      <c r="V1387" s="35">
        <v>7.2499999999999995E-2</v>
      </c>
      <c r="W1387" s="9" t="s">
        <v>153</v>
      </c>
      <c r="X1387" s="15">
        <v>1386</v>
      </c>
      <c r="Y1387" s="39">
        <v>0.4818008115270761</v>
      </c>
      <c r="Z1387" s="39">
        <v>0.47219451670102508</v>
      </c>
      <c r="AA1387" s="39">
        <v>0.48491082054237195</v>
      </c>
      <c r="AB1387" s="39">
        <v>0.48671386999471306</v>
      </c>
      <c r="AC1387" s="39">
        <v>0.47541658782645208</v>
      </c>
      <c r="AD1387" s="39">
        <v>0.46501238858643312</v>
      </c>
      <c r="AE1387" s="39">
        <v>0.4790010239894919</v>
      </c>
      <c r="AF1387" s="40">
        <v>0.48296054093698165</v>
      </c>
    </row>
    <row r="1388" spans="1:32">
      <c r="A1388" s="15">
        <v>1386</v>
      </c>
      <c r="B1388" s="16">
        <v>1</v>
      </c>
      <c r="C1388" s="20">
        <v>0.91</v>
      </c>
      <c r="D1388" s="20">
        <v>0.21727233298780477</v>
      </c>
      <c r="E1388" s="20">
        <v>0.09</v>
      </c>
      <c r="F1388" s="8" t="s">
        <v>434</v>
      </c>
      <c r="G1388" s="24">
        <v>0.84723243654260905</v>
      </c>
      <c r="H1388" s="24">
        <v>0.85213769608809831</v>
      </c>
      <c r="I1388" s="25">
        <v>0.86704042136185044</v>
      </c>
      <c r="L1388" s="15">
        <v>1386</v>
      </c>
      <c r="M1388" s="16">
        <v>1</v>
      </c>
      <c r="N1388" s="16">
        <v>1</v>
      </c>
      <c r="O1388" s="16">
        <v>4</v>
      </c>
      <c r="P1388" s="16">
        <v>90</v>
      </c>
      <c r="Q1388" s="29">
        <v>35</v>
      </c>
      <c r="R1388" s="20">
        <v>0.62250000000000005</v>
      </c>
      <c r="S1388" s="32">
        <v>21.787500000000001</v>
      </c>
      <c r="T1388" s="35">
        <v>2.2799999999999998</v>
      </c>
      <c r="U1388" s="35">
        <v>1.78</v>
      </c>
      <c r="V1388" s="35">
        <v>6.5142857142857141E-2</v>
      </c>
      <c r="W1388" s="9" t="s">
        <v>154</v>
      </c>
      <c r="X1388" s="15">
        <v>1387</v>
      </c>
      <c r="Y1388" s="39">
        <v>0.47571461606775645</v>
      </c>
      <c r="Z1388" s="39">
        <v>0.48196352716646601</v>
      </c>
      <c r="AA1388" s="39">
        <v>0.49622467523672997</v>
      </c>
      <c r="AB1388" s="39">
        <v>0.4846165859322642</v>
      </c>
      <c r="AC1388" s="39">
        <v>0.46912014591603651</v>
      </c>
      <c r="AD1388" s="39">
        <v>0.47313467755033933</v>
      </c>
      <c r="AE1388" s="39">
        <v>0.48824516806989038</v>
      </c>
      <c r="AF1388" s="40">
        <v>0.48202145084298242</v>
      </c>
    </row>
    <row r="1389" spans="1:32">
      <c r="A1389" s="15">
        <v>1387</v>
      </c>
      <c r="B1389" s="16">
        <v>1</v>
      </c>
      <c r="C1389" s="20">
        <v>0.02</v>
      </c>
      <c r="D1389" s="20">
        <v>0.99679477127711513</v>
      </c>
      <c r="E1389" s="20">
        <v>1</v>
      </c>
      <c r="F1389" s="8" t="s">
        <v>436</v>
      </c>
      <c r="G1389" s="24">
        <v>1.2164511822114203</v>
      </c>
      <c r="H1389" s="24">
        <v>1.2234941240486268</v>
      </c>
      <c r="I1389" s="25">
        <v>1.2448913664056434</v>
      </c>
      <c r="L1389" s="15">
        <v>1387</v>
      </c>
      <c r="M1389" s="16">
        <v>1</v>
      </c>
      <c r="N1389" s="16">
        <v>1</v>
      </c>
      <c r="O1389" s="16">
        <v>4</v>
      </c>
      <c r="P1389" s="16">
        <v>91</v>
      </c>
      <c r="Q1389" s="29">
        <v>31</v>
      </c>
      <c r="R1389" s="20">
        <v>0.62250000000000005</v>
      </c>
      <c r="S1389" s="32">
        <v>19.297500000000003</v>
      </c>
      <c r="T1389" s="35">
        <v>1.82</v>
      </c>
      <c r="U1389" s="35">
        <v>1.31</v>
      </c>
      <c r="V1389" s="35">
        <v>5.8709677419354837E-2</v>
      </c>
      <c r="W1389" s="9" t="s">
        <v>153</v>
      </c>
      <c r="X1389" s="15">
        <v>1388</v>
      </c>
      <c r="Y1389" s="39">
        <v>0.47523722677867769</v>
      </c>
      <c r="Z1389" s="39">
        <v>0.47361265828940879</v>
      </c>
      <c r="AA1389" s="39">
        <v>0.47824098749811395</v>
      </c>
      <c r="AB1389" s="39">
        <v>0.47253348310260052</v>
      </c>
      <c r="AC1389" s="39">
        <v>0.4675883193699249</v>
      </c>
      <c r="AD1389" s="39">
        <v>0.46791017479527852</v>
      </c>
      <c r="AE1389" s="39">
        <v>0.47221588695776401</v>
      </c>
      <c r="AF1389" s="40">
        <v>0.46703939086389928</v>
      </c>
    </row>
    <row r="1390" spans="1:32">
      <c r="A1390" s="15">
        <v>1388</v>
      </c>
      <c r="B1390" s="16">
        <v>0</v>
      </c>
      <c r="C1390" s="20">
        <v>0.9</v>
      </c>
      <c r="D1390" s="20">
        <v>0.23159538658365303</v>
      </c>
      <c r="E1390" s="20">
        <v>0.1</v>
      </c>
      <c r="F1390" s="8" t="s">
        <v>434</v>
      </c>
      <c r="G1390" s="24">
        <v>0.35584169603893501</v>
      </c>
      <c r="H1390" s="24">
        <v>0.357901928627882</v>
      </c>
      <c r="I1390" s="25">
        <v>0.3641611448810449</v>
      </c>
      <c r="L1390" s="15">
        <v>1388</v>
      </c>
      <c r="M1390" s="16">
        <v>1</v>
      </c>
      <c r="N1390" s="16">
        <v>1</v>
      </c>
      <c r="O1390" s="16">
        <v>4</v>
      </c>
      <c r="P1390" s="16">
        <v>92</v>
      </c>
      <c r="Q1390" s="29">
        <v>42</v>
      </c>
      <c r="R1390" s="20">
        <v>0.62250000000000005</v>
      </c>
      <c r="S1390" s="32">
        <v>26.145000000000003</v>
      </c>
      <c r="T1390" s="35">
        <v>1.29</v>
      </c>
      <c r="U1390" s="35">
        <v>0.61</v>
      </c>
      <c r="V1390" s="35">
        <v>3.0714285714285715E-2</v>
      </c>
      <c r="W1390" s="9" t="s">
        <v>153</v>
      </c>
      <c r="X1390" s="15">
        <v>1389</v>
      </c>
      <c r="Y1390" s="39">
        <v>0.49326755592574206</v>
      </c>
      <c r="Z1390" s="39">
        <v>0.48957955999820002</v>
      </c>
      <c r="AA1390" s="39">
        <v>0.49087729572623046</v>
      </c>
      <c r="AB1390" s="39">
        <v>0.50111934832128502</v>
      </c>
      <c r="AC1390" s="39">
        <v>0.48415458639763442</v>
      </c>
      <c r="AD1390" s="39">
        <v>0.48192892862085107</v>
      </c>
      <c r="AE1390" s="39">
        <v>0.48696476822607793</v>
      </c>
      <c r="AF1390" s="40">
        <v>0.49738460456071637</v>
      </c>
    </row>
    <row r="1391" spans="1:32">
      <c r="A1391" s="15">
        <v>1389</v>
      </c>
      <c r="B1391" s="16">
        <v>0</v>
      </c>
      <c r="C1391" s="20">
        <v>0.08</v>
      </c>
      <c r="D1391" s="20">
        <v>0.93854243096226742</v>
      </c>
      <c r="E1391" s="20">
        <v>0.51</v>
      </c>
      <c r="F1391" s="8" t="s">
        <v>436</v>
      </c>
      <c r="G1391" s="24">
        <v>0.99989017698922589</v>
      </c>
      <c r="H1391" s="24">
        <v>1.0056792858849293</v>
      </c>
      <c r="I1391" s="25">
        <v>1.023267244004666</v>
      </c>
      <c r="L1391" s="15">
        <v>1389</v>
      </c>
      <c r="M1391" s="16">
        <v>1</v>
      </c>
      <c r="N1391" s="16">
        <v>1</v>
      </c>
      <c r="O1391" s="16">
        <v>4</v>
      </c>
      <c r="P1391" s="16">
        <v>93</v>
      </c>
      <c r="Q1391" s="29">
        <v>37</v>
      </c>
      <c r="R1391" s="20">
        <v>0.62250000000000005</v>
      </c>
      <c r="S1391" s="32">
        <v>23.032500000000002</v>
      </c>
      <c r="T1391" s="35">
        <v>2.5</v>
      </c>
      <c r="U1391" s="35">
        <v>1.92</v>
      </c>
      <c r="V1391" s="35">
        <v>6.7567567567567571E-2</v>
      </c>
      <c r="W1391" s="9" t="s">
        <v>154</v>
      </c>
      <c r="X1391" s="15">
        <v>1390</v>
      </c>
      <c r="Y1391" s="39">
        <v>0.48118343462163765</v>
      </c>
      <c r="Z1391" s="39">
        <v>0.49476985546711677</v>
      </c>
      <c r="AA1391" s="39">
        <v>0.48193669922278903</v>
      </c>
      <c r="AB1391" s="39">
        <v>0.48657387566897409</v>
      </c>
      <c r="AC1391" s="39">
        <v>0.47456650474726553</v>
      </c>
      <c r="AD1391" s="39">
        <v>0.4868208675880536</v>
      </c>
      <c r="AE1391" s="39">
        <v>0.47916672926805182</v>
      </c>
      <c r="AF1391" s="40">
        <v>0.48152273738810297</v>
      </c>
    </row>
    <row r="1392" spans="1:32">
      <c r="A1392" s="15">
        <v>1390</v>
      </c>
      <c r="B1392" s="16">
        <v>1</v>
      </c>
      <c r="C1392" s="20">
        <v>0.02</v>
      </c>
      <c r="D1392" s="20">
        <v>0.99604261948721451</v>
      </c>
      <c r="E1392" s="20">
        <v>1</v>
      </c>
      <c r="F1392" s="8" t="s">
        <v>436</v>
      </c>
      <c r="G1392" s="24">
        <v>1.1151333177288134</v>
      </c>
      <c r="H1392" s="24">
        <v>1.1215896549927695</v>
      </c>
      <c r="I1392" s="25">
        <v>1.1412047272692007</v>
      </c>
      <c r="L1392" s="15">
        <v>1390</v>
      </c>
      <c r="M1392" s="16">
        <v>1</v>
      </c>
      <c r="N1392" s="16">
        <v>1</v>
      </c>
      <c r="O1392" s="16">
        <v>4</v>
      </c>
      <c r="P1392" s="16">
        <v>94</v>
      </c>
      <c r="Q1392" s="29">
        <v>39</v>
      </c>
      <c r="R1392" s="20">
        <v>0.62250000000000005</v>
      </c>
      <c r="S1392" s="32">
        <v>24.277500000000003</v>
      </c>
      <c r="T1392" s="35">
        <v>1.06</v>
      </c>
      <c r="U1392" s="35">
        <v>0.6</v>
      </c>
      <c r="V1392" s="35">
        <v>2.7179487179487181E-2</v>
      </c>
      <c r="W1392" s="9" t="s">
        <v>153</v>
      </c>
      <c r="X1392" s="15">
        <v>1391</v>
      </c>
      <c r="Y1392" s="39">
        <v>0.50021671449927174</v>
      </c>
      <c r="Z1392" s="39">
        <v>0.49660370278353738</v>
      </c>
      <c r="AA1392" s="39">
        <v>0.472203219750567</v>
      </c>
      <c r="AB1392" s="39">
        <v>0.50231433751585286</v>
      </c>
      <c r="AC1392" s="39">
        <v>0.4913137211251587</v>
      </c>
      <c r="AD1392" s="39">
        <v>0.48924805971115848</v>
      </c>
      <c r="AE1392" s="39">
        <v>0.46471911395009557</v>
      </c>
      <c r="AF1392" s="40">
        <v>0.49828952116296643</v>
      </c>
    </row>
    <row r="1393" spans="1:32">
      <c r="A1393" s="15">
        <v>1391</v>
      </c>
      <c r="B1393" s="16">
        <v>0</v>
      </c>
      <c r="C1393" s="20">
        <v>0.52</v>
      </c>
      <c r="D1393" s="20">
        <v>0.55131847149551605</v>
      </c>
      <c r="E1393" s="20">
        <v>0.09</v>
      </c>
      <c r="F1393" s="8" t="s">
        <v>438</v>
      </c>
      <c r="G1393" s="24">
        <v>0.98301962075912852</v>
      </c>
      <c r="H1393" s="24">
        <v>0.98871105344058896</v>
      </c>
      <c r="I1393" s="25">
        <v>1.0060022603337808</v>
      </c>
      <c r="L1393" s="15">
        <v>1391</v>
      </c>
      <c r="M1393" s="16">
        <v>1</v>
      </c>
      <c r="N1393" s="16">
        <v>1</v>
      </c>
      <c r="O1393" s="16">
        <v>4</v>
      </c>
      <c r="P1393" s="16">
        <v>95</v>
      </c>
      <c r="Q1393" s="29">
        <v>32</v>
      </c>
      <c r="R1393" s="20">
        <v>0.62250000000000005</v>
      </c>
      <c r="S1393" s="32">
        <v>19.920000000000002</v>
      </c>
      <c r="T1393" s="35">
        <v>1.1300000000000001</v>
      </c>
      <c r="U1393" s="35">
        <v>0.62</v>
      </c>
      <c r="V1393" s="35">
        <v>3.5312500000000004E-2</v>
      </c>
      <c r="W1393" s="9" t="s">
        <v>153</v>
      </c>
      <c r="X1393" s="15">
        <v>1392</v>
      </c>
      <c r="Y1393" s="39">
        <v>0.47415660643581142</v>
      </c>
      <c r="Z1393" s="39">
        <v>0.47854747613391729</v>
      </c>
      <c r="AA1393" s="39">
        <v>0.48811420688232515</v>
      </c>
      <c r="AB1393" s="39">
        <v>0.49136514836266998</v>
      </c>
      <c r="AC1393" s="39">
        <v>0.4700194344827987</v>
      </c>
      <c r="AD1393" s="39">
        <v>0.47442389588237721</v>
      </c>
      <c r="AE1393" s="39">
        <v>0.48230072662906232</v>
      </c>
      <c r="AF1393" s="40">
        <v>0.48557992178005899</v>
      </c>
    </row>
    <row r="1394" spans="1:32">
      <c r="A1394" s="15">
        <v>1392</v>
      </c>
      <c r="B1394" s="16">
        <v>0</v>
      </c>
      <c r="C1394" s="20">
        <v>0.02</v>
      </c>
      <c r="D1394" s="20">
        <v>0.99604261948721451</v>
      </c>
      <c r="E1394" s="20">
        <v>1</v>
      </c>
      <c r="F1394" s="8" t="s">
        <v>436</v>
      </c>
      <c r="G1394" s="24">
        <v>1.1366996888046024</v>
      </c>
      <c r="H1394" s="24">
        <v>1.1432808898521181</v>
      </c>
      <c r="I1394" s="25">
        <v>1.1632753122211943</v>
      </c>
      <c r="L1394" s="15">
        <v>1392</v>
      </c>
      <c r="M1394" s="16">
        <v>1</v>
      </c>
      <c r="N1394" s="16">
        <v>1</v>
      </c>
      <c r="O1394" s="16">
        <v>4</v>
      </c>
      <c r="P1394" s="16">
        <v>96</v>
      </c>
      <c r="Q1394" s="29">
        <v>42</v>
      </c>
      <c r="R1394" s="20">
        <v>0.62250000000000005</v>
      </c>
      <c r="S1394" s="32">
        <v>26.145000000000003</v>
      </c>
      <c r="T1394" s="35">
        <v>1.89</v>
      </c>
      <c r="U1394" s="35">
        <v>1.26</v>
      </c>
      <c r="V1394" s="35">
        <v>4.4999999999999998E-2</v>
      </c>
      <c r="W1394" s="9" t="s">
        <v>153</v>
      </c>
      <c r="X1394" s="15">
        <v>1393</v>
      </c>
      <c r="Y1394" s="39">
        <v>0.47604134051343366</v>
      </c>
      <c r="Z1394" s="39">
        <v>0.48834468732831149</v>
      </c>
      <c r="AA1394" s="39">
        <v>0.49254718171132411</v>
      </c>
      <c r="AB1394" s="39">
        <v>0.48568652718797639</v>
      </c>
      <c r="AC1394" s="39">
        <v>0.4694820942197917</v>
      </c>
      <c r="AD1394" s="39">
        <v>0.47983308657462687</v>
      </c>
      <c r="AE1394" s="39">
        <v>0.4849874099110143</v>
      </c>
      <c r="AF1394" s="40">
        <v>0.48466411627530992</v>
      </c>
    </row>
    <row r="1395" spans="1:32">
      <c r="A1395" s="15">
        <v>1393</v>
      </c>
      <c r="B1395" s="16">
        <v>0</v>
      </c>
      <c r="C1395" s="20">
        <v>0.77</v>
      </c>
      <c r="D1395" s="20">
        <v>0.39660750838281328</v>
      </c>
      <c r="E1395" s="20">
        <v>0.23</v>
      </c>
      <c r="F1395" s="8" t="s">
        <v>438</v>
      </c>
      <c r="G1395" s="24">
        <v>0.45189514833165617</v>
      </c>
      <c r="H1395" s="24">
        <v>0.4545115058910526</v>
      </c>
      <c r="I1395" s="25">
        <v>0.46246029179402187</v>
      </c>
      <c r="L1395" s="15">
        <v>1393</v>
      </c>
      <c r="M1395" s="16">
        <v>1</v>
      </c>
      <c r="N1395" s="16">
        <v>1</v>
      </c>
      <c r="O1395" s="16">
        <v>4</v>
      </c>
      <c r="P1395" s="16">
        <v>97</v>
      </c>
      <c r="Q1395" s="29">
        <v>46</v>
      </c>
      <c r="R1395" s="20">
        <v>0.62250000000000005</v>
      </c>
      <c r="S1395" s="32">
        <v>28.635000000000002</v>
      </c>
      <c r="T1395" s="35">
        <v>2.7399999999999998</v>
      </c>
      <c r="U1395" s="35">
        <v>2.02</v>
      </c>
      <c r="V1395" s="35">
        <v>5.956521739130434E-2</v>
      </c>
      <c r="W1395" s="9" t="s">
        <v>154</v>
      </c>
      <c r="X1395" s="15">
        <v>1394</v>
      </c>
      <c r="Y1395" s="39">
        <v>0.49196661684955478</v>
      </c>
      <c r="Z1395" s="39">
        <v>0.50469624434429028</v>
      </c>
      <c r="AA1395" s="39">
        <v>0.47931424217103402</v>
      </c>
      <c r="AB1395" s="39">
        <v>0.48829206743808978</v>
      </c>
      <c r="AC1395" s="39">
        <v>0.48412669708169537</v>
      </c>
      <c r="AD1395" s="39">
        <v>0.49865645335894204</v>
      </c>
      <c r="AE1395" s="39">
        <v>0.4720793520286925</v>
      </c>
      <c r="AF1395" s="40">
        <v>0.48302765797915048</v>
      </c>
    </row>
    <row r="1396" spans="1:32">
      <c r="A1396" s="15">
        <v>1394</v>
      </c>
      <c r="B1396" s="16">
        <v>1</v>
      </c>
      <c r="C1396" s="20">
        <v>7.0000000000000007E-2</v>
      </c>
      <c r="D1396" s="20">
        <v>0.94271959748981182</v>
      </c>
      <c r="E1396" s="20">
        <v>0.48</v>
      </c>
      <c r="F1396" s="8" t="s">
        <v>436</v>
      </c>
      <c r="G1396" s="24">
        <v>1.0837126516787556</v>
      </c>
      <c r="H1396" s="24">
        <v>1.08998707130663</v>
      </c>
      <c r="I1396" s="25">
        <v>1.1090494575268319</v>
      </c>
      <c r="L1396" s="15">
        <v>1394</v>
      </c>
      <c r="M1396" s="16">
        <v>1</v>
      </c>
      <c r="N1396" s="16">
        <v>1</v>
      </c>
      <c r="O1396" s="16">
        <v>5</v>
      </c>
      <c r="P1396" s="16">
        <v>98</v>
      </c>
      <c r="Q1396" s="29">
        <v>27</v>
      </c>
      <c r="R1396" s="20">
        <v>0.62250000000000005</v>
      </c>
      <c r="S1396" s="32">
        <v>16.807500000000001</v>
      </c>
      <c r="T1396" s="35">
        <v>0.57000000000000006</v>
      </c>
      <c r="U1396" s="35">
        <v>0.2</v>
      </c>
      <c r="V1396" s="35">
        <v>2.1111111111111112E-2</v>
      </c>
      <c r="W1396" s="9" t="s">
        <v>152</v>
      </c>
      <c r="X1396" s="15">
        <v>1395</v>
      </c>
      <c r="Y1396" s="39">
        <v>0.49357100987657165</v>
      </c>
      <c r="Z1396" s="39">
        <v>0.49099170701706801</v>
      </c>
      <c r="AA1396" s="39">
        <v>0.48521915658653525</v>
      </c>
      <c r="AB1396" s="39">
        <v>0.47742749342021285</v>
      </c>
      <c r="AC1396" s="39">
        <v>0.48662140566615797</v>
      </c>
      <c r="AD1396" s="39">
        <v>0.48423953813769222</v>
      </c>
      <c r="AE1396" s="39">
        <v>0.47940759522732979</v>
      </c>
      <c r="AF1396" s="40">
        <v>0.47384269638053161</v>
      </c>
    </row>
    <row r="1397" spans="1:32">
      <c r="A1397" s="15">
        <v>1395</v>
      </c>
      <c r="B1397" s="16">
        <v>1</v>
      </c>
      <c r="C1397" s="20">
        <v>0.09</v>
      </c>
      <c r="D1397" s="20">
        <v>0.88995538163256027</v>
      </c>
      <c r="E1397" s="20">
        <v>0.44</v>
      </c>
      <c r="F1397" s="8" t="s">
        <v>436</v>
      </c>
      <c r="G1397" s="24">
        <v>1.1344780350674242</v>
      </c>
      <c r="H1397" s="24">
        <v>1.1410463733068945</v>
      </c>
      <c r="I1397" s="25">
        <v>1.1610017170313502</v>
      </c>
      <c r="L1397" s="15">
        <v>1395</v>
      </c>
      <c r="M1397" s="16">
        <v>1</v>
      </c>
      <c r="N1397" s="16">
        <v>1</v>
      </c>
      <c r="O1397" s="16">
        <v>5</v>
      </c>
      <c r="P1397" s="16">
        <v>99</v>
      </c>
      <c r="Q1397" s="29">
        <v>27</v>
      </c>
      <c r="R1397" s="20">
        <v>0.62250000000000005</v>
      </c>
      <c r="S1397" s="32">
        <v>16.807500000000001</v>
      </c>
      <c r="T1397" s="35">
        <v>2.13</v>
      </c>
      <c r="U1397" s="35">
        <v>1.71</v>
      </c>
      <c r="V1397" s="35">
        <v>7.8888888888888883E-2</v>
      </c>
      <c r="W1397" s="9" t="s">
        <v>154</v>
      </c>
      <c r="X1397" s="15">
        <v>1396</v>
      </c>
      <c r="Y1397" s="39">
        <v>0.48982314132527777</v>
      </c>
      <c r="Z1397" s="39">
        <v>0.49150580271229971</v>
      </c>
      <c r="AA1397" s="39">
        <v>0.48708593324656146</v>
      </c>
      <c r="AB1397" s="39">
        <v>0.49002505014613773</v>
      </c>
      <c r="AC1397" s="39">
        <v>0.48170026357610368</v>
      </c>
      <c r="AD1397" s="39">
        <v>0.48351663112098681</v>
      </c>
      <c r="AE1397" s="39">
        <v>0.4795211235792679</v>
      </c>
      <c r="AF1397" s="40">
        <v>0.48927415123813012</v>
      </c>
    </row>
    <row r="1398" spans="1:32">
      <c r="A1398" s="15">
        <v>1396</v>
      </c>
      <c r="B1398" s="16">
        <v>1</v>
      </c>
      <c r="C1398" s="20">
        <v>0.81</v>
      </c>
      <c r="D1398" s="20">
        <v>0.34905200973212741</v>
      </c>
      <c r="E1398" s="20">
        <v>0.19</v>
      </c>
      <c r="F1398" s="8" t="s">
        <v>434</v>
      </c>
      <c r="G1398" s="24">
        <v>0.55407677674404043</v>
      </c>
      <c r="H1398" s="24">
        <v>0.55728473984935878</v>
      </c>
      <c r="I1398" s="25">
        <v>0.56703088934533274</v>
      </c>
      <c r="L1398" s="15">
        <v>1396</v>
      </c>
      <c r="M1398" s="16">
        <v>1</v>
      </c>
      <c r="N1398" s="16">
        <v>1</v>
      </c>
      <c r="O1398" s="16">
        <v>5</v>
      </c>
      <c r="P1398" s="16">
        <v>100</v>
      </c>
      <c r="Q1398" s="29">
        <v>18</v>
      </c>
      <c r="R1398" s="20">
        <v>0.62250000000000005</v>
      </c>
      <c r="S1398" s="32">
        <v>11.205000000000002</v>
      </c>
      <c r="T1398" s="35">
        <v>0.87</v>
      </c>
      <c r="U1398" s="35">
        <v>0.6</v>
      </c>
      <c r="V1398" s="35">
        <v>4.8333333333333332E-2</v>
      </c>
      <c r="W1398" s="9" t="s">
        <v>152</v>
      </c>
      <c r="X1398" s="15">
        <v>1397</v>
      </c>
      <c r="Y1398" s="39">
        <v>0.48754454418467075</v>
      </c>
      <c r="Z1398" s="39">
        <v>0.4848949896477675</v>
      </c>
      <c r="AA1398" s="39">
        <v>0.49055166962606894</v>
      </c>
      <c r="AB1398" s="39">
        <v>0.49603365869070892</v>
      </c>
      <c r="AC1398" s="39">
        <v>0.48075416967862661</v>
      </c>
      <c r="AD1398" s="39">
        <v>0.47921751238792726</v>
      </c>
      <c r="AE1398" s="39">
        <v>0.48383689345404252</v>
      </c>
      <c r="AF1398" s="40">
        <v>0.48743404552263114</v>
      </c>
    </row>
    <row r="1399" spans="1:32">
      <c r="A1399" s="15">
        <v>1397</v>
      </c>
      <c r="B1399" s="16">
        <v>1</v>
      </c>
      <c r="C1399" s="20">
        <v>0.36</v>
      </c>
      <c r="D1399" s="20">
        <v>0.59430444921481063</v>
      </c>
      <c r="E1399" s="20">
        <v>0.09</v>
      </c>
      <c r="F1399" s="8" t="s">
        <v>436</v>
      </c>
      <c r="G1399" s="24">
        <v>0.75146199176705064</v>
      </c>
      <c r="H1399" s="24">
        <v>0.75581276488337512</v>
      </c>
      <c r="I1399" s="25">
        <v>0.76903089857838713</v>
      </c>
      <c r="L1399" s="15">
        <v>1397</v>
      </c>
      <c r="M1399" s="16">
        <v>1</v>
      </c>
      <c r="N1399" s="16">
        <v>1</v>
      </c>
      <c r="O1399" s="16">
        <v>5</v>
      </c>
      <c r="P1399" s="16">
        <v>101</v>
      </c>
      <c r="Q1399" s="29">
        <v>24</v>
      </c>
      <c r="R1399" s="20">
        <v>0.62250000000000005</v>
      </c>
      <c r="S1399" s="32">
        <v>14.940000000000001</v>
      </c>
      <c r="T1399" s="35">
        <v>0.99</v>
      </c>
      <c r="U1399" s="35">
        <v>0.77</v>
      </c>
      <c r="V1399" s="35">
        <v>4.1250000000000002E-2</v>
      </c>
      <c r="W1399" s="9" t="s">
        <v>152</v>
      </c>
      <c r="X1399" s="15">
        <v>1398</v>
      </c>
      <c r="Y1399" s="39">
        <v>0.48459343962737655</v>
      </c>
      <c r="Z1399" s="39">
        <v>0.4892584231391407</v>
      </c>
      <c r="AA1399" s="39">
        <v>0.48103006200345189</v>
      </c>
      <c r="AB1399" s="39">
        <v>0.47546098817776139</v>
      </c>
      <c r="AC1399" s="39">
        <v>0.47749697827268428</v>
      </c>
      <c r="AD1399" s="39">
        <v>0.48518146796412037</v>
      </c>
      <c r="AE1399" s="39">
        <v>0.47252397824510617</v>
      </c>
      <c r="AF1399" s="40">
        <v>0.47110381530133622</v>
      </c>
    </row>
    <row r="1400" spans="1:32">
      <c r="A1400" s="15">
        <v>1398</v>
      </c>
      <c r="B1400" s="16">
        <v>0</v>
      </c>
      <c r="C1400" s="20">
        <v>0.92</v>
      </c>
      <c r="D1400" s="20">
        <v>0.20739306340075761</v>
      </c>
      <c r="E1400" s="20">
        <v>0.08</v>
      </c>
      <c r="F1400" s="8" t="s">
        <v>434</v>
      </c>
      <c r="G1400" s="24">
        <v>1.0009093112448788</v>
      </c>
      <c r="H1400" s="24">
        <v>1.0067043206677813</v>
      </c>
      <c r="I1400" s="25">
        <v>1.0243102052468624</v>
      </c>
      <c r="L1400" s="15">
        <v>1398</v>
      </c>
      <c r="M1400" s="16">
        <v>1</v>
      </c>
      <c r="N1400" s="16">
        <v>1</v>
      </c>
      <c r="O1400" s="16">
        <v>5</v>
      </c>
      <c r="P1400" s="16">
        <v>102</v>
      </c>
      <c r="Q1400" s="29">
        <v>3</v>
      </c>
      <c r="R1400" s="20">
        <v>0.62250000000000005</v>
      </c>
      <c r="S1400" s="32">
        <v>1.8675000000000002</v>
      </c>
      <c r="T1400" s="35">
        <v>0.1</v>
      </c>
      <c r="U1400" s="35">
        <v>0.05</v>
      </c>
      <c r="V1400" s="35">
        <v>3.3333333333333333E-2</v>
      </c>
      <c r="W1400" s="9" t="s">
        <v>152</v>
      </c>
      <c r="X1400" s="15">
        <v>1399</v>
      </c>
      <c r="Y1400" s="39">
        <v>0.48297729648395404</v>
      </c>
      <c r="Z1400" s="39">
        <v>0.49113285325257122</v>
      </c>
      <c r="AA1400" s="39">
        <v>0.48090916564833747</v>
      </c>
      <c r="AB1400" s="39">
        <v>0.49659211156923372</v>
      </c>
      <c r="AC1400" s="39">
        <v>0.47714451154586152</v>
      </c>
      <c r="AD1400" s="39">
        <v>0.48515345527141457</v>
      </c>
      <c r="AE1400" s="39">
        <v>0.47330303011472163</v>
      </c>
      <c r="AF1400" s="40">
        <v>0.48995756519164452</v>
      </c>
    </row>
    <row r="1401" spans="1:32">
      <c r="A1401" s="15">
        <v>1399</v>
      </c>
      <c r="B1401" s="16">
        <v>0</v>
      </c>
      <c r="C1401" s="20">
        <v>0.02</v>
      </c>
      <c r="D1401" s="20">
        <v>0.99835916395484214</v>
      </c>
      <c r="E1401" s="20">
        <v>1</v>
      </c>
      <c r="F1401" s="8" t="s">
        <v>436</v>
      </c>
      <c r="G1401" s="24">
        <v>1.1049789819167304</v>
      </c>
      <c r="H1401" s="24">
        <v>1.1113765281683008</v>
      </c>
      <c r="I1401" s="25">
        <v>1.1308129867958467</v>
      </c>
      <c r="L1401" s="15">
        <v>1399</v>
      </c>
      <c r="M1401" s="16">
        <v>1</v>
      </c>
      <c r="N1401" s="16">
        <v>1</v>
      </c>
      <c r="O1401" s="16">
        <v>6</v>
      </c>
      <c r="P1401" s="16">
        <v>103</v>
      </c>
      <c r="Q1401" s="29">
        <v>56</v>
      </c>
      <c r="R1401" s="20">
        <v>0.62250000000000005</v>
      </c>
      <c r="S1401" s="32">
        <v>34.86</v>
      </c>
      <c r="T1401" s="35">
        <v>2.89</v>
      </c>
      <c r="U1401" s="35">
        <v>2.11</v>
      </c>
      <c r="V1401" s="35">
        <v>5.1607142857142858E-2</v>
      </c>
      <c r="W1401" s="9" t="s">
        <v>154</v>
      </c>
      <c r="X1401" s="15">
        <v>1400</v>
      </c>
      <c r="Y1401" s="39">
        <v>0.5024621820766092</v>
      </c>
      <c r="Z1401" s="39">
        <v>0.48555249362802738</v>
      </c>
      <c r="AA1401" s="39">
        <v>0.4736725107925901</v>
      </c>
      <c r="AB1401" s="39">
        <v>0.49065480551911378</v>
      </c>
      <c r="AC1401" s="39">
        <v>0.49563581066409901</v>
      </c>
      <c r="AD1401" s="39">
        <v>0.47876501012754263</v>
      </c>
      <c r="AE1401" s="39">
        <v>0.46746672496850683</v>
      </c>
      <c r="AF1401" s="40">
        <v>0.48603844605656055</v>
      </c>
    </row>
    <row r="1402" spans="1:32">
      <c r="A1402" s="15">
        <v>1400</v>
      </c>
      <c r="B1402" s="16">
        <v>1</v>
      </c>
      <c r="C1402" s="20">
        <v>0.91</v>
      </c>
      <c r="D1402" s="20">
        <v>0.21727233298780477</v>
      </c>
      <c r="E1402" s="20">
        <v>0.09</v>
      </c>
      <c r="F1402" s="8" t="s">
        <v>434</v>
      </c>
      <c r="G1402" s="24">
        <v>0.67243048613106227</v>
      </c>
      <c r="H1402" s="24">
        <v>0.67632368700310708</v>
      </c>
      <c r="I1402" s="25">
        <v>0.68815166521579307</v>
      </c>
      <c r="L1402" s="15">
        <v>1400</v>
      </c>
      <c r="M1402" s="16">
        <v>1</v>
      </c>
      <c r="N1402" s="16">
        <v>1</v>
      </c>
      <c r="O1402" s="16">
        <v>6</v>
      </c>
      <c r="P1402" s="16">
        <v>104</v>
      </c>
      <c r="Q1402" s="29">
        <v>54</v>
      </c>
      <c r="R1402" s="20">
        <v>0.62250000000000005</v>
      </c>
      <c r="S1402" s="32">
        <v>33.615000000000002</v>
      </c>
      <c r="T1402" s="35">
        <v>3.17</v>
      </c>
      <c r="U1402" s="35">
        <v>2.36</v>
      </c>
      <c r="V1402" s="35">
        <v>5.8703703703703702E-2</v>
      </c>
      <c r="W1402" s="9" t="s">
        <v>155</v>
      </c>
      <c r="X1402" s="15">
        <v>1401</v>
      </c>
      <c r="Y1402" s="39">
        <v>0.48382660398640465</v>
      </c>
      <c r="Z1402" s="39">
        <v>0.47663686504769326</v>
      </c>
      <c r="AA1402" s="39">
        <v>0.47596118303779383</v>
      </c>
      <c r="AB1402" s="39">
        <v>0.47999262337454068</v>
      </c>
      <c r="AC1402" s="39">
        <v>0.47709714869984765</v>
      </c>
      <c r="AD1402" s="39">
        <v>0.46661212003367852</v>
      </c>
      <c r="AE1402" s="39">
        <v>0.46906235103939131</v>
      </c>
      <c r="AF1402" s="40">
        <v>0.47649453960359134</v>
      </c>
    </row>
    <row r="1403" spans="1:32">
      <c r="A1403" s="15">
        <v>1401</v>
      </c>
      <c r="B1403" s="16">
        <v>1</v>
      </c>
      <c r="C1403" s="20">
        <v>0.02</v>
      </c>
      <c r="D1403" s="20">
        <v>0.99604261948721451</v>
      </c>
      <c r="E1403" s="20">
        <v>1</v>
      </c>
      <c r="F1403" s="8" t="s">
        <v>436</v>
      </c>
      <c r="G1403" s="24">
        <v>1.017768903484372</v>
      </c>
      <c r="H1403" s="24">
        <v>1.0236615256428105</v>
      </c>
      <c r="I1403" s="25">
        <v>1.0415639685930489</v>
      </c>
      <c r="L1403" s="15">
        <v>1401</v>
      </c>
      <c r="M1403" s="16">
        <v>1</v>
      </c>
      <c r="N1403" s="16">
        <v>1</v>
      </c>
      <c r="O1403" s="16">
        <v>6</v>
      </c>
      <c r="P1403" s="16">
        <v>105</v>
      </c>
      <c r="Q1403" s="29">
        <v>64</v>
      </c>
      <c r="R1403" s="20">
        <v>0.62250000000000005</v>
      </c>
      <c r="S1403" s="32">
        <v>39.840000000000003</v>
      </c>
      <c r="T1403" s="35">
        <v>2.81</v>
      </c>
      <c r="U1403" s="35">
        <v>1.77</v>
      </c>
      <c r="V1403" s="35">
        <v>4.3906250000000001E-2</v>
      </c>
      <c r="W1403" s="9" t="s">
        <v>154</v>
      </c>
      <c r="X1403" s="15">
        <v>1402</v>
      </c>
      <c r="Y1403" s="39">
        <v>0.49503105188198732</v>
      </c>
      <c r="Z1403" s="39">
        <v>0.48663402718502707</v>
      </c>
      <c r="AA1403" s="39">
        <v>0.49543224615782472</v>
      </c>
      <c r="AB1403" s="39">
        <v>0.49668988918334794</v>
      </c>
      <c r="AC1403" s="39">
        <v>0.48634624300851614</v>
      </c>
      <c r="AD1403" s="39">
        <v>0.48086446787805243</v>
      </c>
      <c r="AE1403" s="39">
        <v>0.48883237708934291</v>
      </c>
      <c r="AF1403" s="40">
        <v>0.49123754928996893</v>
      </c>
    </row>
    <row r="1404" spans="1:32">
      <c r="A1404" s="15">
        <v>1402</v>
      </c>
      <c r="B1404" s="16">
        <v>0</v>
      </c>
      <c r="C1404" s="20">
        <v>0.36</v>
      </c>
      <c r="D1404" s="20">
        <v>0.68549302018761427</v>
      </c>
      <c r="E1404" s="20">
        <v>0.03</v>
      </c>
      <c r="F1404" s="8" t="s">
        <v>436</v>
      </c>
      <c r="G1404" s="24">
        <v>0.70552745729901611</v>
      </c>
      <c r="H1404" s="24">
        <v>0.7096122811858866</v>
      </c>
      <c r="I1404" s="25">
        <v>0.7220224314772552</v>
      </c>
      <c r="L1404" s="15">
        <v>1402</v>
      </c>
      <c r="M1404" s="16">
        <v>1</v>
      </c>
      <c r="N1404" s="16">
        <v>1</v>
      </c>
      <c r="O1404" s="16">
        <v>6</v>
      </c>
      <c r="P1404" s="16">
        <v>106</v>
      </c>
      <c r="Q1404" s="29">
        <v>49</v>
      </c>
      <c r="R1404" s="20">
        <v>0.62250000000000005</v>
      </c>
      <c r="S1404" s="32">
        <v>30.502500000000001</v>
      </c>
      <c r="T1404" s="35">
        <v>3.28</v>
      </c>
      <c r="U1404" s="35">
        <v>2.74</v>
      </c>
      <c r="V1404" s="35">
        <v>6.6938775510204079E-2</v>
      </c>
      <c r="W1404" s="9" t="s">
        <v>155</v>
      </c>
      <c r="X1404" s="15">
        <v>1403</v>
      </c>
      <c r="Y1404" s="39">
        <v>0.49657943378885228</v>
      </c>
      <c r="Z1404" s="39">
        <v>0.47704200566636235</v>
      </c>
      <c r="AA1404" s="39">
        <v>0.49277410443203468</v>
      </c>
      <c r="AB1404" s="39">
        <v>0.49777683002746753</v>
      </c>
      <c r="AC1404" s="39">
        <v>0.48956413353671929</v>
      </c>
      <c r="AD1404" s="39">
        <v>0.46992406668709413</v>
      </c>
      <c r="AE1404" s="39">
        <v>0.48535717383203686</v>
      </c>
      <c r="AF1404" s="40">
        <v>0.49349589024535429</v>
      </c>
    </row>
    <row r="1405" spans="1:32">
      <c r="A1405" s="15">
        <v>1403</v>
      </c>
      <c r="B1405" s="16">
        <v>1</v>
      </c>
      <c r="C1405" s="20">
        <v>0.02</v>
      </c>
      <c r="D1405" s="20">
        <v>0.99679477127711513</v>
      </c>
      <c r="E1405" s="20">
        <v>1</v>
      </c>
      <c r="F1405" s="8" t="s">
        <v>436</v>
      </c>
      <c r="G1405" s="24">
        <v>1.0777488595325315</v>
      </c>
      <c r="H1405" s="24">
        <v>1.0839887503261794</v>
      </c>
      <c r="I1405" s="25">
        <v>1.1029462340991762</v>
      </c>
      <c r="L1405" s="15">
        <v>1403</v>
      </c>
      <c r="M1405" s="16">
        <v>1</v>
      </c>
      <c r="N1405" s="16">
        <v>1</v>
      </c>
      <c r="O1405" s="16">
        <v>6</v>
      </c>
      <c r="P1405" s="16">
        <v>107</v>
      </c>
      <c r="Q1405" s="29">
        <v>55</v>
      </c>
      <c r="R1405" s="20">
        <v>0.62250000000000005</v>
      </c>
      <c r="S1405" s="32">
        <v>34.237500000000004</v>
      </c>
      <c r="T1405" s="35">
        <v>1.88</v>
      </c>
      <c r="U1405" s="35">
        <v>1.1299999999999999</v>
      </c>
      <c r="V1405" s="35">
        <v>3.4181818181818181E-2</v>
      </c>
      <c r="W1405" s="9" t="s">
        <v>153</v>
      </c>
      <c r="X1405" s="15">
        <v>1404</v>
      </c>
      <c r="Y1405" s="39">
        <v>0.49612239040409473</v>
      </c>
      <c r="Z1405" s="39">
        <v>0.47963967788991541</v>
      </c>
      <c r="AA1405" s="39">
        <v>0.4882134485285235</v>
      </c>
      <c r="AB1405" s="39">
        <v>0.49397621241125839</v>
      </c>
      <c r="AC1405" s="39">
        <v>0.48908777559308403</v>
      </c>
      <c r="AD1405" s="39">
        <v>0.47210008243546486</v>
      </c>
      <c r="AE1405" s="39">
        <v>0.48393824456169371</v>
      </c>
      <c r="AF1405" s="40">
        <v>0.48714775188229825</v>
      </c>
    </row>
    <row r="1406" spans="1:32">
      <c r="A1406" s="15">
        <v>1404</v>
      </c>
      <c r="B1406" s="16">
        <v>0</v>
      </c>
      <c r="C1406" s="20">
        <v>0.44</v>
      </c>
      <c r="D1406" s="20">
        <v>0.70915619651255002</v>
      </c>
      <c r="E1406" s="20">
        <v>0.48</v>
      </c>
      <c r="F1406" s="8" t="s">
        <v>436</v>
      </c>
      <c r="G1406" s="24">
        <v>0.79287831842499323</v>
      </c>
      <c r="H1406" s="24">
        <v>0.79746888150085593</v>
      </c>
      <c r="I1406" s="25">
        <v>0.81141552382161175</v>
      </c>
      <c r="L1406" s="15">
        <v>1404</v>
      </c>
      <c r="M1406" s="16">
        <v>1</v>
      </c>
      <c r="N1406" s="16">
        <v>1</v>
      </c>
      <c r="O1406" s="16">
        <v>6</v>
      </c>
      <c r="P1406" s="16">
        <v>108</v>
      </c>
      <c r="Q1406" s="29">
        <v>54</v>
      </c>
      <c r="R1406" s="20">
        <v>0.62250000000000005</v>
      </c>
      <c r="S1406" s="32">
        <v>33.615000000000002</v>
      </c>
      <c r="T1406" s="35">
        <v>3.7600000000000002</v>
      </c>
      <c r="U1406" s="35">
        <v>2.9</v>
      </c>
      <c r="V1406" s="35">
        <v>6.9629629629629639E-2</v>
      </c>
      <c r="W1406" s="9" t="s">
        <v>155</v>
      </c>
      <c r="X1406" s="15">
        <v>1405</v>
      </c>
      <c r="Y1406" s="39">
        <v>0.49210529680170245</v>
      </c>
      <c r="Z1406" s="39">
        <v>0.48692507658147471</v>
      </c>
      <c r="AA1406" s="39">
        <v>0.48652730010187722</v>
      </c>
      <c r="AB1406" s="39">
        <v>0.48010798578779923</v>
      </c>
      <c r="AC1406" s="39">
        <v>0.48579498075938865</v>
      </c>
      <c r="AD1406" s="39">
        <v>0.48104225930450645</v>
      </c>
      <c r="AE1406" s="39">
        <v>0.47668163343545333</v>
      </c>
      <c r="AF1406" s="40">
        <v>0.47703822533624268</v>
      </c>
    </row>
    <row r="1407" spans="1:32">
      <c r="A1407" s="15">
        <v>1405</v>
      </c>
      <c r="B1407" s="16">
        <v>1</v>
      </c>
      <c r="C1407" s="20">
        <v>0.81</v>
      </c>
      <c r="D1407" s="20">
        <v>0.35042445586164489</v>
      </c>
      <c r="E1407" s="20">
        <v>0.19</v>
      </c>
      <c r="F1407" s="8" t="s">
        <v>434</v>
      </c>
      <c r="G1407" s="24">
        <v>2.3647296919321068</v>
      </c>
      <c r="H1407" s="24">
        <v>2.3557193791407478</v>
      </c>
      <c r="I1407" s="25">
        <v>1.6578926537592125</v>
      </c>
      <c r="L1407" s="15">
        <v>1405</v>
      </c>
      <c r="M1407" s="16">
        <v>1</v>
      </c>
      <c r="N1407" s="16">
        <v>1</v>
      </c>
      <c r="O1407" s="16">
        <v>6</v>
      </c>
      <c r="P1407" s="16">
        <v>109</v>
      </c>
      <c r="Q1407" s="29">
        <v>58</v>
      </c>
      <c r="R1407" s="20">
        <v>0.62250000000000005</v>
      </c>
      <c r="S1407" s="32">
        <v>36.105000000000004</v>
      </c>
      <c r="T1407" s="35">
        <v>3.66</v>
      </c>
      <c r="U1407" s="35">
        <v>2.68</v>
      </c>
      <c r="V1407" s="35">
        <v>6.3103448275862076E-2</v>
      </c>
      <c r="W1407" s="9" t="s">
        <v>155</v>
      </c>
      <c r="X1407" s="15">
        <v>1406</v>
      </c>
      <c r="Y1407" s="39">
        <v>0.48243046501800202</v>
      </c>
      <c r="Z1407" s="39">
        <v>0.49063511424515072</v>
      </c>
      <c r="AA1407" s="39">
        <v>0.47053636856642334</v>
      </c>
      <c r="AB1407" s="39">
        <v>0.49161971970812784</v>
      </c>
      <c r="AC1407" s="39">
        <v>0.47884590346476397</v>
      </c>
      <c r="AD1407" s="39">
        <v>0.48233312185437272</v>
      </c>
      <c r="AE1407" s="39">
        <v>0.46406512089406271</v>
      </c>
      <c r="AF1407" s="40">
        <v>0.49100184904770944</v>
      </c>
    </row>
    <row r="1408" spans="1:32">
      <c r="A1408" s="15">
        <v>1406</v>
      </c>
      <c r="B1408" s="16">
        <v>1</v>
      </c>
      <c r="C1408" s="20">
        <v>0.43</v>
      </c>
      <c r="D1408" s="20">
        <v>0.56208686737382341</v>
      </c>
      <c r="E1408" s="20">
        <v>0.06</v>
      </c>
      <c r="F1408" s="8" t="s">
        <v>436</v>
      </c>
      <c r="G1408" s="24">
        <v>1.36820513053982</v>
      </c>
      <c r="H1408" s="24">
        <v>1.3761266890015753</v>
      </c>
      <c r="I1408" s="25">
        <v>1.4001932666007295</v>
      </c>
      <c r="L1408" s="15">
        <v>1406</v>
      </c>
      <c r="M1408" s="16">
        <v>1</v>
      </c>
      <c r="N1408" s="16">
        <v>1</v>
      </c>
      <c r="O1408" s="16">
        <v>6</v>
      </c>
      <c r="P1408" s="16">
        <v>110</v>
      </c>
      <c r="Q1408" s="29">
        <v>62</v>
      </c>
      <c r="R1408" s="20">
        <v>0.62250000000000005</v>
      </c>
      <c r="S1408" s="32">
        <v>38.595000000000006</v>
      </c>
      <c r="T1408" s="35">
        <v>6.89</v>
      </c>
      <c r="U1408" s="35">
        <v>5.85</v>
      </c>
      <c r="V1408" s="35">
        <v>0.11112903225806452</v>
      </c>
      <c r="W1408" s="9" t="s">
        <v>156</v>
      </c>
      <c r="X1408" s="15">
        <v>1407</v>
      </c>
      <c r="Y1408" s="39">
        <v>0.49420996713603244</v>
      </c>
      <c r="Z1408" s="39">
        <v>0.48142595063604326</v>
      </c>
      <c r="AA1408" s="39">
        <v>0.49130915221013721</v>
      </c>
      <c r="AB1408" s="39">
        <v>0.48330383748204203</v>
      </c>
      <c r="AC1408" s="39">
        <v>0.48679177202566165</v>
      </c>
      <c r="AD1408" s="39">
        <v>0.47481475680886598</v>
      </c>
      <c r="AE1408" s="39">
        <v>0.48670811058494812</v>
      </c>
      <c r="AF1408" s="40">
        <v>0.47947136271779528</v>
      </c>
    </row>
    <row r="1409" spans="1:32">
      <c r="A1409" s="15">
        <v>1407</v>
      </c>
      <c r="B1409" s="16">
        <v>1</v>
      </c>
      <c r="C1409" s="20">
        <v>0.37</v>
      </c>
      <c r="D1409" s="20">
        <v>0.65793809886358501</v>
      </c>
      <c r="E1409" s="20">
        <v>0.12</v>
      </c>
      <c r="F1409" s="8" t="s">
        <v>436</v>
      </c>
      <c r="G1409" s="24">
        <v>0.8346022441581098</v>
      </c>
      <c r="H1409" s="24">
        <v>0.83943437811363908</v>
      </c>
      <c r="I1409" s="25">
        <v>0.85411493969400276</v>
      </c>
      <c r="L1409" s="15">
        <v>1407</v>
      </c>
      <c r="M1409" s="16">
        <v>1</v>
      </c>
      <c r="N1409" s="16">
        <v>1</v>
      </c>
      <c r="O1409" s="16">
        <v>6</v>
      </c>
      <c r="P1409" s="16">
        <v>111</v>
      </c>
      <c r="Q1409" s="29">
        <v>52</v>
      </c>
      <c r="R1409" s="20">
        <v>0.62250000000000005</v>
      </c>
      <c r="S1409" s="32">
        <v>32.370000000000005</v>
      </c>
      <c r="T1409" s="35">
        <v>1.95</v>
      </c>
      <c r="U1409" s="35">
        <v>1.39</v>
      </c>
      <c r="V1409" s="35">
        <v>3.7499999999999999E-2</v>
      </c>
      <c r="W1409" s="9" t="s">
        <v>153</v>
      </c>
      <c r="X1409" s="15">
        <v>1408</v>
      </c>
      <c r="Y1409" s="39">
        <v>0.48528684874123901</v>
      </c>
      <c r="Z1409" s="39">
        <v>0.50242075165005817</v>
      </c>
      <c r="AA1409" s="39">
        <v>0.48095431462750277</v>
      </c>
      <c r="AB1409" s="39">
        <v>0.48498023340420088</v>
      </c>
      <c r="AC1409" s="39">
        <v>0.48081753307802377</v>
      </c>
      <c r="AD1409" s="39">
        <v>0.49663939863961432</v>
      </c>
      <c r="AE1409" s="39">
        <v>0.47171096957941394</v>
      </c>
      <c r="AF1409" s="40">
        <v>0.48246497602909133</v>
      </c>
    </row>
    <row r="1410" spans="1:32">
      <c r="A1410" s="15">
        <v>1408</v>
      </c>
      <c r="B1410" s="16">
        <v>0</v>
      </c>
      <c r="C1410" s="20">
        <v>0.9</v>
      </c>
      <c r="D1410" s="20">
        <v>0.231595386583653</v>
      </c>
      <c r="E1410" s="20">
        <v>0.1</v>
      </c>
      <c r="F1410" s="8" t="s">
        <v>434</v>
      </c>
      <c r="G1410" s="24">
        <v>1.5289792918550031</v>
      </c>
      <c r="H1410" s="24">
        <v>1.5378316916720278</v>
      </c>
      <c r="I1410" s="25">
        <v>1.5647262690665811</v>
      </c>
      <c r="L1410" s="15">
        <v>1408</v>
      </c>
      <c r="M1410" s="16">
        <v>1</v>
      </c>
      <c r="N1410" s="16">
        <v>1</v>
      </c>
      <c r="O1410" s="16">
        <v>6</v>
      </c>
      <c r="P1410" s="16">
        <v>112</v>
      </c>
      <c r="Q1410" s="29">
        <v>62</v>
      </c>
      <c r="R1410" s="20">
        <v>0.62250000000000005</v>
      </c>
      <c r="S1410" s="32">
        <v>38.595000000000006</v>
      </c>
      <c r="T1410" s="35">
        <v>2.93</v>
      </c>
      <c r="U1410" s="35">
        <v>2.0099999999999998</v>
      </c>
      <c r="V1410" s="35">
        <v>4.7258064516129038E-2</v>
      </c>
      <c r="W1410" s="9" t="s">
        <v>154</v>
      </c>
      <c r="X1410" s="15">
        <v>1409</v>
      </c>
      <c r="Y1410" s="39">
        <v>0.48051347307847625</v>
      </c>
      <c r="Z1410" s="39">
        <v>0.48520148347624881</v>
      </c>
      <c r="AA1410" s="39">
        <v>0.48069458579044272</v>
      </c>
      <c r="AB1410" s="39">
        <v>0.48037864176042611</v>
      </c>
      <c r="AC1410" s="39">
        <v>0.4745487217489458</v>
      </c>
      <c r="AD1410" s="39">
        <v>0.47958783639255703</v>
      </c>
      <c r="AE1410" s="39">
        <v>0.47222420329498771</v>
      </c>
      <c r="AF1410" s="40">
        <v>0.4751963000569478</v>
      </c>
    </row>
    <row r="1411" spans="1:32">
      <c r="A1411" s="15">
        <v>1409</v>
      </c>
      <c r="B1411" s="16">
        <v>0</v>
      </c>
      <c r="C1411" s="20">
        <v>0.19</v>
      </c>
      <c r="D1411" s="20">
        <v>0.80447940239806115</v>
      </c>
      <c r="E1411" s="20">
        <v>0.44</v>
      </c>
      <c r="F1411" s="8" t="s">
        <v>436</v>
      </c>
      <c r="G1411" s="24">
        <v>1.0463568356821906</v>
      </c>
      <c r="H1411" s="24">
        <v>1.0524149746707818</v>
      </c>
      <c r="I1411" s="25">
        <v>1.0708202762006886</v>
      </c>
      <c r="L1411" s="15">
        <v>1409</v>
      </c>
      <c r="M1411" s="16">
        <v>1</v>
      </c>
      <c r="N1411" s="16">
        <v>1</v>
      </c>
      <c r="O1411" s="16">
        <v>6</v>
      </c>
      <c r="P1411" s="16">
        <v>113</v>
      </c>
      <c r="Q1411" s="29">
        <v>57</v>
      </c>
      <c r="R1411" s="20">
        <v>0.62250000000000005</v>
      </c>
      <c r="S1411" s="32">
        <v>35.482500000000002</v>
      </c>
      <c r="T1411" s="35">
        <v>2.4300000000000002</v>
      </c>
      <c r="U1411" s="35">
        <v>1.67</v>
      </c>
      <c r="V1411" s="35">
        <v>4.2631578947368423E-2</v>
      </c>
      <c r="W1411" s="9" t="s">
        <v>154</v>
      </c>
      <c r="X1411" s="15">
        <v>1410</v>
      </c>
      <c r="Y1411" s="39">
        <v>0.48294610269939892</v>
      </c>
      <c r="Z1411" s="39">
        <v>0.49855218104041693</v>
      </c>
      <c r="AA1411" s="39">
        <v>0.47710900944600937</v>
      </c>
      <c r="AB1411" s="39">
        <v>0.49409852813943583</v>
      </c>
      <c r="AC1411" s="39">
        <v>0.4773025043402267</v>
      </c>
      <c r="AD1411" s="39">
        <v>0.49266637259712431</v>
      </c>
      <c r="AE1411" s="39">
        <v>0.47019194297937472</v>
      </c>
      <c r="AF1411" s="40">
        <v>0.48885640329152213</v>
      </c>
    </row>
    <row r="1412" spans="1:32">
      <c r="A1412" s="15">
        <v>1410</v>
      </c>
      <c r="B1412" s="16">
        <v>0</v>
      </c>
      <c r="C1412" s="20">
        <v>0.02</v>
      </c>
      <c r="D1412" s="20">
        <v>0.99835916395484214</v>
      </c>
      <c r="E1412" s="20">
        <v>1</v>
      </c>
      <c r="F1412" s="8" t="s">
        <v>436</v>
      </c>
      <c r="G1412" s="24">
        <v>1.1214957307226043</v>
      </c>
      <c r="H1412" s="24">
        <v>1.1279889047337435</v>
      </c>
      <c r="I1412" s="25">
        <v>1.1477158911541983</v>
      </c>
      <c r="L1412" s="15">
        <v>1410</v>
      </c>
      <c r="M1412" s="16">
        <v>1</v>
      </c>
      <c r="N1412" s="16">
        <v>1</v>
      </c>
      <c r="O1412" s="16">
        <v>6</v>
      </c>
      <c r="P1412" s="16">
        <v>114</v>
      </c>
      <c r="Q1412" s="29">
        <v>61</v>
      </c>
      <c r="R1412" s="20">
        <v>0.62250000000000005</v>
      </c>
      <c r="S1412" s="32">
        <v>37.972500000000004</v>
      </c>
      <c r="T1412" s="35">
        <v>3.23</v>
      </c>
      <c r="U1412" s="35">
        <v>2.23</v>
      </c>
      <c r="V1412" s="35">
        <v>5.2950819672131146E-2</v>
      </c>
      <c r="W1412" s="9" t="s">
        <v>155</v>
      </c>
      <c r="X1412" s="15">
        <v>1411</v>
      </c>
      <c r="Y1412" s="39">
        <v>0.49841775669837896</v>
      </c>
      <c r="Z1412" s="39">
        <v>0.49126192821451642</v>
      </c>
      <c r="AA1412" s="39">
        <v>0.49734460036879774</v>
      </c>
      <c r="AB1412" s="39">
        <v>0.48564036622435908</v>
      </c>
      <c r="AC1412" s="39">
        <v>0.49086636718693299</v>
      </c>
      <c r="AD1412" s="39">
        <v>0.48314139161275671</v>
      </c>
      <c r="AE1412" s="39">
        <v>0.49137934092208158</v>
      </c>
      <c r="AF1412" s="40">
        <v>0.48442637249257314</v>
      </c>
    </row>
    <row r="1413" spans="1:32">
      <c r="A1413" s="15">
        <v>1411</v>
      </c>
      <c r="B1413" s="16">
        <v>0</v>
      </c>
      <c r="C1413" s="20">
        <v>0.18</v>
      </c>
      <c r="D1413" s="20">
        <v>0.8616179485686124</v>
      </c>
      <c r="E1413" s="20">
        <v>0.1</v>
      </c>
      <c r="F1413" s="8" t="s">
        <v>436</v>
      </c>
      <c r="G1413" s="24">
        <v>0.80641051121856822</v>
      </c>
      <c r="H1413" s="24">
        <v>0.81107942223651741</v>
      </c>
      <c r="I1413" s="25">
        <v>0.82526409433854209</v>
      </c>
      <c r="L1413" s="15">
        <v>1411</v>
      </c>
      <c r="M1413" s="16">
        <v>1</v>
      </c>
      <c r="N1413" s="16">
        <v>1</v>
      </c>
      <c r="O1413" s="16">
        <v>6</v>
      </c>
      <c r="P1413" s="16">
        <v>115</v>
      </c>
      <c r="Q1413" s="29">
        <v>54</v>
      </c>
      <c r="R1413" s="20">
        <v>0.62250000000000005</v>
      </c>
      <c r="S1413" s="32">
        <v>33.615000000000002</v>
      </c>
      <c r="T1413" s="35">
        <v>5.04</v>
      </c>
      <c r="U1413" s="35">
        <v>4.33</v>
      </c>
      <c r="V1413" s="35">
        <v>9.3333333333333338E-2</v>
      </c>
      <c r="W1413" s="9" t="s">
        <v>156</v>
      </c>
      <c r="X1413" s="15">
        <v>1412</v>
      </c>
      <c r="Y1413" s="39">
        <v>0.49417312384138373</v>
      </c>
      <c r="Z1413" s="39">
        <v>0.47291535824379011</v>
      </c>
      <c r="AA1413" s="39">
        <v>0.48384537613772977</v>
      </c>
      <c r="AB1413" s="39">
        <v>0.49291780402306518</v>
      </c>
      <c r="AC1413" s="39">
        <v>0.48821429237262937</v>
      </c>
      <c r="AD1413" s="39">
        <v>0.4674667022390912</v>
      </c>
      <c r="AE1413" s="39">
        <v>0.47782270065892024</v>
      </c>
      <c r="AF1413" s="40">
        <v>0.49038190543519411</v>
      </c>
    </row>
    <row r="1414" spans="1:32">
      <c r="A1414" s="15">
        <v>1412</v>
      </c>
      <c r="B1414" s="16">
        <v>0</v>
      </c>
      <c r="C1414" s="20">
        <v>0.28999999999999998</v>
      </c>
      <c r="D1414" s="20">
        <v>0.66502833281418894</v>
      </c>
      <c r="E1414" s="20">
        <v>0.1</v>
      </c>
      <c r="F1414" s="8" t="s">
        <v>436</v>
      </c>
      <c r="G1414" s="24">
        <v>0.58446913379887355</v>
      </c>
      <c r="H1414" s="24">
        <v>0.58785306089367451</v>
      </c>
      <c r="I1414" s="25">
        <v>0.59813380860387444</v>
      </c>
      <c r="L1414" s="15">
        <v>1412</v>
      </c>
      <c r="M1414" s="16">
        <v>1</v>
      </c>
      <c r="N1414" s="16">
        <v>1</v>
      </c>
      <c r="O1414" s="16">
        <v>6</v>
      </c>
      <c r="P1414" s="16">
        <v>116</v>
      </c>
      <c r="Q1414" s="29">
        <v>47</v>
      </c>
      <c r="R1414" s="20">
        <v>0.62250000000000005</v>
      </c>
      <c r="S1414" s="32">
        <v>29.257500000000004</v>
      </c>
      <c r="T1414" s="35">
        <v>3.04</v>
      </c>
      <c r="U1414" s="35">
        <v>2.2400000000000002</v>
      </c>
      <c r="V1414" s="35">
        <v>6.4680851063829786E-2</v>
      </c>
      <c r="W1414" s="9" t="s">
        <v>155</v>
      </c>
      <c r="X1414" s="15">
        <v>1413</v>
      </c>
      <c r="Y1414" s="39">
        <v>0.48324360238558528</v>
      </c>
      <c r="Z1414" s="39">
        <v>0.49038602722163799</v>
      </c>
      <c r="AA1414" s="39">
        <v>0.48450750845291374</v>
      </c>
      <c r="AB1414" s="39">
        <v>0.51016467074861749</v>
      </c>
      <c r="AC1414" s="39">
        <v>0.47540292344092738</v>
      </c>
      <c r="AD1414" s="39">
        <v>0.48179448078862214</v>
      </c>
      <c r="AE1414" s="39">
        <v>0.47820230872942171</v>
      </c>
      <c r="AF1414" s="40">
        <v>0.50810114863343425</v>
      </c>
    </row>
    <row r="1415" spans="1:32">
      <c r="A1415" s="15">
        <v>1413</v>
      </c>
      <c r="B1415" s="16">
        <v>1</v>
      </c>
      <c r="C1415" s="20">
        <v>7.0000000000000007E-2</v>
      </c>
      <c r="D1415" s="20">
        <v>0.95044058720832381</v>
      </c>
      <c r="E1415" s="20">
        <v>0.43</v>
      </c>
      <c r="F1415" s="8" t="s">
        <v>436</v>
      </c>
      <c r="G1415" s="24">
        <v>1.01187709064175</v>
      </c>
      <c r="H1415" s="24">
        <v>1.0177356007077567</v>
      </c>
      <c r="I1415" s="25">
        <v>1.0355344073188151</v>
      </c>
      <c r="L1415" s="15">
        <v>1413</v>
      </c>
      <c r="M1415" s="16">
        <v>1</v>
      </c>
      <c r="N1415" s="16">
        <v>1</v>
      </c>
      <c r="O1415" s="16">
        <v>6</v>
      </c>
      <c r="P1415" s="16">
        <v>117</v>
      </c>
      <c r="Q1415" s="29">
        <v>53</v>
      </c>
      <c r="R1415" s="20">
        <v>0.62250000000000005</v>
      </c>
      <c r="S1415" s="32">
        <v>32.9925</v>
      </c>
      <c r="T1415" s="35">
        <v>1.49</v>
      </c>
      <c r="U1415" s="35">
        <v>0.69</v>
      </c>
      <c r="V1415" s="35">
        <v>2.8113207547169811E-2</v>
      </c>
      <c r="W1415" s="9" t="s">
        <v>153</v>
      </c>
      <c r="X1415" s="15">
        <v>1414</v>
      </c>
      <c r="Y1415" s="39">
        <v>0.48144422627960926</v>
      </c>
      <c r="Z1415" s="39">
        <v>0.49556118857160891</v>
      </c>
      <c r="AA1415" s="39">
        <v>0.49563122555468325</v>
      </c>
      <c r="AB1415" s="39">
        <v>0.47352540471544902</v>
      </c>
      <c r="AC1415" s="39">
        <v>0.47298472436986849</v>
      </c>
      <c r="AD1415" s="39">
        <v>0.48831940587240535</v>
      </c>
      <c r="AE1415" s="39">
        <v>0.48921492169241404</v>
      </c>
      <c r="AF1415" s="40">
        <v>0.4709988180444018</v>
      </c>
    </row>
    <row r="1416" spans="1:32">
      <c r="A1416" s="15">
        <v>1414</v>
      </c>
      <c r="B1416" s="16">
        <v>0</v>
      </c>
      <c r="C1416" s="20">
        <v>0.24</v>
      </c>
      <c r="D1416" s="20">
        <v>0.87287235888407899</v>
      </c>
      <c r="E1416" s="20">
        <v>0.44</v>
      </c>
      <c r="F1416" s="8" t="s">
        <v>436</v>
      </c>
      <c r="G1416" s="24">
        <v>1.1232495962164111</v>
      </c>
      <c r="H1416" s="24">
        <v>1.1297529246610727</v>
      </c>
      <c r="I1416" s="25">
        <v>1.1495107613824531</v>
      </c>
      <c r="L1416" s="15">
        <v>1414</v>
      </c>
      <c r="M1416" s="16">
        <v>1</v>
      </c>
      <c r="N1416" s="16">
        <v>1</v>
      </c>
      <c r="O1416" s="16">
        <v>6</v>
      </c>
      <c r="P1416" s="16">
        <v>118</v>
      </c>
      <c r="Q1416" s="29">
        <v>54</v>
      </c>
      <c r="R1416" s="20">
        <v>0.62250000000000005</v>
      </c>
      <c r="S1416" s="32">
        <v>33.615000000000002</v>
      </c>
      <c r="T1416" s="35">
        <v>2.9</v>
      </c>
      <c r="U1416" s="35">
        <v>2.13</v>
      </c>
      <c r="V1416" s="35">
        <v>5.3703703703703705E-2</v>
      </c>
      <c r="W1416" s="9" t="s">
        <v>154</v>
      </c>
      <c r="X1416" s="15">
        <v>1415</v>
      </c>
      <c r="Y1416" s="39">
        <v>0.48811171156684574</v>
      </c>
      <c r="Z1416" s="39">
        <v>0.49392483004005139</v>
      </c>
      <c r="AA1416" s="39">
        <v>0.47354829040026375</v>
      </c>
      <c r="AB1416" s="39">
        <v>0.49103894564773448</v>
      </c>
      <c r="AC1416" s="39">
        <v>0.48138952581183142</v>
      </c>
      <c r="AD1416" s="39">
        <v>0.4883103569272893</v>
      </c>
      <c r="AE1416" s="39">
        <v>0.46622132078050527</v>
      </c>
      <c r="AF1416" s="40">
        <v>0.48737468337779993</v>
      </c>
    </row>
    <row r="1417" spans="1:32">
      <c r="A1417" s="15">
        <v>1415</v>
      </c>
      <c r="B1417" s="16">
        <v>0</v>
      </c>
      <c r="C1417" s="20">
        <v>0.94</v>
      </c>
      <c r="D1417" s="20">
        <v>0.17188516685452584</v>
      </c>
      <c r="E1417" s="20">
        <v>0.06</v>
      </c>
      <c r="F1417" s="8" t="s">
        <v>434</v>
      </c>
      <c r="G1417" s="24">
        <v>1.2257013360052809</v>
      </c>
      <c r="H1417" s="24">
        <v>1.2327978338717862</v>
      </c>
      <c r="I1417" s="25">
        <v>1.2543577854155432</v>
      </c>
      <c r="L1417" s="15">
        <v>1415</v>
      </c>
      <c r="M1417" s="16">
        <v>1</v>
      </c>
      <c r="N1417" s="16">
        <v>1</v>
      </c>
      <c r="O1417" s="16">
        <v>6</v>
      </c>
      <c r="P1417" s="16">
        <v>119</v>
      </c>
      <c r="Q1417" s="29">
        <v>50</v>
      </c>
      <c r="R1417" s="20">
        <v>0.62250000000000005</v>
      </c>
      <c r="S1417" s="32">
        <v>31.125000000000004</v>
      </c>
      <c r="T1417" s="35">
        <v>2.58</v>
      </c>
      <c r="U1417" s="35">
        <v>1.8</v>
      </c>
      <c r="V1417" s="35">
        <v>5.16E-2</v>
      </c>
      <c r="W1417" s="9" t="s">
        <v>154</v>
      </c>
      <c r="X1417" s="15">
        <v>1416</v>
      </c>
      <c r="Y1417" s="39">
        <v>0.47766729808213831</v>
      </c>
      <c r="Z1417" s="39">
        <v>0.49337652412418442</v>
      </c>
      <c r="AA1417" s="39">
        <v>0.49970301103809994</v>
      </c>
      <c r="AB1417" s="39">
        <v>0.48929195554551402</v>
      </c>
      <c r="AC1417" s="39">
        <v>0.47103517699706476</v>
      </c>
      <c r="AD1417" s="39">
        <v>0.48495723748683051</v>
      </c>
      <c r="AE1417" s="39">
        <v>0.4933261739752125</v>
      </c>
      <c r="AF1417" s="40">
        <v>0.48800065211355859</v>
      </c>
    </row>
    <row r="1418" spans="1:32">
      <c r="A1418" s="15">
        <v>1416</v>
      </c>
      <c r="B1418" s="16">
        <v>1</v>
      </c>
      <c r="C1418" s="20">
        <v>0.02</v>
      </c>
      <c r="D1418" s="20">
        <v>0.99756714174924133</v>
      </c>
      <c r="E1418" s="20">
        <v>1</v>
      </c>
      <c r="F1418" s="8" t="s">
        <v>436</v>
      </c>
      <c r="G1418" s="24">
        <v>1.0390583071116117</v>
      </c>
      <c r="H1418" s="24">
        <v>1.0450741894827806</v>
      </c>
      <c r="I1418" s="25">
        <v>1.0633511106987397</v>
      </c>
      <c r="L1418" s="15">
        <v>1416</v>
      </c>
      <c r="M1418" s="16">
        <v>1</v>
      </c>
      <c r="N1418" s="16">
        <v>1</v>
      </c>
      <c r="O1418" s="16">
        <v>6</v>
      </c>
      <c r="P1418" s="16">
        <v>120</v>
      </c>
      <c r="Q1418" s="29">
        <v>54</v>
      </c>
      <c r="R1418" s="20">
        <v>0.62250000000000005</v>
      </c>
      <c r="S1418" s="32">
        <v>33.615000000000002</v>
      </c>
      <c r="T1418" s="35">
        <v>3.87</v>
      </c>
      <c r="U1418" s="35">
        <v>3.13</v>
      </c>
      <c r="V1418" s="35">
        <v>7.166666666666667E-2</v>
      </c>
      <c r="W1418" s="9" t="s">
        <v>155</v>
      </c>
      <c r="X1418" s="15">
        <v>1417</v>
      </c>
      <c r="Y1418" s="39">
        <v>0.47353079964653466</v>
      </c>
      <c r="Z1418" s="39">
        <v>0.49641558995886953</v>
      </c>
      <c r="AA1418" s="39">
        <v>0.4672414813570045</v>
      </c>
      <c r="AB1418" s="39">
        <v>0.48598518760063675</v>
      </c>
      <c r="AC1418" s="39">
        <v>0.46754772065882633</v>
      </c>
      <c r="AD1418" s="39">
        <v>0.49009935259333598</v>
      </c>
      <c r="AE1418" s="39">
        <v>0.4620722280345162</v>
      </c>
      <c r="AF1418" s="40">
        <v>0.48206503577896348</v>
      </c>
    </row>
    <row r="1419" spans="1:32">
      <c r="A1419" s="15">
        <v>1417</v>
      </c>
      <c r="B1419" s="16">
        <v>1</v>
      </c>
      <c r="C1419" s="20">
        <v>0.02</v>
      </c>
      <c r="D1419" s="20">
        <v>0.99835916395484214</v>
      </c>
      <c r="E1419" s="20">
        <v>1</v>
      </c>
      <c r="F1419" s="8" t="s">
        <v>436</v>
      </c>
      <c r="G1419" s="24">
        <v>0.99452189638323907</v>
      </c>
      <c r="H1419" s="24">
        <v>1.0002799243045255</v>
      </c>
      <c r="I1419" s="25">
        <v>1.0177734549594806</v>
      </c>
      <c r="L1419" s="15">
        <v>1417</v>
      </c>
      <c r="M1419" s="16">
        <v>1</v>
      </c>
      <c r="N1419" s="16">
        <v>1</v>
      </c>
      <c r="O1419" s="16">
        <v>6</v>
      </c>
      <c r="P1419" s="16">
        <v>121</v>
      </c>
      <c r="Q1419" s="29">
        <v>47</v>
      </c>
      <c r="R1419" s="20">
        <v>0.62250000000000005</v>
      </c>
      <c r="S1419" s="32">
        <v>29.257500000000004</v>
      </c>
      <c r="T1419" s="35">
        <v>1.49</v>
      </c>
      <c r="U1419" s="35">
        <v>0.74</v>
      </c>
      <c r="V1419" s="35">
        <v>3.1702127659574468E-2</v>
      </c>
      <c r="W1419" s="9" t="s">
        <v>153</v>
      </c>
      <c r="X1419" s="15">
        <v>1418</v>
      </c>
      <c r="Y1419" s="39">
        <v>0.47265533312112384</v>
      </c>
      <c r="Z1419" s="39">
        <v>0.48265583216191282</v>
      </c>
      <c r="AA1419" s="39">
        <v>0.46984079590347722</v>
      </c>
      <c r="AB1419" s="39">
        <v>0.48432941406740454</v>
      </c>
      <c r="AC1419" s="39">
        <v>0.46485814154820537</v>
      </c>
      <c r="AD1419" s="39">
        <v>0.47655711455486183</v>
      </c>
      <c r="AE1419" s="39">
        <v>0.46457003537243663</v>
      </c>
      <c r="AF1419" s="40">
        <v>0.48095224300277872</v>
      </c>
    </row>
    <row r="1420" spans="1:32">
      <c r="A1420" s="15">
        <v>1418</v>
      </c>
      <c r="B1420" s="16">
        <v>0</v>
      </c>
      <c r="C1420" s="20">
        <v>0.49</v>
      </c>
      <c r="D1420" s="20">
        <v>0.4815243900052581</v>
      </c>
      <c r="E1420" s="20">
        <v>0.05</v>
      </c>
      <c r="F1420" s="8" t="s">
        <v>436</v>
      </c>
      <c r="G1420" s="24">
        <v>1.336377027374178</v>
      </c>
      <c r="H1420" s="24">
        <v>1.3441143092429535</v>
      </c>
      <c r="I1420" s="25">
        <v>1.3676210340118764</v>
      </c>
      <c r="L1420" s="15">
        <v>1418</v>
      </c>
      <c r="M1420" s="16">
        <v>1</v>
      </c>
      <c r="N1420" s="16">
        <v>1</v>
      </c>
      <c r="O1420" s="16">
        <v>6</v>
      </c>
      <c r="P1420" s="16">
        <v>122</v>
      </c>
      <c r="Q1420" s="29">
        <v>37</v>
      </c>
      <c r="R1420" s="20">
        <v>0.62250000000000005</v>
      </c>
      <c r="S1420" s="32">
        <v>23.032500000000002</v>
      </c>
      <c r="T1420" s="35">
        <v>1.55</v>
      </c>
      <c r="U1420" s="35">
        <v>1.0900000000000001</v>
      </c>
      <c r="V1420" s="35">
        <v>4.1891891891891894E-2</v>
      </c>
      <c r="W1420" s="9" t="s">
        <v>153</v>
      </c>
      <c r="X1420" s="15">
        <v>1419</v>
      </c>
      <c r="Y1420" s="39">
        <v>0.48674713282473525</v>
      </c>
      <c r="Z1420" s="39">
        <v>0.47782266516572469</v>
      </c>
      <c r="AA1420" s="39">
        <v>0.48230048645824847</v>
      </c>
      <c r="AB1420" s="39">
        <v>0.49703543604643741</v>
      </c>
      <c r="AC1420" s="39">
        <v>0.47935947807868251</v>
      </c>
      <c r="AD1420" s="39">
        <v>0.47346272330143319</v>
      </c>
      <c r="AE1420" s="39">
        <v>0.47544996074910029</v>
      </c>
      <c r="AF1420" s="40">
        <v>0.49272583001362513</v>
      </c>
    </row>
    <row r="1421" spans="1:32">
      <c r="A1421" s="15">
        <v>1419</v>
      </c>
      <c r="B1421" s="16">
        <v>1</v>
      </c>
      <c r="C1421" s="20">
        <v>0.96</v>
      </c>
      <c r="D1421" s="20">
        <v>0.13880369068795359</v>
      </c>
      <c r="E1421" s="20">
        <v>0.04</v>
      </c>
      <c r="F1421" s="8" t="s">
        <v>434</v>
      </c>
      <c r="G1421" s="24">
        <v>0.57566030322723072</v>
      </c>
      <c r="H1421" s="24">
        <v>0.57899322944153842</v>
      </c>
      <c r="I1421" s="25">
        <v>0.58911903079188466</v>
      </c>
      <c r="L1421" s="15">
        <v>1419</v>
      </c>
      <c r="M1421" s="16">
        <v>1</v>
      </c>
      <c r="N1421" s="16">
        <v>1</v>
      </c>
      <c r="O1421" s="16">
        <v>6</v>
      </c>
      <c r="P1421" s="16">
        <v>123</v>
      </c>
      <c r="Q1421" s="29">
        <v>62</v>
      </c>
      <c r="R1421" s="20">
        <v>0.62250000000000005</v>
      </c>
      <c r="S1421" s="32">
        <v>38.595000000000006</v>
      </c>
      <c r="T1421" s="35">
        <v>5.62</v>
      </c>
      <c r="U1421" s="35">
        <v>4.71</v>
      </c>
      <c r="V1421" s="35">
        <v>9.0645161290322587E-2</v>
      </c>
      <c r="W1421" s="9" t="s">
        <v>156</v>
      </c>
      <c r="X1421" s="15">
        <v>1420</v>
      </c>
      <c r="Y1421" s="39">
        <v>0.47137269141240584</v>
      </c>
      <c r="Z1421" s="39">
        <v>0.48525351182833931</v>
      </c>
      <c r="AA1421" s="39">
        <v>0.46968514340605017</v>
      </c>
      <c r="AB1421" s="39">
        <v>0.49035268697713724</v>
      </c>
      <c r="AC1421" s="39">
        <v>0.4658911082676821</v>
      </c>
      <c r="AD1421" s="39">
        <v>0.47724126943338985</v>
      </c>
      <c r="AE1421" s="39">
        <v>0.46634200814235932</v>
      </c>
      <c r="AF1421" s="40">
        <v>0.48387364709678943</v>
      </c>
    </row>
    <row r="1422" spans="1:32">
      <c r="A1422" s="15">
        <v>1420</v>
      </c>
      <c r="B1422" s="16">
        <v>0</v>
      </c>
      <c r="C1422" s="20">
        <v>0.54</v>
      </c>
      <c r="D1422" s="20">
        <v>0.46418960298120909</v>
      </c>
      <c r="E1422" s="20">
        <v>0.08</v>
      </c>
      <c r="F1422" s="8" t="s">
        <v>438</v>
      </c>
      <c r="G1422" s="24">
        <v>1.3551587987036695</v>
      </c>
      <c r="H1422" s="24">
        <v>1.3630048222342626</v>
      </c>
      <c r="I1422" s="25">
        <v>1.3868419162928929</v>
      </c>
      <c r="L1422" s="15">
        <v>1420</v>
      </c>
      <c r="M1422" s="16">
        <v>1</v>
      </c>
      <c r="N1422" s="16">
        <v>1</v>
      </c>
      <c r="O1422" s="16">
        <v>6</v>
      </c>
      <c r="P1422" s="16">
        <v>124</v>
      </c>
      <c r="Q1422" s="29">
        <v>57</v>
      </c>
      <c r="R1422" s="20">
        <v>0.62250000000000005</v>
      </c>
      <c r="S1422" s="32">
        <v>35.482500000000002</v>
      </c>
      <c r="T1422" s="35">
        <v>2.96</v>
      </c>
      <c r="U1422" s="35">
        <v>2.13</v>
      </c>
      <c r="V1422" s="35">
        <v>5.1929824561403506E-2</v>
      </c>
      <c r="W1422" s="9" t="s">
        <v>154</v>
      </c>
      <c r="X1422" s="15">
        <v>1421</v>
      </c>
      <c r="Y1422" s="39">
        <v>0.47926407931540738</v>
      </c>
      <c r="Z1422" s="39">
        <v>0.49163975803172227</v>
      </c>
      <c r="AA1422" s="39">
        <v>0.49534188860536527</v>
      </c>
      <c r="AB1422" s="39">
        <v>0.47927493545311356</v>
      </c>
      <c r="AC1422" s="39">
        <v>0.47353541681145123</v>
      </c>
      <c r="AD1422" s="39">
        <v>0.48375799268501446</v>
      </c>
      <c r="AE1422" s="39">
        <v>0.48900568645134956</v>
      </c>
      <c r="AF1422" s="40">
        <v>0.47854341474818213</v>
      </c>
    </row>
    <row r="1423" spans="1:32">
      <c r="A1423" s="15">
        <v>1421</v>
      </c>
      <c r="B1423" s="16">
        <v>1</v>
      </c>
      <c r="C1423" s="20">
        <v>0.95</v>
      </c>
      <c r="D1423" s="20">
        <v>0.15570568692893463</v>
      </c>
      <c r="E1423" s="20">
        <v>0.05</v>
      </c>
      <c r="F1423" s="8" t="s">
        <v>434</v>
      </c>
      <c r="G1423" s="24">
        <v>1.027608189869349</v>
      </c>
      <c r="H1423" s="24">
        <v>1.0335577789844088</v>
      </c>
      <c r="I1423" s="25">
        <v>1.0516332938987984</v>
      </c>
      <c r="L1423" s="15">
        <v>1421</v>
      </c>
      <c r="M1423" s="16">
        <v>1</v>
      </c>
      <c r="N1423" s="16">
        <v>1</v>
      </c>
      <c r="O1423" s="16">
        <v>6</v>
      </c>
      <c r="P1423" s="16">
        <v>125</v>
      </c>
      <c r="Q1423" s="29">
        <v>53</v>
      </c>
      <c r="R1423" s="20">
        <v>0.62250000000000005</v>
      </c>
      <c r="S1423" s="32">
        <v>32.9925</v>
      </c>
      <c r="T1423" s="35">
        <v>1.8</v>
      </c>
      <c r="U1423" s="35">
        <v>1.03</v>
      </c>
      <c r="V1423" s="35">
        <v>3.3962264150943396E-2</v>
      </c>
      <c r="W1423" s="9" t="s">
        <v>153</v>
      </c>
      <c r="X1423" s="15">
        <v>1422</v>
      </c>
      <c r="Y1423" s="39">
        <v>0.49207112214686088</v>
      </c>
      <c r="Z1423" s="39">
        <v>0.47420527372313331</v>
      </c>
      <c r="AA1423" s="39">
        <v>0.48962042536029304</v>
      </c>
      <c r="AB1423" s="39">
        <v>0.48859982875057428</v>
      </c>
      <c r="AC1423" s="39">
        <v>0.4821422911538521</v>
      </c>
      <c r="AD1423" s="39">
        <v>0.46850357637905349</v>
      </c>
      <c r="AE1423" s="39">
        <v>0.48305322724569522</v>
      </c>
      <c r="AF1423" s="40">
        <v>0.4835601297158853</v>
      </c>
    </row>
    <row r="1424" spans="1:32">
      <c r="A1424" s="15">
        <v>1422</v>
      </c>
      <c r="B1424" s="16">
        <v>0</v>
      </c>
      <c r="C1424" s="20">
        <v>0.57999999999999996</v>
      </c>
      <c r="D1424" s="20">
        <v>0.45717832510169443</v>
      </c>
      <c r="E1424" s="20">
        <v>0.09</v>
      </c>
      <c r="F1424" s="8" t="s">
        <v>438</v>
      </c>
      <c r="G1424" s="24">
        <v>0.81205733543098235</v>
      </c>
      <c r="H1424" s="24">
        <v>0.81675894011972949</v>
      </c>
      <c r="I1424" s="25">
        <v>0.83104293923790362</v>
      </c>
      <c r="L1424" s="15">
        <v>1422</v>
      </c>
      <c r="M1424" s="16">
        <v>1</v>
      </c>
      <c r="N1424" s="16">
        <v>1</v>
      </c>
      <c r="O1424" s="16">
        <v>6</v>
      </c>
      <c r="P1424" s="16">
        <v>126</v>
      </c>
      <c r="Q1424" s="29">
        <v>50</v>
      </c>
      <c r="R1424" s="20">
        <v>0.62250000000000005</v>
      </c>
      <c r="S1424" s="32">
        <v>31.125000000000004</v>
      </c>
      <c r="T1424" s="35">
        <v>0.84</v>
      </c>
      <c r="U1424" s="35">
        <v>0.14000000000000001</v>
      </c>
      <c r="V1424" s="35">
        <v>1.6799999999999999E-2</v>
      </c>
      <c r="W1424" s="9" t="s">
        <v>152</v>
      </c>
      <c r="X1424" s="15">
        <v>1423</v>
      </c>
      <c r="Y1424" s="39">
        <v>0.49168105845003074</v>
      </c>
      <c r="Z1424" s="39">
        <v>0.50320601317240776</v>
      </c>
      <c r="AA1424" s="39">
        <v>0.47872460618193086</v>
      </c>
      <c r="AB1424" s="39">
        <v>0.49363232032360027</v>
      </c>
      <c r="AC1424" s="39">
        <v>0.48833305987528913</v>
      </c>
      <c r="AD1424" s="39">
        <v>0.49400366294652787</v>
      </c>
      <c r="AE1424" s="39">
        <v>0.47249847759031549</v>
      </c>
      <c r="AF1424" s="40">
        <v>0.49149443482804006</v>
      </c>
    </row>
    <row r="1425" spans="1:32">
      <c r="A1425" s="15">
        <v>1423</v>
      </c>
      <c r="B1425" s="16">
        <v>1</v>
      </c>
      <c r="C1425" s="20">
        <v>0.02</v>
      </c>
      <c r="D1425" s="20">
        <v>0.99835916395484214</v>
      </c>
      <c r="E1425" s="20">
        <v>1</v>
      </c>
      <c r="F1425" s="8" t="s">
        <v>436</v>
      </c>
      <c r="G1425" s="24">
        <v>0.99507364819084287</v>
      </c>
      <c r="H1425" s="24">
        <v>1.0008348706142569</v>
      </c>
      <c r="I1425" s="25">
        <v>1.0183381065227568</v>
      </c>
      <c r="L1425" s="15">
        <v>1423</v>
      </c>
      <c r="M1425" s="16">
        <v>1</v>
      </c>
      <c r="N1425" s="16">
        <v>1</v>
      </c>
      <c r="O1425" s="16">
        <v>6</v>
      </c>
      <c r="P1425" s="16">
        <v>127</v>
      </c>
      <c r="Q1425" s="29">
        <v>49</v>
      </c>
      <c r="R1425" s="20">
        <v>0.62250000000000005</v>
      </c>
      <c r="S1425" s="32">
        <v>30.502500000000001</v>
      </c>
      <c r="T1425" s="35">
        <v>4.21</v>
      </c>
      <c r="U1425" s="35">
        <v>3.55</v>
      </c>
      <c r="V1425" s="35">
        <v>8.5918367346938779E-2</v>
      </c>
      <c r="W1425" s="9" t="s">
        <v>155</v>
      </c>
      <c r="X1425" s="15">
        <v>1424</v>
      </c>
      <c r="Y1425" s="39">
        <v>0.47711642395884862</v>
      </c>
      <c r="Z1425" s="39">
        <v>0.47471900347618062</v>
      </c>
      <c r="AA1425" s="39">
        <v>0.47012471470002581</v>
      </c>
      <c r="AB1425" s="39">
        <v>0.48630952959706769</v>
      </c>
      <c r="AC1425" s="39">
        <v>0.47014571855340964</v>
      </c>
      <c r="AD1425" s="39">
        <v>0.46890807419374542</v>
      </c>
      <c r="AE1425" s="39">
        <v>0.46397318109753816</v>
      </c>
      <c r="AF1425" s="40">
        <v>0.48071341832088532</v>
      </c>
    </row>
    <row r="1426" spans="1:32">
      <c r="A1426" s="15">
        <v>1424</v>
      </c>
      <c r="B1426" s="16">
        <v>1</v>
      </c>
      <c r="C1426" s="20">
        <v>0.3</v>
      </c>
      <c r="D1426" s="20">
        <v>0.72882113453125241</v>
      </c>
      <c r="E1426" s="20">
        <v>0.11</v>
      </c>
      <c r="F1426" s="8" t="s">
        <v>436</v>
      </c>
      <c r="G1426" s="24">
        <v>0.7488402290445676</v>
      </c>
      <c r="H1426" s="24">
        <v>0.75317582282395246</v>
      </c>
      <c r="I1426" s="25">
        <v>0.7663478400013467</v>
      </c>
      <c r="L1426" s="15">
        <v>1424</v>
      </c>
      <c r="M1426" s="16">
        <v>1</v>
      </c>
      <c r="N1426" s="16">
        <v>1</v>
      </c>
      <c r="O1426" s="16">
        <v>6</v>
      </c>
      <c r="P1426" s="16">
        <v>128</v>
      </c>
      <c r="Q1426" s="29">
        <v>76</v>
      </c>
      <c r="R1426" s="20">
        <v>0.62250000000000005</v>
      </c>
      <c r="S1426" s="32">
        <v>47.31</v>
      </c>
      <c r="T1426" s="35">
        <v>4.17</v>
      </c>
      <c r="U1426" s="35">
        <v>3.15</v>
      </c>
      <c r="V1426" s="35">
        <v>5.486842105263158E-2</v>
      </c>
      <c r="W1426" s="9" t="s">
        <v>155</v>
      </c>
      <c r="X1426" s="15">
        <v>1425</v>
      </c>
      <c r="Y1426" s="39">
        <v>0.49613662012454635</v>
      </c>
      <c r="Z1426" s="39">
        <v>0.47725911689559658</v>
      </c>
      <c r="AA1426" s="39">
        <v>0.47726173453375781</v>
      </c>
      <c r="AB1426" s="39">
        <v>0.49372738921124842</v>
      </c>
      <c r="AC1426" s="39">
        <v>0.48631577633232081</v>
      </c>
      <c r="AD1426" s="39">
        <v>0.4728168157020225</v>
      </c>
      <c r="AE1426" s="39">
        <v>0.46894483402942949</v>
      </c>
      <c r="AF1426" s="40">
        <v>0.48980817511497632</v>
      </c>
    </row>
    <row r="1427" spans="1:32">
      <c r="A1427" s="15">
        <v>1425</v>
      </c>
      <c r="B1427" s="16">
        <v>1</v>
      </c>
      <c r="C1427" s="20">
        <v>0.02</v>
      </c>
      <c r="D1427" s="20">
        <v>0.99679477127711513</v>
      </c>
      <c r="E1427" s="20">
        <v>1</v>
      </c>
      <c r="F1427" s="8" t="s">
        <v>436</v>
      </c>
      <c r="G1427" s="24">
        <v>1.0378733872483286</v>
      </c>
      <c r="H1427" s="24">
        <v>1.0438824092359482</v>
      </c>
      <c r="I1427" s="25">
        <v>1.0621384878419784</v>
      </c>
      <c r="L1427" s="15">
        <v>1425</v>
      </c>
      <c r="M1427" s="16">
        <v>1</v>
      </c>
      <c r="N1427" s="16">
        <v>1</v>
      </c>
      <c r="O1427" s="16">
        <v>6</v>
      </c>
      <c r="P1427" s="16">
        <v>129</v>
      </c>
      <c r="Q1427" s="29">
        <v>56</v>
      </c>
      <c r="R1427" s="20">
        <v>0.62250000000000005</v>
      </c>
      <c r="S1427" s="32">
        <v>34.86</v>
      </c>
      <c r="T1427" s="35">
        <v>2.23</v>
      </c>
      <c r="U1427" s="35">
        <v>1.37</v>
      </c>
      <c r="V1427" s="35">
        <v>3.982142857142857E-2</v>
      </c>
      <c r="W1427" s="9" t="s">
        <v>154</v>
      </c>
      <c r="X1427" s="15">
        <v>1426</v>
      </c>
      <c r="Y1427" s="39">
        <v>0.47945737077137884</v>
      </c>
      <c r="Z1427" s="39">
        <v>0.47358190481201129</v>
      </c>
      <c r="AA1427" s="39">
        <v>0.48546974417903588</v>
      </c>
      <c r="AB1427" s="39">
        <v>0.48414636793378973</v>
      </c>
      <c r="AC1427" s="39">
        <v>0.47497240602206653</v>
      </c>
      <c r="AD1427" s="39">
        <v>0.46538998740440451</v>
      </c>
      <c r="AE1427" s="39">
        <v>0.48219709691987844</v>
      </c>
      <c r="AF1427" s="40">
        <v>0.47819709145548012</v>
      </c>
    </row>
    <row r="1428" spans="1:32">
      <c r="A1428" s="15">
        <v>1426</v>
      </c>
      <c r="B1428" s="16">
        <v>0</v>
      </c>
      <c r="C1428" s="20">
        <v>0.02</v>
      </c>
      <c r="D1428" s="20">
        <v>0.99835916395484214</v>
      </c>
      <c r="E1428" s="20">
        <v>1</v>
      </c>
      <c r="F1428" s="8" t="s">
        <v>436</v>
      </c>
      <c r="G1428" s="24">
        <v>1.0577035308172729</v>
      </c>
      <c r="H1428" s="24">
        <v>1.0638273642743719</v>
      </c>
      <c r="I1428" s="25">
        <v>1.08243225292237</v>
      </c>
      <c r="L1428" s="15">
        <v>1426</v>
      </c>
      <c r="M1428" s="16">
        <v>1</v>
      </c>
      <c r="N1428" s="16">
        <v>1</v>
      </c>
      <c r="O1428" s="16">
        <v>6</v>
      </c>
      <c r="P1428" s="16">
        <v>130</v>
      </c>
      <c r="Q1428" s="29">
        <v>59</v>
      </c>
      <c r="R1428" s="20">
        <v>0.62250000000000005</v>
      </c>
      <c r="S1428" s="32">
        <v>36.727500000000006</v>
      </c>
      <c r="T1428" s="35">
        <v>4.1500000000000004</v>
      </c>
      <c r="U1428" s="35">
        <v>3.21</v>
      </c>
      <c r="V1428" s="35">
        <v>7.0338983050847459E-2</v>
      </c>
      <c r="W1428" s="9" t="s">
        <v>155</v>
      </c>
      <c r="X1428" s="15">
        <v>1427</v>
      </c>
      <c r="Y1428" s="39">
        <v>0.49107675811725088</v>
      </c>
      <c r="Z1428" s="39">
        <v>0.47633996467595879</v>
      </c>
      <c r="AA1428" s="39">
        <v>0.48398493040895646</v>
      </c>
      <c r="AB1428" s="39">
        <v>0.48781085385677386</v>
      </c>
      <c r="AC1428" s="39">
        <v>0.48322325689953061</v>
      </c>
      <c r="AD1428" s="39">
        <v>0.46880989073825952</v>
      </c>
      <c r="AE1428" s="39">
        <v>0.47639286625412652</v>
      </c>
      <c r="AF1428" s="40">
        <v>0.48510555442111691</v>
      </c>
    </row>
    <row r="1429" spans="1:32">
      <c r="A1429" s="15">
        <v>1427</v>
      </c>
      <c r="B1429" s="16">
        <v>1</v>
      </c>
      <c r="C1429" s="20">
        <v>0.51</v>
      </c>
      <c r="D1429" s="20">
        <v>0.52115341911211832</v>
      </c>
      <c r="E1429" s="20">
        <v>0.03</v>
      </c>
      <c r="F1429" s="8" t="s">
        <v>438</v>
      </c>
      <c r="G1429" s="24">
        <v>1.1008490701115501</v>
      </c>
      <c r="H1429" s="24">
        <v>1.1072227052279577</v>
      </c>
      <c r="I1429" s="25">
        <v>1.1265865191615771</v>
      </c>
      <c r="L1429" s="15">
        <v>1427</v>
      </c>
      <c r="M1429" s="16">
        <v>1</v>
      </c>
      <c r="N1429" s="16">
        <v>1</v>
      </c>
      <c r="O1429" s="16">
        <v>6</v>
      </c>
      <c r="P1429" s="16">
        <v>131</v>
      </c>
      <c r="Q1429" s="29">
        <v>56</v>
      </c>
      <c r="R1429" s="20">
        <v>0.62250000000000005</v>
      </c>
      <c r="S1429" s="32">
        <v>34.86</v>
      </c>
      <c r="T1429" s="35">
        <v>1.01</v>
      </c>
      <c r="U1429" s="35">
        <v>0.28000000000000003</v>
      </c>
      <c r="V1429" s="35">
        <v>1.8035714285714287E-2</v>
      </c>
      <c r="W1429" s="9" t="s">
        <v>153</v>
      </c>
      <c r="X1429" s="15">
        <v>1428</v>
      </c>
      <c r="Y1429" s="39">
        <v>0.47770555555876504</v>
      </c>
      <c r="Z1429" s="39">
        <v>0.47910038619534806</v>
      </c>
      <c r="AA1429" s="39">
        <v>0.48024424971742169</v>
      </c>
      <c r="AB1429" s="39">
        <v>0.50169387903675411</v>
      </c>
      <c r="AC1429" s="39">
        <v>0.46978186912749847</v>
      </c>
      <c r="AD1429" s="39">
        <v>0.47033721577792958</v>
      </c>
      <c r="AE1429" s="39">
        <v>0.47387862393185781</v>
      </c>
      <c r="AF1429" s="40">
        <v>0.49721211436335738</v>
      </c>
    </row>
    <row r="1430" spans="1:32">
      <c r="A1430" s="15">
        <v>1428</v>
      </c>
      <c r="B1430" s="16">
        <v>0</v>
      </c>
      <c r="C1430" s="20">
        <v>0.1</v>
      </c>
      <c r="D1430" s="20">
        <v>0.91979281840627514</v>
      </c>
      <c r="E1430" s="20">
        <v>0.09</v>
      </c>
      <c r="F1430" s="8" t="s">
        <v>436</v>
      </c>
      <c r="G1430" s="24">
        <v>0.94274637950119045</v>
      </c>
      <c r="H1430" s="24">
        <v>0.94820464039579799</v>
      </c>
      <c r="I1430" s="25">
        <v>0.96478744540957206</v>
      </c>
      <c r="L1430" s="15">
        <v>1428</v>
      </c>
      <c r="M1430" s="16">
        <v>1</v>
      </c>
      <c r="N1430" s="16">
        <v>1</v>
      </c>
      <c r="O1430" s="16">
        <v>6</v>
      </c>
      <c r="P1430" s="16">
        <v>132</v>
      </c>
      <c r="Q1430" s="29">
        <v>49</v>
      </c>
      <c r="R1430" s="20">
        <v>0.62250000000000005</v>
      </c>
      <c r="S1430" s="32">
        <v>30.502500000000001</v>
      </c>
      <c r="T1430" s="35">
        <v>1.59</v>
      </c>
      <c r="U1430" s="35">
        <v>0.88</v>
      </c>
      <c r="V1430" s="35">
        <v>3.2448979591836735E-2</v>
      </c>
      <c r="W1430" s="9" t="s">
        <v>153</v>
      </c>
      <c r="X1430" s="15">
        <v>1429</v>
      </c>
      <c r="Y1430" s="39">
        <v>0.47997123249655621</v>
      </c>
      <c r="Z1430" s="39">
        <v>0.48606853993784405</v>
      </c>
      <c r="AA1430" s="39">
        <v>0.48306569887756734</v>
      </c>
      <c r="AB1430" s="39">
        <v>0.49808245635411941</v>
      </c>
      <c r="AC1430" s="39">
        <v>0.47523454854899333</v>
      </c>
      <c r="AD1430" s="39">
        <v>0.4800672284207837</v>
      </c>
      <c r="AE1430" s="39">
        <v>0.47702835819588707</v>
      </c>
      <c r="AF1430" s="40">
        <v>0.49383822817996181</v>
      </c>
    </row>
    <row r="1431" spans="1:32">
      <c r="A1431" s="15">
        <v>1429</v>
      </c>
      <c r="B1431" s="16">
        <v>1</v>
      </c>
      <c r="C1431" s="20">
        <v>0.92</v>
      </c>
      <c r="D1431" s="20">
        <v>0.20258497911151899</v>
      </c>
      <c r="E1431" s="20">
        <v>0.08</v>
      </c>
      <c r="F1431" s="8" t="s">
        <v>434</v>
      </c>
      <c r="G1431" s="24">
        <v>1.3699837448723318</v>
      </c>
      <c r="H1431" s="24">
        <v>1.3779156010570686</v>
      </c>
      <c r="I1431" s="25">
        <v>1.4020134642864961</v>
      </c>
      <c r="L1431" s="15">
        <v>1429</v>
      </c>
      <c r="M1431" s="16">
        <v>1</v>
      </c>
      <c r="N1431" s="16">
        <v>1</v>
      </c>
      <c r="O1431" s="16">
        <v>6</v>
      </c>
      <c r="P1431" s="16">
        <v>133</v>
      </c>
      <c r="Q1431" s="29">
        <v>54</v>
      </c>
      <c r="R1431" s="20">
        <v>0.62250000000000005</v>
      </c>
      <c r="S1431" s="32">
        <v>33.615000000000002</v>
      </c>
      <c r="T1431" s="35">
        <v>3.43</v>
      </c>
      <c r="U1431" s="35">
        <v>2.76</v>
      </c>
      <c r="V1431" s="35">
        <v>6.3518518518518516E-2</v>
      </c>
      <c r="W1431" s="9" t="s">
        <v>155</v>
      </c>
      <c r="X1431" s="15">
        <v>1430</v>
      </c>
      <c r="Y1431" s="39">
        <v>0.47758199671577856</v>
      </c>
      <c r="Z1431" s="39">
        <v>0.49072278180646217</v>
      </c>
      <c r="AA1431" s="39">
        <v>0.49721721646288236</v>
      </c>
      <c r="AB1431" s="39">
        <v>0.49446376471900605</v>
      </c>
      <c r="AC1431" s="39">
        <v>0.47178098808299812</v>
      </c>
      <c r="AD1431" s="39">
        <v>0.48458509766380997</v>
      </c>
      <c r="AE1431" s="39">
        <v>0.48903201299888838</v>
      </c>
      <c r="AF1431" s="40">
        <v>0.49149896658032793</v>
      </c>
    </row>
    <row r="1432" spans="1:32">
      <c r="A1432" s="15">
        <v>1430</v>
      </c>
      <c r="B1432" s="16">
        <v>1</v>
      </c>
      <c r="C1432" s="20">
        <v>0.02</v>
      </c>
      <c r="D1432" s="20">
        <v>0.99756714174924133</v>
      </c>
      <c r="E1432" s="20">
        <v>1</v>
      </c>
      <c r="F1432" s="8" t="s">
        <v>436</v>
      </c>
      <c r="G1432" s="24">
        <v>1.6010358060444529</v>
      </c>
      <c r="H1432" s="24">
        <v>1.6103053946856978</v>
      </c>
      <c r="I1432" s="25">
        <v>1.6384674382310183</v>
      </c>
      <c r="L1432" s="15">
        <v>1430</v>
      </c>
      <c r="M1432" s="16">
        <v>1</v>
      </c>
      <c r="N1432" s="16">
        <v>1</v>
      </c>
      <c r="O1432" s="16">
        <v>6</v>
      </c>
      <c r="P1432" s="16">
        <v>134</v>
      </c>
      <c r="Q1432" s="29">
        <v>77</v>
      </c>
      <c r="R1432" s="20">
        <v>0.62250000000000005</v>
      </c>
      <c r="S1432" s="32">
        <v>47.932500000000005</v>
      </c>
      <c r="T1432" s="35">
        <v>5.34</v>
      </c>
      <c r="U1432" s="35">
        <v>4.12</v>
      </c>
      <c r="V1432" s="35">
        <v>6.9350649350649343E-2</v>
      </c>
      <c r="W1432" s="9" t="s">
        <v>156</v>
      </c>
      <c r="X1432" s="15">
        <v>1431</v>
      </c>
      <c r="Y1432" s="39">
        <v>0.48437022390528595</v>
      </c>
      <c r="Z1432" s="39">
        <v>0.47652077039116664</v>
      </c>
      <c r="AA1432" s="39">
        <v>0.47537745745098048</v>
      </c>
      <c r="AB1432" s="39">
        <v>0.49503389886479909</v>
      </c>
      <c r="AC1432" s="39">
        <v>0.47719866731857752</v>
      </c>
      <c r="AD1432" s="39">
        <v>0.47153733398883363</v>
      </c>
      <c r="AE1432" s="39">
        <v>0.4664557556607698</v>
      </c>
      <c r="AF1432" s="40">
        <v>0.49104943942030238</v>
      </c>
    </row>
    <row r="1433" spans="1:32">
      <c r="A1433" s="15">
        <v>1431</v>
      </c>
      <c r="B1433" s="16">
        <v>0</v>
      </c>
      <c r="C1433" s="20">
        <v>0.95</v>
      </c>
      <c r="D1433" s="20">
        <v>0.15570568692893463</v>
      </c>
      <c r="E1433" s="20">
        <v>0.05</v>
      </c>
      <c r="F1433" s="8" t="s">
        <v>434</v>
      </c>
      <c r="G1433" s="24">
        <v>1.9796459999699358</v>
      </c>
      <c r="H1433" s="24">
        <v>1.9911076449910703</v>
      </c>
      <c r="I1433" s="25">
        <v>1.6578926537592125</v>
      </c>
      <c r="L1433" s="15">
        <v>1431</v>
      </c>
      <c r="M1433" s="16">
        <v>1</v>
      </c>
      <c r="N1433" s="16">
        <v>1</v>
      </c>
      <c r="O1433" s="16">
        <v>6</v>
      </c>
      <c r="P1433" s="16">
        <v>135</v>
      </c>
      <c r="Q1433" s="29">
        <v>56</v>
      </c>
      <c r="R1433" s="20">
        <v>0.62250000000000005</v>
      </c>
      <c r="S1433" s="32">
        <v>34.86</v>
      </c>
      <c r="T1433" s="35">
        <v>0.97</v>
      </c>
      <c r="U1433" s="35">
        <v>0.15</v>
      </c>
      <c r="V1433" s="35">
        <v>1.7321428571428571E-2</v>
      </c>
      <c r="W1433" s="9" t="s">
        <v>152</v>
      </c>
      <c r="X1433" s="15">
        <v>1432</v>
      </c>
      <c r="Y1433" s="39">
        <v>0.47694786387455229</v>
      </c>
      <c r="Z1433" s="39">
        <v>0.49388054481633609</v>
      </c>
      <c r="AA1433" s="39">
        <v>0.48169882693664828</v>
      </c>
      <c r="AB1433" s="39">
        <v>0.50026047169989263</v>
      </c>
      <c r="AC1433" s="39">
        <v>0.47215487224609803</v>
      </c>
      <c r="AD1433" s="39">
        <v>0.48529936351742892</v>
      </c>
      <c r="AE1433" s="39">
        <v>0.47844055962916199</v>
      </c>
      <c r="AF1433" s="40">
        <v>0.49431915187245123</v>
      </c>
    </row>
    <row r="1434" spans="1:32">
      <c r="A1434" s="15">
        <v>1432</v>
      </c>
      <c r="B1434" s="16">
        <v>1</v>
      </c>
      <c r="C1434" s="20">
        <v>0.1</v>
      </c>
      <c r="D1434" s="20">
        <v>0.93482778105690012</v>
      </c>
      <c r="E1434" s="20">
        <v>0.05</v>
      </c>
      <c r="F1434" s="8" t="s">
        <v>436</v>
      </c>
      <c r="G1434" s="24">
        <v>1.0299727721055134</v>
      </c>
      <c r="H1434" s="24">
        <v>1.0359360515481442</v>
      </c>
      <c r="I1434" s="25">
        <v>1.0540531592037143</v>
      </c>
      <c r="L1434" s="15">
        <v>1432</v>
      </c>
      <c r="M1434" s="16">
        <v>1</v>
      </c>
      <c r="N1434" s="16">
        <v>1</v>
      </c>
      <c r="O1434" s="16">
        <v>6</v>
      </c>
      <c r="P1434" s="16">
        <v>136</v>
      </c>
      <c r="Q1434" s="29">
        <v>60</v>
      </c>
      <c r="R1434" s="20">
        <v>0.62250000000000005</v>
      </c>
      <c r="S1434" s="32">
        <v>37.35</v>
      </c>
      <c r="T1434" s="35">
        <v>2.64</v>
      </c>
      <c r="U1434" s="35">
        <v>1.75</v>
      </c>
      <c r="V1434" s="35">
        <v>4.4000000000000004E-2</v>
      </c>
      <c r="W1434" s="9" t="s">
        <v>154</v>
      </c>
      <c r="X1434" s="15">
        <v>1433</v>
      </c>
      <c r="Y1434" s="39">
        <v>0.49020117276327441</v>
      </c>
      <c r="Z1434" s="39">
        <v>0.48883555877373025</v>
      </c>
      <c r="AA1434" s="39">
        <v>0.49055725914345916</v>
      </c>
      <c r="AB1434" s="39">
        <v>0.48697905064429009</v>
      </c>
      <c r="AC1434" s="39">
        <v>0.48187842389955288</v>
      </c>
      <c r="AD1434" s="39">
        <v>0.48224863720861111</v>
      </c>
      <c r="AE1434" s="39">
        <v>0.48068664669062028</v>
      </c>
      <c r="AF1434" s="40">
        <v>0.48236145588019436</v>
      </c>
    </row>
    <row r="1435" spans="1:32">
      <c r="A1435" s="15">
        <v>1433</v>
      </c>
      <c r="B1435" s="16">
        <v>0</v>
      </c>
      <c r="C1435" s="20">
        <v>0.28999999999999998</v>
      </c>
      <c r="D1435" s="20">
        <v>0.68459055028548876</v>
      </c>
      <c r="E1435" s="20">
        <v>0.08</v>
      </c>
      <c r="F1435" s="8" t="s">
        <v>436</v>
      </c>
      <c r="G1435" s="24">
        <v>0.8244243622037476</v>
      </c>
      <c r="H1435" s="24">
        <v>0.8291975688207377</v>
      </c>
      <c r="I1435" s="25">
        <v>0.84369910257816594</v>
      </c>
      <c r="L1435" s="15">
        <v>1433</v>
      </c>
      <c r="M1435" s="16">
        <v>1</v>
      </c>
      <c r="N1435" s="16">
        <v>1</v>
      </c>
      <c r="O1435" s="16">
        <v>6</v>
      </c>
      <c r="P1435" s="16">
        <v>137</v>
      </c>
      <c r="Q1435" s="29">
        <v>56</v>
      </c>
      <c r="R1435" s="20">
        <v>0.62250000000000005</v>
      </c>
      <c r="S1435" s="32">
        <v>34.86</v>
      </c>
      <c r="T1435" s="35">
        <v>3.54</v>
      </c>
      <c r="U1435" s="35">
        <v>2.9</v>
      </c>
      <c r="V1435" s="35">
        <v>6.3214285714285709E-2</v>
      </c>
      <c r="W1435" s="9" t="s">
        <v>155</v>
      </c>
      <c r="X1435" s="15">
        <v>1434</v>
      </c>
      <c r="Y1435" s="39">
        <v>0.47465099278700257</v>
      </c>
      <c r="Z1435" s="39">
        <v>0.49138080570371789</v>
      </c>
      <c r="AA1435" s="39">
        <v>0.49335853199881641</v>
      </c>
      <c r="AB1435" s="39">
        <v>0.49194504678864537</v>
      </c>
      <c r="AC1435" s="39">
        <v>0.46748939702220149</v>
      </c>
      <c r="AD1435" s="39">
        <v>0.4850727632379942</v>
      </c>
      <c r="AE1435" s="39">
        <v>0.48609855536614099</v>
      </c>
      <c r="AF1435" s="40">
        <v>0.49058423406293516</v>
      </c>
    </row>
    <row r="1436" spans="1:32">
      <c r="A1436" s="15">
        <v>1434</v>
      </c>
      <c r="B1436" s="16">
        <v>0</v>
      </c>
      <c r="C1436" s="20">
        <v>0.13</v>
      </c>
      <c r="D1436" s="20">
        <v>0.905734990271857</v>
      </c>
      <c r="E1436" s="20">
        <v>0.08</v>
      </c>
      <c r="F1436" s="8" t="s">
        <v>436</v>
      </c>
      <c r="G1436" s="24">
        <v>1.1672765430660912</v>
      </c>
      <c r="H1436" s="24">
        <v>1.1740347762948218</v>
      </c>
      <c r="I1436" s="25">
        <v>1.1945670421636749</v>
      </c>
      <c r="L1436" s="15">
        <v>1434</v>
      </c>
      <c r="M1436" s="16">
        <v>1</v>
      </c>
      <c r="N1436" s="16">
        <v>1</v>
      </c>
      <c r="O1436" s="16">
        <v>6</v>
      </c>
      <c r="P1436" s="16">
        <v>138</v>
      </c>
      <c r="Q1436" s="29">
        <v>52</v>
      </c>
      <c r="R1436" s="20">
        <v>0.62250000000000005</v>
      </c>
      <c r="S1436" s="32">
        <v>32.370000000000005</v>
      </c>
      <c r="T1436" s="35">
        <v>2.2599999999999998</v>
      </c>
      <c r="U1436" s="35">
        <v>1.71</v>
      </c>
      <c r="V1436" s="35">
        <v>4.3461538461538454E-2</v>
      </c>
      <c r="W1436" s="9" t="s">
        <v>154</v>
      </c>
      <c r="X1436" s="15">
        <v>1435</v>
      </c>
      <c r="Y1436" s="39">
        <v>0.49343993672969122</v>
      </c>
      <c r="Z1436" s="39">
        <v>0.48505421144619976</v>
      </c>
      <c r="AA1436" s="39">
        <v>0.49010738930615344</v>
      </c>
      <c r="AB1436" s="39">
        <v>0.49910734582235344</v>
      </c>
      <c r="AC1436" s="39">
        <v>0.48679108725068443</v>
      </c>
      <c r="AD1436" s="39">
        <v>0.47905763463499018</v>
      </c>
      <c r="AE1436" s="39">
        <v>0.48555696775452489</v>
      </c>
      <c r="AF1436" s="40">
        <v>0.49720627014316066</v>
      </c>
    </row>
    <row r="1437" spans="1:32">
      <c r="A1437" s="15">
        <v>1435</v>
      </c>
      <c r="B1437" s="16">
        <v>0</v>
      </c>
      <c r="C1437" s="20">
        <v>0.91</v>
      </c>
      <c r="D1437" s="20">
        <v>0.21727233298780477</v>
      </c>
      <c r="E1437" s="20">
        <v>0.09</v>
      </c>
      <c r="F1437" s="8" t="s">
        <v>434</v>
      </c>
      <c r="G1437" s="24">
        <v>0.71796617672315999</v>
      </c>
      <c r="H1437" s="24">
        <v>0.72212301762042486</v>
      </c>
      <c r="I1437" s="25">
        <v>0.73475196361689155</v>
      </c>
      <c r="L1437" s="15">
        <v>1435</v>
      </c>
      <c r="M1437" s="16">
        <v>1</v>
      </c>
      <c r="N1437" s="16">
        <v>1</v>
      </c>
      <c r="O1437" s="16">
        <v>6</v>
      </c>
      <c r="P1437" s="16">
        <v>139</v>
      </c>
      <c r="Q1437" s="29">
        <v>48</v>
      </c>
      <c r="R1437" s="20">
        <v>0.62250000000000005</v>
      </c>
      <c r="S1437" s="32">
        <v>29.880000000000003</v>
      </c>
      <c r="T1437" s="35">
        <v>1.77</v>
      </c>
      <c r="U1437" s="35">
        <v>1.1299999999999999</v>
      </c>
      <c r="V1437" s="35">
        <v>3.6874999999999998E-2</v>
      </c>
      <c r="W1437" s="9" t="s">
        <v>153</v>
      </c>
      <c r="X1437" s="15">
        <v>1436</v>
      </c>
      <c r="Y1437" s="39">
        <v>0.47315893664471276</v>
      </c>
      <c r="Z1437" s="39">
        <v>0.49138479067360574</v>
      </c>
      <c r="AA1437" s="39">
        <v>0.48753183485834556</v>
      </c>
      <c r="AB1437" s="39">
        <v>0.49121096371476397</v>
      </c>
      <c r="AC1437" s="39">
        <v>0.46549165199726678</v>
      </c>
      <c r="AD1437" s="39">
        <v>0.48326269707735553</v>
      </c>
      <c r="AE1437" s="39">
        <v>0.48022699902104687</v>
      </c>
      <c r="AF1437" s="40">
        <v>0.4873103519918634</v>
      </c>
    </row>
    <row r="1438" spans="1:32">
      <c r="A1438" s="15">
        <v>1436</v>
      </c>
      <c r="B1438" s="16">
        <v>0</v>
      </c>
      <c r="C1438" s="20">
        <v>0.68</v>
      </c>
      <c r="D1438" s="20">
        <v>0.42380100780603935</v>
      </c>
      <c r="E1438" s="20">
        <v>7.0000000000000007E-2</v>
      </c>
      <c r="F1438" s="8" t="s">
        <v>438</v>
      </c>
      <c r="G1438" s="24">
        <v>1.3059192573753287</v>
      </c>
      <c r="H1438" s="24">
        <v>1.3134801965303728</v>
      </c>
      <c r="I1438" s="25">
        <v>1.3364511724785868</v>
      </c>
      <c r="L1438" s="15">
        <v>1436</v>
      </c>
      <c r="M1438" s="16">
        <v>1</v>
      </c>
      <c r="N1438" s="16">
        <v>1</v>
      </c>
      <c r="O1438" s="16">
        <v>6</v>
      </c>
      <c r="P1438" s="16">
        <v>140</v>
      </c>
      <c r="Q1438" s="29">
        <v>60</v>
      </c>
      <c r="R1438" s="20">
        <v>0.62250000000000005</v>
      </c>
      <c r="S1438" s="32">
        <v>37.35</v>
      </c>
      <c r="T1438" s="35">
        <v>2.44</v>
      </c>
      <c r="U1438" s="35">
        <v>1.58</v>
      </c>
      <c r="V1438" s="35">
        <v>4.0666666666666663E-2</v>
      </c>
      <c r="W1438" s="9" t="s">
        <v>154</v>
      </c>
      <c r="X1438" s="15">
        <v>1437</v>
      </c>
      <c r="Y1438" s="39">
        <v>0.49294051899892299</v>
      </c>
      <c r="Z1438" s="39">
        <v>0.49759221946447357</v>
      </c>
      <c r="AA1438" s="39">
        <v>0.48579608642409028</v>
      </c>
      <c r="AB1438" s="39">
        <v>0.49504249759978702</v>
      </c>
      <c r="AC1438" s="39">
        <v>0.4891258869705632</v>
      </c>
      <c r="AD1438" s="39">
        <v>0.49169047186985482</v>
      </c>
      <c r="AE1438" s="39">
        <v>0.47958798916390333</v>
      </c>
      <c r="AF1438" s="40">
        <v>0.49193406738739098</v>
      </c>
    </row>
    <row r="1439" spans="1:32">
      <c r="A1439" s="15">
        <v>1437</v>
      </c>
      <c r="B1439" s="16">
        <v>0</v>
      </c>
      <c r="C1439" s="20">
        <v>0.88</v>
      </c>
      <c r="D1439" s="20">
        <v>0.25930874124763043</v>
      </c>
      <c r="E1439" s="20">
        <v>0.12</v>
      </c>
      <c r="F1439" s="8" t="s">
        <v>434</v>
      </c>
      <c r="G1439" s="24">
        <v>1.1549361325977328</v>
      </c>
      <c r="H1439" s="24">
        <v>1.161622917999829</v>
      </c>
      <c r="I1439" s="25">
        <v>1.1819381174072918</v>
      </c>
      <c r="L1439" s="15">
        <v>1437</v>
      </c>
      <c r="M1439" s="16">
        <v>1</v>
      </c>
      <c r="N1439" s="16">
        <v>1</v>
      </c>
      <c r="O1439" s="16">
        <v>6</v>
      </c>
      <c r="P1439" s="16">
        <v>141</v>
      </c>
      <c r="Q1439" s="29">
        <v>68</v>
      </c>
      <c r="R1439" s="20">
        <v>0.62250000000000005</v>
      </c>
      <c r="S1439" s="32">
        <v>42.330000000000005</v>
      </c>
      <c r="T1439" s="35">
        <v>5.37</v>
      </c>
      <c r="U1439" s="35">
        <v>4.51</v>
      </c>
      <c r="V1439" s="35">
        <v>7.8970588235294126E-2</v>
      </c>
      <c r="W1439" s="9" t="s">
        <v>156</v>
      </c>
      <c r="X1439" s="15">
        <v>1438</v>
      </c>
      <c r="Y1439" s="39">
        <v>0.47723539775300106</v>
      </c>
      <c r="Z1439" s="39">
        <v>0.48306537421461698</v>
      </c>
      <c r="AA1439" s="39">
        <v>0.4779478343068152</v>
      </c>
      <c r="AB1439" s="39">
        <v>0.47854138531572787</v>
      </c>
      <c r="AC1439" s="39">
        <v>0.47109964465185944</v>
      </c>
      <c r="AD1439" s="39">
        <v>0.47567034071408026</v>
      </c>
      <c r="AE1439" s="39">
        <v>0.4718613584332576</v>
      </c>
      <c r="AF1439" s="40">
        <v>0.47638442702193512</v>
      </c>
    </row>
    <row r="1440" spans="1:32">
      <c r="A1440" s="15">
        <v>1438</v>
      </c>
      <c r="B1440" s="16">
        <v>1</v>
      </c>
      <c r="C1440" s="20">
        <v>0.02</v>
      </c>
      <c r="D1440" s="20">
        <v>0.99679477127711513</v>
      </c>
      <c r="E1440" s="20">
        <v>1</v>
      </c>
      <c r="F1440" s="8" t="s">
        <v>436</v>
      </c>
      <c r="G1440" s="24">
        <v>1.0142258680161467</v>
      </c>
      <c r="H1440" s="24">
        <v>1.0200979769036091</v>
      </c>
      <c r="I1440" s="25">
        <v>1.0379380982500694</v>
      </c>
      <c r="L1440" s="15">
        <v>1438</v>
      </c>
      <c r="M1440" s="16">
        <v>1</v>
      </c>
      <c r="N1440" s="16">
        <v>1</v>
      </c>
      <c r="O1440" s="16">
        <v>6</v>
      </c>
      <c r="P1440" s="16">
        <v>142</v>
      </c>
      <c r="Q1440" s="29">
        <v>65</v>
      </c>
      <c r="R1440" s="20">
        <v>0.62250000000000005</v>
      </c>
      <c r="S1440" s="32">
        <v>40.462500000000006</v>
      </c>
      <c r="T1440" s="35">
        <v>2.33</v>
      </c>
      <c r="U1440" s="35">
        <v>1.1299999999999999</v>
      </c>
      <c r="V1440" s="35">
        <v>3.5846153846153847E-2</v>
      </c>
      <c r="W1440" s="9" t="s">
        <v>154</v>
      </c>
      <c r="X1440" s="15">
        <v>1439</v>
      </c>
      <c r="Y1440" s="39">
        <v>0.47813968059119394</v>
      </c>
      <c r="Z1440" s="39">
        <v>0.47901404929011671</v>
      </c>
      <c r="AA1440" s="39">
        <v>0.48023999023214864</v>
      </c>
      <c r="AB1440" s="39">
        <v>0.48976912326618149</v>
      </c>
      <c r="AC1440" s="39">
        <v>0.47288218713760488</v>
      </c>
      <c r="AD1440" s="39">
        <v>0.47360299529011962</v>
      </c>
      <c r="AE1440" s="39">
        <v>0.47497091382218215</v>
      </c>
      <c r="AF1440" s="40">
        <v>0.48616116483009186</v>
      </c>
    </row>
    <row r="1441" spans="1:32">
      <c r="A1441" s="15">
        <v>1439</v>
      </c>
      <c r="B1441" s="16">
        <v>1</v>
      </c>
      <c r="C1441" s="20">
        <v>0.28999999999999998</v>
      </c>
      <c r="D1441" s="20">
        <v>0.74291460780055285</v>
      </c>
      <c r="E1441" s="20">
        <v>0.12</v>
      </c>
      <c r="F1441" s="8" t="s">
        <v>436</v>
      </c>
      <c r="G1441" s="24">
        <v>1.2100660965677315</v>
      </c>
      <c r="H1441" s="24">
        <v>1.2170720703888993</v>
      </c>
      <c r="I1441" s="25">
        <v>1.238356999792477</v>
      </c>
      <c r="L1441" s="15">
        <v>1439</v>
      </c>
      <c r="M1441" s="16">
        <v>1</v>
      </c>
      <c r="N1441" s="16">
        <v>1</v>
      </c>
      <c r="O1441" s="16">
        <v>7</v>
      </c>
      <c r="P1441" s="16">
        <v>188</v>
      </c>
      <c r="Q1441" s="29">
        <v>26</v>
      </c>
      <c r="R1441" s="20">
        <v>0.62250000000000005</v>
      </c>
      <c r="S1441" s="32">
        <v>16.185000000000002</v>
      </c>
      <c r="T1441" s="35">
        <v>1.36</v>
      </c>
      <c r="U1441" s="35">
        <v>1.1399999999999999</v>
      </c>
      <c r="V1441" s="35">
        <v>5.2307692307692312E-2</v>
      </c>
      <c r="W1441" s="9" t="s">
        <v>153</v>
      </c>
      <c r="X1441" s="15">
        <v>1440</v>
      </c>
      <c r="Y1441" s="39">
        <v>0.49318156922576095</v>
      </c>
      <c r="Z1441" s="39">
        <v>0.49474901459770498</v>
      </c>
      <c r="AA1441" s="39">
        <v>0.49455084078692679</v>
      </c>
      <c r="AB1441" s="39">
        <v>0.48357211008532536</v>
      </c>
      <c r="AC1441" s="39">
        <v>0.48708034776564108</v>
      </c>
      <c r="AD1441" s="39">
        <v>0.48618908367187419</v>
      </c>
      <c r="AE1441" s="39">
        <v>0.48505679568567367</v>
      </c>
      <c r="AF1441" s="40">
        <v>0.47824354085200954</v>
      </c>
    </row>
    <row r="1442" spans="1:32">
      <c r="A1442" s="15">
        <v>1440</v>
      </c>
      <c r="B1442" s="16">
        <v>0</v>
      </c>
      <c r="C1442" s="20">
        <v>0.66</v>
      </c>
      <c r="D1442" s="20">
        <v>0.43616556427400549</v>
      </c>
      <c r="E1442" s="20">
        <v>0.06</v>
      </c>
      <c r="F1442" s="8" t="s">
        <v>438</v>
      </c>
      <c r="G1442" s="24">
        <v>0.52096222941197035</v>
      </c>
      <c r="H1442" s="24">
        <v>0.52397846774095913</v>
      </c>
      <c r="I1442" s="25">
        <v>0.53314213599545901</v>
      </c>
      <c r="L1442" s="15">
        <v>1440</v>
      </c>
      <c r="M1442" s="16">
        <v>1</v>
      </c>
      <c r="N1442" s="16">
        <v>1</v>
      </c>
      <c r="O1442" s="16">
        <v>7</v>
      </c>
      <c r="P1442" s="16">
        <v>189</v>
      </c>
      <c r="Q1442" s="29">
        <v>27</v>
      </c>
      <c r="R1442" s="20">
        <v>0.62250000000000005</v>
      </c>
      <c r="S1442" s="32">
        <v>16.807500000000001</v>
      </c>
      <c r="T1442" s="35">
        <v>0.8</v>
      </c>
      <c r="U1442" s="35">
        <v>0.45</v>
      </c>
      <c r="V1442" s="35">
        <v>2.9629629629629631E-2</v>
      </c>
      <c r="W1442" s="9" t="s">
        <v>152</v>
      </c>
      <c r="X1442" s="15">
        <v>1441</v>
      </c>
      <c r="Y1442" s="39">
        <v>0.49411473150937735</v>
      </c>
      <c r="Z1442" s="39">
        <v>0.48801921610451421</v>
      </c>
      <c r="AA1442" s="39">
        <v>0.47642291503135298</v>
      </c>
      <c r="AB1442" s="39">
        <v>0.48491909556395674</v>
      </c>
      <c r="AC1442" s="39">
        <v>0.4886351135378707</v>
      </c>
      <c r="AD1442" s="39">
        <v>0.47979288890637639</v>
      </c>
      <c r="AE1442" s="39">
        <v>0.46852901044094081</v>
      </c>
      <c r="AF1442" s="40">
        <v>0.48084364881686092</v>
      </c>
    </row>
    <row r="1443" spans="1:32">
      <c r="A1443" s="15">
        <v>1441</v>
      </c>
      <c r="B1443" s="16">
        <v>0</v>
      </c>
      <c r="C1443" s="20">
        <v>0.13</v>
      </c>
      <c r="D1443" s="20">
        <v>0.88776801342509748</v>
      </c>
      <c r="E1443" s="20">
        <v>0.05</v>
      </c>
      <c r="F1443" s="8" t="s">
        <v>436</v>
      </c>
      <c r="G1443" s="24">
        <v>1.2456087151243398</v>
      </c>
      <c r="H1443" s="24">
        <v>1.2528204716344447</v>
      </c>
      <c r="I1443" s="25">
        <v>1.274730591784992</v>
      </c>
      <c r="L1443" s="15">
        <v>1441</v>
      </c>
      <c r="M1443" s="16">
        <v>1</v>
      </c>
      <c r="N1443" s="16">
        <v>1</v>
      </c>
      <c r="O1443" s="16">
        <v>7</v>
      </c>
      <c r="P1443" s="16">
        <v>190</v>
      </c>
      <c r="Q1443" s="29">
        <v>36</v>
      </c>
      <c r="R1443" s="20">
        <v>0.62250000000000005</v>
      </c>
      <c r="S1443" s="32">
        <v>22.410000000000004</v>
      </c>
      <c r="T1443" s="35">
        <v>1.56</v>
      </c>
      <c r="U1443" s="35">
        <v>0.99</v>
      </c>
      <c r="V1443" s="35">
        <v>4.3333333333333335E-2</v>
      </c>
      <c r="W1443" s="9" t="s">
        <v>153</v>
      </c>
      <c r="X1443" s="15">
        <v>1442</v>
      </c>
      <c r="Y1443" s="39">
        <v>0.49444408036010512</v>
      </c>
      <c r="Z1443" s="39">
        <v>0.48109458398718014</v>
      </c>
      <c r="AA1443" s="39">
        <v>0.48125999614974452</v>
      </c>
      <c r="AB1443" s="39">
        <v>0.48805576178964993</v>
      </c>
      <c r="AC1443" s="39">
        <v>0.48672427311539418</v>
      </c>
      <c r="AD1443" s="39">
        <v>0.47346006615420899</v>
      </c>
      <c r="AE1443" s="39">
        <v>0.47216896757056526</v>
      </c>
      <c r="AF1443" s="40">
        <v>0.48392328630136638</v>
      </c>
    </row>
    <row r="1444" spans="1:32">
      <c r="A1444" s="15">
        <v>1442</v>
      </c>
      <c r="B1444" s="16">
        <v>0</v>
      </c>
      <c r="C1444" s="20">
        <v>0.91</v>
      </c>
      <c r="D1444" s="20">
        <v>0.21727233298780477</v>
      </c>
      <c r="E1444" s="20">
        <v>0.09</v>
      </c>
      <c r="F1444" s="8" t="s">
        <v>434</v>
      </c>
      <c r="G1444" s="24">
        <v>0.39680286147450688</v>
      </c>
      <c r="H1444" s="24">
        <v>0.39910024875569766</v>
      </c>
      <c r="I1444" s="25">
        <v>0.40607996739881869</v>
      </c>
      <c r="L1444" s="15">
        <v>1442</v>
      </c>
      <c r="M1444" s="16">
        <v>1</v>
      </c>
      <c r="N1444" s="16">
        <v>1</v>
      </c>
      <c r="O1444" s="16">
        <v>7</v>
      </c>
      <c r="P1444" s="16">
        <v>191</v>
      </c>
      <c r="Q1444" s="29">
        <v>23</v>
      </c>
      <c r="R1444" s="20">
        <v>0.62250000000000005</v>
      </c>
      <c r="S1444" s="32">
        <v>14.317500000000001</v>
      </c>
      <c r="T1444" s="35">
        <v>0.55000000000000004</v>
      </c>
      <c r="U1444" s="35">
        <v>0.24</v>
      </c>
      <c r="V1444" s="35">
        <v>2.391304347826087E-2</v>
      </c>
      <c r="W1444" s="9" t="s">
        <v>152</v>
      </c>
      <c r="X1444" s="15">
        <v>1443</v>
      </c>
      <c r="Y1444" s="39">
        <v>0.48804046002934542</v>
      </c>
      <c r="Z1444" s="39">
        <v>0.50191980145647486</v>
      </c>
      <c r="AA1444" s="39">
        <v>0.4883703981616197</v>
      </c>
      <c r="AB1444" s="39">
        <v>0.48181921805030126</v>
      </c>
      <c r="AC1444" s="39">
        <v>0.47938260840909558</v>
      </c>
      <c r="AD1444" s="39">
        <v>0.49427506510023939</v>
      </c>
      <c r="AE1444" s="39">
        <v>0.48402706970299164</v>
      </c>
      <c r="AF1444" s="40">
        <v>0.47954188215622962</v>
      </c>
    </row>
    <row r="1445" spans="1:32">
      <c r="A1445" s="15">
        <v>1443</v>
      </c>
      <c r="B1445" s="16">
        <v>1</v>
      </c>
      <c r="C1445" s="20">
        <v>0.56999999999999995</v>
      </c>
      <c r="D1445" s="20">
        <v>0.60795868756192772</v>
      </c>
      <c r="E1445" s="20">
        <v>0.43</v>
      </c>
      <c r="F1445" s="8" t="s">
        <v>438</v>
      </c>
      <c r="G1445" s="24">
        <v>0.6284087364078087</v>
      </c>
      <c r="H1445" s="24">
        <v>0.63204706258582</v>
      </c>
      <c r="I1445" s="25">
        <v>0.64310070306791489</v>
      </c>
      <c r="L1445" s="15">
        <v>1443</v>
      </c>
      <c r="M1445" s="16">
        <v>1</v>
      </c>
      <c r="N1445" s="16">
        <v>1</v>
      </c>
      <c r="O1445" s="16">
        <v>7</v>
      </c>
      <c r="P1445" s="16">
        <v>192</v>
      </c>
      <c r="Q1445" s="29">
        <v>33</v>
      </c>
      <c r="R1445" s="20">
        <v>0.62250000000000005</v>
      </c>
      <c r="S1445" s="32">
        <v>20.5425</v>
      </c>
      <c r="T1445" s="35">
        <v>0.98000000000000009</v>
      </c>
      <c r="U1445" s="35">
        <v>0.51</v>
      </c>
      <c r="V1445" s="35">
        <v>2.9696969696969701E-2</v>
      </c>
      <c r="W1445" s="9" t="s">
        <v>152</v>
      </c>
      <c r="X1445" s="15">
        <v>1444</v>
      </c>
      <c r="Y1445" s="39">
        <v>0.48787197632423768</v>
      </c>
      <c r="Z1445" s="39">
        <v>0.48781209645882029</v>
      </c>
      <c r="AA1445" s="39">
        <v>0.48422247649433658</v>
      </c>
      <c r="AB1445" s="39">
        <v>0.49947304503221884</v>
      </c>
      <c r="AC1445" s="39">
        <v>0.47986821763722703</v>
      </c>
      <c r="AD1445" s="39">
        <v>0.47880352176388979</v>
      </c>
      <c r="AE1445" s="39">
        <v>0.47761180277372983</v>
      </c>
      <c r="AF1445" s="40">
        <v>0.49494204147336213</v>
      </c>
    </row>
    <row r="1446" spans="1:32">
      <c r="A1446" s="15">
        <v>1444</v>
      </c>
      <c r="B1446" s="16">
        <v>1</v>
      </c>
      <c r="C1446" s="20">
        <v>0.02</v>
      </c>
      <c r="D1446" s="20">
        <v>0.99835916395484214</v>
      </c>
      <c r="E1446" s="20">
        <v>1</v>
      </c>
      <c r="F1446" s="8" t="s">
        <v>436</v>
      </c>
      <c r="G1446" s="24">
        <v>1.0556020420661556</v>
      </c>
      <c r="H1446" s="24">
        <v>1.0617137084398056</v>
      </c>
      <c r="I1446" s="25">
        <v>1.0802816321320572</v>
      </c>
      <c r="L1446" s="15">
        <v>1444</v>
      </c>
      <c r="M1446" s="16">
        <v>1</v>
      </c>
      <c r="N1446" s="16">
        <v>1</v>
      </c>
      <c r="O1446" s="16">
        <v>7</v>
      </c>
      <c r="P1446" s="16">
        <v>193</v>
      </c>
      <c r="Q1446" s="29">
        <v>45</v>
      </c>
      <c r="R1446" s="20">
        <v>0.62250000000000005</v>
      </c>
      <c r="S1446" s="32">
        <v>28.012500000000003</v>
      </c>
      <c r="T1446" s="35">
        <v>1.33</v>
      </c>
      <c r="U1446" s="35">
        <v>0.52</v>
      </c>
      <c r="V1446" s="35">
        <v>2.9555555555555557E-2</v>
      </c>
      <c r="W1446" s="9" t="s">
        <v>153</v>
      </c>
      <c r="X1446" s="15">
        <v>1445</v>
      </c>
      <c r="Y1446" s="39">
        <v>0.49647054729483076</v>
      </c>
      <c r="Z1446" s="39">
        <v>0.48431796201970767</v>
      </c>
      <c r="AA1446" s="39">
        <v>0.48210128438575428</v>
      </c>
      <c r="AB1446" s="39">
        <v>0.50097898508073091</v>
      </c>
      <c r="AC1446" s="39">
        <v>0.48877662147578727</v>
      </c>
      <c r="AD1446" s="39">
        <v>0.47910209137943593</v>
      </c>
      <c r="AE1446" s="39">
        <v>0.47463373172040613</v>
      </c>
      <c r="AF1446" s="40">
        <v>0.49545823432457198</v>
      </c>
    </row>
    <row r="1447" spans="1:32">
      <c r="A1447" s="15">
        <v>1445</v>
      </c>
      <c r="B1447" s="16">
        <v>0</v>
      </c>
      <c r="C1447" s="20">
        <v>0.02</v>
      </c>
      <c r="D1447" s="20">
        <v>0.99756714174924133</v>
      </c>
      <c r="E1447" s="20">
        <v>1</v>
      </c>
      <c r="F1447" s="8" t="s">
        <v>436</v>
      </c>
      <c r="G1447" s="24">
        <v>1.006361117626106</v>
      </c>
      <c r="H1447" s="24">
        <v>1.0121876916163435</v>
      </c>
      <c r="I1447" s="25">
        <v>1.0298894728693961</v>
      </c>
      <c r="L1447" s="15">
        <v>1445</v>
      </c>
      <c r="M1447" s="16">
        <v>1</v>
      </c>
      <c r="N1447" s="16">
        <v>1</v>
      </c>
      <c r="O1447" s="16">
        <v>7</v>
      </c>
      <c r="P1447" s="16">
        <v>194</v>
      </c>
      <c r="Q1447" s="29">
        <v>46</v>
      </c>
      <c r="R1447" s="20">
        <v>0.62250000000000005</v>
      </c>
      <c r="S1447" s="32">
        <v>28.635000000000002</v>
      </c>
      <c r="T1447" s="35">
        <v>2.93</v>
      </c>
      <c r="U1447" s="35">
        <v>2.31</v>
      </c>
      <c r="V1447" s="35">
        <v>6.3695652173913042E-2</v>
      </c>
      <c r="W1447" s="9" t="s">
        <v>154</v>
      </c>
      <c r="X1447" s="15">
        <v>1446</v>
      </c>
      <c r="Y1447" s="39">
        <v>0.49509879276897567</v>
      </c>
      <c r="Z1447" s="39">
        <v>0.48259329902384202</v>
      </c>
      <c r="AA1447" s="39">
        <v>0.47760817780728737</v>
      </c>
      <c r="AB1447" s="39">
        <v>0.49419419372840034</v>
      </c>
      <c r="AC1447" s="39">
        <v>0.48983388515404636</v>
      </c>
      <c r="AD1447" s="39">
        <v>0.47469824581836817</v>
      </c>
      <c r="AE1447" s="39">
        <v>0.47093521451655124</v>
      </c>
      <c r="AF1447" s="40">
        <v>0.48823653668535955</v>
      </c>
    </row>
    <row r="1448" spans="1:32">
      <c r="A1448" s="15">
        <v>1446</v>
      </c>
      <c r="B1448" s="16">
        <v>1</v>
      </c>
      <c r="C1448" s="20">
        <v>0.93</v>
      </c>
      <c r="D1448" s="20">
        <v>0.18747949848141848</v>
      </c>
      <c r="E1448" s="20">
        <v>7.0000000000000007E-2</v>
      </c>
      <c r="F1448" s="8" t="s">
        <v>434</v>
      </c>
      <c r="G1448" s="24">
        <v>0.55350884764298669</v>
      </c>
      <c r="H1448" s="24">
        <v>0.55671352258377782</v>
      </c>
      <c r="I1448" s="25">
        <v>0.5664496822693964</v>
      </c>
      <c r="L1448" s="15">
        <v>1446</v>
      </c>
      <c r="M1448" s="16">
        <v>1</v>
      </c>
      <c r="N1448" s="16">
        <v>1</v>
      </c>
      <c r="O1448" s="16">
        <v>7</v>
      </c>
      <c r="P1448" s="16">
        <v>195</v>
      </c>
      <c r="Q1448" s="29">
        <v>39</v>
      </c>
      <c r="R1448" s="20">
        <v>0.62250000000000005</v>
      </c>
      <c r="S1448" s="32">
        <v>24.277500000000003</v>
      </c>
      <c r="T1448" s="35">
        <v>1.88</v>
      </c>
      <c r="U1448" s="35">
        <v>1.4</v>
      </c>
      <c r="V1448" s="35">
        <v>4.8205128205128199E-2</v>
      </c>
      <c r="W1448" s="9" t="s">
        <v>153</v>
      </c>
      <c r="X1448" s="15">
        <v>1447</v>
      </c>
      <c r="Y1448" s="39">
        <v>0.49579145573809774</v>
      </c>
      <c r="Z1448" s="39">
        <v>0.48458348369651322</v>
      </c>
      <c r="AA1448" s="39">
        <v>0.48132201920125772</v>
      </c>
      <c r="AB1448" s="39">
        <v>0.48042387176487572</v>
      </c>
      <c r="AC1448" s="39">
        <v>0.48526668587694355</v>
      </c>
      <c r="AD1448" s="39">
        <v>0.47699854624892202</v>
      </c>
      <c r="AE1448" s="39">
        <v>0.47542601191696926</v>
      </c>
      <c r="AF1448" s="40">
        <v>0.47348652032521982</v>
      </c>
    </row>
    <row r="1449" spans="1:32">
      <c r="A1449" s="15">
        <v>1447</v>
      </c>
      <c r="B1449" s="16">
        <v>0</v>
      </c>
      <c r="C1449" s="20">
        <v>0.84</v>
      </c>
      <c r="D1449" s="20">
        <v>0.31176052336924964</v>
      </c>
      <c r="E1449" s="20">
        <v>0.16</v>
      </c>
      <c r="F1449" s="8" t="s">
        <v>434</v>
      </c>
      <c r="G1449" s="24">
        <v>0.51987223794396886</v>
      </c>
      <c r="H1449" s="24">
        <v>0.52288216550058608</v>
      </c>
      <c r="I1449" s="25">
        <v>0.53202666092517792</v>
      </c>
      <c r="L1449" s="15">
        <v>1447</v>
      </c>
      <c r="M1449" s="16">
        <v>1</v>
      </c>
      <c r="N1449" s="16">
        <v>1</v>
      </c>
      <c r="O1449" s="16">
        <v>8</v>
      </c>
      <c r="P1449" s="16">
        <v>143</v>
      </c>
      <c r="Q1449" s="29">
        <v>58</v>
      </c>
      <c r="R1449" s="20">
        <v>0.62250000000000005</v>
      </c>
      <c r="S1449" s="32">
        <v>36.105000000000004</v>
      </c>
      <c r="T1449" s="35">
        <v>2.52</v>
      </c>
      <c r="U1449" s="35">
        <v>1.68</v>
      </c>
      <c r="V1449" s="35">
        <v>4.3448275862068966E-2</v>
      </c>
      <c r="W1449" s="9" t="s">
        <v>154</v>
      </c>
      <c r="X1449" s="15">
        <v>1448</v>
      </c>
      <c r="Y1449" s="39">
        <v>0.49872997973873012</v>
      </c>
      <c r="Z1449" s="39">
        <v>0.49355898885351668</v>
      </c>
      <c r="AA1449" s="39">
        <v>0.48945032684664852</v>
      </c>
      <c r="AB1449" s="39">
        <v>0.47670070310723645</v>
      </c>
      <c r="AC1449" s="39">
        <v>0.48984547233360737</v>
      </c>
      <c r="AD1449" s="39">
        <v>0.48566025329547863</v>
      </c>
      <c r="AE1449" s="39">
        <v>0.48240344040959154</v>
      </c>
      <c r="AF1449" s="40">
        <v>0.4739951708602092</v>
      </c>
    </row>
    <row r="1450" spans="1:32">
      <c r="A1450" s="15">
        <v>1448</v>
      </c>
      <c r="B1450" s="16">
        <v>0</v>
      </c>
      <c r="C1450" s="20">
        <v>0.52</v>
      </c>
      <c r="D1450" s="20">
        <v>0.47161807292475916</v>
      </c>
      <c r="E1450" s="20">
        <v>0.06</v>
      </c>
      <c r="F1450" s="8" t="s">
        <v>438</v>
      </c>
      <c r="G1450" s="24">
        <v>0.98163725141433</v>
      </c>
      <c r="H1450" s="24">
        <v>0.98732068053014355</v>
      </c>
      <c r="I1450" s="25">
        <v>1.0045875716987671</v>
      </c>
      <c r="L1450" s="15">
        <v>1448</v>
      </c>
      <c r="M1450" s="16">
        <v>1</v>
      </c>
      <c r="N1450" s="16">
        <v>1</v>
      </c>
      <c r="O1450" s="16">
        <v>8</v>
      </c>
      <c r="P1450" s="16">
        <v>144</v>
      </c>
      <c r="Q1450" s="29">
        <v>56</v>
      </c>
      <c r="R1450" s="20">
        <v>0.62250000000000005</v>
      </c>
      <c r="S1450" s="32">
        <v>34.86</v>
      </c>
      <c r="T1450" s="35">
        <v>3.1</v>
      </c>
      <c r="U1450" s="35">
        <v>2.4</v>
      </c>
      <c r="V1450" s="35">
        <v>5.5357142857142862E-2</v>
      </c>
      <c r="W1450" s="9" t="s">
        <v>155</v>
      </c>
      <c r="X1450" s="15">
        <v>1449</v>
      </c>
      <c r="Y1450" s="39">
        <v>0.48725662114570295</v>
      </c>
      <c r="Z1450" s="39">
        <v>0.47871223150639952</v>
      </c>
      <c r="AA1450" s="39">
        <v>0.49213058251633329</v>
      </c>
      <c r="AB1450" s="39">
        <v>0.49854634288496696</v>
      </c>
      <c r="AC1450" s="39">
        <v>0.48173019937088135</v>
      </c>
      <c r="AD1450" s="39">
        <v>0.47292510977131036</v>
      </c>
      <c r="AE1450" s="39">
        <v>0.48583823822928113</v>
      </c>
      <c r="AF1450" s="40">
        <v>0.49353818337415212</v>
      </c>
    </row>
    <row r="1451" spans="1:32">
      <c r="A1451" s="15">
        <v>1449</v>
      </c>
      <c r="B1451" s="16">
        <v>1</v>
      </c>
      <c r="C1451" s="20">
        <v>0.26</v>
      </c>
      <c r="D1451" s="20">
        <v>0.72180792529696647</v>
      </c>
      <c r="E1451" s="20">
        <v>0.05</v>
      </c>
      <c r="F1451" s="8" t="s">
        <v>436</v>
      </c>
      <c r="G1451" s="24">
        <v>0.92301742630057393</v>
      </c>
      <c r="H1451" s="24">
        <v>0.92836146159210531</v>
      </c>
      <c r="I1451" s="25">
        <v>0.94459723649134864</v>
      </c>
      <c r="L1451" s="15">
        <v>1449</v>
      </c>
      <c r="M1451" s="16">
        <v>1</v>
      </c>
      <c r="N1451" s="16">
        <v>1</v>
      </c>
      <c r="O1451" s="16">
        <v>8</v>
      </c>
      <c r="P1451" s="16">
        <v>145</v>
      </c>
      <c r="Q1451" s="29">
        <v>45</v>
      </c>
      <c r="R1451" s="20">
        <v>0.62250000000000005</v>
      </c>
      <c r="S1451" s="32">
        <v>28.012500000000003</v>
      </c>
      <c r="T1451" s="35">
        <v>2.21</v>
      </c>
      <c r="U1451" s="35">
        <v>1.42</v>
      </c>
      <c r="V1451" s="35">
        <v>4.9111111111111112E-2</v>
      </c>
      <c r="W1451" s="9" t="s">
        <v>154</v>
      </c>
      <c r="X1451" s="15">
        <v>1450</v>
      </c>
      <c r="Y1451" s="39">
        <v>0.48174034422434081</v>
      </c>
      <c r="Z1451" s="39">
        <v>0.48490800808962231</v>
      </c>
      <c r="AA1451" s="39">
        <v>0.48017989622345431</v>
      </c>
      <c r="AB1451" s="39">
        <v>0.48488126737401627</v>
      </c>
      <c r="AC1451" s="39">
        <v>0.47441311711848583</v>
      </c>
      <c r="AD1451" s="39">
        <v>0.47414962858648896</v>
      </c>
      <c r="AE1451" s="39">
        <v>0.47416500701263103</v>
      </c>
      <c r="AF1451" s="40">
        <v>0.47878392282752169</v>
      </c>
    </row>
    <row r="1452" spans="1:32">
      <c r="A1452" s="15">
        <v>1450</v>
      </c>
      <c r="B1452" s="16">
        <v>0</v>
      </c>
      <c r="C1452" s="20">
        <v>0.34</v>
      </c>
      <c r="D1452" s="20">
        <v>0.66051397755963459</v>
      </c>
      <c r="E1452" s="20">
        <v>0.12</v>
      </c>
      <c r="F1452" s="8" t="s">
        <v>436</v>
      </c>
      <c r="G1452" s="24">
        <v>0.99357146585066947</v>
      </c>
      <c r="H1452" s="24">
        <v>0.99932399102177649</v>
      </c>
      <c r="I1452" s="25">
        <v>1.0168008037083114</v>
      </c>
      <c r="L1452" s="15">
        <v>1450</v>
      </c>
      <c r="M1452" s="16">
        <v>1</v>
      </c>
      <c r="N1452" s="16">
        <v>1</v>
      </c>
      <c r="O1452" s="16">
        <v>8</v>
      </c>
      <c r="P1452" s="16">
        <v>146</v>
      </c>
      <c r="Q1452" s="29">
        <v>52</v>
      </c>
      <c r="R1452" s="20">
        <v>0.62250000000000005</v>
      </c>
      <c r="S1452" s="32">
        <v>32.370000000000005</v>
      </c>
      <c r="T1452" s="35">
        <v>1.5</v>
      </c>
      <c r="U1452" s="35">
        <v>0.77</v>
      </c>
      <c r="V1452" s="35">
        <v>2.8846153846153848E-2</v>
      </c>
      <c r="W1452" s="9" t="s">
        <v>153</v>
      </c>
      <c r="X1452" s="15">
        <v>1451</v>
      </c>
      <c r="Y1452" s="39">
        <v>0.49628585956726318</v>
      </c>
      <c r="Z1452" s="39">
        <v>0.50175375357734386</v>
      </c>
      <c r="AA1452" s="39">
        <v>0.48592083751354859</v>
      </c>
      <c r="AB1452" s="39">
        <v>0.49546010394208861</v>
      </c>
      <c r="AC1452" s="39">
        <v>0.48855706476253968</v>
      </c>
      <c r="AD1452" s="39">
        <v>0.49487779690253947</v>
      </c>
      <c r="AE1452" s="39">
        <v>0.48082154597209387</v>
      </c>
      <c r="AF1452" s="40">
        <v>0.49041197936215647</v>
      </c>
    </row>
    <row r="1453" spans="1:32">
      <c r="A1453" s="15">
        <v>1451</v>
      </c>
      <c r="B1453" s="16">
        <v>0</v>
      </c>
      <c r="C1453" s="20">
        <v>0.93</v>
      </c>
      <c r="D1453" s="20">
        <v>0.18747949848141848</v>
      </c>
      <c r="E1453" s="20">
        <v>7.0000000000000007E-2</v>
      </c>
      <c r="F1453" s="8" t="s">
        <v>434</v>
      </c>
      <c r="G1453" s="24">
        <v>0.79294704238586977</v>
      </c>
      <c r="H1453" s="24">
        <v>0.79753800335592362</v>
      </c>
      <c r="I1453" s="25">
        <v>0.81148585452358446</v>
      </c>
      <c r="L1453" s="15">
        <v>1451</v>
      </c>
      <c r="M1453" s="16">
        <v>1</v>
      </c>
      <c r="N1453" s="16">
        <v>1</v>
      </c>
      <c r="O1453" s="16">
        <v>8</v>
      </c>
      <c r="P1453" s="16">
        <v>147</v>
      </c>
      <c r="Q1453" s="29">
        <v>61</v>
      </c>
      <c r="R1453" s="20">
        <v>0.62250000000000005</v>
      </c>
      <c r="S1453" s="32">
        <v>37.972500000000004</v>
      </c>
      <c r="T1453" s="35">
        <v>3.46</v>
      </c>
      <c r="U1453" s="35">
        <v>2.46</v>
      </c>
      <c r="V1453" s="35">
        <v>5.6721311475409833E-2</v>
      </c>
      <c r="W1453" s="9" t="s">
        <v>155</v>
      </c>
      <c r="X1453" s="15">
        <v>1452</v>
      </c>
      <c r="Y1453" s="39">
        <v>0.50768278919149468</v>
      </c>
      <c r="Z1453" s="39">
        <v>0.49750409827545233</v>
      </c>
      <c r="AA1453" s="39">
        <v>0.49256665705212155</v>
      </c>
      <c r="AB1453" s="39">
        <v>0.49417508982539488</v>
      </c>
      <c r="AC1453" s="39">
        <v>0.49831210100161372</v>
      </c>
      <c r="AD1453" s="39">
        <v>0.4896771890515903</v>
      </c>
      <c r="AE1453" s="39">
        <v>0.48280663343911301</v>
      </c>
      <c r="AF1453" s="40">
        <v>0.49191729533725931</v>
      </c>
    </row>
    <row r="1454" spans="1:32">
      <c r="A1454" s="15">
        <v>1452</v>
      </c>
      <c r="B1454" s="16">
        <v>1</v>
      </c>
      <c r="C1454" s="20">
        <v>0.37</v>
      </c>
      <c r="D1454" s="20">
        <v>0.73407415990390168</v>
      </c>
      <c r="E1454" s="20">
        <v>0.11</v>
      </c>
      <c r="F1454" s="8" t="s">
        <v>436</v>
      </c>
      <c r="G1454" s="24">
        <v>1.1871991569829059</v>
      </c>
      <c r="H1454" s="24">
        <v>1.1940727370608262</v>
      </c>
      <c r="I1454" s="25">
        <v>1.2149554395148849</v>
      </c>
      <c r="L1454" s="15">
        <v>1452</v>
      </c>
      <c r="M1454" s="16">
        <v>1</v>
      </c>
      <c r="N1454" s="16">
        <v>1</v>
      </c>
      <c r="O1454" s="16">
        <v>8</v>
      </c>
      <c r="P1454" s="16">
        <v>148</v>
      </c>
      <c r="Q1454" s="29">
        <v>51</v>
      </c>
      <c r="R1454" s="20">
        <v>0.62250000000000005</v>
      </c>
      <c r="S1454" s="32">
        <v>31.747500000000002</v>
      </c>
      <c r="T1454" s="35">
        <v>1.75</v>
      </c>
      <c r="U1454" s="35">
        <v>1.07</v>
      </c>
      <c r="V1454" s="35">
        <v>3.4313725490196081E-2</v>
      </c>
      <c r="W1454" s="9" t="s">
        <v>153</v>
      </c>
      <c r="X1454" s="15">
        <v>1453</v>
      </c>
      <c r="Y1454" s="39">
        <v>0.48100762528210739</v>
      </c>
      <c r="Z1454" s="39">
        <v>0.49350741088480227</v>
      </c>
      <c r="AA1454" s="39">
        <v>0.48452311994705471</v>
      </c>
      <c r="AB1454" s="39">
        <v>0.48925178741128938</v>
      </c>
      <c r="AC1454" s="39">
        <v>0.47216134137681437</v>
      </c>
      <c r="AD1454" s="39">
        <v>0.48533358699873819</v>
      </c>
      <c r="AE1454" s="39">
        <v>0.47702494122957478</v>
      </c>
      <c r="AF1454" s="40">
        <v>0.48244726658122494</v>
      </c>
    </row>
    <row r="1455" spans="1:32">
      <c r="A1455" s="15">
        <v>1453</v>
      </c>
      <c r="B1455" s="16">
        <v>1</v>
      </c>
      <c r="C1455" s="20">
        <v>0.92</v>
      </c>
      <c r="D1455" s="20">
        <v>0.20258497911151899</v>
      </c>
      <c r="E1455" s="20">
        <v>0.08</v>
      </c>
      <c r="F1455" s="8" t="s">
        <v>434</v>
      </c>
      <c r="G1455" s="24">
        <v>0.51090370709994737</v>
      </c>
      <c r="H1455" s="24">
        <v>0.51386170915225882</v>
      </c>
      <c r="I1455" s="25">
        <v>0.52284844910678974</v>
      </c>
      <c r="L1455" s="15">
        <v>1453</v>
      </c>
      <c r="M1455" s="16">
        <v>1</v>
      </c>
      <c r="N1455" s="16">
        <v>1</v>
      </c>
      <c r="O1455" s="16">
        <v>8</v>
      </c>
      <c r="P1455" s="16">
        <v>149</v>
      </c>
      <c r="Q1455" s="29">
        <v>60</v>
      </c>
      <c r="R1455" s="20">
        <v>0.62250000000000005</v>
      </c>
      <c r="S1455" s="32">
        <v>37.35</v>
      </c>
      <c r="T1455" s="35">
        <v>1.68</v>
      </c>
      <c r="U1455" s="35">
        <v>0.86</v>
      </c>
      <c r="V1455" s="35">
        <v>2.8000000000000001E-2</v>
      </c>
      <c r="W1455" s="9" t="s">
        <v>153</v>
      </c>
      <c r="X1455" s="15">
        <v>1454</v>
      </c>
      <c r="Y1455" s="39">
        <v>0.50854953451303186</v>
      </c>
      <c r="Z1455" s="39">
        <v>0.48264793768063341</v>
      </c>
      <c r="AA1455" s="39">
        <v>0.49643697940185988</v>
      </c>
      <c r="AB1455" s="39">
        <v>0.50116349233457469</v>
      </c>
      <c r="AC1455" s="39">
        <v>0.50239485994643729</v>
      </c>
      <c r="AD1455" s="39">
        <v>0.47835627664922475</v>
      </c>
      <c r="AE1455" s="39">
        <v>0.48992931298080722</v>
      </c>
      <c r="AF1455" s="40">
        <v>0.49738843384107212</v>
      </c>
    </row>
    <row r="1456" spans="1:32">
      <c r="A1456" s="15">
        <v>1454</v>
      </c>
      <c r="B1456" s="16">
        <v>1</v>
      </c>
      <c r="C1456" s="20">
        <v>0.2</v>
      </c>
      <c r="D1456" s="20">
        <v>0.84835215358363247</v>
      </c>
      <c r="E1456" s="20">
        <v>7.0000000000000007E-2</v>
      </c>
      <c r="F1456" s="8" t="s">
        <v>436</v>
      </c>
      <c r="G1456" s="24">
        <v>0.80377496313440866</v>
      </c>
      <c r="H1456" s="24">
        <v>0.80842861500169294</v>
      </c>
      <c r="I1456" s="25">
        <v>0.82256692810310583</v>
      </c>
      <c r="L1456" s="15">
        <v>1454</v>
      </c>
      <c r="M1456" s="16">
        <v>1</v>
      </c>
      <c r="N1456" s="16">
        <v>1</v>
      </c>
      <c r="O1456" s="16">
        <v>8</v>
      </c>
      <c r="P1456" s="16">
        <v>150</v>
      </c>
      <c r="Q1456" s="29">
        <v>46</v>
      </c>
      <c r="R1456" s="20">
        <v>0.62250000000000005</v>
      </c>
      <c r="S1456" s="32">
        <v>28.635000000000002</v>
      </c>
      <c r="T1456" s="35">
        <v>1.1000000000000001</v>
      </c>
      <c r="U1456" s="35">
        <v>0.38</v>
      </c>
      <c r="V1456" s="35">
        <v>2.391304347826087E-2</v>
      </c>
      <c r="W1456" s="9" t="s">
        <v>153</v>
      </c>
      <c r="X1456" s="15">
        <v>1455</v>
      </c>
      <c r="Y1456" s="39">
        <v>0.48294364436609483</v>
      </c>
      <c r="Z1456" s="39">
        <v>0.48494390527786319</v>
      </c>
      <c r="AA1456" s="39">
        <v>0.50497978431264545</v>
      </c>
      <c r="AB1456" s="39">
        <v>0.48142143435143525</v>
      </c>
      <c r="AC1456" s="39">
        <v>0.47761459731054062</v>
      </c>
      <c r="AD1456" s="39">
        <v>0.47834312424789904</v>
      </c>
      <c r="AE1456" s="39">
        <v>0.49696660007362631</v>
      </c>
      <c r="AF1456" s="40">
        <v>0.4780269413198045</v>
      </c>
    </row>
    <row r="1457" spans="1:32">
      <c r="A1457" s="15">
        <v>1455</v>
      </c>
      <c r="B1457" s="16">
        <v>1</v>
      </c>
      <c r="C1457" s="20">
        <v>0.02</v>
      </c>
      <c r="D1457" s="20">
        <v>0.99756714174924133</v>
      </c>
      <c r="E1457" s="20">
        <v>1</v>
      </c>
      <c r="F1457" s="8" t="s">
        <v>436</v>
      </c>
      <c r="G1457" s="24">
        <v>0.97866213996056917</v>
      </c>
      <c r="H1457" s="24">
        <v>0.98432834394048385</v>
      </c>
      <c r="I1457" s="25">
        <v>1.001542903226212</v>
      </c>
      <c r="L1457" s="15">
        <v>1455</v>
      </c>
      <c r="M1457" s="16">
        <v>1</v>
      </c>
      <c r="N1457" s="16">
        <v>1</v>
      </c>
      <c r="O1457" s="16">
        <v>8</v>
      </c>
      <c r="P1457" s="16">
        <v>151</v>
      </c>
      <c r="Q1457" s="29">
        <v>60</v>
      </c>
      <c r="R1457" s="20">
        <v>0.62250000000000005</v>
      </c>
      <c r="S1457" s="32">
        <v>37.35</v>
      </c>
      <c r="T1457" s="35">
        <v>1.83</v>
      </c>
      <c r="U1457" s="35">
        <v>1.01</v>
      </c>
      <c r="V1457" s="35">
        <v>3.0500000000000003E-2</v>
      </c>
      <c r="W1457" s="9" t="s">
        <v>153</v>
      </c>
      <c r="X1457" s="15">
        <v>1456</v>
      </c>
      <c r="Y1457" s="39">
        <v>0.4933738706921964</v>
      </c>
      <c r="Z1457" s="39">
        <v>0.49856333815823695</v>
      </c>
      <c r="AA1457" s="39">
        <v>0.46900431305105955</v>
      </c>
      <c r="AB1457" s="39">
        <v>0.47431756340405951</v>
      </c>
      <c r="AC1457" s="39">
        <v>0.48270114830766758</v>
      </c>
      <c r="AD1457" s="39">
        <v>0.49132134551453033</v>
      </c>
      <c r="AE1457" s="39">
        <v>0.46488101716344715</v>
      </c>
      <c r="AF1457" s="40">
        <v>0.46883628282004436</v>
      </c>
    </row>
    <row r="1458" spans="1:32">
      <c r="A1458" s="15">
        <v>1456</v>
      </c>
      <c r="B1458" s="16">
        <v>1</v>
      </c>
      <c r="C1458" s="20">
        <v>0.5</v>
      </c>
      <c r="D1458" s="20">
        <v>0.6712799924869175</v>
      </c>
      <c r="E1458" s="20">
        <v>0.21</v>
      </c>
      <c r="F1458" s="8" t="s">
        <v>438</v>
      </c>
      <c r="G1458" s="24">
        <v>0.74379630500349325</v>
      </c>
      <c r="H1458" s="24">
        <v>0.74810269575017774</v>
      </c>
      <c r="I1458" s="25">
        <v>0.7611859908590537</v>
      </c>
      <c r="L1458" s="15">
        <v>1456</v>
      </c>
      <c r="M1458" s="16">
        <v>1</v>
      </c>
      <c r="N1458" s="16">
        <v>1</v>
      </c>
      <c r="O1458" s="16">
        <v>8</v>
      </c>
      <c r="P1458" s="16">
        <v>152</v>
      </c>
      <c r="Q1458" s="29">
        <v>53</v>
      </c>
      <c r="R1458" s="20">
        <v>0.62250000000000005</v>
      </c>
      <c r="S1458" s="32">
        <v>32.9925</v>
      </c>
      <c r="T1458" s="35">
        <v>2.25</v>
      </c>
      <c r="U1458" s="35">
        <v>1.32</v>
      </c>
      <c r="V1458" s="35">
        <v>4.2452830188679243E-2</v>
      </c>
      <c r="W1458" s="9" t="s">
        <v>154</v>
      </c>
      <c r="X1458" s="15">
        <v>1457</v>
      </c>
      <c r="Y1458" s="39">
        <v>0.494077489831728</v>
      </c>
      <c r="Z1458" s="39">
        <v>0.49656804789168379</v>
      </c>
      <c r="AA1458" s="39">
        <v>0.49110574033399917</v>
      </c>
      <c r="AB1458" s="39">
        <v>0.50194102463738077</v>
      </c>
      <c r="AC1458" s="39">
        <v>0.48642512459969384</v>
      </c>
      <c r="AD1458" s="39">
        <v>0.48884641544978324</v>
      </c>
      <c r="AE1458" s="39">
        <v>0.48308949570189585</v>
      </c>
      <c r="AF1458" s="40">
        <v>0.49750975583467244</v>
      </c>
    </row>
    <row r="1459" spans="1:32">
      <c r="A1459" s="15">
        <v>1457</v>
      </c>
      <c r="B1459" s="16">
        <v>0</v>
      </c>
      <c r="C1459" s="20">
        <v>0.03</v>
      </c>
      <c r="D1459" s="20">
        <v>0.9956483904099791</v>
      </c>
      <c r="E1459" s="20">
        <v>1</v>
      </c>
      <c r="F1459" s="8" t="s">
        <v>436</v>
      </c>
      <c r="G1459" s="24">
        <v>0.97343974569994873</v>
      </c>
      <c r="H1459" s="24">
        <v>0.97907571335014754</v>
      </c>
      <c r="I1459" s="25">
        <v>0.99619841129584641</v>
      </c>
      <c r="L1459" s="15">
        <v>1457</v>
      </c>
      <c r="M1459" s="16">
        <v>1</v>
      </c>
      <c r="N1459" s="16">
        <v>1</v>
      </c>
      <c r="O1459" s="16">
        <v>9</v>
      </c>
      <c r="P1459" s="16">
        <v>153</v>
      </c>
      <c r="Q1459" s="29">
        <v>57</v>
      </c>
      <c r="R1459" s="20">
        <v>0.62250000000000005</v>
      </c>
      <c r="S1459" s="32">
        <v>35.482500000000002</v>
      </c>
      <c r="T1459" s="35">
        <v>1.73</v>
      </c>
      <c r="U1459" s="35">
        <v>0.87</v>
      </c>
      <c r="V1459" s="35">
        <v>3.0350877192982455E-2</v>
      </c>
      <c r="W1459" s="9" t="s">
        <v>153</v>
      </c>
      <c r="X1459" s="15">
        <v>1458</v>
      </c>
      <c r="Y1459" s="39">
        <v>0.48566161995405899</v>
      </c>
      <c r="Z1459" s="39">
        <v>0.47628867973350636</v>
      </c>
      <c r="AA1459" s="39">
        <v>0.48226398119963154</v>
      </c>
      <c r="AB1459" s="39">
        <v>0.48390957566694637</v>
      </c>
      <c r="AC1459" s="39">
        <v>0.47754280288955164</v>
      </c>
      <c r="AD1459" s="39">
        <v>0.46810983193313233</v>
      </c>
      <c r="AE1459" s="39">
        <v>0.47536705226187193</v>
      </c>
      <c r="AF1459" s="40">
        <v>0.47802049152762172</v>
      </c>
    </row>
    <row r="1460" spans="1:32">
      <c r="A1460" s="15">
        <v>1458</v>
      </c>
      <c r="B1460" s="16">
        <v>1</v>
      </c>
      <c r="C1460" s="20">
        <v>0.91</v>
      </c>
      <c r="D1460" s="20">
        <v>0.21727233298780477</v>
      </c>
      <c r="E1460" s="20">
        <v>0.09</v>
      </c>
      <c r="F1460" s="8" t="s">
        <v>434</v>
      </c>
      <c r="G1460" s="24">
        <v>0.80090926081106295</v>
      </c>
      <c r="H1460" s="24">
        <v>0.80554632099338586</v>
      </c>
      <c r="I1460" s="25">
        <v>0.81963422670646102</v>
      </c>
      <c r="L1460" s="15">
        <v>1458</v>
      </c>
      <c r="M1460" s="16">
        <v>1</v>
      </c>
      <c r="N1460" s="16">
        <v>1</v>
      </c>
      <c r="O1460" s="16">
        <v>9</v>
      </c>
      <c r="P1460" s="16">
        <v>154</v>
      </c>
      <c r="Q1460" s="29">
        <v>56</v>
      </c>
      <c r="R1460" s="20">
        <v>0.62250000000000005</v>
      </c>
      <c r="S1460" s="32">
        <v>34.86</v>
      </c>
      <c r="T1460" s="35">
        <v>1.35</v>
      </c>
      <c r="U1460" s="35">
        <v>0.51</v>
      </c>
      <c r="V1460" s="35">
        <v>2.4107142857142858E-2</v>
      </c>
      <c r="W1460" s="9" t="s">
        <v>153</v>
      </c>
      <c r="X1460" s="15">
        <v>1459</v>
      </c>
      <c r="Y1460" s="39">
        <v>0.48671403923096829</v>
      </c>
      <c r="Z1460" s="39">
        <v>0.48376804682335095</v>
      </c>
      <c r="AA1460" s="39">
        <v>0.48197960919649452</v>
      </c>
      <c r="AB1460" s="39">
        <v>0.49737206954309793</v>
      </c>
      <c r="AC1460" s="39">
        <v>0.47709418229761613</v>
      </c>
      <c r="AD1460" s="39">
        <v>0.47954585019346629</v>
      </c>
      <c r="AE1460" s="39">
        <v>0.47585653766369168</v>
      </c>
      <c r="AF1460" s="40">
        <v>0.49313645619538848</v>
      </c>
    </row>
    <row r="1461" spans="1:32">
      <c r="A1461" s="15">
        <v>1459</v>
      </c>
      <c r="B1461" s="16">
        <v>1</v>
      </c>
      <c r="C1461" s="20">
        <v>0.02</v>
      </c>
      <c r="D1461" s="20">
        <v>0.99756714174924133</v>
      </c>
      <c r="E1461" s="20">
        <v>1</v>
      </c>
      <c r="F1461" s="8" t="s">
        <v>436</v>
      </c>
      <c r="G1461" s="24">
        <v>1.1802202184030233</v>
      </c>
      <c r="H1461" s="24">
        <v>1.1870533922079898</v>
      </c>
      <c r="I1461" s="25">
        <v>1.2078133359008483</v>
      </c>
      <c r="L1461" s="15">
        <v>1459</v>
      </c>
      <c r="M1461" s="16">
        <v>1</v>
      </c>
      <c r="N1461" s="16">
        <v>1</v>
      </c>
      <c r="O1461" s="16">
        <v>9</v>
      </c>
      <c r="P1461" s="16">
        <v>155</v>
      </c>
      <c r="Q1461" s="29">
        <v>68</v>
      </c>
      <c r="R1461" s="20">
        <v>0.62250000000000005</v>
      </c>
      <c r="S1461" s="32">
        <v>42.330000000000005</v>
      </c>
      <c r="T1461" s="35">
        <v>3</v>
      </c>
      <c r="U1461" s="35">
        <v>2</v>
      </c>
      <c r="V1461" s="35">
        <v>4.4117647058823532E-2</v>
      </c>
      <c r="W1461" s="9" t="s">
        <v>155</v>
      </c>
      <c r="X1461" s="15">
        <v>1460</v>
      </c>
      <c r="Y1461" s="39">
        <v>0.4871563509728627</v>
      </c>
      <c r="Z1461" s="39">
        <v>0.49746530148026646</v>
      </c>
      <c r="AA1461" s="39">
        <v>0.47393855015997971</v>
      </c>
      <c r="AB1461" s="39">
        <v>0.47347693079510467</v>
      </c>
      <c r="AC1461" s="39">
        <v>0.4790267959395918</v>
      </c>
      <c r="AD1461" s="39">
        <v>0.48763495236662963</v>
      </c>
      <c r="AE1461" s="39">
        <v>0.46651450546806178</v>
      </c>
      <c r="AF1461" s="40">
        <v>0.47052351854370322</v>
      </c>
    </row>
    <row r="1462" spans="1:32">
      <c r="A1462" s="15">
        <v>1460</v>
      </c>
      <c r="B1462" s="16">
        <v>1</v>
      </c>
      <c r="C1462" s="20">
        <v>0.44</v>
      </c>
      <c r="D1462" s="20">
        <v>0.63776090917933326</v>
      </c>
      <c r="E1462" s="20">
        <v>0.09</v>
      </c>
      <c r="F1462" s="8" t="s">
        <v>436</v>
      </c>
      <c r="G1462" s="24">
        <v>1.2873168964019248</v>
      </c>
      <c r="H1462" s="24">
        <v>1.2947701326353178</v>
      </c>
      <c r="I1462" s="25">
        <v>1.3174138951022336</v>
      </c>
      <c r="L1462" s="15">
        <v>1460</v>
      </c>
      <c r="M1462" s="16">
        <v>1</v>
      </c>
      <c r="N1462" s="16">
        <v>1</v>
      </c>
      <c r="O1462" s="16">
        <v>9</v>
      </c>
      <c r="P1462" s="16">
        <v>156</v>
      </c>
      <c r="Q1462" s="29">
        <v>65</v>
      </c>
      <c r="R1462" s="20">
        <v>0.62250000000000005</v>
      </c>
      <c r="S1462" s="32">
        <v>40.462500000000006</v>
      </c>
      <c r="T1462" s="35">
        <v>3.9</v>
      </c>
      <c r="U1462" s="35">
        <v>2.94</v>
      </c>
      <c r="V1462" s="35">
        <v>0.06</v>
      </c>
      <c r="W1462" s="9" t="s">
        <v>155</v>
      </c>
      <c r="X1462" s="15">
        <v>1461</v>
      </c>
      <c r="Y1462" s="39">
        <v>0.48384418848926836</v>
      </c>
      <c r="Z1462" s="39">
        <v>0.48816220555013901</v>
      </c>
      <c r="AA1462" s="39">
        <v>0.47282599797417274</v>
      </c>
      <c r="AB1462" s="39">
        <v>0.49744577002161711</v>
      </c>
      <c r="AC1462" s="39">
        <v>0.47683963640096505</v>
      </c>
      <c r="AD1462" s="39">
        <v>0.47962954011572062</v>
      </c>
      <c r="AE1462" s="39">
        <v>0.46711030024147882</v>
      </c>
      <c r="AF1462" s="40">
        <v>0.49217054510966246</v>
      </c>
    </row>
    <row r="1463" spans="1:32">
      <c r="A1463" s="15">
        <v>1461</v>
      </c>
      <c r="B1463" s="16">
        <v>1</v>
      </c>
      <c r="C1463" s="20">
        <v>0.02</v>
      </c>
      <c r="D1463" s="20">
        <v>0.99604261948721451</v>
      </c>
      <c r="E1463" s="20">
        <v>1</v>
      </c>
      <c r="F1463" s="8" t="s">
        <v>436</v>
      </c>
      <c r="G1463" s="24">
        <v>0.9304383040387938</v>
      </c>
      <c r="H1463" s="24">
        <v>0.93582530431819777</v>
      </c>
      <c r="I1463" s="25">
        <v>0.95219161163977617</v>
      </c>
      <c r="L1463" s="15">
        <v>1461</v>
      </c>
      <c r="M1463" s="16">
        <v>1</v>
      </c>
      <c r="N1463" s="16">
        <v>1</v>
      </c>
      <c r="O1463" s="16">
        <v>9</v>
      </c>
      <c r="P1463" s="16">
        <v>157</v>
      </c>
      <c r="Q1463" s="29">
        <v>62</v>
      </c>
      <c r="R1463" s="20">
        <v>0.62250000000000005</v>
      </c>
      <c r="S1463" s="32">
        <v>38.595000000000006</v>
      </c>
      <c r="T1463" s="35">
        <v>2.5100000000000002</v>
      </c>
      <c r="U1463" s="35">
        <v>1.6</v>
      </c>
      <c r="V1463" s="35">
        <v>4.048387096774194E-2</v>
      </c>
      <c r="W1463" s="9" t="s">
        <v>154</v>
      </c>
      <c r="X1463" s="15">
        <v>1462</v>
      </c>
      <c r="Y1463" s="39">
        <v>0.47269163019928229</v>
      </c>
      <c r="Z1463" s="39">
        <v>0.47635848390709729</v>
      </c>
      <c r="AA1463" s="39">
        <v>0.4964914688985419</v>
      </c>
      <c r="AB1463" s="39">
        <v>0.49061813821918571</v>
      </c>
      <c r="AC1463" s="39">
        <v>0.46377351699200892</v>
      </c>
      <c r="AD1463" s="39">
        <v>0.46825955487348769</v>
      </c>
      <c r="AE1463" s="39">
        <v>0.49114124857113711</v>
      </c>
      <c r="AF1463" s="40">
        <v>0.48753904628096623</v>
      </c>
    </row>
    <row r="1464" spans="1:32">
      <c r="A1464" s="15">
        <v>1462</v>
      </c>
      <c r="B1464" s="16">
        <v>1</v>
      </c>
      <c r="C1464" s="20">
        <v>0.15</v>
      </c>
      <c r="D1464" s="20">
        <v>0.86487561997751372</v>
      </c>
      <c r="E1464" s="20">
        <v>0.06</v>
      </c>
      <c r="F1464" s="8" t="s">
        <v>436</v>
      </c>
      <c r="G1464" s="24">
        <v>1.0894302425431566</v>
      </c>
      <c r="H1464" s="24">
        <v>1.0957377655626801</v>
      </c>
      <c r="I1464" s="25">
        <v>1.1149007235766482</v>
      </c>
      <c r="L1464" s="15">
        <v>1462</v>
      </c>
      <c r="M1464" s="16">
        <v>1</v>
      </c>
      <c r="N1464" s="16">
        <v>1</v>
      </c>
      <c r="O1464" s="16">
        <v>9</v>
      </c>
      <c r="P1464" s="16">
        <v>158</v>
      </c>
      <c r="Q1464" s="29">
        <v>64</v>
      </c>
      <c r="R1464" s="20">
        <v>0.62250000000000005</v>
      </c>
      <c r="S1464" s="32">
        <v>39.840000000000003</v>
      </c>
      <c r="T1464" s="35">
        <v>1.78</v>
      </c>
      <c r="U1464" s="35">
        <v>0.97</v>
      </c>
      <c r="V1464" s="35">
        <v>2.78125E-2</v>
      </c>
      <c r="W1464" s="9" t="s">
        <v>153</v>
      </c>
      <c r="X1464" s="15">
        <v>1463</v>
      </c>
      <c r="Y1464" s="39">
        <v>0.48279317373874048</v>
      </c>
      <c r="Z1464" s="39">
        <v>0.48747005583762276</v>
      </c>
      <c r="AA1464" s="39">
        <v>0.48876736540402582</v>
      </c>
      <c r="AB1464" s="39">
        <v>0.48381939221146109</v>
      </c>
      <c r="AC1464" s="39">
        <v>0.47501805679374898</v>
      </c>
      <c r="AD1464" s="39">
        <v>0.48081370218609382</v>
      </c>
      <c r="AE1464" s="39">
        <v>0.48319232214984592</v>
      </c>
      <c r="AF1464" s="40">
        <v>0.47562530718014773</v>
      </c>
    </row>
    <row r="1465" spans="1:32">
      <c r="A1465" s="15">
        <v>1463</v>
      </c>
      <c r="B1465" s="16">
        <v>1</v>
      </c>
      <c r="C1465" s="20">
        <v>0.56999999999999995</v>
      </c>
      <c r="D1465" s="20">
        <v>0.54507159151420459</v>
      </c>
      <c r="E1465" s="20">
        <v>7.0000000000000007E-2</v>
      </c>
      <c r="F1465" s="8" t="s">
        <v>438</v>
      </c>
      <c r="G1465" s="24">
        <v>0.73853522713715836</v>
      </c>
      <c r="H1465" s="24">
        <v>0.7428111575859242</v>
      </c>
      <c r="I1465" s="25">
        <v>0.75580191091440552</v>
      </c>
      <c r="L1465" s="15">
        <v>1463</v>
      </c>
      <c r="M1465" s="16">
        <v>1</v>
      </c>
      <c r="N1465" s="16">
        <v>1</v>
      </c>
      <c r="O1465" s="16">
        <v>9</v>
      </c>
      <c r="P1465" s="16">
        <v>159</v>
      </c>
      <c r="Q1465" s="29">
        <v>65</v>
      </c>
      <c r="R1465" s="20">
        <v>0.62250000000000005</v>
      </c>
      <c r="S1465" s="32">
        <v>40.462500000000006</v>
      </c>
      <c r="T1465" s="35">
        <v>1.69</v>
      </c>
      <c r="U1465" s="35">
        <v>0.73</v>
      </c>
      <c r="V1465" s="35">
        <v>2.5999999999999999E-2</v>
      </c>
      <c r="W1465" s="9" t="s">
        <v>153</v>
      </c>
      <c r="X1465" s="15">
        <v>1464</v>
      </c>
      <c r="Y1465" s="39">
        <v>0.49668097571524022</v>
      </c>
      <c r="Z1465" s="39">
        <v>0.48281591552144737</v>
      </c>
      <c r="AA1465" s="39">
        <v>0.49286206768302571</v>
      </c>
      <c r="AB1465" s="39">
        <v>0.48765300946238083</v>
      </c>
      <c r="AC1465" s="39">
        <v>0.48802259477930954</v>
      </c>
      <c r="AD1465" s="39">
        <v>0.47786452449126593</v>
      </c>
      <c r="AE1465" s="39">
        <v>0.48635655033748565</v>
      </c>
      <c r="AF1465" s="40">
        <v>0.48022332446716776</v>
      </c>
    </row>
    <row r="1466" spans="1:32">
      <c r="A1466" s="15">
        <v>1464</v>
      </c>
      <c r="B1466" s="16">
        <v>0</v>
      </c>
      <c r="C1466" s="20">
        <v>0.02</v>
      </c>
      <c r="D1466" s="20">
        <v>0.99917029198757767</v>
      </c>
      <c r="E1466" s="20">
        <v>1</v>
      </c>
      <c r="F1466" s="8" t="s">
        <v>436</v>
      </c>
      <c r="G1466" s="24">
        <v>0.98756823788335979</v>
      </c>
      <c r="H1466" s="24">
        <v>0.99328600589690264</v>
      </c>
      <c r="I1466" s="25">
        <v>1.0106572224644816</v>
      </c>
      <c r="L1466" s="15">
        <v>1464</v>
      </c>
      <c r="M1466" s="16">
        <v>1</v>
      </c>
      <c r="N1466" s="16">
        <v>1</v>
      </c>
      <c r="O1466" s="16">
        <v>9</v>
      </c>
      <c r="P1466" s="16">
        <v>160</v>
      </c>
      <c r="Q1466" s="29">
        <v>49</v>
      </c>
      <c r="R1466" s="20">
        <v>0.62250000000000005</v>
      </c>
      <c r="S1466" s="32">
        <v>30.502500000000001</v>
      </c>
      <c r="T1466" s="35">
        <v>1.57</v>
      </c>
      <c r="U1466" s="35">
        <v>0.82</v>
      </c>
      <c r="V1466" s="35">
        <v>3.2040816326530615E-2</v>
      </c>
      <c r="W1466" s="9" t="s">
        <v>153</v>
      </c>
      <c r="X1466" s="15">
        <v>1465</v>
      </c>
      <c r="Y1466" s="39">
        <v>0.47903665313701699</v>
      </c>
      <c r="Z1466" s="39">
        <v>0.4823851219287123</v>
      </c>
      <c r="AA1466" s="39">
        <v>0.48169352703913104</v>
      </c>
      <c r="AB1466" s="39">
        <v>0.48170060922185703</v>
      </c>
      <c r="AC1466" s="39">
        <v>0.47199712420948092</v>
      </c>
      <c r="AD1466" s="39">
        <v>0.47486314811226948</v>
      </c>
      <c r="AE1466" s="39">
        <v>0.47391475170181546</v>
      </c>
      <c r="AF1466" s="40">
        <v>0.47777472386614706</v>
      </c>
    </row>
    <row r="1467" spans="1:32">
      <c r="A1467" s="15">
        <v>1465</v>
      </c>
      <c r="B1467" s="16">
        <v>0</v>
      </c>
      <c r="C1467" s="20">
        <v>0.94</v>
      </c>
      <c r="D1467" s="20">
        <v>0.17188516685452584</v>
      </c>
      <c r="E1467" s="20">
        <v>0.06</v>
      </c>
      <c r="F1467" s="8" t="s">
        <v>434</v>
      </c>
      <c r="G1467" s="24">
        <v>0.94819131952190361</v>
      </c>
      <c r="H1467" s="24">
        <v>0.95368110522937155</v>
      </c>
      <c r="I1467" s="25">
        <v>0.97035968613859147</v>
      </c>
      <c r="L1467" s="15">
        <v>1465</v>
      </c>
      <c r="M1467" s="16">
        <v>1</v>
      </c>
      <c r="N1467" s="16">
        <v>1</v>
      </c>
      <c r="O1467" s="16">
        <v>9</v>
      </c>
      <c r="P1467" s="16">
        <v>161</v>
      </c>
      <c r="Q1467" s="29">
        <v>48</v>
      </c>
      <c r="R1467" s="20">
        <v>0.62250000000000005</v>
      </c>
      <c r="S1467" s="32">
        <v>29.880000000000003</v>
      </c>
      <c r="T1467" s="35">
        <v>2.65</v>
      </c>
      <c r="U1467" s="35">
        <v>2.0699999999999998</v>
      </c>
      <c r="V1467" s="35">
        <v>5.5208333333333331E-2</v>
      </c>
      <c r="W1467" s="9" t="s">
        <v>154</v>
      </c>
      <c r="X1467" s="15">
        <v>1466</v>
      </c>
      <c r="Y1467" s="39">
        <v>0.48627097058618202</v>
      </c>
      <c r="Z1467" s="39">
        <v>0.46415778784957745</v>
      </c>
      <c r="AA1467" s="39">
        <v>0.48482115843193258</v>
      </c>
      <c r="AB1467" s="39">
        <v>0.49839994680414273</v>
      </c>
      <c r="AC1467" s="39">
        <v>0.4813795009437119</v>
      </c>
      <c r="AD1467" s="39">
        <v>0.45933897879056923</v>
      </c>
      <c r="AE1467" s="39">
        <v>0.48259975638615454</v>
      </c>
      <c r="AF1467" s="40">
        <v>0.49415052803008291</v>
      </c>
    </row>
    <row r="1468" spans="1:32">
      <c r="A1468" s="15">
        <v>1466</v>
      </c>
      <c r="B1468" s="16">
        <v>1</v>
      </c>
      <c r="C1468" s="20">
        <v>0.01</v>
      </c>
      <c r="D1468" s="20">
        <v>0.99999999999999978</v>
      </c>
      <c r="E1468" s="20">
        <v>1</v>
      </c>
      <c r="F1468" s="8" t="s">
        <v>436</v>
      </c>
      <c r="G1468" s="24">
        <v>1.0525788469601267</v>
      </c>
      <c r="H1468" s="24">
        <v>1.0586730098058048</v>
      </c>
      <c r="I1468" s="25">
        <v>1.0771877558290122</v>
      </c>
      <c r="L1468" s="15">
        <v>1466</v>
      </c>
      <c r="M1468" s="16">
        <v>1</v>
      </c>
      <c r="N1468" s="16">
        <v>1</v>
      </c>
      <c r="O1468" s="16">
        <v>9</v>
      </c>
      <c r="P1468" s="16">
        <v>162</v>
      </c>
      <c r="Q1468" s="29">
        <v>54</v>
      </c>
      <c r="R1468" s="20">
        <v>0.62250000000000005</v>
      </c>
      <c r="S1468" s="32">
        <v>33.615000000000002</v>
      </c>
      <c r="T1468" s="35">
        <v>2.09</v>
      </c>
      <c r="U1468" s="35">
        <v>1.01</v>
      </c>
      <c r="V1468" s="35">
        <v>3.8703703703703699E-2</v>
      </c>
      <c r="W1468" s="9" t="s">
        <v>154</v>
      </c>
      <c r="X1468" s="15">
        <v>1467</v>
      </c>
      <c r="Y1468" s="39">
        <v>0.47211643512582585</v>
      </c>
      <c r="Z1468" s="39">
        <v>0.48282903336173244</v>
      </c>
      <c r="AA1468" s="39">
        <v>0.49752396837762142</v>
      </c>
      <c r="AB1468" s="39">
        <v>0.50317293903515081</v>
      </c>
      <c r="AC1468" s="39">
        <v>0.46725810422937364</v>
      </c>
      <c r="AD1468" s="39">
        <v>0.47628034398407609</v>
      </c>
      <c r="AE1468" s="39">
        <v>0.49054571619682646</v>
      </c>
      <c r="AF1468" s="40">
        <v>0.49966209370289666</v>
      </c>
    </row>
    <row r="1469" spans="1:32">
      <c r="A1469" s="15">
        <v>1467</v>
      </c>
      <c r="B1469" s="16">
        <v>0</v>
      </c>
      <c r="C1469" s="20">
        <v>0.02</v>
      </c>
      <c r="D1469" s="20">
        <v>0.99604261948721451</v>
      </c>
      <c r="E1469" s="20">
        <v>1</v>
      </c>
      <c r="F1469" s="8" t="s">
        <v>436</v>
      </c>
      <c r="G1469" s="24">
        <v>1.0837499147521847</v>
      </c>
      <c r="H1469" s="24">
        <v>1.0900245501237424</v>
      </c>
      <c r="I1469" s="25">
        <v>1.1090875917973031</v>
      </c>
      <c r="L1469" s="15">
        <v>1467</v>
      </c>
      <c r="M1469" s="16">
        <v>1</v>
      </c>
      <c r="N1469" s="16">
        <v>1</v>
      </c>
      <c r="O1469" s="16">
        <v>9</v>
      </c>
      <c r="P1469" s="16">
        <v>163</v>
      </c>
      <c r="Q1469" s="29">
        <v>55</v>
      </c>
      <c r="R1469" s="20">
        <v>0.62250000000000005</v>
      </c>
      <c r="S1469" s="32">
        <v>34.237500000000004</v>
      </c>
      <c r="T1469" s="35">
        <v>1.72</v>
      </c>
      <c r="U1469" s="35">
        <v>1.08</v>
      </c>
      <c r="V1469" s="35">
        <v>3.1272727272727271E-2</v>
      </c>
      <c r="W1469" s="9" t="s">
        <v>153</v>
      </c>
      <c r="X1469" s="15">
        <v>1468</v>
      </c>
      <c r="Y1469" s="39">
        <v>0.48202562087181827</v>
      </c>
      <c r="Z1469" s="39">
        <v>0.49059272429476625</v>
      </c>
      <c r="AA1469" s="39">
        <v>0.48964007430921208</v>
      </c>
      <c r="AB1469" s="39">
        <v>0.48915408278455336</v>
      </c>
      <c r="AC1469" s="39">
        <v>0.47680634009033901</v>
      </c>
      <c r="AD1469" s="39">
        <v>0.48214363567588686</v>
      </c>
      <c r="AE1469" s="39">
        <v>0.48183265617869114</v>
      </c>
      <c r="AF1469" s="40">
        <v>0.48452430757631293</v>
      </c>
    </row>
    <row r="1470" spans="1:32">
      <c r="A1470" s="15">
        <v>1468</v>
      </c>
      <c r="B1470" s="16">
        <v>0</v>
      </c>
      <c r="C1470" s="20">
        <v>0.54</v>
      </c>
      <c r="D1470" s="20">
        <v>0.47447101979267614</v>
      </c>
      <c r="E1470" s="20">
        <v>0.12</v>
      </c>
      <c r="F1470" s="8" t="s">
        <v>438</v>
      </c>
      <c r="G1470" s="24">
        <v>1.2398654297704355</v>
      </c>
      <c r="H1470" s="24">
        <v>1.2470439341243558</v>
      </c>
      <c r="I1470" s="25">
        <v>1.2688530305178956</v>
      </c>
      <c r="L1470" s="15">
        <v>1468</v>
      </c>
      <c r="M1470" s="16">
        <v>1</v>
      </c>
      <c r="N1470" s="16">
        <v>1</v>
      </c>
      <c r="O1470" s="16">
        <v>9</v>
      </c>
      <c r="P1470" s="16">
        <v>164</v>
      </c>
      <c r="Q1470" s="29">
        <v>60</v>
      </c>
      <c r="R1470" s="20">
        <v>0.62250000000000005</v>
      </c>
      <c r="S1470" s="32">
        <v>37.35</v>
      </c>
      <c r="T1470" s="35">
        <v>3.8000000000000003</v>
      </c>
      <c r="U1470" s="35">
        <v>2.87</v>
      </c>
      <c r="V1470" s="35">
        <v>6.3333333333333339E-2</v>
      </c>
      <c r="W1470" s="9" t="s">
        <v>155</v>
      </c>
      <c r="X1470" s="15">
        <v>1469</v>
      </c>
      <c r="Y1470" s="39">
        <v>0.49517330279639132</v>
      </c>
      <c r="Z1470" s="39">
        <v>0.47756018348350276</v>
      </c>
      <c r="AA1470" s="39">
        <v>0.49830486753136477</v>
      </c>
      <c r="AB1470" s="39">
        <v>0.50251849785259617</v>
      </c>
      <c r="AC1470" s="39">
        <v>0.49030496033296372</v>
      </c>
      <c r="AD1470" s="39">
        <v>0.46982365224889105</v>
      </c>
      <c r="AE1470" s="39">
        <v>0.49133968124577404</v>
      </c>
      <c r="AF1470" s="40">
        <v>0.49753909530370827</v>
      </c>
    </row>
    <row r="1471" spans="1:32">
      <c r="A1471" s="15">
        <v>1469</v>
      </c>
      <c r="B1471" s="16">
        <v>1</v>
      </c>
      <c r="C1471" s="20">
        <v>0.95</v>
      </c>
      <c r="D1471" s="20">
        <v>0.15570568692893463</v>
      </c>
      <c r="E1471" s="20">
        <v>0.05</v>
      </c>
      <c r="F1471" s="8" t="s">
        <v>434</v>
      </c>
      <c r="G1471" s="24">
        <v>1.516081164688976</v>
      </c>
      <c r="H1471" s="24">
        <v>1.5248588876420479</v>
      </c>
      <c r="I1471" s="25">
        <v>1.5515265883999068</v>
      </c>
      <c r="L1471" s="15">
        <v>1469</v>
      </c>
      <c r="M1471" s="16">
        <v>1</v>
      </c>
      <c r="N1471" s="16">
        <v>1</v>
      </c>
      <c r="O1471" s="16">
        <v>9</v>
      </c>
      <c r="P1471" s="16">
        <v>165</v>
      </c>
      <c r="Q1471" s="29">
        <v>68</v>
      </c>
      <c r="R1471" s="20">
        <v>0.62250000000000005</v>
      </c>
      <c r="S1471" s="32">
        <v>42.330000000000005</v>
      </c>
      <c r="T1471" s="35">
        <v>2.86</v>
      </c>
      <c r="U1471" s="35">
        <v>1.82</v>
      </c>
      <c r="V1471" s="35">
        <v>4.205882352941176E-2</v>
      </c>
      <c r="W1471" s="9" t="s">
        <v>154</v>
      </c>
      <c r="X1471" s="15">
        <v>1470</v>
      </c>
      <c r="Y1471" s="39">
        <v>0.48133430188996795</v>
      </c>
      <c r="Z1471" s="39">
        <v>0.47036318419460948</v>
      </c>
      <c r="AA1471" s="39">
        <v>0.49576344355725921</v>
      </c>
      <c r="AB1471" s="39">
        <v>0.49221030631809476</v>
      </c>
      <c r="AC1471" s="39">
        <v>0.47381238043048685</v>
      </c>
      <c r="AD1471" s="39">
        <v>0.46457854299322277</v>
      </c>
      <c r="AE1471" s="39">
        <v>0.49214917812498965</v>
      </c>
      <c r="AF1471" s="40">
        <v>0.48658480753300437</v>
      </c>
    </row>
    <row r="1472" spans="1:32">
      <c r="A1472" s="15">
        <v>1470</v>
      </c>
      <c r="B1472" s="16">
        <v>0</v>
      </c>
      <c r="C1472" s="20">
        <v>0.35</v>
      </c>
      <c r="D1472" s="20">
        <v>0.72860982496245652</v>
      </c>
      <c r="E1472" s="20">
        <v>0.04</v>
      </c>
      <c r="F1472" s="8" t="s">
        <v>436</v>
      </c>
      <c r="G1472" s="24">
        <v>0.97129903864903244</v>
      </c>
      <c r="H1472" s="24">
        <v>0.97692261215183718</v>
      </c>
      <c r="I1472" s="25">
        <v>0.99400765529621415</v>
      </c>
      <c r="L1472" s="15">
        <v>1470</v>
      </c>
      <c r="M1472" s="16">
        <v>1</v>
      </c>
      <c r="N1472" s="16">
        <v>1</v>
      </c>
      <c r="O1472" s="16">
        <v>9</v>
      </c>
      <c r="P1472" s="16">
        <v>166</v>
      </c>
      <c r="Q1472" s="29">
        <v>61</v>
      </c>
      <c r="R1472" s="20">
        <v>0.62250000000000005</v>
      </c>
      <c r="S1472" s="32">
        <v>37.972500000000004</v>
      </c>
      <c r="T1472" s="35">
        <v>4.6100000000000003</v>
      </c>
      <c r="U1472" s="35">
        <v>3.64</v>
      </c>
      <c r="V1472" s="35">
        <v>7.5573770491803277E-2</v>
      </c>
      <c r="W1472" s="9" t="s">
        <v>155</v>
      </c>
      <c r="X1472" s="15">
        <v>1471</v>
      </c>
      <c r="Y1472" s="39">
        <v>0.46848154056533992</v>
      </c>
      <c r="Z1472" s="39">
        <v>0.47463029031840775</v>
      </c>
      <c r="AA1472" s="39">
        <v>0.48319246580095554</v>
      </c>
      <c r="AB1472" s="39">
        <v>0.48403024064203887</v>
      </c>
      <c r="AC1472" s="39">
        <v>0.4635303797879563</v>
      </c>
      <c r="AD1472" s="39">
        <v>0.4710366698817291</v>
      </c>
      <c r="AE1472" s="39">
        <v>0.47427967065276638</v>
      </c>
      <c r="AF1472" s="40">
        <v>0.47942688080209611</v>
      </c>
    </row>
    <row r="1473" spans="1:32">
      <c r="A1473" s="15">
        <v>1471</v>
      </c>
      <c r="B1473" s="16">
        <v>1</v>
      </c>
      <c r="C1473" s="20">
        <v>0.94</v>
      </c>
      <c r="D1473" s="20">
        <v>0.17188516685452584</v>
      </c>
      <c r="E1473" s="20">
        <v>0.06</v>
      </c>
      <c r="F1473" s="8" t="s">
        <v>434</v>
      </c>
      <c r="G1473" s="24">
        <v>1.5515533546722038</v>
      </c>
      <c r="H1473" s="24">
        <v>1.5605364525507504</v>
      </c>
      <c r="I1473" s="25">
        <v>1.5878281052247276</v>
      </c>
      <c r="L1473" s="15">
        <v>1471</v>
      </c>
      <c r="M1473" s="16">
        <v>1</v>
      </c>
      <c r="N1473" s="16">
        <v>1</v>
      </c>
      <c r="O1473" s="16">
        <v>9</v>
      </c>
      <c r="P1473" s="16">
        <v>167</v>
      </c>
      <c r="Q1473" s="29">
        <v>59</v>
      </c>
      <c r="R1473" s="20">
        <v>0.62250000000000005</v>
      </c>
      <c r="S1473" s="32">
        <v>36.727500000000006</v>
      </c>
      <c r="T1473" s="35">
        <v>4.54</v>
      </c>
      <c r="U1473" s="35">
        <v>3.74</v>
      </c>
      <c r="V1473" s="35">
        <v>7.6949152542372876E-2</v>
      </c>
      <c r="W1473" s="9" t="s">
        <v>155</v>
      </c>
      <c r="X1473" s="15">
        <v>1472</v>
      </c>
      <c r="Y1473" s="39">
        <v>0.4740630290834642</v>
      </c>
      <c r="Z1473" s="39">
        <v>0.48008070750748472</v>
      </c>
      <c r="AA1473" s="39">
        <v>0.48654656911403249</v>
      </c>
      <c r="AB1473" s="39">
        <v>0.49780423843504462</v>
      </c>
      <c r="AC1473" s="39">
        <v>0.46885628592573692</v>
      </c>
      <c r="AD1473" s="39">
        <v>0.47430551045882002</v>
      </c>
      <c r="AE1473" s="39">
        <v>0.47799826358706687</v>
      </c>
      <c r="AF1473" s="40">
        <v>0.49495193642176316</v>
      </c>
    </row>
    <row r="1474" spans="1:32">
      <c r="A1474" s="15">
        <v>1472</v>
      </c>
      <c r="B1474" s="16">
        <v>1</v>
      </c>
      <c r="C1474" s="20">
        <v>0.02</v>
      </c>
      <c r="D1474" s="20">
        <v>0.99835916395484214</v>
      </c>
      <c r="E1474" s="20">
        <v>1</v>
      </c>
      <c r="F1474" s="8" t="s">
        <v>436</v>
      </c>
      <c r="G1474" s="24">
        <v>1.4439198226985483</v>
      </c>
      <c r="H1474" s="24">
        <v>1.4522797499011904</v>
      </c>
      <c r="I1474" s="25">
        <v>1.4776781405988051</v>
      </c>
      <c r="L1474" s="15">
        <v>1472</v>
      </c>
      <c r="M1474" s="16">
        <v>1</v>
      </c>
      <c r="N1474" s="16">
        <v>1</v>
      </c>
      <c r="O1474" s="16">
        <v>9</v>
      </c>
      <c r="P1474" s="16">
        <v>168</v>
      </c>
      <c r="Q1474" s="29">
        <v>60</v>
      </c>
      <c r="R1474" s="20">
        <v>0.62250000000000005</v>
      </c>
      <c r="S1474" s="32">
        <v>37.35</v>
      </c>
      <c r="T1474" s="35">
        <v>3.2</v>
      </c>
      <c r="U1474" s="35">
        <v>2.27</v>
      </c>
      <c r="V1474" s="35">
        <v>5.3333333333333337E-2</v>
      </c>
      <c r="W1474" s="9" t="s">
        <v>155</v>
      </c>
      <c r="X1474" s="15">
        <v>1473</v>
      </c>
      <c r="Y1474" s="39">
        <v>0.48182039867669407</v>
      </c>
      <c r="Z1474" s="39">
        <v>0.48886293733981839</v>
      </c>
      <c r="AA1474" s="39">
        <v>0.49175867530565337</v>
      </c>
      <c r="AB1474" s="39">
        <v>0.48633030886114892</v>
      </c>
      <c r="AC1474" s="39">
        <v>0.47520393386428611</v>
      </c>
      <c r="AD1474" s="39">
        <v>0.48209891388694393</v>
      </c>
      <c r="AE1474" s="39">
        <v>0.4834232653334738</v>
      </c>
      <c r="AF1474" s="40">
        <v>0.48347753994567771</v>
      </c>
    </row>
    <row r="1475" spans="1:32">
      <c r="A1475" s="15">
        <v>1473</v>
      </c>
      <c r="B1475" s="16">
        <v>0</v>
      </c>
      <c r="C1475" s="20">
        <v>0.2</v>
      </c>
      <c r="D1475" s="20">
        <v>0.84321622292555565</v>
      </c>
      <c r="E1475" s="20">
        <v>0.06</v>
      </c>
      <c r="F1475" s="8" t="s">
        <v>436</v>
      </c>
      <c r="G1475" s="24">
        <v>1.0283309285742341</v>
      </c>
      <c r="H1475" s="24">
        <v>1.034284702161911</v>
      </c>
      <c r="I1475" s="25">
        <v>1.0523729299705422</v>
      </c>
      <c r="L1475" s="15">
        <v>1473</v>
      </c>
      <c r="M1475" s="16">
        <v>1</v>
      </c>
      <c r="N1475" s="16">
        <v>1</v>
      </c>
      <c r="O1475" s="16">
        <v>9</v>
      </c>
      <c r="P1475" s="16">
        <v>169</v>
      </c>
      <c r="Q1475" s="29">
        <v>60</v>
      </c>
      <c r="R1475" s="20">
        <v>0.62250000000000005</v>
      </c>
      <c r="S1475" s="32">
        <v>37.35</v>
      </c>
      <c r="T1475" s="35">
        <v>2.08</v>
      </c>
      <c r="U1475" s="35">
        <v>1.04</v>
      </c>
      <c r="V1475" s="35">
        <v>3.4666666666666665E-2</v>
      </c>
      <c r="W1475" s="9" t="s">
        <v>154</v>
      </c>
      <c r="X1475" s="15">
        <v>1474</v>
      </c>
      <c r="Y1475" s="39">
        <v>0.48177039457531523</v>
      </c>
      <c r="Z1475" s="39">
        <v>0.47605077377801547</v>
      </c>
      <c r="AA1475" s="39">
        <v>0.49479398552075016</v>
      </c>
      <c r="AB1475" s="39">
        <v>0.48855325293272184</v>
      </c>
      <c r="AC1475" s="39">
        <v>0.47528245186278212</v>
      </c>
      <c r="AD1475" s="39">
        <v>0.47094178267020603</v>
      </c>
      <c r="AE1475" s="39">
        <v>0.48830291395395325</v>
      </c>
      <c r="AF1475" s="40">
        <v>0.48408944386315134</v>
      </c>
    </row>
    <row r="1476" spans="1:32">
      <c r="A1476" s="15">
        <v>1474</v>
      </c>
      <c r="B1476" s="16">
        <v>1</v>
      </c>
      <c r="C1476" s="20">
        <v>0.02</v>
      </c>
      <c r="D1476" s="20">
        <v>0.99531127541355291</v>
      </c>
      <c r="E1476" s="20">
        <v>1</v>
      </c>
      <c r="F1476" s="8" t="s">
        <v>436</v>
      </c>
      <c r="G1476" s="24">
        <v>1.0487660302840696</v>
      </c>
      <c r="H1476" s="24">
        <v>1.0548381178944417</v>
      </c>
      <c r="I1476" s="25">
        <v>1.0732857968921297</v>
      </c>
      <c r="L1476" s="15">
        <v>1474</v>
      </c>
      <c r="M1476" s="16">
        <v>1</v>
      </c>
      <c r="N1476" s="16">
        <v>1</v>
      </c>
      <c r="O1476" s="16">
        <v>9</v>
      </c>
      <c r="P1476" s="16">
        <v>170</v>
      </c>
      <c r="Q1476" s="29">
        <v>80</v>
      </c>
      <c r="R1476" s="20">
        <v>0.62250000000000005</v>
      </c>
      <c r="S1476" s="32">
        <v>49.800000000000004</v>
      </c>
      <c r="T1476" s="35">
        <v>3.14</v>
      </c>
      <c r="U1476" s="35">
        <v>1.99</v>
      </c>
      <c r="V1476" s="35">
        <v>3.925E-2</v>
      </c>
      <c r="W1476" s="9" t="s">
        <v>155</v>
      </c>
      <c r="X1476" s="15">
        <v>1475</v>
      </c>
      <c r="Y1476" s="39">
        <v>0.50357738957557152</v>
      </c>
      <c r="Z1476" s="39">
        <v>0.47832637394430655</v>
      </c>
      <c r="AA1476" s="39">
        <v>0.4904023018171475</v>
      </c>
      <c r="AB1476" s="39">
        <v>0.4715896329683299</v>
      </c>
      <c r="AC1476" s="39">
        <v>0.49706227626199778</v>
      </c>
      <c r="AD1476" s="39">
        <v>0.47633699980650468</v>
      </c>
      <c r="AE1476" s="39">
        <v>0.48336539261702566</v>
      </c>
      <c r="AF1476" s="40">
        <v>0.46678941647654432</v>
      </c>
    </row>
    <row r="1477" spans="1:32">
      <c r="A1477" s="15">
        <v>1475</v>
      </c>
      <c r="B1477" s="16">
        <v>1</v>
      </c>
      <c r="C1477" s="20">
        <v>0.4</v>
      </c>
      <c r="D1477" s="20">
        <v>0.60823149846469249</v>
      </c>
      <c r="E1477" s="20">
        <v>0.06</v>
      </c>
      <c r="F1477" s="8" t="s">
        <v>436</v>
      </c>
      <c r="G1477" s="24">
        <v>1.3218891644285953</v>
      </c>
      <c r="H1477" s="24">
        <v>1.3295425652690458</v>
      </c>
      <c r="I1477" s="25">
        <v>1.3527944501239506</v>
      </c>
      <c r="L1477" s="15">
        <v>1475</v>
      </c>
      <c r="M1477" s="16">
        <v>1</v>
      </c>
      <c r="N1477" s="16">
        <v>1</v>
      </c>
      <c r="O1477" s="16">
        <v>9</v>
      </c>
      <c r="P1477" s="16">
        <v>171</v>
      </c>
      <c r="Q1477" s="29">
        <v>69</v>
      </c>
      <c r="R1477" s="20">
        <v>0.62250000000000005</v>
      </c>
      <c r="S1477" s="32">
        <v>42.952500000000001</v>
      </c>
      <c r="T1477" s="35">
        <v>3.5500000000000003</v>
      </c>
      <c r="U1477" s="35">
        <v>2.63</v>
      </c>
      <c r="V1477" s="35">
        <v>5.1449275362318844E-2</v>
      </c>
      <c r="W1477" s="9" t="s">
        <v>155</v>
      </c>
      <c r="X1477" s="15">
        <v>1476</v>
      </c>
      <c r="Y1477" s="39">
        <v>0.49012285121227728</v>
      </c>
      <c r="Z1477" s="39">
        <v>0.49095789442968246</v>
      </c>
      <c r="AA1477" s="39">
        <v>0.4914636959664353</v>
      </c>
      <c r="AB1477" s="39">
        <v>0.48828796376744477</v>
      </c>
      <c r="AC1477" s="39">
        <v>0.48342276152128399</v>
      </c>
      <c r="AD1477" s="39">
        <v>0.48424550673978739</v>
      </c>
      <c r="AE1477" s="39">
        <v>0.48480513544810072</v>
      </c>
      <c r="AF1477" s="40">
        <v>0.48546963170672874</v>
      </c>
    </row>
    <row r="1478" spans="1:32">
      <c r="A1478" s="15">
        <v>1476</v>
      </c>
      <c r="B1478" s="16">
        <v>1</v>
      </c>
      <c r="C1478" s="20">
        <v>0.96</v>
      </c>
      <c r="D1478" s="20">
        <v>0.13880369068795359</v>
      </c>
      <c r="E1478" s="20">
        <v>0.04</v>
      </c>
      <c r="F1478" s="8" t="s">
        <v>434</v>
      </c>
      <c r="G1478" s="24">
        <v>0.33438664862103251</v>
      </c>
      <c r="H1478" s="24">
        <v>0.33632266196198302</v>
      </c>
      <c r="I1478" s="25">
        <v>0.34220448629338573</v>
      </c>
      <c r="L1478" s="15">
        <v>1476</v>
      </c>
      <c r="M1478" s="16">
        <v>1</v>
      </c>
      <c r="N1478" s="16">
        <v>1</v>
      </c>
      <c r="O1478" s="16">
        <v>9</v>
      </c>
      <c r="P1478" s="16">
        <v>172</v>
      </c>
      <c r="Q1478" s="29">
        <v>74</v>
      </c>
      <c r="R1478" s="20">
        <v>0.62250000000000005</v>
      </c>
      <c r="S1478" s="32">
        <v>46.065000000000005</v>
      </c>
      <c r="T1478" s="35">
        <v>1.9300000000000002</v>
      </c>
      <c r="U1478" s="35">
        <v>0.76</v>
      </c>
      <c r="V1478" s="35">
        <v>2.6081081081081082E-2</v>
      </c>
      <c r="W1478" s="9" t="s">
        <v>153</v>
      </c>
      <c r="X1478" s="15">
        <v>1477</v>
      </c>
      <c r="Y1478" s="39">
        <v>0.48698978968884671</v>
      </c>
      <c r="Z1478" s="39">
        <v>0.49516444967598638</v>
      </c>
      <c r="AA1478" s="39">
        <v>0.48451177544857238</v>
      </c>
      <c r="AB1478" s="39">
        <v>0.47101467646821238</v>
      </c>
      <c r="AC1478" s="39">
        <v>0.48009229218208033</v>
      </c>
      <c r="AD1478" s="39">
        <v>0.4867332182359152</v>
      </c>
      <c r="AE1478" s="39">
        <v>0.48124024019784684</v>
      </c>
      <c r="AF1478" s="40">
        <v>0.46659164953708115</v>
      </c>
    </row>
    <row r="1479" spans="1:32">
      <c r="A1479" s="15">
        <v>1477</v>
      </c>
      <c r="B1479" s="16">
        <v>0</v>
      </c>
      <c r="C1479" s="20">
        <v>0.93</v>
      </c>
      <c r="D1479" s="20">
        <v>0.18747949848141848</v>
      </c>
      <c r="E1479" s="20">
        <v>7.0000000000000007E-2</v>
      </c>
      <c r="F1479" s="8" t="s">
        <v>434</v>
      </c>
      <c r="G1479" s="24">
        <v>0.93387130694054787</v>
      </c>
      <c r="H1479" s="24">
        <v>0.93927818343045466</v>
      </c>
      <c r="I1479" s="25">
        <v>0.9557048768950821</v>
      </c>
      <c r="L1479" s="15">
        <v>1477</v>
      </c>
      <c r="M1479" s="16">
        <v>1</v>
      </c>
      <c r="N1479" s="16">
        <v>1</v>
      </c>
      <c r="O1479" s="16">
        <v>9</v>
      </c>
      <c r="P1479" s="16">
        <v>173</v>
      </c>
      <c r="Q1479" s="29">
        <v>58</v>
      </c>
      <c r="R1479" s="20">
        <v>0.62250000000000005</v>
      </c>
      <c r="S1479" s="32">
        <v>36.105000000000004</v>
      </c>
      <c r="T1479" s="35">
        <v>2.25</v>
      </c>
      <c r="U1479" s="35">
        <v>1.48</v>
      </c>
      <c r="V1479" s="35">
        <v>3.8793103448275863E-2</v>
      </c>
      <c r="W1479" s="9" t="s">
        <v>154</v>
      </c>
      <c r="X1479" s="15">
        <v>1478</v>
      </c>
      <c r="Y1479" s="39">
        <v>0.47661299369675114</v>
      </c>
      <c r="Z1479" s="39">
        <v>0.489736040659842</v>
      </c>
      <c r="AA1479" s="39">
        <v>0.47326520445074199</v>
      </c>
      <c r="AB1479" s="39">
        <v>0.49344079441218019</v>
      </c>
      <c r="AC1479" s="39">
        <v>0.4677303113185669</v>
      </c>
      <c r="AD1479" s="39">
        <v>0.48081730978196674</v>
      </c>
      <c r="AE1479" s="39">
        <v>0.4685998879396871</v>
      </c>
      <c r="AF1479" s="40">
        <v>0.4866238577882922</v>
      </c>
    </row>
    <row r="1480" spans="1:32">
      <c r="A1480" s="15">
        <v>1478</v>
      </c>
      <c r="B1480" s="16">
        <v>0</v>
      </c>
      <c r="C1480" s="20">
        <v>0.08</v>
      </c>
      <c r="D1480" s="20">
        <v>0.93446132793784897</v>
      </c>
      <c r="E1480" s="20">
        <v>0.51</v>
      </c>
      <c r="F1480" s="8" t="s">
        <v>436</v>
      </c>
      <c r="G1480" s="24">
        <v>0.99384718893656088</v>
      </c>
      <c r="H1480" s="24">
        <v>0.99960131047395495</v>
      </c>
      <c r="I1480" s="25">
        <v>1.0170829730992121</v>
      </c>
      <c r="L1480" s="15">
        <v>1478</v>
      </c>
      <c r="M1480" s="16">
        <v>1</v>
      </c>
      <c r="N1480" s="16">
        <v>1</v>
      </c>
      <c r="O1480" s="16">
        <v>9</v>
      </c>
      <c r="P1480" s="16">
        <v>174</v>
      </c>
      <c r="Q1480" s="29">
        <v>48</v>
      </c>
      <c r="R1480" s="20">
        <v>0.62250000000000005</v>
      </c>
      <c r="S1480" s="32">
        <v>29.880000000000003</v>
      </c>
      <c r="T1480" s="35">
        <v>1.73</v>
      </c>
      <c r="U1480" s="35">
        <v>1.02</v>
      </c>
      <c r="V1480" s="35">
        <v>3.6041666666666666E-2</v>
      </c>
      <c r="W1480" s="9" t="s">
        <v>153</v>
      </c>
      <c r="X1480" s="15">
        <v>1479</v>
      </c>
      <c r="Y1480" s="39">
        <v>0.47777592822435055</v>
      </c>
      <c r="Z1480" s="39">
        <v>0.47769535225278198</v>
      </c>
      <c r="AA1480" s="39">
        <v>0.48396848277606547</v>
      </c>
      <c r="AB1480" s="39">
        <v>0.47883688837245031</v>
      </c>
      <c r="AC1480" s="39">
        <v>0.47413989435602666</v>
      </c>
      <c r="AD1480" s="39">
        <v>0.46901501880967328</v>
      </c>
      <c r="AE1480" s="39">
        <v>0.4751755986659783</v>
      </c>
      <c r="AF1480" s="40">
        <v>0.47151734680324076</v>
      </c>
    </row>
    <row r="1481" spans="1:32">
      <c r="A1481" s="15">
        <v>1479</v>
      </c>
      <c r="B1481" s="16">
        <v>0</v>
      </c>
      <c r="C1481" s="20">
        <v>0.95</v>
      </c>
      <c r="D1481" s="20">
        <v>0.15570568692893463</v>
      </c>
      <c r="E1481" s="20">
        <v>0.05</v>
      </c>
      <c r="F1481" s="8" t="s">
        <v>434</v>
      </c>
      <c r="G1481" s="24">
        <v>0.79423802627361928</v>
      </c>
      <c r="H1481" s="24">
        <v>0.79883646171085043</v>
      </c>
      <c r="I1481" s="25">
        <v>0.81280702114295211</v>
      </c>
      <c r="L1481" s="15">
        <v>1479</v>
      </c>
      <c r="M1481" s="16">
        <v>1</v>
      </c>
      <c r="N1481" s="16">
        <v>1</v>
      </c>
      <c r="O1481" s="16">
        <v>9</v>
      </c>
      <c r="P1481" s="16">
        <v>175</v>
      </c>
      <c r="Q1481" s="29">
        <v>72</v>
      </c>
      <c r="R1481" s="20">
        <v>0.62250000000000005</v>
      </c>
      <c r="S1481" s="32">
        <v>44.820000000000007</v>
      </c>
      <c r="T1481" s="35">
        <v>3.52</v>
      </c>
      <c r="U1481" s="35">
        <v>2.31</v>
      </c>
      <c r="V1481" s="35">
        <v>4.8888888888888891E-2</v>
      </c>
      <c r="W1481" s="9" t="s">
        <v>155</v>
      </c>
      <c r="X1481" s="15">
        <v>1480</v>
      </c>
      <c r="Y1481" s="39">
        <v>0.4891069587447176</v>
      </c>
      <c r="Z1481" s="39">
        <v>0.47928049874790168</v>
      </c>
      <c r="AA1481" s="39">
        <v>0.47436574500612233</v>
      </c>
      <c r="AB1481" s="39">
        <v>0.48822281892771746</v>
      </c>
      <c r="AC1481" s="39">
        <v>0.486003315017489</v>
      </c>
      <c r="AD1481" s="39">
        <v>0.47398064036944881</v>
      </c>
      <c r="AE1481" s="39">
        <v>0.47109592348895035</v>
      </c>
      <c r="AF1481" s="40">
        <v>0.48238616730597522</v>
      </c>
    </row>
    <row r="1482" spans="1:32">
      <c r="A1482" s="15">
        <v>1480</v>
      </c>
      <c r="B1482" s="16">
        <v>1</v>
      </c>
      <c r="C1482" s="20">
        <v>0.08</v>
      </c>
      <c r="D1482" s="20">
        <v>0.92919160351875196</v>
      </c>
      <c r="E1482" s="20">
        <v>0.1</v>
      </c>
      <c r="F1482" s="8" t="s">
        <v>436</v>
      </c>
      <c r="G1482" s="24">
        <v>1.0841347211468697</v>
      </c>
      <c r="H1482" s="24">
        <v>1.0904115844492281</v>
      </c>
      <c r="I1482" s="25">
        <v>1.109481394824902</v>
      </c>
      <c r="L1482" s="15">
        <v>1480</v>
      </c>
      <c r="M1482" s="16">
        <v>1</v>
      </c>
      <c r="N1482" s="16">
        <v>1</v>
      </c>
      <c r="O1482" s="16">
        <v>9</v>
      </c>
      <c r="P1482" s="16">
        <v>176</v>
      </c>
      <c r="Q1482" s="29">
        <v>65</v>
      </c>
      <c r="R1482" s="20">
        <v>0.62250000000000005</v>
      </c>
      <c r="S1482" s="32">
        <v>40.462500000000006</v>
      </c>
      <c r="T1482" s="35">
        <v>2.6999999999999997</v>
      </c>
      <c r="U1482" s="35">
        <v>1.86</v>
      </c>
      <c r="V1482" s="35">
        <v>4.1538461538461531E-2</v>
      </c>
      <c r="W1482" s="9" t="s">
        <v>154</v>
      </c>
      <c r="X1482" s="15">
        <v>1481</v>
      </c>
      <c r="Y1482" s="39">
        <v>0.49112802761902202</v>
      </c>
      <c r="Z1482" s="39">
        <v>0.4745404404016183</v>
      </c>
      <c r="AA1482" s="39">
        <v>0.49336085100312549</v>
      </c>
      <c r="AB1482" s="39">
        <v>0.47896259605937264</v>
      </c>
      <c r="AC1482" s="39">
        <v>0.4857173108847605</v>
      </c>
      <c r="AD1482" s="39">
        <v>0.46804591189530637</v>
      </c>
      <c r="AE1482" s="39">
        <v>0.4837141936982261</v>
      </c>
      <c r="AF1482" s="40">
        <v>0.47548744829959066</v>
      </c>
    </row>
    <row r="1483" spans="1:32">
      <c r="A1483" s="15">
        <v>1481</v>
      </c>
      <c r="B1483" s="16">
        <v>0</v>
      </c>
      <c r="C1483" s="20">
        <v>0.94</v>
      </c>
      <c r="D1483" s="20">
        <v>0.17188516685452584</v>
      </c>
      <c r="E1483" s="20">
        <v>0.06</v>
      </c>
      <c r="F1483" s="8" t="s">
        <v>434</v>
      </c>
      <c r="G1483" s="24">
        <v>0.69957870941553169</v>
      </c>
      <c r="H1483" s="24">
        <v>0.70362909157061693</v>
      </c>
      <c r="I1483" s="25">
        <v>0.71593460404170539</v>
      </c>
      <c r="L1483" s="15">
        <v>1481</v>
      </c>
      <c r="M1483" s="16">
        <v>1</v>
      </c>
      <c r="N1483" s="16">
        <v>1</v>
      </c>
      <c r="O1483" s="16">
        <v>9</v>
      </c>
      <c r="P1483" s="16">
        <v>177</v>
      </c>
      <c r="Q1483" s="29">
        <v>58</v>
      </c>
      <c r="R1483" s="20">
        <v>0.62250000000000005</v>
      </c>
      <c r="S1483" s="32">
        <v>36.105000000000004</v>
      </c>
      <c r="T1483" s="35">
        <v>1.61</v>
      </c>
      <c r="U1483" s="35">
        <v>0.71</v>
      </c>
      <c r="V1483" s="35">
        <v>2.7758620689655174E-2</v>
      </c>
      <c r="W1483" s="9" t="s">
        <v>153</v>
      </c>
      <c r="X1483" s="15">
        <v>1482</v>
      </c>
      <c r="Y1483" s="39">
        <v>0.48727709402175079</v>
      </c>
      <c r="Z1483" s="39">
        <v>0.48910854306852236</v>
      </c>
      <c r="AA1483" s="39">
        <v>0.46893861691042477</v>
      </c>
      <c r="AB1483" s="39">
        <v>0.49233383146930232</v>
      </c>
      <c r="AC1483" s="39">
        <v>0.47951125917300907</v>
      </c>
      <c r="AD1483" s="39">
        <v>0.48416195393046729</v>
      </c>
      <c r="AE1483" s="39">
        <v>0.46027620120637069</v>
      </c>
      <c r="AF1483" s="40">
        <v>0.48826521416709529</v>
      </c>
    </row>
    <row r="1484" spans="1:32">
      <c r="A1484" s="15">
        <v>1482</v>
      </c>
      <c r="B1484" s="16">
        <v>1</v>
      </c>
      <c r="C1484" s="20">
        <v>0.16</v>
      </c>
      <c r="D1484" s="20">
        <v>0.87256775393215869</v>
      </c>
      <c r="E1484" s="20">
        <v>0.09</v>
      </c>
      <c r="F1484" s="8" t="s">
        <v>436</v>
      </c>
      <c r="G1484" s="24">
        <v>1.1373276005176696</v>
      </c>
      <c r="H1484" s="24">
        <v>1.143912437013725</v>
      </c>
      <c r="I1484" s="25">
        <v>1.1639179042806975</v>
      </c>
      <c r="L1484" s="15">
        <v>1482</v>
      </c>
      <c r="M1484" s="16">
        <v>1</v>
      </c>
      <c r="N1484" s="16">
        <v>1</v>
      </c>
      <c r="O1484" s="16">
        <v>10</v>
      </c>
      <c r="P1484" s="16">
        <v>178</v>
      </c>
      <c r="Q1484" s="29">
        <v>59</v>
      </c>
      <c r="R1484" s="20">
        <v>0.62250000000000005</v>
      </c>
      <c r="S1484" s="32">
        <v>36.727500000000006</v>
      </c>
      <c r="T1484" s="35">
        <v>1.52</v>
      </c>
      <c r="U1484" s="35">
        <v>0.68</v>
      </c>
      <c r="V1484" s="35">
        <v>2.5762711864406779E-2</v>
      </c>
      <c r="W1484" s="9" t="s">
        <v>153</v>
      </c>
      <c r="X1484" s="15">
        <v>1483</v>
      </c>
      <c r="Y1484" s="39">
        <v>0.49978417079364407</v>
      </c>
      <c r="Z1484" s="39">
        <v>0.48471746443707653</v>
      </c>
      <c r="AA1484" s="39">
        <v>0.49418664425564457</v>
      </c>
      <c r="AB1484" s="39">
        <v>0.48246282425489517</v>
      </c>
      <c r="AC1484" s="39">
        <v>0.493606706667918</v>
      </c>
      <c r="AD1484" s="39">
        <v>0.47534161277685966</v>
      </c>
      <c r="AE1484" s="39">
        <v>0.49040877518756565</v>
      </c>
      <c r="AF1484" s="40">
        <v>0.47628973996211088</v>
      </c>
    </row>
    <row r="1485" spans="1:32">
      <c r="A1485" s="15">
        <v>1483</v>
      </c>
      <c r="B1485" s="16">
        <v>0</v>
      </c>
      <c r="C1485" s="20">
        <v>0.92</v>
      </c>
      <c r="D1485" s="20">
        <v>0.20258497911151899</v>
      </c>
      <c r="E1485" s="20">
        <v>0.08</v>
      </c>
      <c r="F1485" s="8" t="s">
        <v>434</v>
      </c>
      <c r="G1485" s="24">
        <v>0.79743997048727633</v>
      </c>
      <c r="H1485" s="24">
        <v>0.80205694436418551</v>
      </c>
      <c r="I1485" s="25">
        <v>0.81608382564245352</v>
      </c>
      <c r="L1485" s="15">
        <v>1483</v>
      </c>
      <c r="M1485" s="16">
        <v>1</v>
      </c>
      <c r="N1485" s="16">
        <v>1</v>
      </c>
      <c r="O1485" s="16">
        <v>10</v>
      </c>
      <c r="P1485" s="16">
        <v>179</v>
      </c>
      <c r="Q1485" s="29">
        <v>38</v>
      </c>
      <c r="R1485" s="20">
        <v>0.62250000000000005</v>
      </c>
      <c r="S1485" s="32">
        <v>23.655000000000001</v>
      </c>
      <c r="T1485" s="35">
        <v>1.45</v>
      </c>
      <c r="U1485" s="35">
        <v>0.93</v>
      </c>
      <c r="V1485" s="35">
        <v>3.8157894736842106E-2</v>
      </c>
      <c r="W1485" s="9" t="s">
        <v>153</v>
      </c>
      <c r="X1485" s="15">
        <v>1484</v>
      </c>
      <c r="Y1485" s="39">
        <v>0.47840130935597869</v>
      </c>
      <c r="Z1485" s="39">
        <v>0.48056056359112675</v>
      </c>
      <c r="AA1485" s="39">
        <v>0.48747375697615791</v>
      </c>
      <c r="AB1485" s="39">
        <v>0.4962007165755416</v>
      </c>
      <c r="AC1485" s="39">
        <v>0.47166505932557939</v>
      </c>
      <c r="AD1485" s="39">
        <v>0.47197837075326565</v>
      </c>
      <c r="AE1485" s="39">
        <v>0.48301362594446684</v>
      </c>
      <c r="AF1485" s="40">
        <v>0.49105075137616067</v>
      </c>
    </row>
    <row r="1486" spans="1:32">
      <c r="A1486" s="15">
        <v>1484</v>
      </c>
      <c r="B1486" s="16">
        <v>1</v>
      </c>
      <c r="C1486" s="20">
        <v>0.47</v>
      </c>
      <c r="D1486" s="20">
        <v>0.474176671198758</v>
      </c>
      <c r="E1486" s="20">
        <v>0.1</v>
      </c>
      <c r="F1486" s="8" t="s">
        <v>436</v>
      </c>
      <c r="G1486" s="24">
        <v>1.5905690174076941</v>
      </c>
      <c r="H1486" s="24">
        <v>1.5997780060144542</v>
      </c>
      <c r="I1486" s="25">
        <v>1.627755939900106</v>
      </c>
      <c r="L1486" s="15">
        <v>1484</v>
      </c>
      <c r="M1486" s="16">
        <v>1</v>
      </c>
      <c r="N1486" s="16">
        <v>1</v>
      </c>
      <c r="O1486" s="16">
        <v>10</v>
      </c>
      <c r="P1486" s="16">
        <v>180</v>
      </c>
      <c r="Q1486" s="29">
        <v>70</v>
      </c>
      <c r="R1486" s="20">
        <v>0.62250000000000005</v>
      </c>
      <c r="S1486" s="32">
        <v>43.575000000000003</v>
      </c>
      <c r="T1486" s="35">
        <v>2.6</v>
      </c>
      <c r="U1486" s="35">
        <v>1.4</v>
      </c>
      <c r="V1486" s="35">
        <v>3.7142857142857144E-2</v>
      </c>
      <c r="W1486" s="9" t="s">
        <v>154</v>
      </c>
      <c r="X1486" s="15">
        <v>1485</v>
      </c>
      <c r="Y1486" s="39">
        <v>0.47908407806348569</v>
      </c>
      <c r="Z1486" s="39">
        <v>0.47547073445190979</v>
      </c>
      <c r="AA1486" s="39">
        <v>0.48668485479117018</v>
      </c>
      <c r="AB1486" s="39">
        <v>0.47879530822054017</v>
      </c>
      <c r="AC1486" s="39">
        <v>0.47181354570929784</v>
      </c>
      <c r="AD1486" s="39">
        <v>0.46759896920429123</v>
      </c>
      <c r="AE1486" s="39">
        <v>0.48260393870813673</v>
      </c>
      <c r="AF1486" s="40">
        <v>0.47293969941786251</v>
      </c>
    </row>
    <row r="1487" spans="1:32">
      <c r="A1487" s="15">
        <v>1485</v>
      </c>
      <c r="B1487" s="16">
        <v>1</v>
      </c>
      <c r="C1487" s="20">
        <v>0.19</v>
      </c>
      <c r="D1487" s="20">
        <v>0.79137388494232053</v>
      </c>
      <c r="E1487" s="20">
        <v>0.11</v>
      </c>
      <c r="F1487" s="8" t="s">
        <v>436</v>
      </c>
      <c r="G1487" s="24">
        <v>1.4547154893834267</v>
      </c>
      <c r="H1487" s="24">
        <v>1.4631379207405035</v>
      </c>
      <c r="I1487" s="25">
        <v>1.4887262060264421</v>
      </c>
      <c r="L1487" s="15">
        <v>1485</v>
      </c>
      <c r="M1487" s="16">
        <v>1</v>
      </c>
      <c r="N1487" s="16">
        <v>1</v>
      </c>
      <c r="O1487" s="16">
        <v>10</v>
      </c>
      <c r="P1487" s="16">
        <v>181</v>
      </c>
      <c r="Q1487" s="29">
        <v>59</v>
      </c>
      <c r="R1487" s="20">
        <v>0.62250000000000005</v>
      </c>
      <c r="S1487" s="32">
        <v>36.727500000000006</v>
      </c>
      <c r="T1487" s="35">
        <v>2.02</v>
      </c>
      <c r="U1487" s="35">
        <v>1.1000000000000001</v>
      </c>
      <c r="V1487" s="35">
        <v>3.4237288135593222E-2</v>
      </c>
      <c r="W1487" s="9" t="s">
        <v>154</v>
      </c>
      <c r="X1487" s="15">
        <v>1486</v>
      </c>
      <c r="Y1487" s="39">
        <v>0.48238448372593157</v>
      </c>
      <c r="Z1487" s="39">
        <v>0.47591154298180166</v>
      </c>
      <c r="AA1487" s="39">
        <v>0.4992460841098742</v>
      </c>
      <c r="AB1487" s="39">
        <v>0.49069724056020053</v>
      </c>
      <c r="AC1487" s="39">
        <v>0.47705715608995475</v>
      </c>
      <c r="AD1487" s="39">
        <v>0.4685751821202917</v>
      </c>
      <c r="AE1487" s="39">
        <v>0.49056867744754729</v>
      </c>
      <c r="AF1487" s="40">
        <v>0.48727241766796764</v>
      </c>
    </row>
    <row r="1488" spans="1:32">
      <c r="A1488" s="15">
        <v>1486</v>
      </c>
      <c r="B1488" s="16">
        <v>0</v>
      </c>
      <c r="C1488" s="20">
        <v>0.17</v>
      </c>
      <c r="D1488" s="20">
        <v>0.85230284505315457</v>
      </c>
      <c r="E1488" s="20">
        <v>0.05</v>
      </c>
      <c r="F1488" s="8" t="s">
        <v>436</v>
      </c>
      <c r="G1488" s="24">
        <v>1.1241234983379009</v>
      </c>
      <c r="H1488" s="24">
        <v>1.1306318864527762</v>
      </c>
      <c r="I1488" s="25">
        <v>1.1504050950162521</v>
      </c>
      <c r="L1488" s="15">
        <v>1486</v>
      </c>
      <c r="M1488" s="16">
        <v>1</v>
      </c>
      <c r="N1488" s="16">
        <v>1</v>
      </c>
      <c r="O1488" s="16">
        <v>10</v>
      </c>
      <c r="P1488" s="16">
        <v>182</v>
      </c>
      <c r="Q1488" s="29">
        <v>57</v>
      </c>
      <c r="R1488" s="20">
        <v>0.62250000000000005</v>
      </c>
      <c r="S1488" s="32">
        <v>35.482500000000002</v>
      </c>
      <c r="T1488" s="35">
        <v>3.24</v>
      </c>
      <c r="U1488" s="35">
        <v>2.5499999999999998</v>
      </c>
      <c r="V1488" s="35">
        <v>5.6842105263157895E-2</v>
      </c>
      <c r="W1488" s="9" t="s">
        <v>155</v>
      </c>
      <c r="X1488" s="15">
        <v>1487</v>
      </c>
      <c r="Y1488" s="39">
        <v>0.49193186594898836</v>
      </c>
      <c r="Z1488" s="39">
        <v>0.4931438856903968</v>
      </c>
      <c r="AA1488" s="39">
        <v>0.48674517211768759</v>
      </c>
      <c r="AB1488" s="39">
        <v>0.49939845283598228</v>
      </c>
      <c r="AC1488" s="39">
        <v>0.485875401105822</v>
      </c>
      <c r="AD1488" s="39">
        <v>0.48821376835862618</v>
      </c>
      <c r="AE1488" s="39">
        <v>0.4826835056689322</v>
      </c>
      <c r="AF1488" s="40">
        <v>0.49698627440800258</v>
      </c>
    </row>
    <row r="1489" spans="1:32">
      <c r="A1489" s="15">
        <v>1487</v>
      </c>
      <c r="B1489" s="16">
        <v>1</v>
      </c>
      <c r="C1489" s="20">
        <v>0.02</v>
      </c>
      <c r="D1489" s="20">
        <v>0.99679477127711513</v>
      </c>
      <c r="E1489" s="20">
        <v>1</v>
      </c>
      <c r="F1489" s="8" t="s">
        <v>436</v>
      </c>
      <c r="G1489" s="24">
        <v>1.5673516792303406</v>
      </c>
      <c r="H1489" s="24">
        <v>1.5764262453754443</v>
      </c>
      <c r="I1489" s="25">
        <v>1.6039957888389151</v>
      </c>
      <c r="L1489" s="15">
        <v>1487</v>
      </c>
      <c r="M1489" s="16">
        <v>1</v>
      </c>
      <c r="N1489" s="16">
        <v>1</v>
      </c>
      <c r="O1489" s="16">
        <v>10</v>
      </c>
      <c r="P1489" s="16">
        <v>183</v>
      </c>
      <c r="Q1489" s="29">
        <v>53</v>
      </c>
      <c r="R1489" s="20">
        <v>0.62250000000000005</v>
      </c>
      <c r="S1489" s="32">
        <v>32.9925</v>
      </c>
      <c r="T1489" s="35">
        <v>2.5099999999999998</v>
      </c>
      <c r="U1489" s="35">
        <v>1.74</v>
      </c>
      <c r="V1489" s="35">
        <v>4.7358490566037734E-2</v>
      </c>
      <c r="W1489" s="9" t="s">
        <v>154</v>
      </c>
      <c r="X1489" s="15">
        <v>1488</v>
      </c>
      <c r="Y1489" s="39">
        <v>0.48031174509719271</v>
      </c>
      <c r="Z1489" s="39">
        <v>0.48574641372985894</v>
      </c>
      <c r="AA1489" s="39">
        <v>0.49095334494338516</v>
      </c>
      <c r="AB1489" s="39">
        <v>0.49239625089015798</v>
      </c>
      <c r="AC1489" s="39">
        <v>0.47527671052330128</v>
      </c>
      <c r="AD1489" s="39">
        <v>0.47943871016526091</v>
      </c>
      <c r="AE1489" s="39">
        <v>0.48227207085229179</v>
      </c>
      <c r="AF1489" s="40">
        <v>0.48648961869133328</v>
      </c>
    </row>
    <row r="1490" spans="1:32">
      <c r="A1490" s="15">
        <v>1488</v>
      </c>
      <c r="B1490" s="16">
        <v>0</v>
      </c>
      <c r="C1490" s="20">
        <v>0.02</v>
      </c>
      <c r="D1490" s="20">
        <v>0.99835916395484214</v>
      </c>
      <c r="E1490" s="20">
        <v>1</v>
      </c>
      <c r="F1490" s="8" t="s">
        <v>436</v>
      </c>
      <c r="G1490" s="24">
        <v>1.0610300895701936</v>
      </c>
      <c r="H1490" s="24">
        <v>1.0671731829533442</v>
      </c>
      <c r="I1490" s="25">
        <v>1.0858365854035337</v>
      </c>
      <c r="L1490" s="15">
        <v>1488</v>
      </c>
      <c r="M1490" s="16">
        <v>1</v>
      </c>
      <c r="N1490" s="16">
        <v>1</v>
      </c>
      <c r="O1490" s="16">
        <v>10</v>
      </c>
      <c r="P1490" s="16">
        <v>184</v>
      </c>
      <c r="Q1490" s="29">
        <v>56</v>
      </c>
      <c r="R1490" s="20">
        <v>0.62250000000000005</v>
      </c>
      <c r="S1490" s="32">
        <v>34.86</v>
      </c>
      <c r="T1490" s="35">
        <v>2.25</v>
      </c>
      <c r="U1490" s="35">
        <v>1.52</v>
      </c>
      <c r="V1490" s="35">
        <v>4.0178571428571432E-2</v>
      </c>
      <c r="W1490" s="9" t="s">
        <v>154</v>
      </c>
      <c r="X1490" s="15">
        <v>1489</v>
      </c>
      <c r="Y1490" s="39">
        <v>0.47372067599047063</v>
      </c>
      <c r="Z1490" s="39">
        <v>0.4658764296326256</v>
      </c>
      <c r="AA1490" s="39">
        <v>0.48644918577404173</v>
      </c>
      <c r="AB1490" s="39">
        <v>0.47847216425440631</v>
      </c>
      <c r="AC1490" s="39">
        <v>0.4693597162347114</v>
      </c>
      <c r="AD1490" s="39">
        <v>0.4590604210921776</v>
      </c>
      <c r="AE1490" s="39">
        <v>0.48177583801473939</v>
      </c>
      <c r="AF1490" s="40">
        <v>0.47363159739110605</v>
      </c>
    </row>
    <row r="1491" spans="1:32">
      <c r="A1491" s="15">
        <v>1489</v>
      </c>
      <c r="B1491" s="16">
        <v>0</v>
      </c>
      <c r="C1491" s="20">
        <v>0.11</v>
      </c>
      <c r="D1491" s="20">
        <v>0.9425306646778342</v>
      </c>
      <c r="E1491" s="20">
        <v>0.46</v>
      </c>
      <c r="F1491" s="8" t="s">
        <v>436</v>
      </c>
      <c r="G1491" s="24">
        <v>1.0300924015199027</v>
      </c>
      <c r="H1491" s="24">
        <v>1.0360563735863066</v>
      </c>
      <c r="I1491" s="25">
        <v>1.0541755855101038</v>
      </c>
      <c r="L1491" s="15">
        <v>1489</v>
      </c>
      <c r="M1491" s="16">
        <v>1</v>
      </c>
      <c r="N1491" s="16">
        <v>1</v>
      </c>
      <c r="O1491" s="16">
        <v>10</v>
      </c>
      <c r="P1491" s="16">
        <v>185</v>
      </c>
      <c r="Q1491" s="29">
        <v>63</v>
      </c>
      <c r="R1491" s="20">
        <v>0.62250000000000005</v>
      </c>
      <c r="S1491" s="32">
        <v>39.217500000000001</v>
      </c>
      <c r="T1491" s="35">
        <v>1.28</v>
      </c>
      <c r="U1491" s="35">
        <v>0.28999999999999998</v>
      </c>
      <c r="V1491" s="35">
        <v>2.0317460317460317E-2</v>
      </c>
      <c r="W1491" s="9" t="s">
        <v>153</v>
      </c>
      <c r="X1491" s="15">
        <v>1490</v>
      </c>
      <c r="Y1491" s="39">
        <v>0.48366883651079789</v>
      </c>
      <c r="Z1491" s="39">
        <v>0.4858408299379125</v>
      </c>
      <c r="AA1491" s="39">
        <v>0.4805952540456494</v>
      </c>
      <c r="AB1491" s="39">
        <v>0.47354216749107397</v>
      </c>
      <c r="AC1491" s="39">
        <v>0.47463305576256398</v>
      </c>
      <c r="AD1491" s="39">
        <v>0.47965816101358716</v>
      </c>
      <c r="AE1491" s="39">
        <v>0.47409149134961787</v>
      </c>
      <c r="AF1491" s="40">
        <v>0.47005891684470535</v>
      </c>
    </row>
    <row r="1492" spans="1:32">
      <c r="A1492" s="15">
        <v>1490</v>
      </c>
      <c r="B1492" s="16">
        <v>0</v>
      </c>
      <c r="C1492" s="20">
        <v>0.16</v>
      </c>
      <c r="D1492" s="20">
        <v>0.82897035922844697</v>
      </c>
      <c r="E1492" s="20">
        <v>7.0000000000000007E-2</v>
      </c>
      <c r="F1492" s="8" t="s">
        <v>436</v>
      </c>
      <c r="G1492" s="24">
        <v>1.7326163178147944</v>
      </c>
      <c r="H1492" s="24">
        <v>1.7426477240323301</v>
      </c>
      <c r="I1492" s="25">
        <v>1.6578926537592125</v>
      </c>
      <c r="L1492" s="15">
        <v>1490</v>
      </c>
      <c r="M1492" s="16">
        <v>1</v>
      </c>
      <c r="N1492" s="16">
        <v>1</v>
      </c>
      <c r="O1492" s="16">
        <v>10</v>
      </c>
      <c r="P1492" s="16">
        <v>186</v>
      </c>
      <c r="Q1492" s="29">
        <v>58</v>
      </c>
      <c r="R1492" s="20">
        <v>0.62250000000000005</v>
      </c>
      <c r="S1492" s="32">
        <v>36.105000000000004</v>
      </c>
      <c r="T1492" s="35">
        <v>3.13</v>
      </c>
      <c r="U1492" s="35">
        <v>2.2999999999999998</v>
      </c>
      <c r="V1492" s="35">
        <v>5.396551724137931E-2</v>
      </c>
      <c r="W1492" s="9" t="s">
        <v>155</v>
      </c>
      <c r="X1492" s="15">
        <v>1491</v>
      </c>
      <c r="Y1492" s="39">
        <v>0.48933551088549554</v>
      </c>
      <c r="Z1492" s="39">
        <v>0.47972702396034539</v>
      </c>
      <c r="AA1492" s="39">
        <v>0.49232906948402178</v>
      </c>
      <c r="AB1492" s="39">
        <v>0.4877697347467303</v>
      </c>
      <c r="AC1492" s="39">
        <v>0.48185960231083619</v>
      </c>
      <c r="AD1492" s="39">
        <v>0.47438852926592684</v>
      </c>
      <c r="AE1492" s="39">
        <v>0.48701192125195453</v>
      </c>
      <c r="AF1492" s="40">
        <v>0.48442243771820087</v>
      </c>
    </row>
    <row r="1493" spans="1:32">
      <c r="A1493" s="15">
        <v>1491</v>
      </c>
      <c r="B1493" s="16">
        <v>0</v>
      </c>
      <c r="C1493" s="20">
        <v>0.94</v>
      </c>
      <c r="D1493" s="20">
        <v>0.17188516685452584</v>
      </c>
      <c r="E1493" s="20">
        <v>0.06</v>
      </c>
      <c r="F1493" s="8" t="s">
        <v>434</v>
      </c>
      <c r="G1493" s="24">
        <v>1.2464699608146543</v>
      </c>
      <c r="H1493" s="24">
        <v>1.253686703717467</v>
      </c>
      <c r="I1493" s="25">
        <v>1.2756119730848789</v>
      </c>
      <c r="L1493" s="15">
        <v>1491</v>
      </c>
      <c r="M1493" s="16">
        <v>1</v>
      </c>
      <c r="N1493" s="16">
        <v>1</v>
      </c>
      <c r="O1493" s="16">
        <v>10</v>
      </c>
      <c r="P1493" s="16">
        <v>187</v>
      </c>
      <c r="Q1493" s="29">
        <v>62</v>
      </c>
      <c r="R1493" s="20">
        <v>0.62250000000000005</v>
      </c>
      <c r="S1493" s="32">
        <v>38.595000000000006</v>
      </c>
      <c r="T1493" s="35">
        <v>2.29</v>
      </c>
      <c r="U1493" s="35">
        <v>1.48</v>
      </c>
      <c r="V1493" s="35">
        <v>3.693548387096774E-2</v>
      </c>
      <c r="W1493" s="9" t="s">
        <v>154</v>
      </c>
      <c r="X1493" s="15">
        <v>1492</v>
      </c>
      <c r="Y1493" s="39">
        <v>0.49430262704764866</v>
      </c>
      <c r="Z1493" s="39">
        <v>0.48866720276069586</v>
      </c>
      <c r="AA1493" s="39">
        <v>0.49675073912072187</v>
      </c>
      <c r="AB1493" s="39">
        <v>0.49004393739028623</v>
      </c>
      <c r="AC1493" s="39">
        <v>0.48849403504371602</v>
      </c>
      <c r="AD1493" s="39">
        <v>0.48471827260880451</v>
      </c>
      <c r="AE1493" s="39">
        <v>0.48929946241259059</v>
      </c>
      <c r="AF1493" s="40">
        <v>0.48292003115366861</v>
      </c>
    </row>
    <row r="1494" spans="1:32">
      <c r="A1494" s="15">
        <v>1492</v>
      </c>
      <c r="B1494" s="16">
        <v>0</v>
      </c>
      <c r="C1494" s="20">
        <v>0.35</v>
      </c>
      <c r="D1494" s="20">
        <v>0.59682534344442539</v>
      </c>
      <c r="E1494" s="20">
        <v>0.12</v>
      </c>
      <c r="F1494" s="8" t="s">
        <v>436</v>
      </c>
      <c r="G1494" s="24">
        <v>0.63469002304380095</v>
      </c>
      <c r="H1494" s="24">
        <v>0.63836471626809166</v>
      </c>
      <c r="I1494" s="25">
        <v>0.6495288438905088</v>
      </c>
      <c r="L1494" s="15">
        <v>1492</v>
      </c>
      <c r="M1494" s="16">
        <v>1</v>
      </c>
      <c r="N1494" s="16">
        <v>1</v>
      </c>
      <c r="O1494" s="16">
        <v>11</v>
      </c>
      <c r="P1494" s="16">
        <v>196</v>
      </c>
      <c r="Q1494" s="29">
        <v>16</v>
      </c>
      <c r="R1494" s="20">
        <v>0.62250000000000005</v>
      </c>
      <c r="S1494" s="32">
        <v>9.9600000000000009</v>
      </c>
      <c r="T1494" s="35">
        <v>1.32</v>
      </c>
      <c r="U1494" s="35">
        <v>1.17</v>
      </c>
      <c r="V1494" s="35">
        <v>8.2500000000000004E-2</v>
      </c>
      <c r="W1494" s="9" t="s">
        <v>153</v>
      </c>
      <c r="X1494" s="15">
        <v>1493</v>
      </c>
      <c r="Y1494" s="39">
        <v>0.48206872602138445</v>
      </c>
      <c r="Z1494" s="39">
        <v>0.471392683335558</v>
      </c>
      <c r="AA1494" s="39">
        <v>0.47718731247390628</v>
      </c>
      <c r="AB1494" s="39">
        <v>0.48863787827792493</v>
      </c>
      <c r="AC1494" s="39">
        <v>0.47659168303223659</v>
      </c>
      <c r="AD1494" s="39">
        <v>0.46753105031961489</v>
      </c>
      <c r="AE1494" s="39">
        <v>0.47230822627207197</v>
      </c>
      <c r="AF1494" s="40">
        <v>0.48449359889535959</v>
      </c>
    </row>
    <row r="1495" spans="1:32">
      <c r="A1495" s="15">
        <v>1493</v>
      </c>
      <c r="B1495" s="16">
        <v>1</v>
      </c>
      <c r="C1495" s="20">
        <v>0.85</v>
      </c>
      <c r="D1495" s="20">
        <v>0.30083705034185315</v>
      </c>
      <c r="E1495" s="20">
        <v>0.08</v>
      </c>
      <c r="F1495" s="8" t="s">
        <v>434</v>
      </c>
      <c r="G1495" s="24">
        <v>0.74830169479404662</v>
      </c>
      <c r="H1495" s="24">
        <v>0.75263417059758564</v>
      </c>
      <c r="I1495" s="25">
        <v>0.7657967150168089</v>
      </c>
      <c r="L1495" s="15">
        <v>1493</v>
      </c>
      <c r="M1495" s="16">
        <v>1</v>
      </c>
      <c r="N1495" s="16">
        <v>1</v>
      </c>
      <c r="O1495" s="16">
        <v>11</v>
      </c>
      <c r="P1495" s="16">
        <v>197</v>
      </c>
      <c r="Q1495" s="29">
        <v>7</v>
      </c>
      <c r="R1495" s="20">
        <v>0.62250000000000005</v>
      </c>
      <c r="S1495" s="32">
        <v>4.3574999999999999</v>
      </c>
      <c r="T1495" s="35">
        <v>0.47000000000000003</v>
      </c>
      <c r="U1495" s="35">
        <v>0.43</v>
      </c>
      <c r="V1495" s="35">
        <v>6.7142857142857143E-2</v>
      </c>
      <c r="W1495" s="9" t="s">
        <v>152</v>
      </c>
      <c r="X1495" s="15">
        <v>1494</v>
      </c>
      <c r="Y1495" s="39">
        <v>0.49233218673694268</v>
      </c>
      <c r="Z1495" s="39">
        <v>0.48656742029100403</v>
      </c>
      <c r="AA1495" s="39">
        <v>0.49696136604430768</v>
      </c>
      <c r="AB1495" s="39">
        <v>0.48609900717962956</v>
      </c>
      <c r="AC1495" s="39">
        <v>0.48229271535774298</v>
      </c>
      <c r="AD1495" s="39">
        <v>0.47926037000205518</v>
      </c>
      <c r="AE1495" s="39">
        <v>0.48879876721832211</v>
      </c>
      <c r="AF1495" s="40">
        <v>0.48281893427116873</v>
      </c>
    </row>
    <row r="1496" spans="1:32">
      <c r="A1496" s="15">
        <v>1494</v>
      </c>
      <c r="B1496" s="16">
        <v>1</v>
      </c>
      <c r="C1496" s="20">
        <v>0.36</v>
      </c>
      <c r="D1496" s="20">
        <v>0.65225699976332829</v>
      </c>
      <c r="E1496" s="20">
        <v>7.0000000000000007E-2</v>
      </c>
      <c r="F1496" s="8" t="s">
        <v>436</v>
      </c>
      <c r="G1496" s="24">
        <v>0.75664538847418727</v>
      </c>
      <c r="H1496" s="24">
        <v>0.76102617213434731</v>
      </c>
      <c r="I1496" s="25">
        <v>0.7743354812067168</v>
      </c>
      <c r="L1496" s="15">
        <v>1494</v>
      </c>
      <c r="M1496" s="16">
        <v>1</v>
      </c>
      <c r="N1496" s="16">
        <v>1</v>
      </c>
      <c r="O1496" s="16">
        <v>11</v>
      </c>
      <c r="P1496" s="16">
        <v>198</v>
      </c>
      <c r="Q1496" s="29">
        <v>19</v>
      </c>
      <c r="R1496" s="20">
        <v>0.62250000000000005</v>
      </c>
      <c r="S1496" s="32">
        <v>11.827500000000001</v>
      </c>
      <c r="T1496" s="35">
        <v>0.48</v>
      </c>
      <c r="U1496" s="35">
        <v>0.16</v>
      </c>
      <c r="V1496" s="35">
        <v>2.5263157894736842E-2</v>
      </c>
      <c r="W1496" s="9" t="s">
        <v>152</v>
      </c>
      <c r="X1496" s="15">
        <v>1495</v>
      </c>
      <c r="Y1496" s="39">
        <v>0.48935202341533851</v>
      </c>
      <c r="Z1496" s="39">
        <v>0.48653180355194403</v>
      </c>
      <c r="AA1496" s="39">
        <v>0.49650769568900194</v>
      </c>
      <c r="AB1496" s="39">
        <v>0.50244047137373538</v>
      </c>
      <c r="AC1496" s="39">
        <v>0.48153015999688137</v>
      </c>
      <c r="AD1496" s="39">
        <v>0.47885842378536647</v>
      </c>
      <c r="AE1496" s="39">
        <v>0.48758249591482966</v>
      </c>
      <c r="AF1496" s="40">
        <v>0.49813082442624868</v>
      </c>
    </row>
    <row r="1497" spans="1:32">
      <c r="A1497" s="15">
        <v>1495</v>
      </c>
      <c r="B1497" s="16">
        <v>0</v>
      </c>
      <c r="C1497" s="20">
        <v>0.93</v>
      </c>
      <c r="D1497" s="20">
        <v>0.18747949848141848</v>
      </c>
      <c r="E1497" s="20">
        <v>7.0000000000000007E-2</v>
      </c>
      <c r="F1497" s="8" t="s">
        <v>434</v>
      </c>
      <c r="G1497" s="24">
        <v>0.63590923310911318</v>
      </c>
      <c r="H1497" s="24">
        <v>0.63959098524847002</v>
      </c>
      <c r="I1497" s="25">
        <v>0.65077655864169415</v>
      </c>
      <c r="L1497" s="15">
        <v>1495</v>
      </c>
      <c r="M1497" s="16">
        <v>1</v>
      </c>
      <c r="N1497" s="16">
        <v>1</v>
      </c>
      <c r="O1497" s="16">
        <v>11</v>
      </c>
      <c r="P1497" s="16">
        <v>199</v>
      </c>
      <c r="Q1497" s="29">
        <v>14</v>
      </c>
      <c r="R1497" s="20">
        <v>0.62250000000000005</v>
      </c>
      <c r="S1497" s="32">
        <v>8.7149999999999999</v>
      </c>
      <c r="T1497" s="35">
        <v>2.5300000000000002</v>
      </c>
      <c r="U1497" s="35">
        <v>2.33</v>
      </c>
      <c r="V1497" s="35">
        <v>0.18071428571428574</v>
      </c>
      <c r="W1497" s="9" t="s">
        <v>154</v>
      </c>
      <c r="X1497" s="15">
        <v>1496</v>
      </c>
      <c r="Y1497" s="39">
        <v>0.48521040630757245</v>
      </c>
      <c r="Z1497" s="39">
        <v>0.47935218443575611</v>
      </c>
      <c r="AA1497" s="39">
        <v>0.49288073999310672</v>
      </c>
      <c r="AB1497" s="39">
        <v>0.50226790513449093</v>
      </c>
      <c r="AC1497" s="39">
        <v>0.47788925444958469</v>
      </c>
      <c r="AD1497" s="39">
        <v>0.47283618229330315</v>
      </c>
      <c r="AE1497" s="39">
        <v>0.48680487412416856</v>
      </c>
      <c r="AF1497" s="40">
        <v>0.4957861773693511</v>
      </c>
    </row>
    <row r="1498" spans="1:32">
      <c r="A1498" s="15">
        <v>1496</v>
      </c>
      <c r="B1498" s="16">
        <v>1</v>
      </c>
      <c r="C1498" s="20">
        <v>0.47</v>
      </c>
      <c r="D1498" s="20">
        <v>0.48238295225711919</v>
      </c>
      <c r="E1498" s="20">
        <v>0.12</v>
      </c>
      <c r="F1498" s="8" t="s">
        <v>436</v>
      </c>
      <c r="G1498" s="24">
        <v>0.86528762459594122</v>
      </c>
      <c r="H1498" s="24">
        <v>0.87029741907154434</v>
      </c>
      <c r="I1498" s="25">
        <v>0.88551773311517734</v>
      </c>
      <c r="L1498" s="15">
        <v>1496</v>
      </c>
      <c r="M1498" s="16">
        <v>1</v>
      </c>
      <c r="N1498" s="16">
        <v>1</v>
      </c>
      <c r="O1498" s="16">
        <v>11</v>
      </c>
      <c r="P1498" s="16">
        <v>200</v>
      </c>
      <c r="Q1498" s="29">
        <v>9</v>
      </c>
      <c r="R1498" s="20">
        <v>0.62250000000000005</v>
      </c>
      <c r="S1498" s="32">
        <v>5.6025000000000009</v>
      </c>
      <c r="T1498" s="35">
        <v>0.12</v>
      </c>
      <c r="U1498" s="35">
        <v>0.01</v>
      </c>
      <c r="V1498" s="35">
        <v>1.3333333333333332E-2</v>
      </c>
      <c r="W1498" s="9" t="s">
        <v>152</v>
      </c>
      <c r="X1498" s="15">
        <v>1497</v>
      </c>
      <c r="Y1498" s="39">
        <v>0.48310745719365827</v>
      </c>
      <c r="Z1498" s="39">
        <v>0.50378702857379853</v>
      </c>
      <c r="AA1498" s="39">
        <v>0.48025839665686826</v>
      </c>
      <c r="AB1498" s="39">
        <v>0.50170815952373404</v>
      </c>
      <c r="AC1498" s="39">
        <v>0.47756743703031113</v>
      </c>
      <c r="AD1498" s="39">
        <v>0.49699578950649764</v>
      </c>
      <c r="AE1498" s="39">
        <v>0.47404034475939538</v>
      </c>
      <c r="AF1498" s="40">
        <v>0.49634548292648728</v>
      </c>
    </row>
    <row r="1499" spans="1:32">
      <c r="A1499" s="15">
        <v>1497</v>
      </c>
      <c r="B1499" s="16">
        <v>1</v>
      </c>
      <c r="C1499" s="20">
        <v>0.02</v>
      </c>
      <c r="D1499" s="20">
        <v>0.99835916395484214</v>
      </c>
      <c r="E1499" s="20">
        <v>1</v>
      </c>
      <c r="F1499" s="8" t="s">
        <v>436</v>
      </c>
      <c r="G1499" s="24">
        <v>1.1756313347093756</v>
      </c>
      <c r="H1499" s="24">
        <v>1.182437940049101</v>
      </c>
      <c r="I1499" s="25">
        <v>1.2031171657830502</v>
      </c>
      <c r="L1499" s="15">
        <v>1497</v>
      </c>
      <c r="M1499" s="16">
        <v>1</v>
      </c>
      <c r="N1499" s="16">
        <v>1</v>
      </c>
      <c r="O1499" s="16">
        <v>11</v>
      </c>
      <c r="P1499" s="16">
        <v>201</v>
      </c>
      <c r="Q1499" s="29">
        <v>34</v>
      </c>
      <c r="R1499" s="20">
        <v>0.62250000000000005</v>
      </c>
      <c r="S1499" s="32">
        <v>21.165000000000003</v>
      </c>
      <c r="T1499" s="35">
        <v>2.7399999999999998</v>
      </c>
      <c r="U1499" s="35">
        <v>2.1800000000000002</v>
      </c>
      <c r="V1499" s="35">
        <v>8.0588235294117641E-2</v>
      </c>
      <c r="W1499" s="9" t="s">
        <v>154</v>
      </c>
      <c r="X1499" s="15">
        <v>1498</v>
      </c>
      <c r="Y1499" s="39">
        <v>0.48446524511833128</v>
      </c>
      <c r="Z1499" s="39">
        <v>0.48697215530009313</v>
      </c>
      <c r="AA1499" s="39">
        <v>0.48510030820463568</v>
      </c>
      <c r="AB1499" s="39">
        <v>0.48705478003164149</v>
      </c>
      <c r="AC1499" s="39">
        <v>0.47628304407848576</v>
      </c>
      <c r="AD1499" s="39">
        <v>0.47944335000184091</v>
      </c>
      <c r="AE1499" s="39">
        <v>0.47713006994322676</v>
      </c>
      <c r="AF1499" s="40">
        <v>0.48394281186987498</v>
      </c>
    </row>
    <row r="1500" spans="1:32">
      <c r="A1500" s="15">
        <v>1498</v>
      </c>
      <c r="B1500" s="16">
        <v>0</v>
      </c>
      <c r="C1500" s="20">
        <v>0.02</v>
      </c>
      <c r="D1500" s="20">
        <v>0.99917029198757767</v>
      </c>
      <c r="E1500" s="20">
        <v>1</v>
      </c>
      <c r="F1500" s="8" t="s">
        <v>436</v>
      </c>
      <c r="G1500" s="24">
        <v>1.0735067972903458</v>
      </c>
      <c r="H1500" s="24">
        <v>1.0797221276264279</v>
      </c>
      <c r="I1500" s="25">
        <v>1.0986049939916596</v>
      </c>
      <c r="L1500" s="15">
        <v>1498</v>
      </c>
      <c r="M1500" s="16">
        <v>1</v>
      </c>
      <c r="N1500" s="16">
        <v>1</v>
      </c>
      <c r="O1500" s="16">
        <v>11</v>
      </c>
      <c r="P1500" s="16">
        <v>202</v>
      </c>
      <c r="Q1500" s="29">
        <v>19</v>
      </c>
      <c r="R1500" s="20">
        <v>0.62250000000000005</v>
      </c>
      <c r="S1500" s="32">
        <v>11.827500000000001</v>
      </c>
      <c r="T1500" s="35">
        <v>2.35</v>
      </c>
      <c r="U1500" s="35">
        <v>2</v>
      </c>
      <c r="V1500" s="35">
        <v>0.1236842105263158</v>
      </c>
      <c r="W1500" s="9" t="s">
        <v>154</v>
      </c>
      <c r="X1500" s="15">
        <v>1499</v>
      </c>
      <c r="Y1500" s="39">
        <v>0.47902316263449812</v>
      </c>
      <c r="Z1500" s="39">
        <v>0.50449455704171109</v>
      </c>
      <c r="AA1500" s="39">
        <v>0.48300113378942028</v>
      </c>
      <c r="AB1500" s="39">
        <v>0.49802611350431475</v>
      </c>
      <c r="AC1500" s="39">
        <v>0.47418879383145818</v>
      </c>
      <c r="AD1500" s="39">
        <v>0.49819887548497155</v>
      </c>
      <c r="AE1500" s="39">
        <v>0.47358813781428027</v>
      </c>
      <c r="AF1500" s="40">
        <v>0.49050795142402126</v>
      </c>
    </row>
    <row r="1501" spans="1:32">
      <c r="A1501" s="15">
        <v>1499</v>
      </c>
      <c r="B1501" s="16">
        <v>1</v>
      </c>
      <c r="C1501" s="20">
        <v>0.08</v>
      </c>
      <c r="D1501" s="20">
        <v>0.93311674624618934</v>
      </c>
      <c r="E1501" s="20">
        <v>0.11</v>
      </c>
      <c r="F1501" s="8" t="s">
        <v>436</v>
      </c>
      <c r="G1501" s="24">
        <v>0.98292582443897503</v>
      </c>
      <c r="H1501" s="24">
        <v>0.9886167140636839</v>
      </c>
      <c r="I1501" s="25">
        <v>1.0059062710899318</v>
      </c>
      <c r="L1501" s="15">
        <v>1499</v>
      </c>
      <c r="M1501" s="16">
        <v>1</v>
      </c>
      <c r="N1501" s="16">
        <v>1</v>
      </c>
      <c r="O1501" s="16">
        <v>11</v>
      </c>
      <c r="P1501" s="16">
        <v>203</v>
      </c>
      <c r="Q1501" s="29">
        <v>22</v>
      </c>
      <c r="R1501" s="20">
        <v>0.62250000000000005</v>
      </c>
      <c r="S1501" s="32">
        <v>13.695</v>
      </c>
      <c r="T1501" s="35">
        <v>1.98</v>
      </c>
      <c r="U1501" s="35">
        <v>1.62</v>
      </c>
      <c r="V1501" s="35">
        <v>0.09</v>
      </c>
      <c r="W1501" s="9" t="s">
        <v>153</v>
      </c>
      <c r="X1501" s="15">
        <v>1500</v>
      </c>
      <c r="Y1501" s="39">
        <v>0.50035692538042775</v>
      </c>
      <c r="Z1501" s="39">
        <v>0.49312156860383166</v>
      </c>
      <c r="AA1501" s="39">
        <v>0.48211207920107035</v>
      </c>
      <c r="AB1501" s="39">
        <v>0.48087855765481452</v>
      </c>
      <c r="AC1501" s="39">
        <v>0.49296261783571949</v>
      </c>
      <c r="AD1501" s="39">
        <v>0.48685519653609333</v>
      </c>
      <c r="AE1501" s="39">
        <v>0.47183916351981386</v>
      </c>
      <c r="AF1501" s="40">
        <v>0.47822730266189439</v>
      </c>
    </row>
    <row r="1502" spans="1:32">
      <c r="A1502" s="15">
        <v>1500</v>
      </c>
      <c r="B1502" s="16">
        <v>0</v>
      </c>
      <c r="C1502" s="20">
        <v>0.89</v>
      </c>
      <c r="D1502" s="20">
        <v>0.24559627500636821</v>
      </c>
      <c r="E1502" s="20">
        <v>0.11</v>
      </c>
      <c r="F1502" s="8" t="s">
        <v>434</v>
      </c>
      <c r="G1502" s="24">
        <v>0.45942671506381438</v>
      </c>
      <c r="H1502" s="24">
        <v>0.46208667847210416</v>
      </c>
      <c r="I1502" s="25">
        <v>0.4701679438046244</v>
      </c>
      <c r="L1502" s="15">
        <v>1500</v>
      </c>
      <c r="M1502" s="16">
        <v>1</v>
      </c>
      <c r="N1502" s="16">
        <v>1</v>
      </c>
      <c r="O1502" s="16">
        <v>11</v>
      </c>
      <c r="P1502" s="16">
        <v>204</v>
      </c>
      <c r="Q1502" s="29">
        <v>25</v>
      </c>
      <c r="R1502" s="20">
        <v>0.62250000000000005</v>
      </c>
      <c r="S1502" s="32">
        <v>15.562500000000002</v>
      </c>
      <c r="T1502" s="35">
        <v>0.93</v>
      </c>
      <c r="U1502" s="35">
        <v>0.51</v>
      </c>
      <c r="V1502" s="35">
        <v>3.7200000000000004E-2</v>
      </c>
      <c r="W1502" s="9" t="s">
        <v>152</v>
      </c>
      <c r="X1502" s="15">
        <v>1501</v>
      </c>
      <c r="Y1502" s="39">
        <v>0.4805444180621195</v>
      </c>
      <c r="Z1502" s="39">
        <v>0.49891850740881671</v>
      </c>
      <c r="AA1502" s="39">
        <v>0.47185758161848884</v>
      </c>
      <c r="AB1502" s="39">
        <v>0.49367957833910486</v>
      </c>
      <c r="AC1502" s="39">
        <v>0.4734373939054955</v>
      </c>
      <c r="AD1502" s="39">
        <v>0.49130876686249153</v>
      </c>
      <c r="AE1502" s="39">
        <v>0.46811130440538445</v>
      </c>
      <c r="AF1502" s="40">
        <v>0.48929982559927909</v>
      </c>
    </row>
    <row r="1503" spans="1:32">
      <c r="A1503" s="15">
        <v>1501</v>
      </c>
      <c r="B1503" s="16">
        <v>0</v>
      </c>
      <c r="C1503" s="20">
        <v>0.02</v>
      </c>
      <c r="D1503" s="20">
        <v>0.99756714174924133</v>
      </c>
      <c r="E1503" s="20">
        <v>1</v>
      </c>
      <c r="F1503" s="8" t="s">
        <v>436</v>
      </c>
      <c r="G1503" s="24">
        <v>0.98510235517129918</v>
      </c>
      <c r="H1503" s="24">
        <v>0.99080584635337332</v>
      </c>
      <c r="I1503" s="25">
        <v>1.0081336883155545</v>
      </c>
      <c r="L1503" s="15">
        <v>1501</v>
      </c>
      <c r="M1503" s="16">
        <v>1</v>
      </c>
      <c r="N1503" s="16">
        <v>1</v>
      </c>
      <c r="O1503" s="16">
        <v>11</v>
      </c>
      <c r="P1503" s="16">
        <v>205</v>
      </c>
      <c r="Q1503" s="29">
        <v>18</v>
      </c>
      <c r="R1503" s="20">
        <v>0.62250000000000005</v>
      </c>
      <c r="S1503" s="32">
        <v>11.205000000000002</v>
      </c>
      <c r="T1503" s="35">
        <v>0.3</v>
      </c>
      <c r="U1503" s="35">
        <v>0.16</v>
      </c>
      <c r="V1503" s="35">
        <v>1.6666666666666666E-2</v>
      </c>
      <c r="W1503" s="9" t="s">
        <v>152</v>
      </c>
      <c r="X1503" s="15">
        <v>1502</v>
      </c>
      <c r="Y1503" s="39">
        <v>0.49568155592601276</v>
      </c>
      <c r="Z1503" s="39">
        <v>0.48924150034527314</v>
      </c>
      <c r="AA1503" s="39">
        <v>0.48884339993816683</v>
      </c>
      <c r="AB1503" s="39">
        <v>0.47834686411502236</v>
      </c>
      <c r="AC1503" s="39">
        <v>0.48983702194179363</v>
      </c>
      <c r="AD1503" s="39">
        <v>0.48284058811842007</v>
      </c>
      <c r="AE1503" s="39">
        <v>0.4835305121061847</v>
      </c>
      <c r="AF1503" s="40">
        <v>0.47774417171649852</v>
      </c>
    </row>
    <row r="1504" spans="1:32">
      <c r="A1504" s="15">
        <v>1502</v>
      </c>
      <c r="B1504" s="16">
        <v>0</v>
      </c>
      <c r="C1504" s="20">
        <v>0.91</v>
      </c>
      <c r="D1504" s="20">
        <v>0.21727233298780477</v>
      </c>
      <c r="E1504" s="20">
        <v>0.09</v>
      </c>
      <c r="F1504" s="8" t="s">
        <v>434</v>
      </c>
      <c r="G1504" s="24">
        <v>0.50962837693455454</v>
      </c>
      <c r="H1504" s="24">
        <v>0.51257899515074545</v>
      </c>
      <c r="I1504" s="25">
        <v>0.52154330218808809</v>
      </c>
      <c r="L1504" s="15">
        <v>1502</v>
      </c>
      <c r="M1504" s="16">
        <v>1</v>
      </c>
      <c r="N1504" s="16">
        <v>1</v>
      </c>
      <c r="O1504" s="16">
        <v>12</v>
      </c>
      <c r="P1504" s="16">
        <v>206</v>
      </c>
      <c r="Q1504" s="29">
        <v>47</v>
      </c>
      <c r="R1504" s="20">
        <v>0.62250000000000005</v>
      </c>
      <c r="S1504" s="32">
        <v>29.257500000000004</v>
      </c>
      <c r="T1504" s="35">
        <v>3.17</v>
      </c>
      <c r="U1504" s="35">
        <v>2.59</v>
      </c>
      <c r="V1504" s="35">
        <v>6.7446808510638293E-2</v>
      </c>
      <c r="W1504" s="9" t="s">
        <v>155</v>
      </c>
      <c r="X1504" s="15">
        <v>1503</v>
      </c>
      <c r="Y1504" s="39">
        <v>0.48298489698491437</v>
      </c>
      <c r="Z1504" s="39">
        <v>0.47628446142272879</v>
      </c>
      <c r="AA1504" s="39">
        <v>0.46274202205899873</v>
      </c>
      <c r="AB1504" s="39">
        <v>0.49478338967865554</v>
      </c>
      <c r="AC1504" s="39">
        <v>0.4771913719102116</v>
      </c>
      <c r="AD1504" s="39">
        <v>0.4690183767435947</v>
      </c>
      <c r="AE1504" s="39">
        <v>0.45803440578687205</v>
      </c>
      <c r="AF1504" s="40">
        <v>0.48748638061519606</v>
      </c>
    </row>
    <row r="1505" spans="1:32">
      <c r="A1505" s="15">
        <v>1503</v>
      </c>
      <c r="B1505" s="16">
        <v>1</v>
      </c>
      <c r="C1505" s="20">
        <v>0.89</v>
      </c>
      <c r="D1505" s="20">
        <v>0.24559627500636821</v>
      </c>
      <c r="E1505" s="20">
        <v>0.11</v>
      </c>
      <c r="F1505" s="8" t="s">
        <v>434</v>
      </c>
      <c r="G1505" s="24">
        <v>2.0609721210196352</v>
      </c>
      <c r="H1505" s="24">
        <v>2.0729046235225779</v>
      </c>
      <c r="I1505" s="25">
        <v>1.6578926537592125</v>
      </c>
      <c r="L1505" s="15">
        <v>1503</v>
      </c>
      <c r="M1505" s="16">
        <v>1</v>
      </c>
      <c r="N1505" s="16">
        <v>1</v>
      </c>
      <c r="O1505" s="16">
        <v>12</v>
      </c>
      <c r="P1505" s="16">
        <v>207</v>
      </c>
      <c r="Q1505" s="29">
        <v>61</v>
      </c>
      <c r="R1505" s="20">
        <v>0.62250000000000005</v>
      </c>
      <c r="S1505" s="32">
        <v>37.972500000000004</v>
      </c>
      <c r="T1505" s="35">
        <v>2.44</v>
      </c>
      <c r="U1505" s="35">
        <v>1.53</v>
      </c>
      <c r="V1505" s="35">
        <v>0.04</v>
      </c>
      <c r="W1505" s="9" t="s">
        <v>154</v>
      </c>
      <c r="X1505" s="15">
        <v>1504</v>
      </c>
      <c r="Y1505" s="39">
        <v>0.48265717037865774</v>
      </c>
      <c r="Z1505" s="39">
        <v>0.48348810853279217</v>
      </c>
      <c r="AA1505" s="39">
        <v>0.48717813062886045</v>
      </c>
      <c r="AB1505" s="39">
        <v>0.48948431302918521</v>
      </c>
      <c r="AC1505" s="39">
        <v>0.47609700947962358</v>
      </c>
      <c r="AD1505" s="39">
        <v>0.47599442487426413</v>
      </c>
      <c r="AE1505" s="39">
        <v>0.48228940913749774</v>
      </c>
      <c r="AF1505" s="40">
        <v>0.48721758109227964</v>
      </c>
    </row>
    <row r="1506" spans="1:32">
      <c r="A1506" s="15">
        <v>1504</v>
      </c>
      <c r="B1506" s="16">
        <v>0</v>
      </c>
      <c r="C1506" s="20">
        <v>0.32</v>
      </c>
      <c r="D1506" s="20">
        <v>0.67648347247430907</v>
      </c>
      <c r="E1506" s="20">
        <v>0.08</v>
      </c>
      <c r="F1506" s="8" t="s">
        <v>436</v>
      </c>
      <c r="G1506" s="24">
        <v>0.82208018361444635</v>
      </c>
      <c r="H1506" s="24">
        <v>0.82683981803577256</v>
      </c>
      <c r="I1506" s="25">
        <v>0.84130011794992221</v>
      </c>
      <c r="L1506" s="15">
        <v>1504</v>
      </c>
      <c r="M1506" s="16">
        <v>1</v>
      </c>
      <c r="N1506" s="16">
        <v>1</v>
      </c>
      <c r="O1506" s="16">
        <v>12</v>
      </c>
      <c r="P1506" s="16">
        <v>208</v>
      </c>
      <c r="Q1506" s="29">
        <v>42</v>
      </c>
      <c r="R1506" s="20">
        <v>0.62250000000000005</v>
      </c>
      <c r="S1506" s="32">
        <v>26.145000000000003</v>
      </c>
      <c r="T1506" s="35">
        <v>1.75</v>
      </c>
      <c r="U1506" s="35">
        <v>0.99</v>
      </c>
      <c r="V1506" s="35">
        <v>4.1666666666666664E-2</v>
      </c>
      <c r="W1506" s="9" t="s">
        <v>153</v>
      </c>
      <c r="X1506" s="15">
        <v>1505</v>
      </c>
      <c r="Y1506" s="39">
        <v>0.48676454297450827</v>
      </c>
      <c r="Z1506" s="39">
        <v>0.47703372810067007</v>
      </c>
      <c r="AA1506" s="39">
        <v>0.49154344045747145</v>
      </c>
      <c r="AB1506" s="39">
        <v>0.48600178352405415</v>
      </c>
      <c r="AC1506" s="39">
        <v>0.47839307554191629</v>
      </c>
      <c r="AD1506" s="39">
        <v>0.47143135268818065</v>
      </c>
      <c r="AE1506" s="39">
        <v>0.48744747363271584</v>
      </c>
      <c r="AF1506" s="40">
        <v>0.48003796498517404</v>
      </c>
    </row>
    <row r="1507" spans="1:32">
      <c r="A1507" s="15">
        <v>1505</v>
      </c>
      <c r="B1507" s="16">
        <v>0</v>
      </c>
      <c r="C1507" s="20">
        <v>0.09</v>
      </c>
      <c r="D1507" s="20">
        <v>0.92641606619329853</v>
      </c>
      <c r="E1507" s="20">
        <v>0.11</v>
      </c>
      <c r="F1507" s="8" t="s">
        <v>436</v>
      </c>
      <c r="G1507" s="24">
        <v>0.98774393492955714</v>
      </c>
      <c r="H1507" s="24">
        <v>0.99346272018414961</v>
      </c>
      <c r="I1507" s="25">
        <v>1.0108370272434259</v>
      </c>
      <c r="L1507" s="15">
        <v>1505</v>
      </c>
      <c r="M1507" s="16">
        <v>1</v>
      </c>
      <c r="N1507" s="16">
        <v>1</v>
      </c>
      <c r="O1507" s="16">
        <v>12</v>
      </c>
      <c r="P1507" s="16">
        <v>209</v>
      </c>
      <c r="Q1507" s="29">
        <v>45</v>
      </c>
      <c r="R1507" s="20">
        <v>0.62250000000000005</v>
      </c>
      <c r="S1507" s="32">
        <v>28.012500000000003</v>
      </c>
      <c r="T1507" s="35">
        <v>1.48</v>
      </c>
      <c r="U1507" s="35">
        <v>0.9</v>
      </c>
      <c r="V1507" s="35">
        <v>3.2888888888888891E-2</v>
      </c>
      <c r="W1507" s="9" t="s">
        <v>153</v>
      </c>
      <c r="X1507" s="15">
        <v>1506</v>
      </c>
      <c r="Y1507" s="39">
        <v>0.48081750839254639</v>
      </c>
      <c r="Z1507" s="39">
        <v>0.49434880993597102</v>
      </c>
      <c r="AA1507" s="39">
        <v>0.48804970570458944</v>
      </c>
      <c r="AB1507" s="39">
        <v>0.48107268477849369</v>
      </c>
      <c r="AC1507" s="39">
        <v>0.47549327268245445</v>
      </c>
      <c r="AD1507" s="39">
        <v>0.48566763912191552</v>
      </c>
      <c r="AE1507" s="39">
        <v>0.48137591373860145</v>
      </c>
      <c r="AF1507" s="40">
        <v>0.47637418314223867</v>
      </c>
    </row>
    <row r="1508" spans="1:32">
      <c r="A1508" s="15">
        <v>1506</v>
      </c>
      <c r="B1508" s="16">
        <v>1</v>
      </c>
      <c r="C1508" s="20">
        <v>0.35</v>
      </c>
      <c r="D1508" s="20">
        <v>0.6043455056732453</v>
      </c>
      <c r="E1508" s="20">
        <v>0.08</v>
      </c>
      <c r="F1508" s="8" t="s">
        <v>436</v>
      </c>
      <c r="G1508" s="24">
        <v>1.0526632702861074</v>
      </c>
      <c r="H1508" s="24">
        <v>1.0587579219212933</v>
      </c>
      <c r="I1508" s="25">
        <v>1.0772741529415091</v>
      </c>
      <c r="L1508" s="15">
        <v>1506</v>
      </c>
      <c r="M1508" s="16">
        <v>1</v>
      </c>
      <c r="N1508" s="16">
        <v>1</v>
      </c>
      <c r="O1508" s="16">
        <v>12</v>
      </c>
      <c r="P1508" s="16">
        <v>210</v>
      </c>
      <c r="Q1508" s="29">
        <v>53</v>
      </c>
      <c r="R1508" s="20">
        <v>0.62250000000000005</v>
      </c>
      <c r="S1508" s="32">
        <v>32.9925</v>
      </c>
      <c r="T1508" s="35">
        <v>2.13</v>
      </c>
      <c r="U1508" s="35">
        <v>1.38</v>
      </c>
      <c r="V1508" s="35">
        <v>4.0188679245283014E-2</v>
      </c>
      <c r="W1508" s="9" t="s">
        <v>154</v>
      </c>
      <c r="X1508" s="15">
        <v>1507</v>
      </c>
      <c r="Y1508" s="39">
        <v>0.46927833521423989</v>
      </c>
      <c r="Z1508" s="39">
        <v>0.48256903530999773</v>
      </c>
      <c r="AA1508" s="39">
        <v>0.49487873546321431</v>
      </c>
      <c r="AB1508" s="39">
        <v>0.48541000349958097</v>
      </c>
      <c r="AC1508" s="39">
        <v>0.46280999298101405</v>
      </c>
      <c r="AD1508" s="39">
        <v>0.47595213969949834</v>
      </c>
      <c r="AE1508" s="39">
        <v>0.49055304579698206</v>
      </c>
      <c r="AF1508" s="40">
        <v>0.4769524981886879</v>
      </c>
    </row>
    <row r="1509" spans="1:32">
      <c r="A1509" s="15">
        <v>1507</v>
      </c>
      <c r="B1509" s="16">
        <v>1</v>
      </c>
      <c r="C1509" s="20">
        <v>0.9</v>
      </c>
      <c r="D1509" s="20">
        <v>0.231595386583653</v>
      </c>
      <c r="E1509" s="20">
        <v>0.1</v>
      </c>
      <c r="F1509" s="8" t="s">
        <v>434</v>
      </c>
      <c r="G1509" s="24">
        <v>1.739859449110706</v>
      </c>
      <c r="H1509" s="24">
        <v>1.7499327912095843</v>
      </c>
      <c r="I1509" s="25">
        <v>1.6578926537592125</v>
      </c>
      <c r="L1509" s="15">
        <v>1507</v>
      </c>
      <c r="M1509" s="16">
        <v>1</v>
      </c>
      <c r="N1509" s="16">
        <v>1</v>
      </c>
      <c r="O1509" s="16">
        <v>12</v>
      </c>
      <c r="P1509" s="16">
        <v>211</v>
      </c>
      <c r="Q1509" s="29">
        <v>50</v>
      </c>
      <c r="R1509" s="20">
        <v>0.62250000000000005</v>
      </c>
      <c r="S1509" s="32">
        <v>31.125000000000004</v>
      </c>
      <c r="T1509" s="35">
        <v>3.37</v>
      </c>
      <c r="U1509" s="35">
        <v>2.67</v>
      </c>
      <c r="V1509" s="35">
        <v>6.7400000000000002E-2</v>
      </c>
      <c r="W1509" s="9" t="s">
        <v>155</v>
      </c>
      <c r="X1509" s="15">
        <v>1508</v>
      </c>
      <c r="Y1509" s="39">
        <v>0.49337342978152171</v>
      </c>
      <c r="Z1509" s="39">
        <v>0.48054232145256104</v>
      </c>
      <c r="AA1509" s="39">
        <v>0.50276719013304294</v>
      </c>
      <c r="AB1509" s="39">
        <v>0.48305493985075049</v>
      </c>
      <c r="AC1509" s="39">
        <v>0.48724475927675576</v>
      </c>
      <c r="AD1509" s="39">
        <v>0.47489291850900717</v>
      </c>
      <c r="AE1509" s="39">
        <v>0.49182876445358259</v>
      </c>
      <c r="AF1509" s="40">
        <v>0.48007987618255871</v>
      </c>
    </row>
    <row r="1510" spans="1:32">
      <c r="A1510" s="15">
        <v>1508</v>
      </c>
      <c r="B1510" s="16">
        <v>1</v>
      </c>
      <c r="C1510" s="20">
        <v>0.09</v>
      </c>
      <c r="D1510" s="20">
        <v>0.9342981428179995</v>
      </c>
      <c r="E1510" s="20">
        <v>0.42</v>
      </c>
      <c r="F1510" s="8" t="s">
        <v>436</v>
      </c>
      <c r="G1510" s="24">
        <v>1.1454875773660331</v>
      </c>
      <c r="H1510" s="24">
        <v>1.1521196580451485</v>
      </c>
      <c r="I1510" s="25">
        <v>1.1722686584064246</v>
      </c>
      <c r="L1510" s="15">
        <v>1508</v>
      </c>
      <c r="M1510" s="16">
        <v>1</v>
      </c>
      <c r="N1510" s="16">
        <v>1</v>
      </c>
      <c r="O1510" s="16">
        <v>12</v>
      </c>
      <c r="P1510" s="16">
        <v>212</v>
      </c>
      <c r="Q1510" s="29">
        <v>16</v>
      </c>
      <c r="R1510" s="20">
        <v>0.62250000000000005</v>
      </c>
      <c r="S1510" s="32">
        <v>9.9600000000000009</v>
      </c>
      <c r="T1510" s="35">
        <v>1.51</v>
      </c>
      <c r="U1510" s="35">
        <v>1.26</v>
      </c>
      <c r="V1510" s="35">
        <v>9.4375000000000001E-2</v>
      </c>
      <c r="W1510" s="9" t="s">
        <v>153</v>
      </c>
      <c r="X1510" s="15">
        <v>1509</v>
      </c>
      <c r="Y1510" s="39">
        <v>0.50720123192630107</v>
      </c>
      <c r="Z1510" s="39">
        <v>0.48547202944592455</v>
      </c>
      <c r="AA1510" s="39">
        <v>0.47827332634997188</v>
      </c>
      <c r="AB1510" s="39">
        <v>0.5008709295888284</v>
      </c>
      <c r="AC1510" s="39">
        <v>0.4967874117330941</v>
      </c>
      <c r="AD1510" s="39">
        <v>0.48202149995592253</v>
      </c>
      <c r="AE1510" s="39">
        <v>0.47118765549876851</v>
      </c>
      <c r="AF1510" s="40">
        <v>0.4962044058499519</v>
      </c>
    </row>
    <row r="1511" spans="1:32">
      <c r="A1511" s="15">
        <v>1509</v>
      </c>
      <c r="B1511" s="16">
        <v>0</v>
      </c>
      <c r="C1511" s="20">
        <v>0.89</v>
      </c>
      <c r="D1511" s="20">
        <v>0.24872682309401198</v>
      </c>
      <c r="E1511" s="20">
        <v>0.11</v>
      </c>
      <c r="F1511" s="8" t="s">
        <v>434</v>
      </c>
      <c r="G1511" s="24">
        <v>1.2314328910319574</v>
      </c>
      <c r="H1511" s="24">
        <v>1.2385625731390473</v>
      </c>
      <c r="I1511" s="25">
        <v>1.2602233421046469</v>
      </c>
      <c r="L1511" s="15">
        <v>1509</v>
      </c>
      <c r="M1511" s="16">
        <v>1</v>
      </c>
      <c r="N1511" s="16">
        <v>1</v>
      </c>
      <c r="O1511" s="16">
        <v>12</v>
      </c>
      <c r="P1511" s="16">
        <v>213</v>
      </c>
      <c r="Q1511" s="29">
        <v>52</v>
      </c>
      <c r="R1511" s="20">
        <v>0.62250000000000005</v>
      </c>
      <c r="S1511" s="32">
        <v>32.370000000000005</v>
      </c>
      <c r="T1511" s="35">
        <v>0.88</v>
      </c>
      <c r="U1511" s="35">
        <v>0.32</v>
      </c>
      <c r="V1511" s="35">
        <v>1.6923076923076923E-2</v>
      </c>
      <c r="W1511" s="9" t="s">
        <v>152</v>
      </c>
      <c r="X1511" s="15">
        <v>1510</v>
      </c>
      <c r="Y1511" s="39">
        <v>0.47712106066644872</v>
      </c>
      <c r="Z1511" s="39">
        <v>0.48329005581377837</v>
      </c>
      <c r="AA1511" s="39">
        <v>0.48906357794672084</v>
      </c>
      <c r="AB1511" s="39">
        <v>0.49821143452714928</v>
      </c>
      <c r="AC1511" s="39">
        <v>0.47182012655846622</v>
      </c>
      <c r="AD1511" s="39">
        <v>0.47804391231348486</v>
      </c>
      <c r="AE1511" s="39">
        <v>0.4798157943720876</v>
      </c>
      <c r="AF1511" s="40">
        <v>0.49211321806088021</v>
      </c>
    </row>
    <row r="1512" spans="1:32">
      <c r="A1512" s="15">
        <v>1510</v>
      </c>
      <c r="B1512" s="16">
        <v>1</v>
      </c>
      <c r="C1512" s="20">
        <v>0.95</v>
      </c>
      <c r="D1512" s="20">
        <v>0.15570568692893463</v>
      </c>
      <c r="E1512" s="20">
        <v>0.05</v>
      </c>
      <c r="F1512" s="8" t="s">
        <v>434</v>
      </c>
      <c r="G1512" s="24">
        <v>1.2055484937097789</v>
      </c>
      <c r="H1512" s="24">
        <v>1.2125283117635495</v>
      </c>
      <c r="I1512" s="25">
        <v>1.233733777030269</v>
      </c>
      <c r="L1512" s="15">
        <v>1510</v>
      </c>
      <c r="M1512" s="16">
        <v>1</v>
      </c>
      <c r="N1512" s="16">
        <v>1</v>
      </c>
      <c r="O1512" s="16">
        <v>12</v>
      </c>
      <c r="P1512" s="16">
        <v>214</v>
      </c>
      <c r="Q1512" s="29">
        <v>53</v>
      </c>
      <c r="R1512" s="20">
        <v>0.62250000000000005</v>
      </c>
      <c r="S1512" s="32">
        <v>32.9925</v>
      </c>
      <c r="T1512" s="35">
        <v>1.9500000000000002</v>
      </c>
      <c r="U1512" s="35">
        <v>1.17</v>
      </c>
      <c r="V1512" s="35">
        <v>3.6792452830188685E-2</v>
      </c>
      <c r="W1512" s="9" t="s">
        <v>153</v>
      </c>
      <c r="X1512" s="15">
        <v>1511</v>
      </c>
      <c r="Y1512" s="39">
        <v>0.492212726234034</v>
      </c>
      <c r="Z1512" s="39">
        <v>0.48275876501381043</v>
      </c>
      <c r="AA1512" s="39">
        <v>0.49121904238051939</v>
      </c>
      <c r="AB1512" s="39">
        <v>0.48105800942008592</v>
      </c>
      <c r="AC1512" s="39">
        <v>0.48569849849388763</v>
      </c>
      <c r="AD1512" s="39">
        <v>0.47385321059986074</v>
      </c>
      <c r="AE1512" s="39">
        <v>0.48212796057940599</v>
      </c>
      <c r="AF1512" s="40">
        <v>0.47665891027223778</v>
      </c>
    </row>
    <row r="1513" spans="1:32">
      <c r="A1513" s="15">
        <v>1511</v>
      </c>
      <c r="B1513" s="16">
        <v>1</v>
      </c>
      <c r="C1513" s="20">
        <v>0.93</v>
      </c>
      <c r="D1513" s="20">
        <v>0.18747949848141848</v>
      </c>
      <c r="E1513" s="20">
        <v>7.0000000000000007E-2</v>
      </c>
      <c r="F1513" s="8" t="s">
        <v>434</v>
      </c>
      <c r="G1513" s="24">
        <v>0.83022196310066809</v>
      </c>
      <c r="H1513" s="24">
        <v>0.83502873634697261</v>
      </c>
      <c r="I1513" s="25">
        <v>0.84963224926582925</v>
      </c>
      <c r="L1513" s="15">
        <v>1511</v>
      </c>
      <c r="M1513" s="16">
        <v>1</v>
      </c>
      <c r="N1513" s="16">
        <v>1</v>
      </c>
      <c r="O1513" s="16">
        <v>12</v>
      </c>
      <c r="P1513" s="16">
        <v>215</v>
      </c>
      <c r="Q1513" s="29">
        <v>57</v>
      </c>
      <c r="R1513" s="20">
        <v>0.62250000000000005</v>
      </c>
      <c r="S1513" s="32">
        <v>35.482500000000002</v>
      </c>
      <c r="T1513" s="35">
        <v>1.4</v>
      </c>
      <c r="U1513" s="35">
        <v>0.63</v>
      </c>
      <c r="V1513" s="35">
        <v>2.456140350877193E-2</v>
      </c>
      <c r="W1513" s="9" t="s">
        <v>153</v>
      </c>
      <c r="X1513" s="15">
        <v>1512</v>
      </c>
      <c r="Y1513" s="39">
        <v>0.48233802648440699</v>
      </c>
      <c r="Z1513" s="39">
        <v>0.48434836458075037</v>
      </c>
      <c r="AA1513" s="39">
        <v>0.47343120283594986</v>
      </c>
      <c r="AB1513" s="39">
        <v>0.48581341894058988</v>
      </c>
      <c r="AC1513" s="39">
        <v>0.47405469120151217</v>
      </c>
      <c r="AD1513" s="39">
        <v>0.47718515910337245</v>
      </c>
      <c r="AE1513" s="39">
        <v>0.46927664494247262</v>
      </c>
      <c r="AF1513" s="40">
        <v>0.47833357121574344</v>
      </c>
    </row>
    <row r="1514" spans="1:32">
      <c r="A1514" s="15">
        <v>1512</v>
      </c>
      <c r="B1514" s="16">
        <v>1</v>
      </c>
      <c r="C1514" s="20">
        <v>0.2</v>
      </c>
      <c r="D1514" s="20">
        <v>0.83818133179847121</v>
      </c>
      <c r="E1514" s="20">
        <v>0.04</v>
      </c>
      <c r="F1514" s="8" t="s">
        <v>436</v>
      </c>
      <c r="G1514" s="24">
        <v>1.2892467870398348</v>
      </c>
      <c r="H1514" s="24">
        <v>1.2967111968474028</v>
      </c>
      <c r="I1514" s="25">
        <v>1.3193889058781478</v>
      </c>
      <c r="L1514" s="15">
        <v>1512</v>
      </c>
      <c r="M1514" s="16">
        <v>1</v>
      </c>
      <c r="N1514" s="16">
        <v>1</v>
      </c>
      <c r="O1514" s="16">
        <v>12</v>
      </c>
      <c r="P1514" s="16">
        <v>216</v>
      </c>
      <c r="Q1514" s="29">
        <v>52</v>
      </c>
      <c r="R1514" s="20">
        <v>0.62250000000000005</v>
      </c>
      <c r="S1514" s="32">
        <v>32.370000000000005</v>
      </c>
      <c r="T1514" s="35">
        <v>1.46</v>
      </c>
      <c r="U1514" s="35">
        <v>0.69</v>
      </c>
      <c r="V1514" s="35">
        <v>2.8076923076923076E-2</v>
      </c>
      <c r="W1514" s="9" t="s">
        <v>153</v>
      </c>
      <c r="X1514" s="15">
        <v>1513</v>
      </c>
      <c r="Y1514" s="39">
        <v>0.49653838967832015</v>
      </c>
      <c r="Z1514" s="39">
        <v>0.49051959991079508</v>
      </c>
      <c r="AA1514" s="39">
        <v>0.49033565958818109</v>
      </c>
      <c r="AB1514" s="39">
        <v>0.49996000781970718</v>
      </c>
      <c r="AC1514" s="39">
        <v>0.48975975979113157</v>
      </c>
      <c r="AD1514" s="39">
        <v>0.4837521788882983</v>
      </c>
      <c r="AE1514" s="39">
        <v>0.48410599652531483</v>
      </c>
      <c r="AF1514" s="40">
        <v>0.49605628106461191</v>
      </c>
    </row>
    <row r="1515" spans="1:32">
      <c r="A1515" s="15">
        <v>1513</v>
      </c>
      <c r="B1515" s="16">
        <v>0</v>
      </c>
      <c r="C1515" s="20">
        <v>0.02</v>
      </c>
      <c r="D1515" s="20">
        <v>0.99679477127711513</v>
      </c>
      <c r="E1515" s="20">
        <v>1</v>
      </c>
      <c r="F1515" s="8" t="s">
        <v>436</v>
      </c>
      <c r="G1515" s="24">
        <v>1.6321635761373776</v>
      </c>
      <c r="H1515" s="24">
        <v>1.6416133866218763</v>
      </c>
      <c r="I1515" s="25">
        <v>1.6578926537592125</v>
      </c>
      <c r="L1515" s="15">
        <v>1513</v>
      </c>
      <c r="M1515" s="16">
        <v>1</v>
      </c>
      <c r="N1515" s="16">
        <v>1</v>
      </c>
      <c r="O1515" s="16">
        <v>12</v>
      </c>
      <c r="P1515" s="16">
        <v>217</v>
      </c>
      <c r="Q1515" s="29">
        <v>41</v>
      </c>
      <c r="R1515" s="20">
        <v>0.62250000000000005</v>
      </c>
      <c r="S1515" s="32">
        <v>25.522500000000001</v>
      </c>
      <c r="T1515" s="35">
        <v>1.58</v>
      </c>
      <c r="U1515" s="35">
        <v>0.83</v>
      </c>
      <c r="V1515" s="35">
        <v>3.8536585365853658E-2</v>
      </c>
      <c r="W1515" s="9" t="s">
        <v>153</v>
      </c>
      <c r="X1515" s="15">
        <v>1514</v>
      </c>
      <c r="Y1515" s="39">
        <v>0.4766449923932109</v>
      </c>
      <c r="Z1515" s="39">
        <v>0.47895399710315001</v>
      </c>
      <c r="AA1515" s="39">
        <v>0.48532582272856639</v>
      </c>
      <c r="AB1515" s="39">
        <v>0.4798845960948584</v>
      </c>
      <c r="AC1515" s="39">
        <v>0.46976844424640674</v>
      </c>
      <c r="AD1515" s="39">
        <v>0.47352590092624947</v>
      </c>
      <c r="AE1515" s="39">
        <v>0.4778038587450894</v>
      </c>
      <c r="AF1515" s="40">
        <v>0.47785280996749885</v>
      </c>
    </row>
    <row r="1516" spans="1:32">
      <c r="A1516" s="15">
        <v>1514</v>
      </c>
      <c r="B1516" s="16">
        <v>0</v>
      </c>
      <c r="C1516" s="20">
        <v>0.14000000000000001</v>
      </c>
      <c r="D1516" s="20">
        <v>0.89165499374918811</v>
      </c>
      <c r="E1516" s="20">
        <v>0.09</v>
      </c>
      <c r="F1516" s="8" t="s">
        <v>436</v>
      </c>
      <c r="G1516" s="24">
        <v>0.9123169281471506</v>
      </c>
      <c r="H1516" s="24">
        <v>0.91759901028575175</v>
      </c>
      <c r="I1516" s="25">
        <v>0.93364656460066109</v>
      </c>
      <c r="L1516" s="15">
        <v>1514</v>
      </c>
      <c r="M1516" s="16">
        <v>1</v>
      </c>
      <c r="N1516" s="16">
        <v>1</v>
      </c>
      <c r="O1516" s="16">
        <v>12</v>
      </c>
      <c r="P1516" s="16">
        <v>218</v>
      </c>
      <c r="Q1516" s="29">
        <v>52</v>
      </c>
      <c r="R1516" s="20">
        <v>0.62250000000000005</v>
      </c>
      <c r="S1516" s="32">
        <v>32.370000000000005</v>
      </c>
      <c r="T1516" s="35">
        <v>1.72</v>
      </c>
      <c r="U1516" s="35">
        <v>1.05</v>
      </c>
      <c r="V1516" s="35">
        <v>3.3076923076923073E-2</v>
      </c>
      <c r="W1516" s="9" t="s">
        <v>153</v>
      </c>
      <c r="X1516" s="15">
        <v>1515</v>
      </c>
      <c r="Y1516" s="39">
        <v>0.50459767814536027</v>
      </c>
      <c r="Z1516" s="39">
        <v>0.49481743733151173</v>
      </c>
      <c r="AA1516" s="39">
        <v>0.48721813825176247</v>
      </c>
      <c r="AB1516" s="39">
        <v>0.49373864406918838</v>
      </c>
      <c r="AC1516" s="39">
        <v>0.49714556297230961</v>
      </c>
      <c r="AD1516" s="39">
        <v>0.48544857031271593</v>
      </c>
      <c r="AE1516" s="39">
        <v>0.48081230159713056</v>
      </c>
      <c r="AF1516" s="40">
        <v>0.48790682015527559</v>
      </c>
    </row>
    <row r="1517" spans="1:32">
      <c r="A1517" s="15">
        <v>1515</v>
      </c>
      <c r="B1517" s="16">
        <v>1</v>
      </c>
      <c r="C1517" s="20">
        <v>0.02</v>
      </c>
      <c r="D1517" s="20">
        <v>0.99835916395484214</v>
      </c>
      <c r="E1517" s="20">
        <v>1</v>
      </c>
      <c r="F1517" s="8" t="s">
        <v>436</v>
      </c>
      <c r="G1517" s="24">
        <v>1.0863693870405715</v>
      </c>
      <c r="H1517" s="24">
        <v>1.0926591884880401</v>
      </c>
      <c r="I1517" s="25">
        <v>1.1117683063907351</v>
      </c>
      <c r="L1517" s="15">
        <v>1515</v>
      </c>
      <c r="M1517" s="16">
        <v>1</v>
      </c>
      <c r="N1517" s="16">
        <v>1</v>
      </c>
      <c r="O1517" s="16">
        <v>12</v>
      </c>
      <c r="P1517" s="16">
        <v>219</v>
      </c>
      <c r="Q1517" s="29">
        <v>51</v>
      </c>
      <c r="R1517" s="20">
        <v>0.62250000000000005</v>
      </c>
      <c r="S1517" s="32">
        <v>31.747500000000002</v>
      </c>
      <c r="T1517" s="35">
        <v>2.44</v>
      </c>
      <c r="U1517" s="35">
        <v>1.74</v>
      </c>
      <c r="V1517" s="35">
        <v>4.7843137254901962E-2</v>
      </c>
      <c r="W1517" s="9" t="s">
        <v>154</v>
      </c>
      <c r="X1517" s="15">
        <v>1516</v>
      </c>
      <c r="Y1517" s="39">
        <v>0.49279527893113095</v>
      </c>
      <c r="Z1517" s="39">
        <v>0.49068719761306218</v>
      </c>
      <c r="AA1517" s="39">
        <v>0.47306424753832665</v>
      </c>
      <c r="AB1517" s="39">
        <v>0.49330265453530359</v>
      </c>
      <c r="AC1517" s="39">
        <v>0.482782961403667</v>
      </c>
      <c r="AD1517" s="39">
        <v>0.48235605165801471</v>
      </c>
      <c r="AE1517" s="39">
        <v>0.46577035037494785</v>
      </c>
      <c r="AF1517" s="40">
        <v>0.48977174530420853</v>
      </c>
    </row>
    <row r="1518" spans="1:32">
      <c r="A1518" s="15">
        <v>1516</v>
      </c>
      <c r="B1518" s="16">
        <v>1</v>
      </c>
      <c r="C1518" s="20">
        <v>0.02</v>
      </c>
      <c r="D1518" s="20">
        <v>0.99604261948721451</v>
      </c>
      <c r="E1518" s="20">
        <v>1</v>
      </c>
      <c r="F1518" s="8" t="s">
        <v>436</v>
      </c>
      <c r="G1518" s="24">
        <v>1.0964362754751995</v>
      </c>
      <c r="H1518" s="24">
        <v>1.1027843616370598</v>
      </c>
      <c r="I1518" s="25">
        <v>1.1220705549988992</v>
      </c>
      <c r="L1518" s="15">
        <v>1516</v>
      </c>
      <c r="M1518" s="16">
        <v>1</v>
      </c>
      <c r="N1518" s="16">
        <v>1</v>
      </c>
      <c r="O1518" s="16">
        <v>12</v>
      </c>
      <c r="P1518" s="16">
        <v>220</v>
      </c>
      <c r="Q1518" s="29">
        <v>50</v>
      </c>
      <c r="R1518" s="20">
        <v>0.62250000000000005</v>
      </c>
      <c r="S1518" s="32">
        <v>31.125000000000004</v>
      </c>
      <c r="T1518" s="35">
        <v>2.31</v>
      </c>
      <c r="U1518" s="35">
        <v>1.63</v>
      </c>
      <c r="V1518" s="35">
        <v>4.6199999999999998E-2</v>
      </c>
      <c r="W1518" s="9" t="s">
        <v>154</v>
      </c>
      <c r="X1518" s="15">
        <v>1517</v>
      </c>
      <c r="Y1518" s="39">
        <v>0.48241414972278218</v>
      </c>
      <c r="Z1518" s="39">
        <v>0.50072899809534399</v>
      </c>
      <c r="AA1518" s="39">
        <v>0.48199127727604307</v>
      </c>
      <c r="AB1518" s="39">
        <v>0.48290860567211202</v>
      </c>
      <c r="AC1518" s="39">
        <v>0.47511481520084808</v>
      </c>
      <c r="AD1518" s="39">
        <v>0.49267926960909281</v>
      </c>
      <c r="AE1518" s="39">
        <v>0.47390211214785921</v>
      </c>
      <c r="AF1518" s="40">
        <v>0.47397272385695149</v>
      </c>
    </row>
    <row r="1519" spans="1:32">
      <c r="A1519" s="15">
        <v>1517</v>
      </c>
      <c r="B1519" s="16">
        <v>1</v>
      </c>
      <c r="C1519" s="20">
        <v>0.02</v>
      </c>
      <c r="D1519" s="20">
        <v>0.99917029198757767</v>
      </c>
      <c r="E1519" s="20">
        <v>1</v>
      </c>
      <c r="F1519" s="8" t="s">
        <v>436</v>
      </c>
      <c r="G1519" s="24">
        <v>1.4876158897312439</v>
      </c>
      <c r="H1519" s="24">
        <v>1.496228806008274</v>
      </c>
      <c r="I1519" s="25">
        <v>1.5223958057138125</v>
      </c>
      <c r="L1519" s="15">
        <v>1517</v>
      </c>
      <c r="M1519" s="16">
        <v>1</v>
      </c>
      <c r="N1519" s="16">
        <v>1</v>
      </c>
      <c r="O1519" s="16">
        <v>13</v>
      </c>
      <c r="P1519" s="16">
        <v>221</v>
      </c>
      <c r="Q1519" s="29">
        <v>74</v>
      </c>
      <c r="R1519" s="20">
        <v>0.62250000000000005</v>
      </c>
      <c r="S1519" s="32">
        <v>46.065000000000005</v>
      </c>
      <c r="T1519" s="35">
        <v>3.02</v>
      </c>
      <c r="U1519" s="35">
        <v>1.96</v>
      </c>
      <c r="V1519" s="35">
        <v>4.081081081081081E-2</v>
      </c>
      <c r="W1519" s="9" t="s">
        <v>155</v>
      </c>
      <c r="X1519" s="15">
        <v>1518</v>
      </c>
      <c r="Y1519" s="39">
        <v>0.48657528880206025</v>
      </c>
      <c r="Z1519" s="39">
        <v>0.4900510207429537</v>
      </c>
      <c r="AA1519" s="39">
        <v>0.4833443261762988</v>
      </c>
      <c r="AB1519" s="39">
        <v>0.48021272612358007</v>
      </c>
      <c r="AC1519" s="39">
        <v>0.47976120553969981</v>
      </c>
      <c r="AD1519" s="39">
        <v>0.48496301228817956</v>
      </c>
      <c r="AE1519" s="39">
        <v>0.47527121982553067</v>
      </c>
      <c r="AF1519" s="40">
        <v>0.47630531001067478</v>
      </c>
    </row>
    <row r="1520" spans="1:32">
      <c r="A1520" s="15">
        <v>1518</v>
      </c>
      <c r="B1520" s="16">
        <v>0</v>
      </c>
      <c r="C1520" s="20">
        <v>0.93</v>
      </c>
      <c r="D1520" s="20">
        <v>0.18747949848141848</v>
      </c>
      <c r="E1520" s="20">
        <v>7.0000000000000007E-2</v>
      </c>
      <c r="F1520" s="8" t="s">
        <v>434</v>
      </c>
      <c r="G1520" s="24">
        <v>0.72750156796160392</v>
      </c>
      <c r="H1520" s="24">
        <v>0.73171361634016308</v>
      </c>
      <c r="I1520" s="25">
        <v>0.74451028881861403</v>
      </c>
      <c r="L1520" s="15">
        <v>1518</v>
      </c>
      <c r="M1520" s="16">
        <v>1</v>
      </c>
      <c r="N1520" s="16">
        <v>1</v>
      </c>
      <c r="O1520" s="16">
        <v>13</v>
      </c>
      <c r="P1520" s="16">
        <v>222</v>
      </c>
      <c r="Q1520" s="29">
        <v>66</v>
      </c>
      <c r="R1520" s="20">
        <v>0.62250000000000005</v>
      </c>
      <c r="S1520" s="32">
        <v>41.085000000000001</v>
      </c>
      <c r="T1520" s="35">
        <v>2.67</v>
      </c>
      <c r="U1520" s="35">
        <v>1.74</v>
      </c>
      <c r="V1520" s="35">
        <v>4.0454545454545451E-2</v>
      </c>
      <c r="W1520" s="9" t="s">
        <v>154</v>
      </c>
      <c r="X1520" s="15">
        <v>1519</v>
      </c>
      <c r="Y1520" s="39">
        <v>0.49691073788575119</v>
      </c>
      <c r="Z1520" s="39">
        <v>0.46142595473074283</v>
      </c>
      <c r="AA1520" s="39">
        <v>0.48765518434784072</v>
      </c>
      <c r="AB1520" s="39">
        <v>0.49131161152420416</v>
      </c>
      <c r="AC1520" s="39">
        <v>0.48888255488246268</v>
      </c>
      <c r="AD1520" s="39">
        <v>0.45508336497579871</v>
      </c>
      <c r="AE1520" s="39">
        <v>0.48047716326935197</v>
      </c>
      <c r="AF1520" s="40">
        <v>0.48688076990816165</v>
      </c>
    </row>
    <row r="1521" spans="1:32">
      <c r="A1521" s="15">
        <v>1519</v>
      </c>
      <c r="B1521" s="16">
        <v>0</v>
      </c>
      <c r="C1521" s="20">
        <v>0.02</v>
      </c>
      <c r="D1521" s="20">
        <v>0.99756714174924133</v>
      </c>
      <c r="E1521" s="20">
        <v>1</v>
      </c>
      <c r="F1521" s="8" t="s">
        <v>436</v>
      </c>
      <c r="G1521" s="24">
        <v>1.0137274561555123</v>
      </c>
      <c r="H1521" s="24">
        <v>1.0195966793655249</v>
      </c>
      <c r="I1521" s="25">
        <v>1.0374280337022346</v>
      </c>
      <c r="L1521" s="15">
        <v>1519</v>
      </c>
      <c r="M1521" s="16">
        <v>1</v>
      </c>
      <c r="N1521" s="16">
        <v>1</v>
      </c>
      <c r="O1521" s="16">
        <v>13</v>
      </c>
      <c r="P1521" s="16">
        <v>223</v>
      </c>
      <c r="Q1521" s="29">
        <v>60</v>
      </c>
      <c r="R1521" s="20">
        <v>0.62250000000000005</v>
      </c>
      <c r="S1521" s="32">
        <v>37.35</v>
      </c>
      <c r="T1521" s="35">
        <v>6.12</v>
      </c>
      <c r="U1521" s="35">
        <v>5.22</v>
      </c>
      <c r="V1521" s="35">
        <v>0.10200000000000001</v>
      </c>
      <c r="W1521" s="9" t="s">
        <v>156</v>
      </c>
      <c r="X1521" s="15">
        <v>1520</v>
      </c>
      <c r="Y1521" s="39">
        <v>0.48269564719307045</v>
      </c>
      <c r="Z1521" s="39">
        <v>0.48781704797757858</v>
      </c>
      <c r="AA1521" s="39">
        <v>0.48317312251203176</v>
      </c>
      <c r="AB1521" s="39">
        <v>0.47982903499508184</v>
      </c>
      <c r="AC1521" s="39">
        <v>0.47878172066573893</v>
      </c>
      <c r="AD1521" s="39">
        <v>0.4801678244625549</v>
      </c>
      <c r="AE1521" s="39">
        <v>0.47713407247639128</v>
      </c>
      <c r="AF1521" s="40">
        <v>0.47638983876629248</v>
      </c>
    </row>
    <row r="1522" spans="1:32">
      <c r="A1522" s="15">
        <v>1520</v>
      </c>
      <c r="B1522" s="16">
        <v>0</v>
      </c>
      <c r="C1522" s="20">
        <v>0.02</v>
      </c>
      <c r="D1522" s="20">
        <v>0.99835916395484214</v>
      </c>
      <c r="E1522" s="20">
        <v>1</v>
      </c>
      <c r="F1522" s="8" t="s">
        <v>436</v>
      </c>
      <c r="G1522" s="24">
        <v>1.0474089786623189</v>
      </c>
      <c r="H1522" s="24">
        <v>1.0534732092901982</v>
      </c>
      <c r="I1522" s="25">
        <v>1.0718970178992786</v>
      </c>
      <c r="L1522" s="15">
        <v>1520</v>
      </c>
      <c r="M1522" s="16">
        <v>1</v>
      </c>
      <c r="N1522" s="16">
        <v>1</v>
      </c>
      <c r="O1522" s="16">
        <v>13</v>
      </c>
      <c r="P1522" s="16">
        <v>224</v>
      </c>
      <c r="Q1522" s="29">
        <v>82</v>
      </c>
      <c r="R1522" s="20">
        <v>0.62250000000000005</v>
      </c>
      <c r="S1522" s="32">
        <v>51.045000000000002</v>
      </c>
      <c r="T1522" s="35">
        <v>4.6399999999999997</v>
      </c>
      <c r="U1522" s="35">
        <v>3.49</v>
      </c>
      <c r="V1522" s="35">
        <v>5.6585365853658531E-2</v>
      </c>
      <c r="W1522" s="9" t="s">
        <v>155</v>
      </c>
      <c r="X1522" s="15">
        <v>1521</v>
      </c>
      <c r="Y1522" s="39">
        <v>0.49095120219244925</v>
      </c>
      <c r="Z1522" s="39">
        <v>0.48918018734865881</v>
      </c>
      <c r="AA1522" s="39">
        <v>0.48075028676273607</v>
      </c>
      <c r="AB1522" s="39">
        <v>0.47812531424940163</v>
      </c>
      <c r="AC1522" s="39">
        <v>0.48225546024396537</v>
      </c>
      <c r="AD1522" s="39">
        <v>0.48318706223989999</v>
      </c>
      <c r="AE1522" s="39">
        <v>0.47352665406951028</v>
      </c>
      <c r="AF1522" s="40">
        <v>0.47101397855402105</v>
      </c>
    </row>
    <row r="1523" spans="1:32">
      <c r="A1523" s="15">
        <v>1521</v>
      </c>
      <c r="B1523" s="16">
        <v>1</v>
      </c>
      <c r="C1523" s="20">
        <v>0.08</v>
      </c>
      <c r="D1523" s="20">
        <v>0.92438425292919146</v>
      </c>
      <c r="E1523" s="20">
        <v>0.48</v>
      </c>
      <c r="F1523" s="8" t="s">
        <v>436</v>
      </c>
      <c r="G1523" s="24">
        <v>1.0205457918838177</v>
      </c>
      <c r="H1523" s="24">
        <v>1.0264544915172684</v>
      </c>
      <c r="I1523" s="25">
        <v>1.0444057796287023</v>
      </c>
      <c r="L1523" s="15">
        <v>1521</v>
      </c>
      <c r="M1523" s="16">
        <v>1</v>
      </c>
      <c r="N1523" s="16">
        <v>1</v>
      </c>
      <c r="O1523" s="16">
        <v>13</v>
      </c>
      <c r="P1523" s="16">
        <v>225</v>
      </c>
      <c r="Q1523" s="29">
        <v>66</v>
      </c>
      <c r="R1523" s="20">
        <v>0.62250000000000005</v>
      </c>
      <c r="S1523" s="32">
        <v>41.085000000000001</v>
      </c>
      <c r="T1523" s="35">
        <v>4.7299999999999995</v>
      </c>
      <c r="U1523" s="35">
        <v>3.86</v>
      </c>
      <c r="V1523" s="35">
        <v>7.1666666666666656E-2</v>
      </c>
      <c r="W1523" s="9" t="s">
        <v>155</v>
      </c>
      <c r="X1523" s="15">
        <v>1522</v>
      </c>
      <c r="Y1523" s="39">
        <v>0.49112962059416176</v>
      </c>
      <c r="Z1523" s="39">
        <v>0.49256225632520645</v>
      </c>
      <c r="AA1523" s="39">
        <v>0.48750453196754495</v>
      </c>
      <c r="AB1523" s="39">
        <v>0.48147195360240741</v>
      </c>
      <c r="AC1523" s="39">
        <v>0.48316615965833071</v>
      </c>
      <c r="AD1523" s="39">
        <v>0.48380886410032276</v>
      </c>
      <c r="AE1523" s="39">
        <v>0.48046582419439615</v>
      </c>
      <c r="AF1523" s="40">
        <v>0.47701505679645911</v>
      </c>
    </row>
    <row r="1524" spans="1:32">
      <c r="A1524" s="15">
        <v>1522</v>
      </c>
      <c r="B1524" s="16">
        <v>0</v>
      </c>
      <c r="C1524" s="20">
        <v>0.02</v>
      </c>
      <c r="D1524" s="20">
        <v>0.99756714174924133</v>
      </c>
      <c r="E1524" s="20">
        <v>1</v>
      </c>
      <c r="F1524" s="8" t="s">
        <v>436</v>
      </c>
      <c r="G1524" s="24">
        <v>1.0605422913625235</v>
      </c>
      <c r="H1524" s="24">
        <v>1.0666825605185657</v>
      </c>
      <c r="I1524" s="25">
        <v>1.0853373826519914</v>
      </c>
      <c r="L1524" s="15">
        <v>1522</v>
      </c>
      <c r="M1524" s="16">
        <v>1</v>
      </c>
      <c r="N1524" s="16">
        <v>1</v>
      </c>
      <c r="O1524" s="16">
        <v>13</v>
      </c>
      <c r="P1524" s="16">
        <v>226</v>
      </c>
      <c r="Q1524" s="29">
        <v>51</v>
      </c>
      <c r="R1524" s="20">
        <v>0.62250000000000005</v>
      </c>
      <c r="S1524" s="32">
        <v>31.747500000000002</v>
      </c>
      <c r="T1524" s="35">
        <v>4.1900000000000004</v>
      </c>
      <c r="U1524" s="35">
        <v>3.36</v>
      </c>
      <c r="V1524" s="35">
        <v>8.215686274509805E-2</v>
      </c>
      <c r="W1524" s="9" t="s">
        <v>155</v>
      </c>
      <c r="X1524" s="15">
        <v>1523</v>
      </c>
      <c r="Y1524" s="39">
        <v>0.48176819118272768</v>
      </c>
      <c r="Z1524" s="39">
        <v>0.49063375938986065</v>
      </c>
      <c r="AA1524" s="39">
        <v>0.48954500763764186</v>
      </c>
      <c r="AB1524" s="39">
        <v>0.49137458710963705</v>
      </c>
      <c r="AC1524" s="39">
        <v>0.47619885443862581</v>
      </c>
      <c r="AD1524" s="39">
        <v>0.48712039382717803</v>
      </c>
      <c r="AE1524" s="39">
        <v>0.48087741645430937</v>
      </c>
      <c r="AF1524" s="40">
        <v>0.48439533729169976</v>
      </c>
    </row>
    <row r="1525" spans="1:32">
      <c r="A1525" s="15">
        <v>1523</v>
      </c>
      <c r="B1525" s="16">
        <v>0</v>
      </c>
      <c r="C1525" s="20">
        <v>0.38</v>
      </c>
      <c r="D1525" s="20">
        <v>0.63158995596767908</v>
      </c>
      <c r="E1525" s="20">
        <v>0.05</v>
      </c>
      <c r="F1525" s="8" t="s">
        <v>436</v>
      </c>
      <c r="G1525" s="24">
        <v>0.61861986680846837</v>
      </c>
      <c r="H1525" s="24">
        <v>0.62220151793017786</v>
      </c>
      <c r="I1525" s="25">
        <v>0.63308297327382979</v>
      </c>
      <c r="L1525" s="15">
        <v>1523</v>
      </c>
      <c r="M1525" s="16">
        <v>1</v>
      </c>
      <c r="N1525" s="16">
        <v>1</v>
      </c>
      <c r="O1525" s="16">
        <v>13</v>
      </c>
      <c r="P1525" s="16">
        <v>227</v>
      </c>
      <c r="Q1525" s="29">
        <v>70</v>
      </c>
      <c r="R1525" s="20">
        <v>0.62250000000000005</v>
      </c>
      <c r="S1525" s="32">
        <v>43.575000000000003</v>
      </c>
      <c r="T1525" s="35">
        <v>1.75</v>
      </c>
      <c r="U1525" s="35">
        <v>0.88</v>
      </c>
      <c r="V1525" s="35">
        <v>2.5000000000000001E-2</v>
      </c>
      <c r="W1525" s="9" t="s">
        <v>153</v>
      </c>
      <c r="X1525" s="15">
        <v>1524</v>
      </c>
      <c r="Y1525" s="39">
        <v>0.48732542837706938</v>
      </c>
      <c r="Z1525" s="39">
        <v>0.50457558504080746</v>
      </c>
      <c r="AA1525" s="39">
        <v>0.48099393618666902</v>
      </c>
      <c r="AB1525" s="39">
        <v>0.48401701543925085</v>
      </c>
      <c r="AC1525" s="39">
        <v>0.48150921177227746</v>
      </c>
      <c r="AD1525" s="39">
        <v>0.4969261405550417</v>
      </c>
      <c r="AE1525" s="39">
        <v>0.47539399904341095</v>
      </c>
      <c r="AF1525" s="40">
        <v>0.48183307621125482</v>
      </c>
    </row>
    <row r="1526" spans="1:32">
      <c r="A1526" s="15">
        <v>1524</v>
      </c>
      <c r="B1526" s="16">
        <v>0</v>
      </c>
      <c r="C1526" s="20">
        <v>0.36</v>
      </c>
      <c r="D1526" s="20">
        <v>0.59874861520328093</v>
      </c>
      <c r="E1526" s="20">
        <v>0.09</v>
      </c>
      <c r="F1526" s="8" t="s">
        <v>436</v>
      </c>
      <c r="G1526" s="24">
        <v>0.58536214348948923</v>
      </c>
      <c r="H1526" s="24">
        <v>0.58875124088245179</v>
      </c>
      <c r="I1526" s="25">
        <v>0.59904769653478418</v>
      </c>
      <c r="L1526" s="15">
        <v>1524</v>
      </c>
      <c r="M1526" s="16">
        <v>1</v>
      </c>
      <c r="N1526" s="16">
        <v>1</v>
      </c>
      <c r="O1526" s="16">
        <v>13</v>
      </c>
      <c r="P1526" s="16">
        <v>228</v>
      </c>
      <c r="Q1526" s="29">
        <v>58</v>
      </c>
      <c r="R1526" s="20">
        <v>0.62250000000000005</v>
      </c>
      <c r="S1526" s="32">
        <v>36.105000000000004</v>
      </c>
      <c r="T1526" s="35">
        <v>4.49</v>
      </c>
      <c r="U1526" s="35">
        <v>3.81</v>
      </c>
      <c r="V1526" s="35">
        <v>7.7413793103448286E-2</v>
      </c>
      <c r="W1526" s="9" t="s">
        <v>155</v>
      </c>
      <c r="X1526" s="15">
        <v>1525</v>
      </c>
      <c r="Y1526" s="39">
        <v>0.48930251674918185</v>
      </c>
      <c r="Z1526" s="39">
        <v>0.49215676536673247</v>
      </c>
      <c r="AA1526" s="39">
        <v>0.49229592941979489</v>
      </c>
      <c r="AB1526" s="39">
        <v>0.4794394442335479</v>
      </c>
      <c r="AC1526" s="39">
        <v>0.48404367709027829</v>
      </c>
      <c r="AD1526" s="39">
        <v>0.48649719769340527</v>
      </c>
      <c r="AE1526" s="39">
        <v>0.48587426305806303</v>
      </c>
      <c r="AF1526" s="40">
        <v>0.47618082497086561</v>
      </c>
    </row>
    <row r="1527" spans="1:32">
      <c r="A1527" s="15">
        <v>1525</v>
      </c>
      <c r="B1527" s="16">
        <v>0</v>
      </c>
      <c r="C1527" s="20">
        <v>0.23</v>
      </c>
      <c r="D1527" s="20">
        <v>0.80589370339588906</v>
      </c>
      <c r="E1527" s="20">
        <v>0.08</v>
      </c>
      <c r="F1527" s="8" t="s">
        <v>436</v>
      </c>
      <c r="G1527" s="24">
        <v>0.68780069422372947</v>
      </c>
      <c r="H1527" s="24">
        <v>0.69178288467727611</v>
      </c>
      <c r="I1527" s="25">
        <v>0.7038812231579662</v>
      </c>
      <c r="L1527" s="15">
        <v>1525</v>
      </c>
      <c r="M1527" s="16">
        <v>1</v>
      </c>
      <c r="N1527" s="16">
        <v>1</v>
      </c>
      <c r="O1527" s="16">
        <v>13</v>
      </c>
      <c r="P1527" s="16">
        <v>229</v>
      </c>
      <c r="Q1527" s="29">
        <v>80</v>
      </c>
      <c r="R1527" s="20">
        <v>0.62250000000000005</v>
      </c>
      <c r="S1527" s="32">
        <v>49.800000000000004</v>
      </c>
      <c r="T1527" s="35">
        <v>2.97</v>
      </c>
      <c r="U1527" s="35">
        <v>1.81</v>
      </c>
      <c r="V1527" s="35">
        <v>3.7125000000000005E-2</v>
      </c>
      <c r="W1527" s="9" t="s">
        <v>154</v>
      </c>
      <c r="X1527" s="15">
        <v>1526</v>
      </c>
      <c r="Y1527" s="39">
        <v>0.49811137892431562</v>
      </c>
      <c r="Z1527" s="39">
        <v>0.48699014729716594</v>
      </c>
      <c r="AA1527" s="39">
        <v>0.47826915622206795</v>
      </c>
      <c r="AB1527" s="39">
        <v>0.47941732945671456</v>
      </c>
      <c r="AC1527" s="39">
        <v>0.4898740277145322</v>
      </c>
      <c r="AD1527" s="39">
        <v>0.47960182744445096</v>
      </c>
      <c r="AE1527" s="39">
        <v>0.47267650553023793</v>
      </c>
      <c r="AF1527" s="40">
        <v>0.47505360243994166</v>
      </c>
    </row>
    <row r="1528" spans="1:32">
      <c r="A1528" s="15">
        <v>1526</v>
      </c>
      <c r="B1528" s="16">
        <v>0</v>
      </c>
      <c r="C1528" s="20">
        <v>0.88</v>
      </c>
      <c r="D1528" s="20">
        <v>0.25930874124763043</v>
      </c>
      <c r="E1528" s="20">
        <v>0.12</v>
      </c>
      <c r="F1528" s="8" t="s">
        <v>434</v>
      </c>
      <c r="G1528" s="24">
        <v>0.99429511820486616</v>
      </c>
      <c r="H1528" s="24">
        <v>1.0000518331383865</v>
      </c>
      <c r="I1528" s="25">
        <v>1.0175413747901536</v>
      </c>
      <c r="L1528" s="15">
        <v>1526</v>
      </c>
      <c r="M1528" s="16">
        <v>1</v>
      </c>
      <c r="N1528" s="16">
        <v>1</v>
      </c>
      <c r="O1528" s="16">
        <v>13</v>
      </c>
      <c r="P1528" s="16">
        <v>230</v>
      </c>
      <c r="Q1528" s="29">
        <v>71</v>
      </c>
      <c r="R1528" s="20">
        <v>0.62250000000000005</v>
      </c>
      <c r="S1528" s="32">
        <v>44.197500000000005</v>
      </c>
      <c r="T1528" s="35">
        <v>2.46</v>
      </c>
      <c r="U1528" s="35">
        <v>1.41</v>
      </c>
      <c r="V1528" s="35">
        <v>3.4647887323943659E-2</v>
      </c>
      <c r="W1528" s="9" t="s">
        <v>154</v>
      </c>
      <c r="X1528" s="15">
        <v>1527</v>
      </c>
      <c r="Y1528" s="39">
        <v>0.47917575783998639</v>
      </c>
      <c r="Z1528" s="39">
        <v>0.48196166537698032</v>
      </c>
      <c r="AA1528" s="39">
        <v>0.48165114620294963</v>
      </c>
      <c r="AB1528" s="39">
        <v>0.47113288785743146</v>
      </c>
      <c r="AC1528" s="39">
        <v>0.47536797087338051</v>
      </c>
      <c r="AD1528" s="39">
        <v>0.47659913309757512</v>
      </c>
      <c r="AE1528" s="39">
        <v>0.47681354740075688</v>
      </c>
      <c r="AF1528" s="40">
        <v>0.46585274190585002</v>
      </c>
    </row>
    <row r="1529" spans="1:32">
      <c r="A1529" s="15">
        <v>1527</v>
      </c>
      <c r="B1529" s="16">
        <v>1</v>
      </c>
      <c r="C1529" s="20">
        <v>0.18</v>
      </c>
      <c r="D1529" s="20">
        <v>0.8604897047503437</v>
      </c>
      <c r="E1529" s="20">
        <v>0.47</v>
      </c>
      <c r="F1529" s="8" t="s">
        <v>436</v>
      </c>
      <c r="G1529" s="24">
        <v>0.8307299868547694</v>
      </c>
      <c r="H1529" s="24">
        <v>0.83553970142893341</v>
      </c>
      <c r="I1529" s="25">
        <v>0.85015215042968861</v>
      </c>
      <c r="L1529" s="15">
        <v>1527</v>
      </c>
      <c r="M1529" s="16">
        <v>1</v>
      </c>
      <c r="N1529" s="16">
        <v>1</v>
      </c>
      <c r="O1529" s="16">
        <v>13</v>
      </c>
      <c r="P1529" s="16">
        <v>231</v>
      </c>
      <c r="Q1529" s="29">
        <v>63</v>
      </c>
      <c r="R1529" s="20">
        <v>0.62250000000000005</v>
      </c>
      <c r="S1529" s="32">
        <v>39.217500000000001</v>
      </c>
      <c r="T1529" s="35">
        <v>4.34</v>
      </c>
      <c r="U1529" s="35">
        <v>3.36</v>
      </c>
      <c r="V1529" s="35">
        <v>6.8888888888888888E-2</v>
      </c>
      <c r="W1529" s="9" t="s">
        <v>155</v>
      </c>
      <c r="X1529" s="15">
        <v>1528</v>
      </c>
      <c r="Y1529" s="39">
        <v>0.48646823374649156</v>
      </c>
      <c r="Z1529" s="39">
        <v>0.48085567402942675</v>
      </c>
      <c r="AA1529" s="39">
        <v>0.48323720782600604</v>
      </c>
      <c r="AB1529" s="39">
        <v>0.49664906619357324</v>
      </c>
      <c r="AC1529" s="39">
        <v>0.47666481186928306</v>
      </c>
      <c r="AD1529" s="39">
        <v>0.47133689182068106</v>
      </c>
      <c r="AE1529" s="39">
        <v>0.47813718386473347</v>
      </c>
      <c r="AF1529" s="40">
        <v>0.49264561817025404</v>
      </c>
    </row>
    <row r="1530" spans="1:32">
      <c r="A1530" s="15">
        <v>1528</v>
      </c>
      <c r="B1530" s="16">
        <v>1</v>
      </c>
      <c r="C1530" s="20">
        <v>0.55000000000000004</v>
      </c>
      <c r="D1530" s="20">
        <v>0.62617843462213152</v>
      </c>
      <c r="E1530" s="20">
        <v>0.03</v>
      </c>
      <c r="F1530" s="8" t="s">
        <v>438</v>
      </c>
      <c r="G1530" s="24">
        <v>0.71748271907992356</v>
      </c>
      <c r="H1530" s="24">
        <v>0.72163676088084006</v>
      </c>
      <c r="I1530" s="25">
        <v>0.7342572029105936</v>
      </c>
      <c r="L1530" s="15">
        <v>1528</v>
      </c>
      <c r="M1530" s="16">
        <v>1</v>
      </c>
      <c r="N1530" s="16">
        <v>1</v>
      </c>
      <c r="O1530" s="16">
        <v>13</v>
      </c>
      <c r="P1530" s="16">
        <v>232</v>
      </c>
      <c r="Q1530" s="29">
        <v>84</v>
      </c>
      <c r="R1530" s="20">
        <v>0.62250000000000005</v>
      </c>
      <c r="S1530" s="32">
        <v>52.290000000000006</v>
      </c>
      <c r="T1530" s="35">
        <v>4.12</v>
      </c>
      <c r="U1530" s="35">
        <v>2.67</v>
      </c>
      <c r="V1530" s="35">
        <v>4.9047619047619048E-2</v>
      </c>
      <c r="W1530" s="9" t="s">
        <v>155</v>
      </c>
      <c r="X1530" s="15">
        <v>1529</v>
      </c>
      <c r="Y1530" s="39">
        <v>0.50734293556967924</v>
      </c>
      <c r="Z1530" s="39">
        <v>0.49357939403417511</v>
      </c>
      <c r="AA1530" s="39">
        <v>0.48947628556875011</v>
      </c>
      <c r="AB1530" s="39">
        <v>0.49643506871273463</v>
      </c>
      <c r="AC1530" s="39">
        <v>0.50066743582505668</v>
      </c>
      <c r="AD1530" s="39">
        <v>0.48493677073243135</v>
      </c>
      <c r="AE1530" s="39">
        <v>0.48306372622193156</v>
      </c>
      <c r="AF1530" s="40">
        <v>0.49157609828983534</v>
      </c>
    </row>
    <row r="1531" spans="1:32">
      <c r="A1531" s="15">
        <v>1529</v>
      </c>
      <c r="B1531" s="16">
        <v>0</v>
      </c>
      <c r="C1531" s="20">
        <v>0.02</v>
      </c>
      <c r="D1531" s="20">
        <v>0.99679477127711513</v>
      </c>
      <c r="E1531" s="20">
        <v>1</v>
      </c>
      <c r="F1531" s="8" t="s">
        <v>436</v>
      </c>
      <c r="G1531" s="24">
        <v>1.0152943837846808</v>
      </c>
      <c r="H1531" s="24">
        <v>1.0211726791056968</v>
      </c>
      <c r="I1531" s="25">
        <v>1.0390315955268763</v>
      </c>
      <c r="L1531" s="15">
        <v>1529</v>
      </c>
      <c r="M1531" s="16">
        <v>1</v>
      </c>
      <c r="N1531" s="16">
        <v>1</v>
      </c>
      <c r="O1531" s="16">
        <v>13</v>
      </c>
      <c r="P1531" s="16">
        <v>233</v>
      </c>
      <c r="Q1531" s="29">
        <v>63</v>
      </c>
      <c r="R1531" s="20">
        <v>0.62250000000000005</v>
      </c>
      <c r="S1531" s="32">
        <v>39.217500000000001</v>
      </c>
      <c r="T1531" s="35">
        <v>2.16</v>
      </c>
      <c r="U1531" s="35">
        <v>1.26</v>
      </c>
      <c r="V1531" s="35">
        <v>3.4285714285714287E-2</v>
      </c>
      <c r="W1531" s="9" t="s">
        <v>154</v>
      </c>
      <c r="X1531" s="15">
        <v>1530</v>
      </c>
      <c r="Y1531" s="39">
        <v>0.47768939052056397</v>
      </c>
      <c r="Z1531" s="39">
        <v>0.48777632530130655</v>
      </c>
      <c r="AA1531" s="39">
        <v>0.49094264587018199</v>
      </c>
      <c r="AB1531" s="39">
        <v>0.48602846911115827</v>
      </c>
      <c r="AC1531" s="39">
        <v>0.47164199233657411</v>
      </c>
      <c r="AD1531" s="39">
        <v>0.48058073873020163</v>
      </c>
      <c r="AE1531" s="39">
        <v>0.48667977987177158</v>
      </c>
      <c r="AF1531" s="40">
        <v>0.48350690547610636</v>
      </c>
    </row>
    <row r="1532" spans="1:32">
      <c r="A1532" s="15">
        <v>1530</v>
      </c>
      <c r="B1532" s="16">
        <v>1</v>
      </c>
      <c r="C1532" s="20">
        <v>0.91</v>
      </c>
      <c r="D1532" s="20">
        <v>0.21727233298780477</v>
      </c>
      <c r="E1532" s="20">
        <v>0.09</v>
      </c>
      <c r="F1532" s="8" t="s">
        <v>434</v>
      </c>
      <c r="G1532" s="24">
        <v>0.64815589670629881</v>
      </c>
      <c r="H1532" s="24">
        <v>0.65190855390183555</v>
      </c>
      <c r="I1532" s="25">
        <v>0.66330954475930803</v>
      </c>
      <c r="L1532" s="15">
        <v>1530</v>
      </c>
      <c r="M1532" s="16">
        <v>1</v>
      </c>
      <c r="N1532" s="16">
        <v>1</v>
      </c>
      <c r="O1532" s="16">
        <v>13</v>
      </c>
      <c r="P1532" s="16">
        <v>234</v>
      </c>
      <c r="Q1532" s="29">
        <v>66</v>
      </c>
      <c r="R1532" s="20">
        <v>0.62250000000000005</v>
      </c>
      <c r="S1532" s="32">
        <v>41.085000000000001</v>
      </c>
      <c r="T1532" s="35">
        <v>4.6500000000000004</v>
      </c>
      <c r="U1532" s="35">
        <v>3.53</v>
      </c>
      <c r="V1532" s="35">
        <v>7.0454545454545464E-2</v>
      </c>
      <c r="W1532" s="9" t="s">
        <v>155</v>
      </c>
      <c r="X1532" s="15">
        <v>1531</v>
      </c>
      <c r="Y1532" s="39">
        <v>0.47450930919908496</v>
      </c>
      <c r="Z1532" s="39">
        <v>0.50258583927583433</v>
      </c>
      <c r="AA1532" s="39">
        <v>0.50494195180527335</v>
      </c>
      <c r="AB1532" s="39">
        <v>0.48790331770586437</v>
      </c>
      <c r="AC1532" s="39">
        <v>0.46711725907701096</v>
      </c>
      <c r="AD1532" s="39">
        <v>0.4942145382950745</v>
      </c>
      <c r="AE1532" s="39">
        <v>0.49423945370412287</v>
      </c>
      <c r="AF1532" s="40">
        <v>0.48123176215852931</v>
      </c>
    </row>
    <row r="1533" spans="1:32">
      <c r="A1533" s="15">
        <v>1531</v>
      </c>
      <c r="B1533" s="16">
        <v>1</v>
      </c>
      <c r="C1533" s="20">
        <v>0.94</v>
      </c>
      <c r="D1533" s="20">
        <v>0.17188516685452584</v>
      </c>
      <c r="E1533" s="20">
        <v>0.06</v>
      </c>
      <c r="F1533" s="8" t="s">
        <v>434</v>
      </c>
      <c r="G1533" s="24">
        <v>1.8377735253075691</v>
      </c>
      <c r="H1533" s="24">
        <v>1.8484137649143644</v>
      </c>
      <c r="I1533" s="25">
        <v>1.6578926537592125</v>
      </c>
      <c r="L1533" s="15">
        <v>1531</v>
      </c>
      <c r="M1533" s="16">
        <v>1</v>
      </c>
      <c r="N1533" s="16">
        <v>1</v>
      </c>
      <c r="O1533" s="16">
        <v>13</v>
      </c>
      <c r="P1533" s="16">
        <v>235</v>
      </c>
      <c r="Q1533" s="29">
        <v>72</v>
      </c>
      <c r="R1533" s="20">
        <v>0.62250000000000005</v>
      </c>
      <c r="S1533" s="32">
        <v>44.820000000000007</v>
      </c>
      <c r="T1533" s="35">
        <v>5.28</v>
      </c>
      <c r="U1533" s="35">
        <v>4.13</v>
      </c>
      <c r="V1533" s="35">
        <v>7.3333333333333334E-2</v>
      </c>
      <c r="W1533" s="9" t="s">
        <v>156</v>
      </c>
      <c r="X1533" s="15">
        <v>1532</v>
      </c>
      <c r="Y1533" s="39">
        <v>0.47661948717552372</v>
      </c>
      <c r="Z1533" s="39">
        <v>0.49480015436715657</v>
      </c>
      <c r="AA1533" s="39">
        <v>0.49365268098775711</v>
      </c>
      <c r="AB1533" s="39">
        <v>0.49282286422466415</v>
      </c>
      <c r="AC1533" s="39">
        <v>0.46775230652530975</v>
      </c>
      <c r="AD1533" s="39">
        <v>0.48776162947012608</v>
      </c>
      <c r="AE1533" s="39">
        <v>0.48905743306251093</v>
      </c>
      <c r="AF1533" s="40">
        <v>0.48830315989882656</v>
      </c>
    </row>
    <row r="1534" spans="1:32">
      <c r="A1534" s="15">
        <v>1532</v>
      </c>
      <c r="B1534" s="16">
        <v>1</v>
      </c>
      <c r="C1534" s="20">
        <v>0.08</v>
      </c>
      <c r="D1534" s="20">
        <v>0.92210275503689332</v>
      </c>
      <c r="E1534" s="20">
        <v>0.09</v>
      </c>
      <c r="F1534" s="8" t="s">
        <v>436</v>
      </c>
      <c r="G1534" s="24">
        <v>1.0647030409967424</v>
      </c>
      <c r="H1534" s="24">
        <v>1.0708673998311058</v>
      </c>
      <c r="I1534" s="25">
        <v>1.0895954090924758</v>
      </c>
      <c r="L1534" s="15">
        <v>1532</v>
      </c>
      <c r="M1534" s="16">
        <v>1</v>
      </c>
      <c r="N1534" s="16">
        <v>1</v>
      </c>
      <c r="O1534" s="16">
        <v>13</v>
      </c>
      <c r="P1534" s="16">
        <v>236</v>
      </c>
      <c r="Q1534" s="29">
        <v>63</v>
      </c>
      <c r="R1534" s="20">
        <v>0.62250000000000005</v>
      </c>
      <c r="S1534" s="32">
        <v>39.217500000000001</v>
      </c>
      <c r="T1534" s="35">
        <v>4.1399999999999997</v>
      </c>
      <c r="U1534" s="35">
        <v>3.28</v>
      </c>
      <c r="V1534" s="35">
        <v>6.5714285714285711E-2</v>
      </c>
      <c r="W1534" s="9" t="s">
        <v>155</v>
      </c>
      <c r="X1534" s="15">
        <v>1533</v>
      </c>
      <c r="Y1534" s="39">
        <v>0.48592039419993638</v>
      </c>
      <c r="Z1534" s="39">
        <v>0.48714712810362998</v>
      </c>
      <c r="AA1534" s="39">
        <v>0.46864693894470888</v>
      </c>
      <c r="AB1534" s="39">
        <v>0.49934934888735977</v>
      </c>
      <c r="AC1534" s="39">
        <v>0.47851692299758347</v>
      </c>
      <c r="AD1534" s="39">
        <v>0.48323952861096658</v>
      </c>
      <c r="AE1534" s="39">
        <v>0.46378318402722823</v>
      </c>
      <c r="AF1534" s="40">
        <v>0.49620869735766149</v>
      </c>
    </row>
    <row r="1535" spans="1:32">
      <c r="A1535" s="15">
        <v>1533</v>
      </c>
      <c r="B1535" s="16">
        <v>0</v>
      </c>
      <c r="C1535" s="20">
        <v>0.94</v>
      </c>
      <c r="D1535" s="20">
        <v>0.17188516685452584</v>
      </c>
      <c r="E1535" s="20">
        <v>0.06</v>
      </c>
      <c r="F1535" s="8" t="s">
        <v>434</v>
      </c>
      <c r="G1535" s="24">
        <v>0.67862526805910772</v>
      </c>
      <c r="H1535" s="24">
        <v>0.68255433513725394</v>
      </c>
      <c r="I1535" s="25">
        <v>0.69449127888197404</v>
      </c>
      <c r="L1535" s="15">
        <v>1533</v>
      </c>
      <c r="M1535" s="16">
        <v>1</v>
      </c>
      <c r="N1535" s="16">
        <v>1</v>
      </c>
      <c r="O1535" s="16">
        <v>13</v>
      </c>
      <c r="P1535" s="16">
        <v>237</v>
      </c>
      <c r="Q1535" s="29">
        <v>66</v>
      </c>
      <c r="R1535" s="20">
        <v>0.62250000000000005</v>
      </c>
      <c r="S1535" s="32">
        <v>41.085000000000001</v>
      </c>
      <c r="T1535" s="35">
        <v>2.4700000000000002</v>
      </c>
      <c r="U1535" s="35">
        <v>1.59</v>
      </c>
      <c r="V1535" s="35">
        <v>3.7424242424242429E-2</v>
      </c>
      <c r="W1535" s="9" t="s">
        <v>154</v>
      </c>
      <c r="X1535" s="15">
        <v>1534</v>
      </c>
      <c r="Y1535" s="39">
        <v>0.47859778145009541</v>
      </c>
      <c r="Z1535" s="39">
        <v>0.50546035590666083</v>
      </c>
      <c r="AA1535" s="39">
        <v>0.50523296421564323</v>
      </c>
      <c r="AB1535" s="39">
        <v>0.48306387789841226</v>
      </c>
      <c r="AC1535" s="39">
        <v>0.47189675963299638</v>
      </c>
      <c r="AD1535" s="39">
        <v>0.49728965255341123</v>
      </c>
      <c r="AE1535" s="39">
        <v>0.49739889462152898</v>
      </c>
      <c r="AF1535" s="40">
        <v>0.47889361130033981</v>
      </c>
    </row>
    <row r="1536" spans="1:32">
      <c r="A1536" s="15">
        <v>1534</v>
      </c>
      <c r="B1536" s="16">
        <v>1</v>
      </c>
      <c r="C1536" s="20">
        <v>0.42</v>
      </c>
      <c r="D1536" s="20">
        <v>0.65818637387780199</v>
      </c>
      <c r="E1536" s="20">
        <v>7.0000000000000007E-2</v>
      </c>
      <c r="F1536" s="8" t="s">
        <v>436</v>
      </c>
      <c r="G1536" s="24">
        <v>0.97020059504659495</v>
      </c>
      <c r="H1536" s="24">
        <v>0.97581780884132707</v>
      </c>
      <c r="I1536" s="25">
        <v>0.99288353048368194</v>
      </c>
      <c r="L1536" s="15">
        <v>1534</v>
      </c>
      <c r="M1536" s="16">
        <v>1</v>
      </c>
      <c r="N1536" s="16">
        <v>1</v>
      </c>
      <c r="O1536" s="16">
        <v>13</v>
      </c>
      <c r="P1536" s="16">
        <v>238</v>
      </c>
      <c r="Q1536" s="29">
        <v>73</v>
      </c>
      <c r="R1536" s="20">
        <v>0.62250000000000005</v>
      </c>
      <c r="S1536" s="32">
        <v>45.442500000000003</v>
      </c>
      <c r="T1536" s="35">
        <v>4.5</v>
      </c>
      <c r="U1536" s="35">
        <v>3.37</v>
      </c>
      <c r="V1536" s="35">
        <v>6.1643835616438353E-2</v>
      </c>
      <c r="W1536" s="9" t="s">
        <v>155</v>
      </c>
      <c r="X1536" s="15">
        <v>1535</v>
      </c>
      <c r="Y1536" s="39">
        <v>0.48466768303014779</v>
      </c>
      <c r="Z1536" s="39">
        <v>0.47589669877343288</v>
      </c>
      <c r="AA1536" s="39">
        <v>0.48597005285820166</v>
      </c>
      <c r="AB1536" s="39">
        <v>0.48735430119633572</v>
      </c>
      <c r="AC1536" s="39">
        <v>0.47724382365544654</v>
      </c>
      <c r="AD1536" s="39">
        <v>0.47025929905712377</v>
      </c>
      <c r="AE1536" s="39">
        <v>0.47840941838127654</v>
      </c>
      <c r="AF1536" s="40">
        <v>0.48343456133281931</v>
      </c>
    </row>
    <row r="1537" spans="1:32">
      <c r="A1537" s="15">
        <v>1535</v>
      </c>
      <c r="B1537" s="16">
        <v>0</v>
      </c>
      <c r="C1537" s="20">
        <v>0.02</v>
      </c>
      <c r="D1537" s="20">
        <v>0.99835916395484214</v>
      </c>
      <c r="E1537" s="20">
        <v>1</v>
      </c>
      <c r="F1537" s="8" t="s">
        <v>436</v>
      </c>
      <c r="G1537" s="24">
        <v>1.0819574116943715</v>
      </c>
      <c r="H1537" s="24">
        <v>1.0882216689307738</v>
      </c>
      <c r="I1537" s="25">
        <v>1.107253180672912</v>
      </c>
      <c r="L1537" s="15">
        <v>1535</v>
      </c>
      <c r="M1537" s="16">
        <v>1</v>
      </c>
      <c r="N1537" s="16">
        <v>1</v>
      </c>
      <c r="O1537" s="16">
        <v>13</v>
      </c>
      <c r="P1537" s="16">
        <v>239</v>
      </c>
      <c r="Q1537" s="29">
        <v>57</v>
      </c>
      <c r="R1537" s="20">
        <v>0.62250000000000005</v>
      </c>
      <c r="S1537" s="32">
        <v>35.482500000000002</v>
      </c>
      <c r="T1537" s="35">
        <v>3.54</v>
      </c>
      <c r="U1537" s="35">
        <v>2.67</v>
      </c>
      <c r="V1537" s="35">
        <v>6.210526315789474E-2</v>
      </c>
      <c r="W1537" s="9" t="s">
        <v>155</v>
      </c>
      <c r="X1537" s="15">
        <v>1536</v>
      </c>
      <c r="Y1537" s="39">
        <v>0.47853647030224378</v>
      </c>
      <c r="Z1537" s="39">
        <v>0.48305539378322182</v>
      </c>
      <c r="AA1537" s="39">
        <v>0.49310651136681172</v>
      </c>
      <c r="AB1537" s="39">
        <v>0.49313936401555708</v>
      </c>
      <c r="AC1537" s="39">
        <v>0.47070478054622283</v>
      </c>
      <c r="AD1537" s="39">
        <v>0.47538902159577434</v>
      </c>
      <c r="AE1537" s="39">
        <v>0.48630475867178585</v>
      </c>
      <c r="AF1537" s="40">
        <v>0.48627213249509815</v>
      </c>
    </row>
    <row r="1538" spans="1:32">
      <c r="A1538" s="15">
        <v>1536</v>
      </c>
      <c r="B1538" s="16">
        <v>0</v>
      </c>
      <c r="C1538" s="20">
        <v>0.9</v>
      </c>
      <c r="D1538" s="20">
        <v>0.231595386583653</v>
      </c>
      <c r="E1538" s="20">
        <v>0.1</v>
      </c>
      <c r="F1538" s="8" t="s">
        <v>434</v>
      </c>
      <c r="G1538" s="24">
        <v>0.51719190444855956</v>
      </c>
      <c r="H1538" s="24">
        <v>0.52018631355841249</v>
      </c>
      <c r="I1538" s="25">
        <v>0.52928366221193979</v>
      </c>
      <c r="L1538" s="15">
        <v>1536</v>
      </c>
      <c r="M1538" s="16">
        <v>1</v>
      </c>
      <c r="N1538" s="16">
        <v>1</v>
      </c>
      <c r="O1538" s="16">
        <v>13</v>
      </c>
      <c r="P1538" s="16">
        <v>240</v>
      </c>
      <c r="Q1538" s="29">
        <v>69</v>
      </c>
      <c r="R1538" s="20">
        <v>0.62250000000000005</v>
      </c>
      <c r="S1538" s="32">
        <v>42.952500000000001</v>
      </c>
      <c r="T1538" s="35">
        <v>2.72</v>
      </c>
      <c r="U1538" s="35">
        <v>1.67</v>
      </c>
      <c r="V1538" s="35">
        <v>3.9420289855072468E-2</v>
      </c>
      <c r="W1538" s="9" t="s">
        <v>154</v>
      </c>
      <c r="X1538" s="15">
        <v>1537</v>
      </c>
      <c r="Y1538" s="39">
        <v>0.49615189543993704</v>
      </c>
      <c r="Z1538" s="39">
        <v>0.50643624923592245</v>
      </c>
      <c r="AA1538" s="39">
        <v>0.48432955957334417</v>
      </c>
      <c r="AB1538" s="39">
        <v>0.49759434604140557</v>
      </c>
      <c r="AC1538" s="39">
        <v>0.49063214625893314</v>
      </c>
      <c r="AD1538" s="39">
        <v>0.49831857995487938</v>
      </c>
      <c r="AE1538" s="39">
        <v>0.47727068092257169</v>
      </c>
      <c r="AF1538" s="40">
        <v>0.49294973376451134</v>
      </c>
    </row>
    <row r="1539" spans="1:32">
      <c r="A1539" s="15">
        <v>1537</v>
      </c>
      <c r="B1539" s="16">
        <v>1</v>
      </c>
      <c r="C1539" s="20">
        <v>0.02</v>
      </c>
      <c r="D1539" s="20">
        <v>0.99835916395484214</v>
      </c>
      <c r="E1539" s="20">
        <v>1</v>
      </c>
      <c r="F1539" s="8" t="s">
        <v>436</v>
      </c>
      <c r="G1539" s="24">
        <v>0.98405934937229078</v>
      </c>
      <c r="H1539" s="24">
        <v>0.9897568018170233</v>
      </c>
      <c r="I1539" s="25">
        <v>1.0070662974220408</v>
      </c>
      <c r="L1539" s="15">
        <v>1537</v>
      </c>
      <c r="M1539" s="16">
        <v>1</v>
      </c>
      <c r="N1539" s="16">
        <v>1</v>
      </c>
      <c r="O1539" s="16">
        <v>13</v>
      </c>
      <c r="P1539" s="16">
        <v>241</v>
      </c>
      <c r="Q1539" s="29">
        <v>67</v>
      </c>
      <c r="R1539" s="20">
        <v>0.62250000000000005</v>
      </c>
      <c r="S1539" s="32">
        <v>41.707500000000003</v>
      </c>
      <c r="T1539" s="35">
        <v>2.44</v>
      </c>
      <c r="U1539" s="35">
        <v>1.64</v>
      </c>
      <c r="V1539" s="35">
        <v>3.6417910447761194E-2</v>
      </c>
      <c r="W1539" s="9" t="s">
        <v>154</v>
      </c>
      <c r="X1539" s="15">
        <v>1538</v>
      </c>
      <c r="Y1539" s="39">
        <v>0.47831711541523275</v>
      </c>
      <c r="Z1539" s="39">
        <v>0.49111850620152625</v>
      </c>
      <c r="AA1539" s="39">
        <v>0.47244418681516687</v>
      </c>
      <c r="AB1539" s="39">
        <v>0.47642974813308381</v>
      </c>
      <c r="AC1539" s="39">
        <v>0.47323601160770079</v>
      </c>
      <c r="AD1539" s="39">
        <v>0.48620174072508793</v>
      </c>
      <c r="AE1539" s="39">
        <v>0.46526035050309172</v>
      </c>
      <c r="AF1539" s="40">
        <v>0.47241085779324349</v>
      </c>
    </row>
    <row r="1540" spans="1:32">
      <c r="A1540" s="15">
        <v>1538</v>
      </c>
      <c r="B1540" s="16">
        <v>0</v>
      </c>
      <c r="C1540" s="20">
        <v>0.41</v>
      </c>
      <c r="D1540" s="20">
        <v>0.67662467039974905</v>
      </c>
      <c r="E1540" s="20">
        <v>0.1</v>
      </c>
      <c r="F1540" s="8" t="s">
        <v>436</v>
      </c>
      <c r="G1540" s="24">
        <v>0.96823354580736065</v>
      </c>
      <c r="H1540" s="24">
        <v>0.97383937088910089</v>
      </c>
      <c r="I1540" s="25">
        <v>0.99087049235192082</v>
      </c>
      <c r="L1540" s="15">
        <v>1538</v>
      </c>
      <c r="M1540" s="16">
        <v>1</v>
      </c>
      <c r="N1540" s="16">
        <v>1</v>
      </c>
      <c r="O1540" s="16">
        <v>13</v>
      </c>
      <c r="P1540" s="16">
        <v>242</v>
      </c>
      <c r="Q1540" s="29">
        <v>73</v>
      </c>
      <c r="R1540" s="20">
        <v>0.62250000000000005</v>
      </c>
      <c r="S1540" s="32">
        <v>45.442500000000003</v>
      </c>
      <c r="T1540" s="35">
        <v>1.94</v>
      </c>
      <c r="U1540" s="35">
        <v>0.77</v>
      </c>
      <c r="V1540" s="35">
        <v>2.6575342465753424E-2</v>
      </c>
      <c r="W1540" s="9" t="s">
        <v>153</v>
      </c>
      <c r="X1540" s="15">
        <v>1539</v>
      </c>
      <c r="Y1540" s="39">
        <v>0.4867100434067802</v>
      </c>
      <c r="Z1540" s="39">
        <v>0.48386084822021563</v>
      </c>
      <c r="AA1540" s="39">
        <v>0.49197134546800353</v>
      </c>
      <c r="AB1540" s="39">
        <v>0.48661176302652648</v>
      </c>
      <c r="AC1540" s="39">
        <v>0.48063269871067643</v>
      </c>
      <c r="AD1540" s="39">
        <v>0.47678256028088123</v>
      </c>
      <c r="AE1540" s="39">
        <v>0.48455987356771263</v>
      </c>
      <c r="AF1540" s="40">
        <v>0.4822285151090086</v>
      </c>
    </row>
    <row r="1541" spans="1:32">
      <c r="A1541" s="15">
        <v>1539</v>
      </c>
      <c r="B1541" s="16">
        <v>0</v>
      </c>
      <c r="C1541" s="20">
        <v>0.02</v>
      </c>
      <c r="D1541" s="20">
        <v>0.99531127541355291</v>
      </c>
      <c r="E1541" s="20">
        <v>1</v>
      </c>
      <c r="F1541" s="8" t="s">
        <v>436</v>
      </c>
      <c r="G1541" s="24">
        <v>0.97896332642979955</v>
      </c>
      <c r="H1541" s="24">
        <v>0.98463127420249108</v>
      </c>
      <c r="I1541" s="25">
        <v>1.0018511313250507</v>
      </c>
      <c r="L1541" s="15">
        <v>1539</v>
      </c>
      <c r="M1541" s="16">
        <v>1</v>
      </c>
      <c r="N1541" s="16">
        <v>1</v>
      </c>
      <c r="O1541" s="16">
        <v>13</v>
      </c>
      <c r="P1541" s="16">
        <v>243</v>
      </c>
      <c r="Q1541" s="29">
        <v>74</v>
      </c>
      <c r="R1541" s="20">
        <v>0.62250000000000005</v>
      </c>
      <c r="S1541" s="32">
        <v>46.065000000000005</v>
      </c>
      <c r="T1541" s="35">
        <v>3.2600000000000002</v>
      </c>
      <c r="U1541" s="35">
        <v>2.13</v>
      </c>
      <c r="V1541" s="35">
        <v>4.4054054054054055E-2</v>
      </c>
      <c r="W1541" s="9" t="s">
        <v>155</v>
      </c>
      <c r="X1541" s="15">
        <v>1540</v>
      </c>
      <c r="Y1541" s="39">
        <v>0.48506956959877157</v>
      </c>
      <c r="Z1541" s="39">
        <v>0.503905001385757</v>
      </c>
      <c r="AA1541" s="39">
        <v>0.49480279667473964</v>
      </c>
      <c r="AB1541" s="39">
        <v>0.48668829555421667</v>
      </c>
      <c r="AC1541" s="39">
        <v>0.47936421459515305</v>
      </c>
      <c r="AD1541" s="39">
        <v>0.49573531331205151</v>
      </c>
      <c r="AE1541" s="39">
        <v>0.48867124089052377</v>
      </c>
      <c r="AF1541" s="40">
        <v>0.48436993168753034</v>
      </c>
    </row>
    <row r="1542" spans="1:32">
      <c r="A1542" s="15">
        <v>1540</v>
      </c>
      <c r="B1542" s="16">
        <v>1</v>
      </c>
      <c r="C1542" s="20">
        <v>0.08</v>
      </c>
      <c r="D1542" s="20">
        <v>0.92645809694483505</v>
      </c>
      <c r="E1542" s="20">
        <v>0.08</v>
      </c>
      <c r="F1542" s="8" t="s">
        <v>436</v>
      </c>
      <c r="G1542" s="24">
        <v>0.82457032280614628</v>
      </c>
      <c r="H1542" s="24">
        <v>0.82934437449776677</v>
      </c>
      <c r="I1542" s="25">
        <v>0.84384847568612009</v>
      </c>
      <c r="L1542" s="15">
        <v>1540</v>
      </c>
      <c r="M1542" s="16">
        <v>1</v>
      </c>
      <c r="N1542" s="16">
        <v>1</v>
      </c>
      <c r="O1542" s="16">
        <v>13</v>
      </c>
      <c r="P1542" s="16">
        <v>244</v>
      </c>
      <c r="Q1542" s="29">
        <v>61</v>
      </c>
      <c r="R1542" s="20">
        <v>0.62250000000000005</v>
      </c>
      <c r="S1542" s="32">
        <v>37.972500000000004</v>
      </c>
      <c r="T1542" s="35">
        <v>4.8499999999999996</v>
      </c>
      <c r="U1542" s="35">
        <v>3.9</v>
      </c>
      <c r="V1542" s="35">
        <v>7.9508196721311472E-2</v>
      </c>
      <c r="W1542" s="9" t="s">
        <v>155</v>
      </c>
      <c r="X1542" s="15">
        <v>1541</v>
      </c>
      <c r="Y1542" s="39">
        <v>0.47276793734660322</v>
      </c>
      <c r="Z1542" s="39">
        <v>0.48682351068544466</v>
      </c>
      <c r="AA1542" s="39">
        <v>0.48569435906934727</v>
      </c>
      <c r="AB1542" s="39">
        <v>0.48272768062428234</v>
      </c>
      <c r="AC1542" s="39">
        <v>0.46379167889766615</v>
      </c>
      <c r="AD1542" s="39">
        <v>0.47867619124896132</v>
      </c>
      <c r="AE1542" s="39">
        <v>0.47889059605093265</v>
      </c>
      <c r="AF1542" s="40">
        <v>0.47837181431699521</v>
      </c>
    </row>
    <row r="1543" spans="1:32">
      <c r="A1543" s="15">
        <v>1541</v>
      </c>
      <c r="B1543" s="16">
        <v>1</v>
      </c>
      <c r="C1543" s="20">
        <v>0.24</v>
      </c>
      <c r="D1543" s="20">
        <v>0.75844091588768414</v>
      </c>
      <c r="E1543" s="20">
        <v>0.06</v>
      </c>
      <c r="F1543" s="8" t="s">
        <v>436</v>
      </c>
      <c r="G1543" s="24">
        <v>1.1005923070176531</v>
      </c>
      <c r="H1543" s="24">
        <v>1.1069644555412876</v>
      </c>
      <c r="I1543" s="25">
        <v>1.1263237530403565</v>
      </c>
      <c r="L1543" s="15">
        <v>1541</v>
      </c>
      <c r="M1543" s="16">
        <v>1</v>
      </c>
      <c r="N1543" s="16">
        <v>1</v>
      </c>
      <c r="O1543" s="16">
        <v>13</v>
      </c>
      <c r="P1543" s="16">
        <v>245</v>
      </c>
      <c r="Q1543" s="29">
        <v>74</v>
      </c>
      <c r="R1543" s="20">
        <v>0.62250000000000005</v>
      </c>
      <c r="S1543" s="32">
        <v>46.065000000000005</v>
      </c>
      <c r="T1543" s="35">
        <v>5.9300000000000006</v>
      </c>
      <c r="U1543" s="35">
        <v>4.8099999999999996</v>
      </c>
      <c r="V1543" s="35">
        <v>8.0135135135135149E-2</v>
      </c>
      <c r="W1543" s="9" t="s">
        <v>156</v>
      </c>
      <c r="X1543" s="15">
        <v>1542</v>
      </c>
      <c r="Y1543" s="39">
        <v>0.49060887914126905</v>
      </c>
      <c r="Z1543" s="39">
        <v>0.48506863978817133</v>
      </c>
      <c r="AA1543" s="39">
        <v>0.48081157852327494</v>
      </c>
      <c r="AB1543" s="39">
        <v>0.5096124811672782</v>
      </c>
      <c r="AC1543" s="39">
        <v>0.48238928864268743</v>
      </c>
      <c r="AD1543" s="39">
        <v>0.47890768785074644</v>
      </c>
      <c r="AE1543" s="39">
        <v>0.47372961353290466</v>
      </c>
      <c r="AF1543" s="40">
        <v>0.50813164079901318</v>
      </c>
    </row>
    <row r="1544" spans="1:32">
      <c r="A1544" s="15">
        <v>1542</v>
      </c>
      <c r="B1544" s="16">
        <v>1</v>
      </c>
      <c r="C1544" s="20">
        <v>0.02</v>
      </c>
      <c r="D1544" s="20">
        <v>0.99679477127711513</v>
      </c>
      <c r="E1544" s="20">
        <v>1</v>
      </c>
      <c r="F1544" s="8" t="s">
        <v>436</v>
      </c>
      <c r="G1544" s="24">
        <v>1.0066557409912971</v>
      </c>
      <c r="H1544" s="24">
        <v>1.0124840207756143</v>
      </c>
      <c r="I1544" s="25">
        <v>1.0301909844212209</v>
      </c>
      <c r="L1544" s="15">
        <v>1542</v>
      </c>
      <c r="M1544" s="16">
        <v>1</v>
      </c>
      <c r="N1544" s="16">
        <v>1</v>
      </c>
      <c r="O1544" s="16">
        <v>13</v>
      </c>
      <c r="P1544" s="16">
        <v>246</v>
      </c>
      <c r="Q1544" s="29">
        <v>76</v>
      </c>
      <c r="R1544" s="20">
        <v>0.62250000000000005</v>
      </c>
      <c r="S1544" s="32">
        <v>47.31</v>
      </c>
      <c r="T1544" s="35">
        <v>4.8600000000000003</v>
      </c>
      <c r="U1544" s="35">
        <v>4.0999999999999996</v>
      </c>
      <c r="V1544" s="35">
        <v>6.3947368421052642E-2</v>
      </c>
      <c r="W1544" s="9" t="s">
        <v>155</v>
      </c>
      <c r="X1544" s="15">
        <v>1543</v>
      </c>
      <c r="Y1544" s="39">
        <v>0.48839378401827443</v>
      </c>
      <c r="Z1544" s="39">
        <v>0.48770344905256152</v>
      </c>
      <c r="AA1544" s="39">
        <v>0.48237726622154603</v>
      </c>
      <c r="AB1544" s="39">
        <v>0.48753567672063486</v>
      </c>
      <c r="AC1544" s="39">
        <v>0.48062895108241555</v>
      </c>
      <c r="AD1544" s="39">
        <v>0.48313116048055293</v>
      </c>
      <c r="AE1544" s="39">
        <v>0.47523001342245202</v>
      </c>
      <c r="AF1544" s="40">
        <v>0.48639028339551321</v>
      </c>
    </row>
    <row r="1545" spans="1:32">
      <c r="A1545" s="15">
        <v>1543</v>
      </c>
      <c r="B1545" s="16">
        <v>0</v>
      </c>
      <c r="C1545" s="20">
        <v>0.89</v>
      </c>
      <c r="D1545" s="20">
        <v>0.24559627500636821</v>
      </c>
      <c r="E1545" s="20">
        <v>0.11</v>
      </c>
      <c r="F1545" s="8" t="s">
        <v>434</v>
      </c>
      <c r="G1545" s="24">
        <v>0.72019090774178052</v>
      </c>
      <c r="H1545" s="24">
        <v>0.72436062926376488</v>
      </c>
      <c r="I1545" s="25">
        <v>0.73702870803389364</v>
      </c>
      <c r="L1545" s="15">
        <v>1543</v>
      </c>
      <c r="M1545" s="16">
        <v>1</v>
      </c>
      <c r="N1545" s="16">
        <v>1</v>
      </c>
      <c r="O1545" s="16">
        <v>14</v>
      </c>
      <c r="P1545" s="16">
        <v>247</v>
      </c>
      <c r="Q1545" s="29">
        <v>41</v>
      </c>
      <c r="R1545" s="20">
        <v>0.62250000000000005</v>
      </c>
      <c r="S1545" s="32">
        <v>25.522500000000001</v>
      </c>
      <c r="T1545" s="35">
        <v>1.76</v>
      </c>
      <c r="U1545" s="35">
        <v>1.1599999999999999</v>
      </c>
      <c r="V1545" s="35">
        <v>4.2926829268292686E-2</v>
      </c>
      <c r="W1545" s="9" t="s">
        <v>153</v>
      </c>
      <c r="X1545" s="15">
        <v>1544</v>
      </c>
      <c r="Y1545" s="39">
        <v>0.49092469435493452</v>
      </c>
      <c r="Z1545" s="39">
        <v>0.49110247484545116</v>
      </c>
      <c r="AA1545" s="39">
        <v>0.48449833185470781</v>
      </c>
      <c r="AB1545" s="39">
        <v>0.47761283889773948</v>
      </c>
      <c r="AC1545" s="39">
        <v>0.48298039959489986</v>
      </c>
      <c r="AD1545" s="39">
        <v>0.48416923138953089</v>
      </c>
      <c r="AE1545" s="39">
        <v>0.48069726400836404</v>
      </c>
      <c r="AF1545" s="40">
        <v>0.47476790910827432</v>
      </c>
    </row>
    <row r="1546" spans="1:32">
      <c r="A1546" s="15">
        <v>1544</v>
      </c>
      <c r="B1546" s="16">
        <v>1</v>
      </c>
      <c r="C1546" s="20">
        <v>0.92</v>
      </c>
      <c r="D1546" s="20">
        <v>0.20258497911151899</v>
      </c>
      <c r="E1546" s="20">
        <v>0.08</v>
      </c>
      <c r="F1546" s="8" t="s">
        <v>434</v>
      </c>
      <c r="G1546" s="24">
        <v>0.48299879325212092</v>
      </c>
      <c r="H1546" s="24">
        <v>0.48579523297618077</v>
      </c>
      <c r="I1546" s="25">
        <v>0.49429112856861557</v>
      </c>
      <c r="L1546" s="15">
        <v>1544</v>
      </c>
      <c r="M1546" s="16">
        <v>1</v>
      </c>
      <c r="N1546" s="16">
        <v>1</v>
      </c>
      <c r="O1546" s="16">
        <v>14</v>
      </c>
      <c r="P1546" s="16">
        <v>248</v>
      </c>
      <c r="Q1546" s="29">
        <v>36</v>
      </c>
      <c r="R1546" s="20">
        <v>0.62250000000000005</v>
      </c>
      <c r="S1546" s="32">
        <v>22.410000000000004</v>
      </c>
      <c r="T1546" s="35">
        <v>3.15</v>
      </c>
      <c r="U1546" s="35">
        <v>2.7</v>
      </c>
      <c r="V1546" s="35">
        <v>8.7499999999999994E-2</v>
      </c>
      <c r="W1546" s="9" t="s">
        <v>155</v>
      </c>
      <c r="X1546" s="15">
        <v>1545</v>
      </c>
      <c r="Y1546" s="39">
        <v>0.47902526593445133</v>
      </c>
      <c r="Z1546" s="39">
        <v>0.46790386277018303</v>
      </c>
      <c r="AA1546" s="39">
        <v>0.47912616715331779</v>
      </c>
      <c r="AB1546" s="39">
        <v>0.49021593147847975</v>
      </c>
      <c r="AC1546" s="39">
        <v>0.4749030532021869</v>
      </c>
      <c r="AD1546" s="39">
        <v>0.46184569216221916</v>
      </c>
      <c r="AE1546" s="39">
        <v>0.47187730229082159</v>
      </c>
      <c r="AF1546" s="40">
        <v>0.48713930740045847</v>
      </c>
    </row>
    <row r="1547" spans="1:32">
      <c r="A1547" s="15">
        <v>1545</v>
      </c>
      <c r="B1547" s="16">
        <v>0</v>
      </c>
      <c r="C1547" s="20">
        <v>0.28000000000000003</v>
      </c>
      <c r="D1547" s="20">
        <v>0.67598309771555709</v>
      </c>
      <c r="E1547" s="20">
        <v>0.1</v>
      </c>
      <c r="F1547" s="8" t="s">
        <v>436</v>
      </c>
      <c r="G1547" s="24">
        <v>0.89975248709514721</v>
      </c>
      <c r="H1547" s="24">
        <v>0.90496182432721994</v>
      </c>
      <c r="I1547" s="25">
        <v>0.92078837150743986</v>
      </c>
      <c r="L1547" s="15">
        <v>1545</v>
      </c>
      <c r="M1547" s="16">
        <v>1</v>
      </c>
      <c r="N1547" s="16">
        <v>1</v>
      </c>
      <c r="O1547" s="16">
        <v>14</v>
      </c>
      <c r="P1547" s="16">
        <v>249</v>
      </c>
      <c r="Q1547" s="29">
        <v>48</v>
      </c>
      <c r="R1547" s="20">
        <v>0.62250000000000005</v>
      </c>
      <c r="S1547" s="32">
        <v>29.880000000000003</v>
      </c>
      <c r="T1547" s="35">
        <v>1.6700000000000002</v>
      </c>
      <c r="U1547" s="35">
        <v>0.91</v>
      </c>
      <c r="V1547" s="35">
        <v>3.4791666666666672E-2</v>
      </c>
      <c r="W1547" s="9" t="s">
        <v>153</v>
      </c>
      <c r="X1547" s="15">
        <v>1546</v>
      </c>
      <c r="Y1547" s="39">
        <v>0.47754144067632132</v>
      </c>
      <c r="Z1547" s="39">
        <v>0.4815853794938722</v>
      </c>
      <c r="AA1547" s="39">
        <v>0.48917349896136919</v>
      </c>
      <c r="AB1547" s="39">
        <v>0.48626583066732382</v>
      </c>
      <c r="AC1547" s="39">
        <v>0.47269144042571237</v>
      </c>
      <c r="AD1547" s="39">
        <v>0.47214158469099071</v>
      </c>
      <c r="AE1547" s="39">
        <v>0.48188153570565406</v>
      </c>
      <c r="AF1547" s="40">
        <v>0.48185385034140449</v>
      </c>
    </row>
    <row r="1548" spans="1:32">
      <c r="A1548" s="15">
        <v>1546</v>
      </c>
      <c r="B1548" s="16">
        <v>0</v>
      </c>
      <c r="C1548" s="20">
        <v>0.9</v>
      </c>
      <c r="D1548" s="20">
        <v>0.23159538658365303</v>
      </c>
      <c r="E1548" s="20">
        <v>0.1</v>
      </c>
      <c r="F1548" s="8" t="s">
        <v>434</v>
      </c>
      <c r="G1548" s="24">
        <v>0.7877068707878403</v>
      </c>
      <c r="H1548" s="24">
        <v>0.79226749250193251</v>
      </c>
      <c r="I1548" s="25">
        <v>0.80612316962815622</v>
      </c>
      <c r="L1548" s="15">
        <v>1546</v>
      </c>
      <c r="M1548" s="16">
        <v>1</v>
      </c>
      <c r="N1548" s="16">
        <v>1</v>
      </c>
      <c r="O1548" s="16">
        <v>14</v>
      </c>
      <c r="P1548" s="16">
        <v>250</v>
      </c>
      <c r="Q1548" s="29">
        <v>38</v>
      </c>
      <c r="R1548" s="20">
        <v>0.62250000000000005</v>
      </c>
      <c r="S1548" s="32">
        <v>23.655000000000001</v>
      </c>
      <c r="T1548" s="35">
        <v>1.78</v>
      </c>
      <c r="U1548" s="35">
        <v>1.38</v>
      </c>
      <c r="V1548" s="35">
        <v>4.6842105263157893E-2</v>
      </c>
      <c r="W1548" s="9" t="s">
        <v>153</v>
      </c>
      <c r="X1548" s="15">
        <v>1547</v>
      </c>
      <c r="Y1548" s="39">
        <v>0.48957485462924027</v>
      </c>
      <c r="Z1548" s="39">
        <v>0.48809393601556694</v>
      </c>
      <c r="AA1548" s="39">
        <v>0.4788731189278998</v>
      </c>
      <c r="AB1548" s="39">
        <v>0.48575005727499182</v>
      </c>
      <c r="AC1548" s="39">
        <v>0.48244393671988511</v>
      </c>
      <c r="AD1548" s="39">
        <v>0.48021148920842177</v>
      </c>
      <c r="AE1548" s="39">
        <v>0.4693387195839972</v>
      </c>
      <c r="AF1548" s="40">
        <v>0.48268308810083604</v>
      </c>
    </row>
    <row r="1549" spans="1:32">
      <c r="A1549" s="15">
        <v>1547</v>
      </c>
      <c r="B1549" s="16">
        <v>1</v>
      </c>
      <c r="C1549" s="20">
        <v>0.95</v>
      </c>
      <c r="D1549" s="20">
        <v>0.15570568692893463</v>
      </c>
      <c r="E1549" s="20">
        <v>0.05</v>
      </c>
      <c r="F1549" s="8" t="s">
        <v>434</v>
      </c>
      <c r="G1549" s="24">
        <v>0.75311316485877988</v>
      </c>
      <c r="H1549" s="24">
        <v>0.75747349784583184</v>
      </c>
      <c r="I1549" s="25">
        <v>0.77072067549372392</v>
      </c>
      <c r="L1549" s="15">
        <v>1547</v>
      </c>
      <c r="M1549" s="16">
        <v>1</v>
      </c>
      <c r="N1549" s="16">
        <v>1</v>
      </c>
      <c r="O1549" s="16">
        <v>14</v>
      </c>
      <c r="P1549" s="16">
        <v>251</v>
      </c>
      <c r="Q1549" s="29">
        <v>40</v>
      </c>
      <c r="R1549" s="20">
        <v>0.62250000000000005</v>
      </c>
      <c r="S1549" s="32">
        <v>24.900000000000002</v>
      </c>
      <c r="T1549" s="35">
        <v>2.52</v>
      </c>
      <c r="U1549" s="35">
        <v>2.08</v>
      </c>
      <c r="V1549" s="35">
        <v>6.3E-2</v>
      </c>
      <c r="W1549" s="9" t="s">
        <v>154</v>
      </c>
      <c r="X1549" s="15">
        <v>1548</v>
      </c>
      <c r="Y1549" s="39">
        <v>0.49304731437016563</v>
      </c>
      <c r="Z1549" s="39">
        <v>0.49095763437035767</v>
      </c>
      <c r="AA1549" s="39">
        <v>0.49354043819259663</v>
      </c>
      <c r="AB1549" s="39">
        <v>0.48685215155742145</v>
      </c>
      <c r="AC1549" s="39">
        <v>0.48802610421291631</v>
      </c>
      <c r="AD1549" s="39">
        <v>0.48120868634737157</v>
      </c>
      <c r="AE1549" s="39">
        <v>0.48774970951201702</v>
      </c>
      <c r="AF1549" s="40">
        <v>0.4838361184742957</v>
      </c>
    </row>
    <row r="1550" spans="1:32">
      <c r="A1550" s="15">
        <v>1548</v>
      </c>
      <c r="B1550" s="16">
        <v>1</v>
      </c>
      <c r="C1550" s="20">
        <v>0.05</v>
      </c>
      <c r="D1550" s="20">
        <v>0.95837789563666687</v>
      </c>
      <c r="E1550" s="20">
        <v>0.43</v>
      </c>
      <c r="F1550" s="8" t="s">
        <v>436</v>
      </c>
      <c r="G1550" s="24">
        <v>0.94162563906559571</v>
      </c>
      <c r="H1550" s="24">
        <v>0.94707741115915811</v>
      </c>
      <c r="I1550" s="25">
        <v>0.96364050247206989</v>
      </c>
      <c r="L1550" s="15">
        <v>1548</v>
      </c>
      <c r="M1550" s="16">
        <v>1</v>
      </c>
      <c r="N1550" s="16">
        <v>1</v>
      </c>
      <c r="O1550" s="16">
        <v>14</v>
      </c>
      <c r="P1550" s="16">
        <v>252</v>
      </c>
      <c r="Q1550" s="29">
        <v>47</v>
      </c>
      <c r="R1550" s="20">
        <v>0.62250000000000005</v>
      </c>
      <c r="S1550" s="32">
        <v>29.257500000000004</v>
      </c>
      <c r="T1550" s="35">
        <v>1.52</v>
      </c>
      <c r="U1550" s="35">
        <v>0.79</v>
      </c>
      <c r="V1550" s="35">
        <v>3.2340425531914893E-2</v>
      </c>
      <c r="W1550" s="9" t="s">
        <v>153</v>
      </c>
      <c r="X1550" s="15">
        <v>1549</v>
      </c>
      <c r="Y1550" s="39">
        <v>0.47720339760401359</v>
      </c>
      <c r="Z1550" s="39">
        <v>0.48676030723526248</v>
      </c>
      <c r="AA1550" s="39">
        <v>0.47370678001252853</v>
      </c>
      <c r="AB1550" s="39">
        <v>0.47812071081457841</v>
      </c>
      <c r="AC1550" s="39">
        <v>0.47159795515339881</v>
      </c>
      <c r="AD1550" s="39">
        <v>0.4791177815712731</v>
      </c>
      <c r="AE1550" s="39">
        <v>0.46849783790938265</v>
      </c>
      <c r="AF1550" s="40">
        <v>0.47262572741050585</v>
      </c>
    </row>
    <row r="1551" spans="1:32">
      <c r="A1551" s="15">
        <v>1549</v>
      </c>
      <c r="B1551" s="16">
        <v>1</v>
      </c>
      <c r="C1551" s="20">
        <v>0.19</v>
      </c>
      <c r="D1551" s="20">
        <v>0.83827145881831655</v>
      </c>
      <c r="E1551" s="20">
        <v>7.0000000000000007E-2</v>
      </c>
      <c r="F1551" s="8" t="s">
        <v>436</v>
      </c>
      <c r="G1551" s="24">
        <v>1.0071031429804373</v>
      </c>
      <c r="H1551" s="24">
        <v>1.0129340131080691</v>
      </c>
      <c r="I1551" s="25">
        <v>1.0306488465054033</v>
      </c>
      <c r="L1551" s="15">
        <v>1549</v>
      </c>
      <c r="M1551" s="16">
        <v>1</v>
      </c>
      <c r="N1551" s="16">
        <v>1</v>
      </c>
      <c r="O1551" s="16">
        <v>14</v>
      </c>
      <c r="P1551" s="16">
        <v>253</v>
      </c>
      <c r="Q1551" s="29">
        <v>46</v>
      </c>
      <c r="R1551" s="20">
        <v>0.62250000000000005</v>
      </c>
      <c r="S1551" s="32">
        <v>28.635000000000002</v>
      </c>
      <c r="T1551" s="35">
        <v>2.1800000000000002</v>
      </c>
      <c r="U1551" s="35">
        <v>1.61</v>
      </c>
      <c r="V1551" s="35">
        <v>4.739130434782609E-2</v>
      </c>
      <c r="W1551" s="9" t="s">
        <v>154</v>
      </c>
      <c r="X1551" s="15">
        <v>1550</v>
      </c>
      <c r="Y1551" s="39">
        <v>0.49023210738312617</v>
      </c>
      <c r="Z1551" s="39">
        <v>0.48391582893031931</v>
      </c>
      <c r="AA1551" s="39">
        <v>0.49590760837479131</v>
      </c>
      <c r="AB1551" s="39">
        <v>0.4816748435053167</v>
      </c>
      <c r="AC1551" s="39">
        <v>0.48460912322539779</v>
      </c>
      <c r="AD1551" s="39">
        <v>0.47744874381797486</v>
      </c>
      <c r="AE1551" s="39">
        <v>0.48763772081965961</v>
      </c>
      <c r="AF1551" s="40">
        <v>0.47650642272891536</v>
      </c>
    </row>
    <row r="1552" spans="1:32">
      <c r="A1552" s="15">
        <v>1550</v>
      </c>
      <c r="B1552" s="16">
        <v>0</v>
      </c>
      <c r="C1552" s="20">
        <v>0.42</v>
      </c>
      <c r="D1552" s="20">
        <v>0.58374265150810589</v>
      </c>
      <c r="E1552" s="20">
        <v>0.09</v>
      </c>
      <c r="F1552" s="8" t="s">
        <v>436</v>
      </c>
      <c r="G1552" s="24">
        <v>0.54175906776346527</v>
      </c>
      <c r="H1552" s="24">
        <v>0.5448957144779687</v>
      </c>
      <c r="I1552" s="25">
        <v>0.55442519682922298</v>
      </c>
      <c r="L1552" s="15">
        <v>1550</v>
      </c>
      <c r="M1552" s="16">
        <v>1</v>
      </c>
      <c r="N1552" s="16">
        <v>1</v>
      </c>
      <c r="O1552" s="16">
        <v>14</v>
      </c>
      <c r="P1552" s="16">
        <v>254</v>
      </c>
      <c r="Q1552" s="29">
        <v>44</v>
      </c>
      <c r="R1552" s="20">
        <v>0.62250000000000005</v>
      </c>
      <c r="S1552" s="32">
        <v>27.39</v>
      </c>
      <c r="T1552" s="35">
        <v>1.22</v>
      </c>
      <c r="U1552" s="35">
        <v>0.49</v>
      </c>
      <c r="V1552" s="35">
        <v>2.7727272727272725E-2</v>
      </c>
      <c r="W1552" s="9" t="s">
        <v>153</v>
      </c>
      <c r="X1552" s="15">
        <v>1551</v>
      </c>
      <c r="Y1552" s="39">
        <v>0.49508224421333952</v>
      </c>
      <c r="Z1552" s="39">
        <v>0.49051394692620925</v>
      </c>
      <c r="AA1552" s="39">
        <v>0.4795320703320306</v>
      </c>
      <c r="AB1552" s="39">
        <v>0.50217467465784404</v>
      </c>
      <c r="AC1552" s="39">
        <v>0.48808319586350313</v>
      </c>
      <c r="AD1552" s="39">
        <v>0.48093827915122694</v>
      </c>
      <c r="AE1552" s="39">
        <v>0.47410906948115561</v>
      </c>
      <c r="AF1552" s="40">
        <v>0.50053562599102697</v>
      </c>
    </row>
    <row r="1553" spans="1:32">
      <c r="A1553" s="15">
        <v>1551</v>
      </c>
      <c r="B1553" s="16">
        <v>1</v>
      </c>
      <c r="C1553" s="20">
        <v>0.61</v>
      </c>
      <c r="D1553" s="20">
        <v>0.44862667555480751</v>
      </c>
      <c r="E1553" s="20">
        <v>0.08</v>
      </c>
      <c r="F1553" s="8" t="s">
        <v>438</v>
      </c>
      <c r="G1553" s="24">
        <v>0.85816959459532827</v>
      </c>
      <c r="H1553" s="24">
        <v>0.86313817749415556</v>
      </c>
      <c r="I1553" s="25">
        <v>0.87823328617381269</v>
      </c>
      <c r="L1553" s="15">
        <v>1551</v>
      </c>
      <c r="M1553" s="16">
        <v>1</v>
      </c>
      <c r="N1553" s="16">
        <v>1</v>
      </c>
      <c r="O1553" s="16">
        <v>14</v>
      </c>
      <c r="P1553" s="16">
        <v>255</v>
      </c>
      <c r="Q1553" s="29">
        <v>9</v>
      </c>
      <c r="R1553" s="20">
        <v>0.62250000000000005</v>
      </c>
      <c r="S1553" s="32">
        <v>5.6025000000000009</v>
      </c>
      <c r="T1553" s="35">
        <v>0.12</v>
      </c>
      <c r="U1553" s="35">
        <v>0</v>
      </c>
      <c r="V1553" s="35">
        <v>1.3333333333333332E-2</v>
      </c>
      <c r="W1553" s="9" t="s">
        <v>152</v>
      </c>
      <c r="X1553" s="15">
        <v>1552</v>
      </c>
      <c r="Y1553" s="39">
        <v>0.48474767535281438</v>
      </c>
      <c r="Z1553" s="39">
        <v>0.49689999024987569</v>
      </c>
      <c r="AA1553" s="39">
        <v>0.48830237693785572</v>
      </c>
      <c r="AB1553" s="39">
        <v>0.49387913670574785</v>
      </c>
      <c r="AC1553" s="39">
        <v>0.48125894204071756</v>
      </c>
      <c r="AD1553" s="39">
        <v>0.48937425602259088</v>
      </c>
      <c r="AE1553" s="39">
        <v>0.48060339338257363</v>
      </c>
      <c r="AF1553" s="40">
        <v>0.4912474170445329</v>
      </c>
    </row>
    <row r="1554" spans="1:32">
      <c r="A1554" s="15">
        <v>1552</v>
      </c>
      <c r="B1554" s="16">
        <v>1</v>
      </c>
      <c r="C1554" s="20">
        <v>0.89</v>
      </c>
      <c r="D1554" s="20">
        <v>0.24559627500636821</v>
      </c>
      <c r="E1554" s="20">
        <v>0.11</v>
      </c>
      <c r="F1554" s="8" t="s">
        <v>434</v>
      </c>
      <c r="G1554" s="24">
        <v>1.2823349002383324</v>
      </c>
      <c r="H1554" s="24">
        <v>1.289759291985628</v>
      </c>
      <c r="I1554" s="25">
        <v>1.312315421688572</v>
      </c>
      <c r="L1554" s="15">
        <v>1552</v>
      </c>
      <c r="M1554" s="16">
        <v>1</v>
      </c>
      <c r="N1554" s="16">
        <v>1</v>
      </c>
      <c r="O1554" s="16">
        <v>15</v>
      </c>
      <c r="P1554" s="16">
        <v>256</v>
      </c>
      <c r="Q1554" s="29">
        <v>1</v>
      </c>
      <c r="R1554" s="20">
        <v>0.62250000000000005</v>
      </c>
      <c r="S1554" s="32">
        <v>0.62250000000000005</v>
      </c>
      <c r="T1554" s="35">
        <v>0.03</v>
      </c>
      <c r="U1554" s="35">
        <v>0.02</v>
      </c>
      <c r="V1554" s="35">
        <v>0.03</v>
      </c>
      <c r="W1554" s="9" t="s">
        <v>152</v>
      </c>
      <c r="X1554" s="15">
        <v>1553</v>
      </c>
      <c r="Y1554" s="39">
        <v>0.4866783354069113</v>
      </c>
      <c r="Z1554" s="39">
        <v>0.48140094209493545</v>
      </c>
      <c r="AA1554" s="39">
        <v>0.48716106011695443</v>
      </c>
      <c r="AB1554" s="39">
        <v>0.49111711834967464</v>
      </c>
      <c r="AC1554" s="39">
        <v>0.47841339778277947</v>
      </c>
      <c r="AD1554" s="39">
        <v>0.47345816216889353</v>
      </c>
      <c r="AE1554" s="39">
        <v>0.48082069136224181</v>
      </c>
      <c r="AF1554" s="40">
        <v>0.48603028603291532</v>
      </c>
    </row>
    <row r="1555" spans="1:32">
      <c r="A1555" s="15">
        <v>1553</v>
      </c>
      <c r="B1555" s="16">
        <v>1</v>
      </c>
      <c r="C1555" s="20">
        <v>0.61</v>
      </c>
      <c r="D1555" s="20">
        <v>0.44988648413211263</v>
      </c>
      <c r="E1555" s="20">
        <v>7.0000000000000007E-2</v>
      </c>
      <c r="F1555" s="8" t="s">
        <v>438</v>
      </c>
      <c r="G1555" s="24">
        <v>1.4993203372288073</v>
      </c>
      <c r="H1555" s="24">
        <v>1.508001019269205</v>
      </c>
      <c r="I1555" s="25">
        <v>1.5343738989175004</v>
      </c>
      <c r="L1555" s="15">
        <v>1553</v>
      </c>
      <c r="M1555" s="16">
        <v>1</v>
      </c>
      <c r="N1555" s="16">
        <v>1</v>
      </c>
      <c r="O1555" s="16">
        <v>16</v>
      </c>
      <c r="P1555" s="16">
        <v>257</v>
      </c>
      <c r="Q1555" s="29">
        <v>65</v>
      </c>
      <c r="R1555" s="20">
        <v>0.62250000000000005</v>
      </c>
      <c r="S1555" s="32">
        <v>40.462500000000006</v>
      </c>
      <c r="T1555" s="35">
        <v>1.86</v>
      </c>
      <c r="U1555" s="35">
        <v>0.89</v>
      </c>
      <c r="V1555" s="35">
        <v>2.8615384615384615E-2</v>
      </c>
      <c r="W1555" s="9" t="s">
        <v>153</v>
      </c>
      <c r="X1555" s="15">
        <v>1554</v>
      </c>
      <c r="Y1555" s="39">
        <v>0.47692984442091385</v>
      </c>
      <c r="Z1555" s="39">
        <v>0.47788316862678587</v>
      </c>
      <c r="AA1555" s="39">
        <v>0.48936793937537471</v>
      </c>
      <c r="AB1555" s="39">
        <v>0.48524252555736375</v>
      </c>
      <c r="AC1555" s="39">
        <v>0.46829933860946193</v>
      </c>
      <c r="AD1555" s="39">
        <v>0.47136767105185845</v>
      </c>
      <c r="AE1555" s="39">
        <v>0.4846639186687734</v>
      </c>
      <c r="AF1555" s="40">
        <v>0.48199755910739372</v>
      </c>
    </row>
    <row r="1556" spans="1:32">
      <c r="A1556" s="15">
        <v>1554</v>
      </c>
      <c r="B1556" s="16">
        <v>0</v>
      </c>
      <c r="C1556" s="20">
        <v>0.83</v>
      </c>
      <c r="D1556" s="20">
        <v>0.32436397807848893</v>
      </c>
      <c r="E1556" s="20">
        <v>0.17</v>
      </c>
      <c r="F1556" s="8" t="s">
        <v>434</v>
      </c>
      <c r="G1556" s="24">
        <v>0.73346564996707364</v>
      </c>
      <c r="H1556" s="24">
        <v>0.7377122288580702</v>
      </c>
      <c r="I1556" s="25">
        <v>0.75061380888231855</v>
      </c>
      <c r="L1556" s="15">
        <v>1554</v>
      </c>
      <c r="M1556" s="16">
        <v>1</v>
      </c>
      <c r="N1556" s="16">
        <v>1</v>
      </c>
      <c r="O1556" s="16">
        <v>16</v>
      </c>
      <c r="P1556" s="16">
        <v>258</v>
      </c>
      <c r="Q1556" s="29">
        <v>73</v>
      </c>
      <c r="R1556" s="20">
        <v>0.62250000000000005</v>
      </c>
      <c r="S1556" s="32">
        <v>45.442500000000003</v>
      </c>
      <c r="T1556" s="35">
        <v>3.72</v>
      </c>
      <c r="U1556" s="35">
        <v>2.75</v>
      </c>
      <c r="V1556" s="35">
        <v>5.0958904109589045E-2</v>
      </c>
      <c r="W1556" s="9" t="s">
        <v>155</v>
      </c>
      <c r="X1556" s="15">
        <v>1555</v>
      </c>
      <c r="Y1556" s="39">
        <v>0.47676759332630175</v>
      </c>
      <c r="Z1556" s="39">
        <v>0.48342251545029696</v>
      </c>
      <c r="AA1556" s="39">
        <v>0.48354530493385806</v>
      </c>
      <c r="AB1556" s="39">
        <v>0.49756061634064508</v>
      </c>
      <c r="AC1556" s="39">
        <v>0.4705647632707638</v>
      </c>
      <c r="AD1556" s="39">
        <v>0.47715803035158305</v>
      </c>
      <c r="AE1556" s="39">
        <v>0.47823653109126968</v>
      </c>
      <c r="AF1556" s="40">
        <v>0.49577704254395405</v>
      </c>
    </row>
    <row r="1557" spans="1:32">
      <c r="A1557" s="15">
        <v>1555</v>
      </c>
      <c r="B1557" s="16">
        <v>1</v>
      </c>
      <c r="C1557" s="20">
        <v>0.34</v>
      </c>
      <c r="D1557" s="20">
        <v>0.6787599296489264</v>
      </c>
      <c r="E1557" s="20">
        <v>0.06</v>
      </c>
      <c r="F1557" s="8" t="s">
        <v>436</v>
      </c>
      <c r="G1557" s="24">
        <v>1.112991899315066</v>
      </c>
      <c r="H1557" s="24">
        <v>1.1194358383130187</v>
      </c>
      <c r="I1557" s="25">
        <v>1.1390132432753344</v>
      </c>
      <c r="L1557" s="15">
        <v>1555</v>
      </c>
      <c r="M1557" s="16">
        <v>1</v>
      </c>
      <c r="N1557" s="16">
        <v>1</v>
      </c>
      <c r="O1557" s="16">
        <v>16</v>
      </c>
      <c r="P1557" s="16">
        <v>259</v>
      </c>
      <c r="Q1557" s="29">
        <v>29</v>
      </c>
      <c r="R1557" s="20">
        <v>0.62250000000000005</v>
      </c>
      <c r="S1557" s="32">
        <v>18.052500000000002</v>
      </c>
      <c r="T1557" s="35">
        <v>1.67</v>
      </c>
      <c r="U1557" s="35">
        <v>1.31</v>
      </c>
      <c r="V1557" s="35">
        <v>5.7586206896551723E-2</v>
      </c>
      <c r="W1557" s="9" t="s">
        <v>153</v>
      </c>
      <c r="X1557" s="15">
        <v>1556</v>
      </c>
      <c r="Y1557" s="39">
        <v>0.48627244575875456</v>
      </c>
      <c r="Z1557" s="39">
        <v>0.48254389348728921</v>
      </c>
      <c r="AA1557" s="39">
        <v>0.48534745026901177</v>
      </c>
      <c r="AB1557" s="39">
        <v>0.50065026983021277</v>
      </c>
      <c r="AC1557" s="39">
        <v>0.48073564014577769</v>
      </c>
      <c r="AD1557" s="39">
        <v>0.47659184131956184</v>
      </c>
      <c r="AE1557" s="39">
        <v>0.48028605969508781</v>
      </c>
      <c r="AF1557" s="40">
        <v>0.4961099415944149</v>
      </c>
    </row>
    <row r="1558" spans="1:32">
      <c r="A1558" s="15">
        <v>1556</v>
      </c>
      <c r="B1558" s="16">
        <v>0</v>
      </c>
      <c r="C1558" s="20">
        <v>0.03</v>
      </c>
      <c r="D1558" s="20">
        <v>0.99415958227269285</v>
      </c>
      <c r="E1558" s="20">
        <v>1</v>
      </c>
      <c r="F1558" s="8" t="s">
        <v>436</v>
      </c>
      <c r="G1558" s="24">
        <v>1.0997679086074246</v>
      </c>
      <c r="H1558" s="24">
        <v>1.1061352840746976</v>
      </c>
      <c r="I1558" s="25">
        <v>1.1254800804965011</v>
      </c>
      <c r="L1558" s="15">
        <v>1556</v>
      </c>
      <c r="M1558" s="16">
        <v>1</v>
      </c>
      <c r="N1558" s="16">
        <v>2</v>
      </c>
      <c r="O1558" s="16">
        <v>0</v>
      </c>
      <c r="P1558" s="16">
        <v>56</v>
      </c>
      <c r="Q1558" s="29">
        <v>20</v>
      </c>
      <c r="R1558" s="20">
        <v>0.62360000000000004</v>
      </c>
      <c r="S1558" s="32">
        <v>12.472000000000001</v>
      </c>
      <c r="T1558" s="35">
        <v>1.23</v>
      </c>
      <c r="U1558" s="35">
        <v>0.96</v>
      </c>
      <c r="V1558" s="35">
        <v>6.1499999999999999E-2</v>
      </c>
      <c r="W1558" s="9" t="s">
        <v>153</v>
      </c>
      <c r="X1558" s="15">
        <v>1557</v>
      </c>
      <c r="Y1558" s="39">
        <v>0.49189128096123608</v>
      </c>
      <c r="Z1558" s="39">
        <v>0.48494762366692984</v>
      </c>
      <c r="AA1558" s="39">
        <v>0.49204977643913583</v>
      </c>
      <c r="AB1558" s="39">
        <v>0.48529522961195443</v>
      </c>
      <c r="AC1558" s="39">
        <v>0.48666272712435454</v>
      </c>
      <c r="AD1558" s="39">
        <v>0.47709777750908894</v>
      </c>
      <c r="AE1558" s="39">
        <v>0.48592016519582659</v>
      </c>
      <c r="AF1558" s="40">
        <v>0.48119373326928139</v>
      </c>
    </row>
    <row r="1559" spans="1:32">
      <c r="A1559" s="15">
        <v>1557</v>
      </c>
      <c r="B1559" s="16">
        <v>0</v>
      </c>
      <c r="C1559" s="20">
        <v>0.93</v>
      </c>
      <c r="D1559" s="20">
        <v>0.18747949848141848</v>
      </c>
      <c r="E1559" s="20">
        <v>7.0000000000000007E-2</v>
      </c>
      <c r="F1559" s="8" t="s">
        <v>434</v>
      </c>
      <c r="G1559" s="24">
        <v>1.2424351560973768</v>
      </c>
      <c r="H1559" s="24">
        <v>1.249628538510789</v>
      </c>
      <c r="I1559" s="25">
        <v>1.2714828361074786</v>
      </c>
      <c r="L1559" s="15">
        <v>1557</v>
      </c>
      <c r="M1559" s="16">
        <v>1</v>
      </c>
      <c r="N1559" s="16">
        <v>2</v>
      </c>
      <c r="O1559" s="16">
        <v>0</v>
      </c>
      <c r="P1559" s="16">
        <v>57</v>
      </c>
      <c r="Q1559" s="29">
        <v>19</v>
      </c>
      <c r="R1559" s="20">
        <v>0.62360000000000004</v>
      </c>
      <c r="S1559" s="32">
        <v>11.848400000000002</v>
      </c>
      <c r="T1559" s="35">
        <v>0.46</v>
      </c>
      <c r="U1559" s="35">
        <v>0.26</v>
      </c>
      <c r="V1559" s="35">
        <v>2.4210526315789474E-2</v>
      </c>
      <c r="W1559" s="9" t="s">
        <v>152</v>
      </c>
      <c r="X1559" s="15">
        <v>1558</v>
      </c>
      <c r="Y1559" s="39">
        <v>0.49395770040129011</v>
      </c>
      <c r="Z1559" s="39">
        <v>0.49962682011460863</v>
      </c>
      <c r="AA1559" s="39">
        <v>0.46865470714345958</v>
      </c>
      <c r="AB1559" s="39">
        <v>0.48884516618188906</v>
      </c>
      <c r="AC1559" s="39">
        <v>0.48447794443115672</v>
      </c>
      <c r="AD1559" s="39">
        <v>0.49194498992411356</v>
      </c>
      <c r="AE1559" s="39">
        <v>0.46271236542484923</v>
      </c>
      <c r="AF1559" s="40">
        <v>0.48693762622551817</v>
      </c>
    </row>
    <row r="1560" spans="1:32">
      <c r="A1560" s="15">
        <v>1558</v>
      </c>
      <c r="B1560" s="16">
        <v>1</v>
      </c>
      <c r="C1560" s="20">
        <v>0.91</v>
      </c>
      <c r="D1560" s="20">
        <v>0.21727233298780477</v>
      </c>
      <c r="E1560" s="20">
        <v>0.09</v>
      </c>
      <c r="F1560" s="8" t="s">
        <v>434</v>
      </c>
      <c r="G1560" s="24">
        <v>0.63524276137900182</v>
      </c>
      <c r="H1560" s="24">
        <v>0.63892065481716287</v>
      </c>
      <c r="I1560" s="25">
        <v>0.65009450504603672</v>
      </c>
      <c r="L1560" s="15">
        <v>1558</v>
      </c>
      <c r="M1560" s="16">
        <v>1</v>
      </c>
      <c r="N1560" s="16">
        <v>2</v>
      </c>
      <c r="O1560" s="16">
        <v>0</v>
      </c>
      <c r="P1560" s="16">
        <v>58</v>
      </c>
      <c r="Q1560" s="29">
        <v>18</v>
      </c>
      <c r="R1560" s="20">
        <v>0.62360000000000004</v>
      </c>
      <c r="S1560" s="32">
        <v>11.2248</v>
      </c>
      <c r="T1560" s="35">
        <v>0.7</v>
      </c>
      <c r="U1560" s="35">
        <v>0.4</v>
      </c>
      <c r="V1560" s="35">
        <v>3.888888888888889E-2</v>
      </c>
      <c r="W1560" s="9" t="s">
        <v>152</v>
      </c>
      <c r="X1560" s="15">
        <v>1559</v>
      </c>
      <c r="Y1560" s="39">
        <v>0.48688160396643126</v>
      </c>
      <c r="Z1560" s="39">
        <v>0.49290818639711315</v>
      </c>
      <c r="AA1560" s="39">
        <v>0.49904599620459505</v>
      </c>
      <c r="AB1560" s="39">
        <v>0.48720257170694647</v>
      </c>
      <c r="AC1560" s="39">
        <v>0.47912402893881212</v>
      </c>
      <c r="AD1560" s="39">
        <v>0.48677923102984089</v>
      </c>
      <c r="AE1560" s="39">
        <v>0.49251842046440258</v>
      </c>
      <c r="AF1560" s="40">
        <v>0.48163111407408227</v>
      </c>
    </row>
    <row r="1561" spans="1:32">
      <c r="A1561" s="15">
        <v>1559</v>
      </c>
      <c r="B1561" s="16">
        <v>0</v>
      </c>
      <c r="C1561" s="20">
        <v>0.02</v>
      </c>
      <c r="D1561" s="20">
        <v>0.99756714174924133</v>
      </c>
      <c r="E1561" s="20">
        <v>1</v>
      </c>
      <c r="F1561" s="8" t="s">
        <v>436</v>
      </c>
      <c r="G1561" s="24">
        <v>1.1121745063022774</v>
      </c>
      <c r="H1561" s="24">
        <v>1.1186137128033316</v>
      </c>
      <c r="I1561" s="25">
        <v>1.1381767399125517</v>
      </c>
      <c r="L1561" s="15">
        <v>1559</v>
      </c>
      <c r="M1561" s="16">
        <v>1</v>
      </c>
      <c r="N1561" s="16">
        <v>2</v>
      </c>
      <c r="O1561" s="16">
        <v>0</v>
      </c>
      <c r="P1561" s="16">
        <v>59</v>
      </c>
      <c r="Q1561" s="29">
        <v>22</v>
      </c>
      <c r="R1561" s="20">
        <v>0.62360000000000004</v>
      </c>
      <c r="S1561" s="32">
        <v>13.719200000000001</v>
      </c>
      <c r="T1561" s="35">
        <v>0.4</v>
      </c>
      <c r="U1561" s="35">
        <v>0.03</v>
      </c>
      <c r="V1561" s="35">
        <v>1.8181818181818184E-2</v>
      </c>
      <c r="W1561" s="9" t="s">
        <v>152</v>
      </c>
      <c r="X1561" s="15">
        <v>1560</v>
      </c>
      <c r="Y1561" s="39">
        <v>0.48866787254013028</v>
      </c>
      <c r="Z1561" s="39">
        <v>0.4976305374132366</v>
      </c>
      <c r="AA1561" s="39">
        <v>0.47707625996339642</v>
      </c>
      <c r="AB1561" s="39">
        <v>0.47834248823616676</v>
      </c>
      <c r="AC1561" s="39">
        <v>0.48102906115579469</v>
      </c>
      <c r="AD1561" s="39">
        <v>0.48794737463958388</v>
      </c>
      <c r="AE1561" s="39">
        <v>0.47096364229930188</v>
      </c>
      <c r="AF1561" s="40">
        <v>0.47530829101028393</v>
      </c>
    </row>
    <row r="1562" spans="1:32">
      <c r="A1562" s="15">
        <v>1560</v>
      </c>
      <c r="B1562" s="16">
        <v>1</v>
      </c>
      <c r="C1562" s="20">
        <v>0.09</v>
      </c>
      <c r="D1562" s="20">
        <v>0.94196184718733011</v>
      </c>
      <c r="E1562" s="20">
        <v>0.45</v>
      </c>
      <c r="F1562" s="8" t="s">
        <v>436</v>
      </c>
      <c r="G1562" s="24">
        <v>0.83287259101952071</v>
      </c>
      <c r="H1562" s="24">
        <v>0.83769471072488377</v>
      </c>
      <c r="I1562" s="25">
        <v>0.85234484789698417</v>
      </c>
      <c r="L1562" s="15">
        <v>1560</v>
      </c>
      <c r="M1562" s="16">
        <v>1</v>
      </c>
      <c r="N1562" s="16">
        <v>2</v>
      </c>
      <c r="O1562" s="16">
        <v>0</v>
      </c>
      <c r="P1562" s="16">
        <v>60</v>
      </c>
      <c r="Q1562" s="29">
        <v>32</v>
      </c>
      <c r="R1562" s="20">
        <v>0.62360000000000004</v>
      </c>
      <c r="S1562" s="32">
        <v>19.955200000000001</v>
      </c>
      <c r="T1562" s="35">
        <v>0.99</v>
      </c>
      <c r="U1562" s="35">
        <v>0.47</v>
      </c>
      <c r="V1562" s="35">
        <v>3.09375E-2</v>
      </c>
      <c r="W1562" s="9" t="s">
        <v>152</v>
      </c>
      <c r="X1562" s="15">
        <v>1561</v>
      </c>
      <c r="Y1562" s="39">
        <v>0.47807723625997867</v>
      </c>
      <c r="Z1562" s="39">
        <v>0.47645894259993815</v>
      </c>
      <c r="AA1562" s="39">
        <v>0.48614565110714669</v>
      </c>
      <c r="AB1562" s="39">
        <v>0.49265815709206812</v>
      </c>
      <c r="AC1562" s="39">
        <v>0.47097519076441186</v>
      </c>
      <c r="AD1562" s="39">
        <v>0.47004278695619472</v>
      </c>
      <c r="AE1562" s="39">
        <v>0.47840528189299791</v>
      </c>
      <c r="AF1562" s="40">
        <v>0.48945646317293479</v>
      </c>
    </row>
    <row r="1563" spans="1:32">
      <c r="A1563" s="15">
        <v>1561</v>
      </c>
      <c r="B1563" s="16">
        <v>0</v>
      </c>
      <c r="C1563" s="20">
        <v>0.9</v>
      </c>
      <c r="D1563" s="20">
        <v>0.231595386583653</v>
      </c>
      <c r="E1563" s="20">
        <v>0.1</v>
      </c>
      <c r="F1563" s="8" t="s">
        <v>434</v>
      </c>
      <c r="G1563" s="24">
        <v>0.89171725795104217</v>
      </c>
      <c r="H1563" s="24">
        <v>0.89688007325741981</v>
      </c>
      <c r="I1563" s="25">
        <v>0.91256528164171857</v>
      </c>
      <c r="L1563" s="15">
        <v>1561</v>
      </c>
      <c r="M1563" s="16">
        <v>1</v>
      </c>
      <c r="N1563" s="16">
        <v>2</v>
      </c>
      <c r="O1563" s="16">
        <v>0</v>
      </c>
      <c r="P1563" s="16">
        <v>61</v>
      </c>
      <c r="Q1563" s="29">
        <v>18</v>
      </c>
      <c r="R1563" s="20">
        <v>0.62360000000000004</v>
      </c>
      <c r="S1563" s="32">
        <v>11.2248</v>
      </c>
      <c r="T1563" s="35">
        <v>0.63</v>
      </c>
      <c r="U1563" s="35">
        <v>0.22</v>
      </c>
      <c r="V1563" s="35">
        <v>3.5000000000000003E-2</v>
      </c>
      <c r="W1563" s="9" t="s">
        <v>152</v>
      </c>
      <c r="X1563" s="15">
        <v>1562</v>
      </c>
      <c r="Y1563" s="39">
        <v>0.48707713739129738</v>
      </c>
      <c r="Z1563" s="39">
        <v>0.48467694722005339</v>
      </c>
      <c r="AA1563" s="39">
        <v>0.46787739724689115</v>
      </c>
      <c r="AB1563" s="39">
        <v>0.4913026966747015</v>
      </c>
      <c r="AC1563" s="39">
        <v>0.47869785582535351</v>
      </c>
      <c r="AD1563" s="39">
        <v>0.4780417844244077</v>
      </c>
      <c r="AE1563" s="39">
        <v>0.46342537028564801</v>
      </c>
      <c r="AF1563" s="40">
        <v>0.48603863136527825</v>
      </c>
    </row>
    <row r="1564" spans="1:32">
      <c r="A1564" s="15">
        <v>1562</v>
      </c>
      <c r="B1564" s="16">
        <v>1</v>
      </c>
      <c r="C1564" s="20">
        <v>0.5</v>
      </c>
      <c r="D1564" s="20">
        <v>0.52166616927800769</v>
      </c>
      <c r="E1564" s="20">
        <v>0.03</v>
      </c>
      <c r="F1564" s="8" t="s">
        <v>438</v>
      </c>
      <c r="G1564" s="24">
        <v>0.77792220558866498</v>
      </c>
      <c r="H1564" s="24">
        <v>0.78242617658885927</v>
      </c>
      <c r="I1564" s="25">
        <v>0.79610974253157585</v>
      </c>
      <c r="L1564" s="15">
        <v>1562</v>
      </c>
      <c r="M1564" s="16">
        <v>1</v>
      </c>
      <c r="N1564" s="16">
        <v>2</v>
      </c>
      <c r="O1564" s="16">
        <v>0</v>
      </c>
      <c r="P1564" s="16">
        <v>62</v>
      </c>
      <c r="Q1564" s="29">
        <v>12</v>
      </c>
      <c r="R1564" s="20">
        <v>0.62360000000000004</v>
      </c>
      <c r="S1564" s="32">
        <v>7.4832000000000001</v>
      </c>
      <c r="T1564" s="35">
        <v>1.3599999999999999</v>
      </c>
      <c r="U1564" s="35">
        <v>1.19</v>
      </c>
      <c r="V1564" s="35">
        <v>0.11333333333333333</v>
      </c>
      <c r="W1564" s="9" t="s">
        <v>153</v>
      </c>
      <c r="X1564" s="15">
        <v>1563</v>
      </c>
      <c r="Y1564" s="39">
        <v>0.4879714735259737</v>
      </c>
      <c r="Z1564" s="39">
        <v>0.50173666837151365</v>
      </c>
      <c r="AA1564" s="39">
        <v>0.48152551635409485</v>
      </c>
      <c r="AB1564" s="39">
        <v>0.49713517656884804</v>
      </c>
      <c r="AC1564" s="39">
        <v>0.48301963315868618</v>
      </c>
      <c r="AD1564" s="39">
        <v>0.49757578432995642</v>
      </c>
      <c r="AE1564" s="39">
        <v>0.46873281105547332</v>
      </c>
      <c r="AF1564" s="40">
        <v>0.49038583084694581</v>
      </c>
    </row>
    <row r="1565" spans="1:32">
      <c r="A1565" s="15">
        <v>1563</v>
      </c>
      <c r="B1565" s="16">
        <v>0</v>
      </c>
      <c r="C1565" s="20">
        <v>0.02</v>
      </c>
      <c r="D1565" s="20">
        <v>0.99756714174924133</v>
      </c>
      <c r="E1565" s="20">
        <v>1</v>
      </c>
      <c r="F1565" s="8" t="s">
        <v>436</v>
      </c>
      <c r="G1565" s="24">
        <v>1.0039224747917002</v>
      </c>
      <c r="H1565" s="24">
        <v>1.0097349296624072</v>
      </c>
      <c r="I1565" s="25">
        <v>1.027393815456511</v>
      </c>
      <c r="L1565" s="15">
        <v>1563</v>
      </c>
      <c r="M1565" s="16">
        <v>1</v>
      </c>
      <c r="N1565" s="16">
        <v>2</v>
      </c>
      <c r="O1565" s="16">
        <v>0</v>
      </c>
      <c r="P1565" s="16">
        <v>63</v>
      </c>
      <c r="Q1565" s="29">
        <v>23</v>
      </c>
      <c r="R1565" s="20">
        <v>0.62360000000000004</v>
      </c>
      <c r="S1565" s="32">
        <v>14.3428</v>
      </c>
      <c r="T1565" s="35">
        <v>0.34</v>
      </c>
      <c r="U1565" s="35">
        <v>0.11</v>
      </c>
      <c r="V1565" s="35">
        <v>1.4782608695652176E-2</v>
      </c>
      <c r="W1565" s="9" t="s">
        <v>152</v>
      </c>
      <c r="X1565" s="15">
        <v>1564</v>
      </c>
      <c r="Y1565" s="39">
        <v>0.48429647455860658</v>
      </c>
      <c r="Z1565" s="39">
        <v>0.47534564132177803</v>
      </c>
      <c r="AA1565" s="39">
        <v>0.48609978202185822</v>
      </c>
      <c r="AB1565" s="39">
        <v>0.48674040357063769</v>
      </c>
      <c r="AC1565" s="39">
        <v>0.47416849595081972</v>
      </c>
      <c r="AD1565" s="39">
        <v>0.46984400188219133</v>
      </c>
      <c r="AE1565" s="39">
        <v>0.48298254530788992</v>
      </c>
      <c r="AF1565" s="40">
        <v>0.48258505308038846</v>
      </c>
    </row>
    <row r="1566" spans="1:32">
      <c r="A1566" s="15">
        <v>1564</v>
      </c>
      <c r="B1566" s="16">
        <v>0</v>
      </c>
      <c r="C1566" s="20">
        <v>0.26</v>
      </c>
      <c r="D1566" s="20">
        <v>0.84051599766019902</v>
      </c>
      <c r="E1566" s="20">
        <v>0.25</v>
      </c>
      <c r="F1566" s="8" t="s">
        <v>436</v>
      </c>
      <c r="G1566" s="24">
        <v>0.874765094915542</v>
      </c>
      <c r="H1566" s="24">
        <v>0.87982976152510406</v>
      </c>
      <c r="I1566" s="25">
        <v>0.89521678322813636</v>
      </c>
      <c r="L1566" s="15">
        <v>1564</v>
      </c>
      <c r="M1566" s="16">
        <v>1</v>
      </c>
      <c r="N1566" s="16">
        <v>2</v>
      </c>
      <c r="O1566" s="16">
        <v>0</v>
      </c>
      <c r="P1566" s="16">
        <v>64</v>
      </c>
      <c r="Q1566" s="29">
        <v>26</v>
      </c>
      <c r="R1566" s="20">
        <v>0.62360000000000004</v>
      </c>
      <c r="S1566" s="32">
        <v>16.2136</v>
      </c>
      <c r="T1566" s="35">
        <v>0.68</v>
      </c>
      <c r="U1566" s="35">
        <v>0.38</v>
      </c>
      <c r="V1566" s="35">
        <v>2.6153846153846156E-2</v>
      </c>
      <c r="W1566" s="9" t="s">
        <v>152</v>
      </c>
      <c r="X1566" s="15">
        <v>1565</v>
      </c>
      <c r="Y1566" s="39">
        <v>0.48640497368931135</v>
      </c>
      <c r="Z1566" s="39">
        <v>0.48397055087685237</v>
      </c>
      <c r="AA1566" s="39">
        <v>0.49573993674539013</v>
      </c>
      <c r="AB1566" s="39">
        <v>0.49669940464531342</v>
      </c>
      <c r="AC1566" s="39">
        <v>0.48231655585453193</v>
      </c>
      <c r="AD1566" s="39">
        <v>0.47805643448648411</v>
      </c>
      <c r="AE1566" s="39">
        <v>0.48785628496326189</v>
      </c>
      <c r="AF1566" s="40">
        <v>0.49328058212428294</v>
      </c>
    </row>
    <row r="1567" spans="1:32">
      <c r="A1567" s="15">
        <v>1565</v>
      </c>
      <c r="B1567" s="16">
        <v>1</v>
      </c>
      <c r="C1567" s="20">
        <v>0.91</v>
      </c>
      <c r="D1567" s="20">
        <v>0.21727233298780477</v>
      </c>
      <c r="E1567" s="20">
        <v>0.09</v>
      </c>
      <c r="F1567" s="8" t="s">
        <v>434</v>
      </c>
      <c r="G1567" s="24">
        <v>1.4176890064984906</v>
      </c>
      <c r="H1567" s="24">
        <v>1.4258970639709363</v>
      </c>
      <c r="I1567" s="25">
        <v>1.4508340574997518</v>
      </c>
      <c r="L1567" s="15">
        <v>1565</v>
      </c>
      <c r="M1567" s="16">
        <v>1</v>
      </c>
      <c r="N1567" s="16">
        <v>2</v>
      </c>
      <c r="O1567" s="16">
        <v>0</v>
      </c>
      <c r="P1567" s="16">
        <v>65</v>
      </c>
      <c r="Q1567" s="29">
        <v>20</v>
      </c>
      <c r="R1567" s="20">
        <v>0.62360000000000004</v>
      </c>
      <c r="S1567" s="32">
        <v>12.472000000000001</v>
      </c>
      <c r="T1567" s="35">
        <v>1.36</v>
      </c>
      <c r="U1567" s="35">
        <v>1.1100000000000001</v>
      </c>
      <c r="V1567" s="35">
        <v>6.8000000000000005E-2</v>
      </c>
      <c r="W1567" s="9" t="s">
        <v>153</v>
      </c>
      <c r="X1567" s="15">
        <v>1566</v>
      </c>
      <c r="Y1567" s="39">
        <v>0.48043902174896125</v>
      </c>
      <c r="Z1567" s="39">
        <v>0.47668843549007045</v>
      </c>
      <c r="AA1567" s="39">
        <v>0.48365597629551033</v>
      </c>
      <c r="AB1567" s="39">
        <v>0.48504731450776323</v>
      </c>
      <c r="AC1567" s="39">
        <v>0.47349677246486566</v>
      </c>
      <c r="AD1567" s="39">
        <v>0.47105854725202873</v>
      </c>
      <c r="AE1567" s="39">
        <v>0.47667993830382133</v>
      </c>
      <c r="AF1567" s="40">
        <v>0.48080535221419923</v>
      </c>
    </row>
    <row r="1568" spans="1:32">
      <c r="A1568" s="15">
        <v>1566</v>
      </c>
      <c r="B1568" s="16">
        <v>0</v>
      </c>
      <c r="C1568" s="20">
        <v>0.81</v>
      </c>
      <c r="D1568" s="20">
        <v>0.34905200973212747</v>
      </c>
      <c r="E1568" s="20">
        <v>0.19</v>
      </c>
      <c r="F1568" s="8" t="s">
        <v>434</v>
      </c>
      <c r="G1568" s="24">
        <v>0.38142273862045056</v>
      </c>
      <c r="H1568" s="24">
        <v>0.38363107891620185</v>
      </c>
      <c r="I1568" s="25">
        <v>0.39034026289175766</v>
      </c>
      <c r="L1568" s="15">
        <v>1566</v>
      </c>
      <c r="M1568" s="16">
        <v>1</v>
      </c>
      <c r="N1568" s="16">
        <v>2</v>
      </c>
      <c r="O1568" s="16">
        <v>0</v>
      </c>
      <c r="P1568" s="16">
        <v>66</v>
      </c>
      <c r="Q1568" s="29">
        <v>27</v>
      </c>
      <c r="R1568" s="20">
        <v>0.62360000000000004</v>
      </c>
      <c r="S1568" s="32">
        <v>16.837200000000003</v>
      </c>
      <c r="T1568" s="35">
        <v>0.67999999999999994</v>
      </c>
      <c r="U1568" s="35">
        <v>0.3</v>
      </c>
      <c r="V1568" s="35">
        <v>2.5185185185185182E-2</v>
      </c>
      <c r="W1568" s="9" t="s">
        <v>152</v>
      </c>
      <c r="X1568" s="15">
        <v>1567</v>
      </c>
      <c r="Y1568" s="39">
        <v>0.50529214672923872</v>
      </c>
      <c r="Z1568" s="39">
        <v>0.49221443339590154</v>
      </c>
      <c r="AA1568" s="39">
        <v>0.49977708669104443</v>
      </c>
      <c r="AB1568" s="39">
        <v>0.48464684845411299</v>
      </c>
      <c r="AC1568" s="39">
        <v>0.49593865266146975</v>
      </c>
      <c r="AD1568" s="39">
        <v>0.48490493693035264</v>
      </c>
      <c r="AE1568" s="39">
        <v>0.4905903476794447</v>
      </c>
      <c r="AF1568" s="40">
        <v>0.47938120130092504</v>
      </c>
    </row>
    <row r="1569" spans="1:32">
      <c r="A1569" s="15">
        <v>1567</v>
      </c>
      <c r="B1569" s="16">
        <v>0</v>
      </c>
      <c r="C1569" s="20">
        <v>0.5</v>
      </c>
      <c r="D1569" s="20">
        <v>0.48365079625175234</v>
      </c>
      <c r="E1569" s="20">
        <v>0.1</v>
      </c>
      <c r="F1569" s="8" t="s">
        <v>438</v>
      </c>
      <c r="G1569" s="24">
        <v>0.39754957080732567</v>
      </c>
      <c r="H1569" s="24">
        <v>0.39985128134495063</v>
      </c>
      <c r="I1569" s="25">
        <v>0.40684413452301904</v>
      </c>
      <c r="L1569" s="15">
        <v>1567</v>
      </c>
      <c r="M1569" s="16">
        <v>1</v>
      </c>
      <c r="N1569" s="16">
        <v>2</v>
      </c>
      <c r="O1569" s="16">
        <v>0</v>
      </c>
      <c r="P1569" s="16">
        <v>67</v>
      </c>
      <c r="Q1569" s="29">
        <v>30</v>
      </c>
      <c r="R1569" s="20">
        <v>0.62360000000000004</v>
      </c>
      <c r="S1569" s="32">
        <v>18.708000000000002</v>
      </c>
      <c r="T1569" s="35">
        <v>1.6099999999999999</v>
      </c>
      <c r="U1569" s="35">
        <v>1.03</v>
      </c>
      <c r="V1569" s="35">
        <v>5.3666666666666661E-2</v>
      </c>
      <c r="W1569" s="9" t="s">
        <v>153</v>
      </c>
      <c r="X1569" s="15">
        <v>1568</v>
      </c>
      <c r="Y1569" s="39">
        <v>0.48238179909241458</v>
      </c>
      <c r="Z1569" s="39">
        <v>0.47439233682486959</v>
      </c>
      <c r="AA1569" s="39">
        <v>0.48559357861047298</v>
      </c>
      <c r="AB1569" s="39">
        <v>0.49230931069691708</v>
      </c>
      <c r="AC1569" s="39">
        <v>0.47506248128539363</v>
      </c>
      <c r="AD1569" s="39">
        <v>0.47017504265453564</v>
      </c>
      <c r="AE1569" s="39">
        <v>0.47755799928574777</v>
      </c>
      <c r="AF1569" s="40">
        <v>0.48720943868989852</v>
      </c>
    </row>
    <row r="1570" spans="1:32">
      <c r="A1570" s="15">
        <v>1568</v>
      </c>
      <c r="B1570" s="16">
        <v>1</v>
      </c>
      <c r="C1570" s="20">
        <v>0.02</v>
      </c>
      <c r="D1570" s="20">
        <v>0.99679477127711513</v>
      </c>
      <c r="E1570" s="20">
        <v>1</v>
      </c>
      <c r="F1570" s="8" t="s">
        <v>436</v>
      </c>
      <c r="G1570" s="24">
        <v>0.96175927848639386</v>
      </c>
      <c r="H1570" s="24">
        <v>0.96732761921294841</v>
      </c>
      <c r="I1570" s="25">
        <v>0.98424485902644554</v>
      </c>
      <c r="L1570" s="15">
        <v>1568</v>
      </c>
      <c r="M1570" s="16">
        <v>1</v>
      </c>
      <c r="N1570" s="16">
        <v>2</v>
      </c>
      <c r="O1570" s="16">
        <v>0</v>
      </c>
      <c r="P1570" s="16">
        <v>68</v>
      </c>
      <c r="Q1570" s="29">
        <v>15</v>
      </c>
      <c r="R1570" s="20">
        <v>0.62360000000000004</v>
      </c>
      <c r="S1570" s="32">
        <v>9.354000000000001</v>
      </c>
      <c r="T1570" s="35">
        <v>0.32</v>
      </c>
      <c r="U1570" s="35">
        <v>0.03</v>
      </c>
      <c r="V1570" s="35">
        <v>2.1333333333333333E-2</v>
      </c>
      <c r="W1570" s="9" t="s">
        <v>152</v>
      </c>
      <c r="X1570" s="15">
        <v>1569</v>
      </c>
      <c r="Y1570" s="39">
        <v>0.48059790132444258</v>
      </c>
      <c r="Z1570" s="39">
        <v>0.49526628431843345</v>
      </c>
      <c r="AA1570" s="39">
        <v>0.48477918605294856</v>
      </c>
      <c r="AB1570" s="39">
        <v>0.48581694395139174</v>
      </c>
      <c r="AC1570" s="39">
        <v>0.47373971890682426</v>
      </c>
      <c r="AD1570" s="39">
        <v>0.48770228449189018</v>
      </c>
      <c r="AE1570" s="39">
        <v>0.47865101751293987</v>
      </c>
      <c r="AF1570" s="40">
        <v>0.48048052194434454</v>
      </c>
    </row>
    <row r="1571" spans="1:32">
      <c r="A1571" s="15">
        <v>1569</v>
      </c>
      <c r="B1571" s="16">
        <v>0</v>
      </c>
      <c r="C1571" s="20">
        <v>0.02</v>
      </c>
      <c r="D1571" s="20">
        <v>0.99835916395484214</v>
      </c>
      <c r="E1571" s="20">
        <v>1</v>
      </c>
      <c r="F1571" s="8" t="s">
        <v>436</v>
      </c>
      <c r="G1571" s="24">
        <v>1.0716261257823045</v>
      </c>
      <c r="H1571" s="24">
        <v>1.0778305675104098</v>
      </c>
      <c r="I1571" s="25">
        <v>1.0966803530708873</v>
      </c>
      <c r="L1571" s="15">
        <v>1569</v>
      </c>
      <c r="M1571" s="16">
        <v>1</v>
      </c>
      <c r="N1571" s="16">
        <v>2</v>
      </c>
      <c r="O1571" s="16">
        <v>0</v>
      </c>
      <c r="P1571" s="16">
        <v>69</v>
      </c>
      <c r="Q1571" s="29">
        <v>14</v>
      </c>
      <c r="R1571" s="20">
        <v>0.62360000000000004</v>
      </c>
      <c r="S1571" s="32">
        <v>8.7304000000000013</v>
      </c>
      <c r="T1571" s="35">
        <v>0.36000000000000004</v>
      </c>
      <c r="U1571" s="35">
        <v>0.17</v>
      </c>
      <c r="V1571" s="35">
        <v>2.5714285714285717E-2</v>
      </c>
      <c r="W1571" s="9" t="s">
        <v>152</v>
      </c>
      <c r="X1571" s="15">
        <v>1570</v>
      </c>
      <c r="Y1571" s="39">
        <v>0.48612624229117218</v>
      </c>
      <c r="Z1571" s="39">
        <v>0.47444908258441415</v>
      </c>
      <c r="AA1571" s="39">
        <v>0.48797376325165226</v>
      </c>
      <c r="AB1571" s="39">
        <v>0.50426855492850464</v>
      </c>
      <c r="AC1571" s="39">
        <v>0.47948438201718863</v>
      </c>
      <c r="AD1571" s="39">
        <v>0.46788256577264908</v>
      </c>
      <c r="AE1571" s="39">
        <v>0.47818590835552971</v>
      </c>
      <c r="AF1571" s="40">
        <v>0.49874435757569674</v>
      </c>
    </row>
    <row r="1572" spans="1:32">
      <c r="A1572" s="15">
        <v>1570</v>
      </c>
      <c r="B1572" s="16">
        <v>0</v>
      </c>
      <c r="C1572" s="20">
        <v>0.92</v>
      </c>
      <c r="D1572" s="20">
        <v>0.20258497911151899</v>
      </c>
      <c r="E1572" s="20">
        <v>0.08</v>
      </c>
      <c r="F1572" s="8" t="s">
        <v>434</v>
      </c>
      <c r="G1572" s="24">
        <v>0.75157115631995985</v>
      </c>
      <c r="H1572" s="24">
        <v>0.75592256147118064</v>
      </c>
      <c r="I1572" s="25">
        <v>0.76914261535865869</v>
      </c>
      <c r="L1572" s="15">
        <v>1570</v>
      </c>
      <c r="M1572" s="16">
        <v>1</v>
      </c>
      <c r="N1572" s="16">
        <v>2</v>
      </c>
      <c r="O1572" s="16">
        <v>0</v>
      </c>
      <c r="P1572" s="16">
        <v>70</v>
      </c>
      <c r="Q1572" s="29">
        <v>22</v>
      </c>
      <c r="R1572" s="20">
        <v>0.62360000000000004</v>
      </c>
      <c r="S1572" s="32">
        <v>13.719200000000001</v>
      </c>
      <c r="T1572" s="35">
        <v>1.86</v>
      </c>
      <c r="U1572" s="35">
        <v>1.48</v>
      </c>
      <c r="V1572" s="35">
        <v>8.4545454545454549E-2</v>
      </c>
      <c r="W1572" s="9" t="s">
        <v>153</v>
      </c>
      <c r="X1572" s="15">
        <v>1571</v>
      </c>
      <c r="Y1572" s="39">
        <v>0.48286992025486036</v>
      </c>
      <c r="Z1572" s="39">
        <v>0.48641153610605731</v>
      </c>
      <c r="AA1572" s="39">
        <v>0.48251634503820384</v>
      </c>
      <c r="AB1572" s="39">
        <v>0.47105892636394481</v>
      </c>
      <c r="AC1572" s="39">
        <v>0.47762087175832368</v>
      </c>
      <c r="AD1572" s="39">
        <v>0.48114541984323672</v>
      </c>
      <c r="AE1572" s="39">
        <v>0.47707011633135887</v>
      </c>
      <c r="AF1572" s="40">
        <v>0.46719221389102678</v>
      </c>
    </row>
    <row r="1573" spans="1:32">
      <c r="A1573" s="15">
        <v>1571</v>
      </c>
      <c r="B1573" s="16">
        <v>1</v>
      </c>
      <c r="C1573" s="20">
        <v>0.02</v>
      </c>
      <c r="D1573" s="20">
        <v>0.99679477127711513</v>
      </c>
      <c r="E1573" s="20">
        <v>1</v>
      </c>
      <c r="F1573" s="8" t="s">
        <v>436</v>
      </c>
      <c r="G1573" s="24">
        <v>1.0567423434243515</v>
      </c>
      <c r="H1573" s="24">
        <v>1.0628606118517954</v>
      </c>
      <c r="I1573" s="25">
        <v>1.0814485933193843</v>
      </c>
      <c r="L1573" s="15">
        <v>1571</v>
      </c>
      <c r="M1573" s="16">
        <v>1</v>
      </c>
      <c r="N1573" s="16">
        <v>2</v>
      </c>
      <c r="O1573" s="16">
        <v>0</v>
      </c>
      <c r="P1573" s="16">
        <v>71</v>
      </c>
      <c r="Q1573" s="29">
        <v>15</v>
      </c>
      <c r="R1573" s="20">
        <v>0.62360000000000004</v>
      </c>
      <c r="S1573" s="32">
        <v>9.354000000000001</v>
      </c>
      <c r="T1573" s="35">
        <v>0.64</v>
      </c>
      <c r="U1573" s="35">
        <v>0.43</v>
      </c>
      <c r="V1573" s="35">
        <v>4.2666666666666665E-2</v>
      </c>
      <c r="W1573" s="9" t="s">
        <v>152</v>
      </c>
      <c r="X1573" s="15">
        <v>1572</v>
      </c>
      <c r="Y1573" s="39">
        <v>0.48841973458822108</v>
      </c>
      <c r="Z1573" s="39">
        <v>0.47802906137826262</v>
      </c>
      <c r="AA1573" s="39">
        <v>0.48894553289703763</v>
      </c>
      <c r="AB1573" s="39">
        <v>0.47766818729235255</v>
      </c>
      <c r="AC1573" s="39">
        <v>0.47990582208290283</v>
      </c>
      <c r="AD1573" s="39">
        <v>0.47181575291611572</v>
      </c>
      <c r="AE1573" s="39">
        <v>0.48080394756574507</v>
      </c>
      <c r="AF1573" s="40">
        <v>0.47333834355698778</v>
      </c>
    </row>
    <row r="1574" spans="1:32">
      <c r="A1574" s="15">
        <v>1572</v>
      </c>
      <c r="B1574" s="16">
        <v>1</v>
      </c>
      <c r="C1574" s="20">
        <v>0.21</v>
      </c>
      <c r="D1574" s="20">
        <v>0.8220155777743211</v>
      </c>
      <c r="E1574" s="20">
        <v>0.52</v>
      </c>
      <c r="F1574" s="8" t="s">
        <v>436</v>
      </c>
      <c r="G1574" s="24">
        <v>0.97949928188025093</v>
      </c>
      <c r="H1574" s="24">
        <v>0.9851703326981941</v>
      </c>
      <c r="I1574" s="25">
        <v>1.0023996172181155</v>
      </c>
      <c r="L1574" s="15">
        <v>1572</v>
      </c>
      <c r="M1574" s="16">
        <v>1</v>
      </c>
      <c r="N1574" s="16">
        <v>2</v>
      </c>
      <c r="O1574" s="16">
        <v>0</v>
      </c>
      <c r="P1574" s="16">
        <v>72</v>
      </c>
      <c r="Q1574" s="29">
        <v>15</v>
      </c>
      <c r="R1574" s="20">
        <v>0.62360000000000004</v>
      </c>
      <c r="S1574" s="32">
        <v>9.354000000000001</v>
      </c>
      <c r="T1574" s="35">
        <v>0.28999999999999998</v>
      </c>
      <c r="U1574" s="35">
        <v>0.02</v>
      </c>
      <c r="V1574" s="35">
        <v>1.9333333333333331E-2</v>
      </c>
      <c r="W1574" s="9" t="s">
        <v>152</v>
      </c>
      <c r="X1574" s="15">
        <v>1573</v>
      </c>
      <c r="Y1574" s="39">
        <v>0.49313955109237523</v>
      </c>
      <c r="Z1574" s="39">
        <v>0.46793017521272529</v>
      </c>
      <c r="AA1574" s="39">
        <v>0.49819070408675276</v>
      </c>
      <c r="AB1574" s="39">
        <v>0.47956708835182865</v>
      </c>
      <c r="AC1574" s="39">
        <v>0.48736392818022733</v>
      </c>
      <c r="AD1574" s="39">
        <v>0.4601571854847869</v>
      </c>
      <c r="AE1574" s="39">
        <v>0.49189917905876701</v>
      </c>
      <c r="AF1574" s="40">
        <v>0.47641333211157627</v>
      </c>
    </row>
    <row r="1575" spans="1:32">
      <c r="A1575" s="15">
        <v>1573</v>
      </c>
      <c r="B1575" s="16">
        <v>1</v>
      </c>
      <c r="C1575" s="20">
        <v>0.31</v>
      </c>
      <c r="D1575" s="20">
        <v>0.67867355761882198</v>
      </c>
      <c r="E1575" s="20">
        <v>7.0000000000000007E-2</v>
      </c>
      <c r="F1575" s="8" t="s">
        <v>436</v>
      </c>
      <c r="G1575" s="24">
        <v>1.1237164166362148</v>
      </c>
      <c r="H1575" s="24">
        <v>1.1302224478519478</v>
      </c>
      <c r="I1575" s="25">
        <v>1.149988495893113</v>
      </c>
      <c r="L1575" s="15">
        <v>1573</v>
      </c>
      <c r="M1575" s="16">
        <v>1</v>
      </c>
      <c r="N1575" s="16">
        <v>2</v>
      </c>
      <c r="O1575" s="16">
        <v>0</v>
      </c>
      <c r="P1575" s="16">
        <v>73</v>
      </c>
      <c r="Q1575" s="29">
        <v>16</v>
      </c>
      <c r="R1575" s="20">
        <v>0.62360000000000004</v>
      </c>
      <c r="S1575" s="32">
        <v>9.9776000000000007</v>
      </c>
      <c r="T1575" s="35">
        <v>0.7</v>
      </c>
      <c r="U1575" s="35">
        <v>0.42</v>
      </c>
      <c r="V1575" s="35">
        <v>4.3749999999999997E-2</v>
      </c>
      <c r="W1575" s="9" t="s">
        <v>152</v>
      </c>
      <c r="X1575" s="15">
        <v>1574</v>
      </c>
      <c r="Y1575" s="39">
        <v>0.48962190698717889</v>
      </c>
      <c r="Z1575" s="39">
        <v>0.48491054821092328</v>
      </c>
      <c r="AA1575" s="39">
        <v>0.46934457399177371</v>
      </c>
      <c r="AB1575" s="39">
        <v>0.48455858487958769</v>
      </c>
      <c r="AC1575" s="39">
        <v>0.48102446061949888</v>
      </c>
      <c r="AD1575" s="39">
        <v>0.47891552770032303</v>
      </c>
      <c r="AE1575" s="39">
        <v>0.46081028640882582</v>
      </c>
      <c r="AF1575" s="40">
        <v>0.48090701747585018</v>
      </c>
    </row>
    <row r="1576" spans="1:32">
      <c r="A1576" s="15">
        <v>1574</v>
      </c>
      <c r="B1576" s="16">
        <v>1</v>
      </c>
      <c r="C1576" s="20">
        <v>0.02</v>
      </c>
      <c r="D1576" s="20">
        <v>0.99835916395484214</v>
      </c>
      <c r="E1576" s="20">
        <v>1</v>
      </c>
      <c r="F1576" s="8" t="s">
        <v>436</v>
      </c>
      <c r="G1576" s="24">
        <v>1.1447384704777746</v>
      </c>
      <c r="H1576" s="24">
        <v>1.1513662140192218</v>
      </c>
      <c r="I1576" s="25">
        <v>1.1715020376728142</v>
      </c>
      <c r="L1576" s="15">
        <v>1574</v>
      </c>
      <c r="M1576" s="16">
        <v>1</v>
      </c>
      <c r="N1576" s="16">
        <v>2</v>
      </c>
      <c r="O1576" s="16">
        <v>0</v>
      </c>
      <c r="P1576" s="16">
        <v>74</v>
      </c>
      <c r="Q1576" s="29">
        <v>24</v>
      </c>
      <c r="R1576" s="20">
        <v>0.62360000000000004</v>
      </c>
      <c r="S1576" s="32">
        <v>14.9664</v>
      </c>
      <c r="T1576" s="35">
        <v>2.0100000000000002</v>
      </c>
      <c r="U1576" s="35">
        <v>1.67</v>
      </c>
      <c r="V1576" s="35">
        <v>8.3750000000000005E-2</v>
      </c>
      <c r="W1576" s="9" t="s">
        <v>154</v>
      </c>
      <c r="X1576" s="15">
        <v>1575</v>
      </c>
      <c r="Y1576" s="39">
        <v>0.48716459195066769</v>
      </c>
      <c r="Z1576" s="39">
        <v>0.49356734439281219</v>
      </c>
      <c r="AA1576" s="39">
        <v>0.49011578850005028</v>
      </c>
      <c r="AB1576" s="39">
        <v>0.49455803557342359</v>
      </c>
      <c r="AC1576" s="39">
        <v>0.47761385027488995</v>
      </c>
      <c r="AD1576" s="39">
        <v>0.48444477533788854</v>
      </c>
      <c r="AE1576" s="39">
        <v>0.48405000590311054</v>
      </c>
      <c r="AF1576" s="40">
        <v>0.49109040943784199</v>
      </c>
    </row>
    <row r="1577" spans="1:32">
      <c r="A1577" s="15">
        <v>1575</v>
      </c>
      <c r="B1577" s="16">
        <v>0</v>
      </c>
      <c r="C1577" s="20">
        <v>0.52</v>
      </c>
      <c r="D1577" s="20">
        <v>0.65535488716268819</v>
      </c>
      <c r="E1577" s="20">
        <v>0.48</v>
      </c>
      <c r="F1577" s="8" t="s">
        <v>438</v>
      </c>
      <c r="G1577" s="24">
        <v>0.88324397687568035</v>
      </c>
      <c r="H1577" s="24">
        <v>0.88835773404749685</v>
      </c>
      <c r="I1577" s="25">
        <v>0.90389389835063561</v>
      </c>
      <c r="L1577" s="15">
        <v>1575</v>
      </c>
      <c r="M1577" s="16">
        <v>1</v>
      </c>
      <c r="N1577" s="16">
        <v>2</v>
      </c>
      <c r="O1577" s="16">
        <v>0</v>
      </c>
      <c r="P1577" s="16">
        <v>75</v>
      </c>
      <c r="Q1577" s="29">
        <v>31</v>
      </c>
      <c r="R1577" s="20">
        <v>0.62360000000000004</v>
      </c>
      <c r="S1577" s="32">
        <v>19.331600000000002</v>
      </c>
      <c r="T1577" s="35">
        <v>1.31</v>
      </c>
      <c r="U1577" s="35">
        <v>0.87</v>
      </c>
      <c r="V1577" s="35">
        <v>4.2258064516129033E-2</v>
      </c>
      <c r="W1577" s="9" t="s">
        <v>153</v>
      </c>
      <c r="X1577" s="15">
        <v>1576</v>
      </c>
      <c r="Y1577" s="39">
        <v>0.48711341381368517</v>
      </c>
      <c r="Z1577" s="39">
        <v>0.48173859347644266</v>
      </c>
      <c r="AA1577" s="39">
        <v>0.48892257103476233</v>
      </c>
      <c r="AB1577" s="39">
        <v>0.49337638337670664</v>
      </c>
      <c r="AC1577" s="39">
        <v>0.48125211444341182</v>
      </c>
      <c r="AD1577" s="39">
        <v>0.47350178028989393</v>
      </c>
      <c r="AE1577" s="39">
        <v>0.4802337109670114</v>
      </c>
      <c r="AF1577" s="40">
        <v>0.48799934166643127</v>
      </c>
    </row>
    <row r="1578" spans="1:32">
      <c r="A1578" s="15">
        <v>1576</v>
      </c>
      <c r="B1578" s="16">
        <v>0</v>
      </c>
      <c r="C1578" s="20">
        <v>0.15</v>
      </c>
      <c r="D1578" s="20">
        <v>0.83028913235393886</v>
      </c>
      <c r="E1578" s="20">
        <v>0.45</v>
      </c>
      <c r="F1578" s="8" t="s">
        <v>436</v>
      </c>
      <c r="G1578" s="24">
        <v>1.7898976781286466</v>
      </c>
      <c r="H1578" s="24">
        <v>1.8002607288009258</v>
      </c>
      <c r="I1578" s="25">
        <v>1.6578926537592125</v>
      </c>
      <c r="L1578" s="15">
        <v>1576</v>
      </c>
      <c r="M1578" s="16">
        <v>1</v>
      </c>
      <c r="N1578" s="16">
        <v>2</v>
      </c>
      <c r="O1578" s="16">
        <v>0</v>
      </c>
      <c r="P1578" s="16">
        <v>76</v>
      </c>
      <c r="Q1578" s="29">
        <v>23</v>
      </c>
      <c r="R1578" s="20">
        <v>0.62360000000000004</v>
      </c>
      <c r="S1578" s="32">
        <v>14.3428</v>
      </c>
      <c r="T1578" s="35">
        <v>0.44</v>
      </c>
      <c r="U1578" s="35">
        <v>0.13</v>
      </c>
      <c r="V1578" s="35">
        <v>1.9130434782608695E-2</v>
      </c>
      <c r="W1578" s="9" t="s">
        <v>152</v>
      </c>
      <c r="X1578" s="15">
        <v>1577</v>
      </c>
      <c r="Y1578" s="39">
        <v>0.48402721667446447</v>
      </c>
      <c r="Z1578" s="39">
        <v>0.47877443777592277</v>
      </c>
      <c r="AA1578" s="39">
        <v>0.48689622648475184</v>
      </c>
      <c r="AB1578" s="39">
        <v>0.4730067996818913</v>
      </c>
      <c r="AC1578" s="39">
        <v>0.48071265798476814</v>
      </c>
      <c r="AD1578" s="39">
        <v>0.47357825496222605</v>
      </c>
      <c r="AE1578" s="39">
        <v>0.48051570385231551</v>
      </c>
      <c r="AF1578" s="40">
        <v>0.46788113938170961</v>
      </c>
    </row>
    <row r="1579" spans="1:32">
      <c r="A1579" s="15">
        <v>1577</v>
      </c>
      <c r="B1579" s="16">
        <v>0</v>
      </c>
      <c r="C1579" s="20">
        <v>0.5</v>
      </c>
      <c r="D1579" s="20">
        <v>0.46982624666944028</v>
      </c>
      <c r="E1579" s="20">
        <v>0.09</v>
      </c>
      <c r="F1579" s="8" t="s">
        <v>438</v>
      </c>
      <c r="G1579" s="24">
        <v>1.8707472990564005</v>
      </c>
      <c r="H1579" s="24">
        <v>1.8815784483964118</v>
      </c>
      <c r="I1579" s="25">
        <v>1.6578926537592125</v>
      </c>
      <c r="L1579" s="15">
        <v>1577</v>
      </c>
      <c r="M1579" s="16">
        <v>1</v>
      </c>
      <c r="N1579" s="16">
        <v>2</v>
      </c>
      <c r="O1579" s="16">
        <v>0</v>
      </c>
      <c r="P1579" s="16">
        <v>77</v>
      </c>
      <c r="Q1579" s="29">
        <v>21</v>
      </c>
      <c r="R1579" s="20">
        <v>0.62360000000000004</v>
      </c>
      <c r="S1579" s="32">
        <v>13.095600000000001</v>
      </c>
      <c r="T1579" s="35">
        <v>0.44</v>
      </c>
      <c r="U1579" s="35">
        <v>0.22</v>
      </c>
      <c r="V1579" s="35">
        <v>2.0952380952380951E-2</v>
      </c>
      <c r="W1579" s="9" t="s">
        <v>152</v>
      </c>
      <c r="X1579" s="15">
        <v>1578</v>
      </c>
      <c r="Y1579" s="39">
        <v>0.47954717186407964</v>
      </c>
      <c r="Z1579" s="39">
        <v>0.49078680906131716</v>
      </c>
      <c r="AA1579" s="39">
        <v>0.49257238442465667</v>
      </c>
      <c r="AB1579" s="39">
        <v>0.48964363608684891</v>
      </c>
      <c r="AC1579" s="39">
        <v>0.47327562985186195</v>
      </c>
      <c r="AD1579" s="39">
        <v>0.48576036448005055</v>
      </c>
      <c r="AE1579" s="39">
        <v>0.48630098367498664</v>
      </c>
      <c r="AF1579" s="40">
        <v>0.48316092154877549</v>
      </c>
    </row>
    <row r="1580" spans="1:32">
      <c r="A1580" s="15">
        <v>1578</v>
      </c>
      <c r="B1580" s="16">
        <v>1</v>
      </c>
      <c r="C1580" s="20">
        <v>0.01</v>
      </c>
      <c r="D1580" s="20">
        <v>0.99999999999999978</v>
      </c>
      <c r="E1580" s="20">
        <v>1</v>
      </c>
      <c r="F1580" s="8" t="s">
        <v>436</v>
      </c>
      <c r="G1580" s="24">
        <v>1.1220946472139257</v>
      </c>
      <c r="H1580" s="24">
        <v>1.1285912887986718</v>
      </c>
      <c r="I1580" s="25">
        <v>1.148328810094265</v>
      </c>
      <c r="L1580" s="15">
        <v>1578</v>
      </c>
      <c r="M1580" s="16">
        <v>1</v>
      </c>
      <c r="N1580" s="16">
        <v>2</v>
      </c>
      <c r="O1580" s="16">
        <v>0</v>
      </c>
      <c r="P1580" s="16">
        <v>78</v>
      </c>
      <c r="Q1580" s="29">
        <v>18</v>
      </c>
      <c r="R1580" s="20">
        <v>0.62360000000000004</v>
      </c>
      <c r="S1580" s="32">
        <v>11.2248</v>
      </c>
      <c r="T1580" s="35">
        <v>1.97</v>
      </c>
      <c r="U1580" s="35">
        <v>1.74</v>
      </c>
      <c r="V1580" s="35">
        <v>0.10944444444444444</v>
      </c>
      <c r="W1580" s="9" t="s">
        <v>153</v>
      </c>
      <c r="X1580" s="15">
        <v>1579</v>
      </c>
      <c r="Y1580" s="39">
        <v>0.46514950649265263</v>
      </c>
      <c r="Z1580" s="39">
        <v>0.49906823426205343</v>
      </c>
      <c r="AA1580" s="39">
        <v>0.50081664255154867</v>
      </c>
      <c r="AB1580" s="39">
        <v>0.47793823617920239</v>
      </c>
      <c r="AC1580" s="39">
        <v>0.45879210440576068</v>
      </c>
      <c r="AD1580" s="39">
        <v>0.49181691127316629</v>
      </c>
      <c r="AE1580" s="39">
        <v>0.49403639156563006</v>
      </c>
      <c r="AF1580" s="40">
        <v>0.47436968105582605</v>
      </c>
    </row>
    <row r="1581" spans="1:32">
      <c r="A1581" s="15">
        <v>1579</v>
      </c>
      <c r="B1581" s="16">
        <v>1</v>
      </c>
      <c r="C1581" s="20">
        <v>0.02</v>
      </c>
      <c r="D1581" s="20">
        <v>0.99756714174924133</v>
      </c>
      <c r="E1581" s="20">
        <v>1</v>
      </c>
      <c r="F1581" s="8" t="s">
        <v>436</v>
      </c>
      <c r="G1581" s="24">
        <v>1.0496658702776414</v>
      </c>
      <c r="H1581" s="24">
        <v>1.0557431677318858</v>
      </c>
      <c r="I1581" s="25">
        <v>1.0742066748159833</v>
      </c>
      <c r="L1581" s="15">
        <v>1579</v>
      </c>
      <c r="M1581" s="16">
        <v>1</v>
      </c>
      <c r="N1581" s="16">
        <v>2</v>
      </c>
      <c r="O1581" s="16">
        <v>0</v>
      </c>
      <c r="P1581" s="16">
        <v>79</v>
      </c>
      <c r="Q1581" s="29">
        <v>14</v>
      </c>
      <c r="R1581" s="20">
        <v>0.62360000000000004</v>
      </c>
      <c r="S1581" s="32">
        <v>8.7304000000000013</v>
      </c>
      <c r="T1581" s="35">
        <v>0.28999999999999998</v>
      </c>
      <c r="U1581" s="35">
        <v>0.12</v>
      </c>
      <c r="V1581" s="35">
        <v>2.0714285714285713E-2</v>
      </c>
      <c r="W1581" s="9" t="s">
        <v>152</v>
      </c>
      <c r="X1581" s="15">
        <v>1580</v>
      </c>
      <c r="Y1581" s="39">
        <v>0.48402736726414908</v>
      </c>
      <c r="Z1581" s="39">
        <v>0.48005636901264354</v>
      </c>
      <c r="AA1581" s="39">
        <v>0.49146145564694538</v>
      </c>
      <c r="AB1581" s="39">
        <v>0.48080652521290984</v>
      </c>
      <c r="AC1581" s="39">
        <v>0.47390520538136538</v>
      </c>
      <c r="AD1581" s="39">
        <v>0.47463549229572893</v>
      </c>
      <c r="AE1581" s="39">
        <v>0.48488283484443334</v>
      </c>
      <c r="AF1581" s="40">
        <v>0.47810618860898535</v>
      </c>
    </row>
    <row r="1582" spans="1:32">
      <c r="A1582" s="15">
        <v>1580</v>
      </c>
      <c r="B1582" s="16">
        <v>1</v>
      </c>
      <c r="C1582" s="20">
        <v>0.03</v>
      </c>
      <c r="D1582" s="20">
        <v>0.99642335770206691</v>
      </c>
      <c r="E1582" s="20">
        <v>1</v>
      </c>
      <c r="F1582" s="8" t="s">
        <v>436</v>
      </c>
      <c r="G1582" s="24">
        <v>0.95043682526759365</v>
      </c>
      <c r="H1582" s="24">
        <v>0.95593961188014787</v>
      </c>
      <c r="I1582" s="25">
        <v>0.97265769098819177</v>
      </c>
      <c r="L1582" s="15">
        <v>1580</v>
      </c>
      <c r="M1582" s="16">
        <v>1</v>
      </c>
      <c r="N1582" s="16">
        <v>2</v>
      </c>
      <c r="O1582" s="16">
        <v>0</v>
      </c>
      <c r="P1582" s="16">
        <v>80</v>
      </c>
      <c r="Q1582" s="29">
        <v>15</v>
      </c>
      <c r="R1582" s="20">
        <v>0.62360000000000004</v>
      </c>
      <c r="S1582" s="32">
        <v>9.354000000000001</v>
      </c>
      <c r="T1582" s="35">
        <v>1.25</v>
      </c>
      <c r="U1582" s="35">
        <v>0.99</v>
      </c>
      <c r="V1582" s="35">
        <v>8.3333333333333329E-2</v>
      </c>
      <c r="W1582" s="9" t="s">
        <v>153</v>
      </c>
      <c r="X1582" s="15">
        <v>1581</v>
      </c>
      <c r="Y1582" s="39">
        <v>0.483259111243865</v>
      </c>
      <c r="Z1582" s="39">
        <v>0.48832860675711848</v>
      </c>
      <c r="AA1582" s="39">
        <v>0.48138486928987123</v>
      </c>
      <c r="AB1582" s="39">
        <v>0.49539155165634352</v>
      </c>
      <c r="AC1582" s="39">
        <v>0.47507036871875141</v>
      </c>
      <c r="AD1582" s="39">
        <v>0.4798261560321268</v>
      </c>
      <c r="AE1582" s="39">
        <v>0.47390516015237338</v>
      </c>
      <c r="AF1582" s="40">
        <v>0.48715081818346784</v>
      </c>
    </row>
    <row r="1583" spans="1:32">
      <c r="A1583" s="15">
        <v>1581</v>
      </c>
      <c r="B1583" s="16">
        <v>1</v>
      </c>
      <c r="C1583" s="20">
        <v>0.53</v>
      </c>
      <c r="D1583" s="20">
        <v>0.64596290466620898</v>
      </c>
      <c r="E1583" s="20">
        <v>0.47</v>
      </c>
      <c r="F1583" s="8" t="s">
        <v>438</v>
      </c>
      <c r="G1583" s="24">
        <v>1.9606164044044636</v>
      </c>
      <c r="H1583" s="24">
        <v>1.9719678729247132</v>
      </c>
      <c r="I1583" s="25">
        <v>1.6578926537592125</v>
      </c>
      <c r="L1583" s="15">
        <v>1581</v>
      </c>
      <c r="M1583" s="16">
        <v>1</v>
      </c>
      <c r="N1583" s="16">
        <v>2</v>
      </c>
      <c r="O1583" s="16">
        <v>0</v>
      </c>
      <c r="P1583" s="16">
        <v>81</v>
      </c>
      <c r="Q1583" s="29">
        <v>23</v>
      </c>
      <c r="R1583" s="20">
        <v>0.62360000000000004</v>
      </c>
      <c r="S1583" s="32">
        <v>14.3428</v>
      </c>
      <c r="T1583" s="35">
        <v>1.4900000000000002</v>
      </c>
      <c r="U1583" s="35">
        <v>1.19</v>
      </c>
      <c r="V1583" s="35">
        <v>6.478260869565218E-2</v>
      </c>
      <c r="W1583" s="9" t="s">
        <v>153</v>
      </c>
      <c r="X1583" s="15">
        <v>1582</v>
      </c>
      <c r="Y1583" s="39">
        <v>0.47854310368756459</v>
      </c>
      <c r="Z1583" s="39">
        <v>0.4813125117654638</v>
      </c>
      <c r="AA1583" s="39">
        <v>0.49256490174423795</v>
      </c>
      <c r="AB1583" s="39">
        <v>0.48628512976632243</v>
      </c>
      <c r="AC1583" s="39">
        <v>0.47109319395980032</v>
      </c>
      <c r="AD1583" s="39">
        <v>0.47315279011922795</v>
      </c>
      <c r="AE1583" s="39">
        <v>0.48639514517752475</v>
      </c>
      <c r="AF1583" s="40">
        <v>0.48225364351496602</v>
      </c>
    </row>
    <row r="1584" spans="1:32">
      <c r="A1584" s="15">
        <v>1582</v>
      </c>
      <c r="B1584" s="16">
        <v>1</v>
      </c>
      <c r="C1584" s="20">
        <v>0.41</v>
      </c>
      <c r="D1584" s="20">
        <v>0.60230367195830159</v>
      </c>
      <c r="E1584" s="20">
        <v>7.0000000000000007E-2</v>
      </c>
      <c r="F1584" s="8" t="s">
        <v>436</v>
      </c>
      <c r="G1584" s="24">
        <v>0.9164771287004666</v>
      </c>
      <c r="H1584" s="24">
        <v>0.92178329733835074</v>
      </c>
      <c r="I1584" s="25">
        <v>0.93790402912293147</v>
      </c>
      <c r="L1584" s="15">
        <v>1582</v>
      </c>
      <c r="M1584" s="16">
        <v>1</v>
      </c>
      <c r="N1584" s="16">
        <v>2</v>
      </c>
      <c r="O1584" s="16">
        <v>0</v>
      </c>
      <c r="P1584" s="16">
        <v>82</v>
      </c>
      <c r="Q1584" s="29">
        <v>11</v>
      </c>
      <c r="R1584" s="20">
        <v>0.62360000000000004</v>
      </c>
      <c r="S1584" s="32">
        <v>6.8596000000000004</v>
      </c>
      <c r="T1584" s="35">
        <v>0.79</v>
      </c>
      <c r="U1584" s="35">
        <v>0.66</v>
      </c>
      <c r="V1584" s="35">
        <v>7.1818181818181823E-2</v>
      </c>
      <c r="W1584" s="9" t="s">
        <v>152</v>
      </c>
      <c r="X1584" s="15">
        <v>1583</v>
      </c>
      <c r="Y1584" s="39">
        <v>0.51036550097204736</v>
      </c>
      <c r="Z1584" s="39">
        <v>0.49413088318268361</v>
      </c>
      <c r="AA1584" s="39">
        <v>0.48090125853069077</v>
      </c>
      <c r="AB1584" s="39">
        <v>0.48932955042100196</v>
      </c>
      <c r="AC1584" s="39">
        <v>0.50243366049448013</v>
      </c>
      <c r="AD1584" s="39">
        <v>0.48934644658628923</v>
      </c>
      <c r="AE1584" s="39">
        <v>0.4778267730761358</v>
      </c>
      <c r="AF1584" s="40">
        <v>0.48236111313051289</v>
      </c>
    </row>
    <row r="1585" spans="1:32">
      <c r="A1585" s="15">
        <v>1583</v>
      </c>
      <c r="B1585" s="16">
        <v>1</v>
      </c>
      <c r="C1585" s="20">
        <v>0.08</v>
      </c>
      <c r="D1585" s="20">
        <v>0.95360396789469548</v>
      </c>
      <c r="E1585" s="20">
        <v>0.49</v>
      </c>
      <c r="F1585" s="8" t="s">
        <v>436</v>
      </c>
      <c r="G1585" s="24">
        <v>1.2130788349144903</v>
      </c>
      <c r="H1585" s="24">
        <v>1.2201022517216631</v>
      </c>
      <c r="I1585" s="25">
        <v>1.2414401748610409</v>
      </c>
      <c r="L1585" s="15">
        <v>1583</v>
      </c>
      <c r="M1585" s="16">
        <v>1</v>
      </c>
      <c r="N1585" s="16">
        <v>2</v>
      </c>
      <c r="O1585" s="16">
        <v>0</v>
      </c>
      <c r="P1585" s="16">
        <v>83</v>
      </c>
      <c r="Q1585" s="29">
        <v>18</v>
      </c>
      <c r="R1585" s="20">
        <v>0.62360000000000004</v>
      </c>
      <c r="S1585" s="32">
        <v>11.2248</v>
      </c>
      <c r="T1585" s="35">
        <v>0.95000000000000007</v>
      </c>
      <c r="U1585" s="35">
        <v>0.66</v>
      </c>
      <c r="V1585" s="35">
        <v>5.2777777777777785E-2</v>
      </c>
      <c r="W1585" s="9" t="s">
        <v>152</v>
      </c>
      <c r="X1585" s="15">
        <v>1584</v>
      </c>
      <c r="Y1585" s="39">
        <v>0.49490778237868183</v>
      </c>
      <c r="Z1585" s="39">
        <v>0.47313459538120944</v>
      </c>
      <c r="AA1585" s="39">
        <v>0.49584804737856292</v>
      </c>
      <c r="AB1585" s="39">
        <v>0.48536823355024877</v>
      </c>
      <c r="AC1585" s="39">
        <v>0.48654530321318357</v>
      </c>
      <c r="AD1585" s="39">
        <v>0.46406441485013117</v>
      </c>
      <c r="AE1585" s="39">
        <v>0.48905769557679241</v>
      </c>
      <c r="AF1585" s="40">
        <v>0.47641488896978684</v>
      </c>
    </row>
    <row r="1586" spans="1:32">
      <c r="A1586" s="15">
        <v>1584</v>
      </c>
      <c r="B1586" s="16">
        <v>0</v>
      </c>
      <c r="C1586" s="20">
        <v>7.0000000000000007E-2</v>
      </c>
      <c r="D1586" s="20">
        <v>0.93751779612365183</v>
      </c>
      <c r="E1586" s="20">
        <v>0.38</v>
      </c>
      <c r="F1586" s="8" t="s">
        <v>436</v>
      </c>
      <c r="G1586" s="24">
        <v>1.8254076309861029</v>
      </c>
      <c r="H1586" s="24">
        <v>1.8359762752212592</v>
      </c>
      <c r="I1586" s="25">
        <v>1.6578926537592125</v>
      </c>
      <c r="L1586" s="15">
        <v>1584</v>
      </c>
      <c r="M1586" s="16">
        <v>1</v>
      </c>
      <c r="N1586" s="16">
        <v>2</v>
      </c>
      <c r="O1586" s="16">
        <v>1</v>
      </c>
      <c r="P1586" s="16">
        <v>0</v>
      </c>
      <c r="Q1586" s="29">
        <v>40</v>
      </c>
      <c r="R1586" s="20">
        <v>0.62360000000000004</v>
      </c>
      <c r="S1586" s="32">
        <v>24.944000000000003</v>
      </c>
      <c r="T1586" s="35">
        <v>0.91</v>
      </c>
      <c r="U1586" s="35">
        <v>0.33</v>
      </c>
      <c r="V1586" s="35">
        <v>2.2749999999999999E-2</v>
      </c>
      <c r="W1586" s="9" t="s">
        <v>152</v>
      </c>
      <c r="X1586" s="15">
        <v>1585</v>
      </c>
      <c r="Y1586" s="39">
        <v>0.47811293516670506</v>
      </c>
      <c r="Z1586" s="39">
        <v>0.49246385644160257</v>
      </c>
      <c r="AA1586" s="39">
        <v>0.48419372043131204</v>
      </c>
      <c r="AB1586" s="39">
        <v>0.46499233290054764</v>
      </c>
      <c r="AC1586" s="39">
        <v>0.47119018065116247</v>
      </c>
      <c r="AD1586" s="39">
        <v>0.48515515360677469</v>
      </c>
      <c r="AE1586" s="39">
        <v>0.47756085973535151</v>
      </c>
      <c r="AF1586" s="40">
        <v>0.46157420171401015</v>
      </c>
    </row>
    <row r="1587" spans="1:32">
      <c r="A1587" s="15">
        <v>1585</v>
      </c>
      <c r="B1587" s="16">
        <v>0</v>
      </c>
      <c r="C1587" s="20">
        <v>0.02</v>
      </c>
      <c r="D1587" s="20">
        <v>0.99917029198757767</v>
      </c>
      <c r="E1587" s="20">
        <v>1</v>
      </c>
      <c r="F1587" s="8" t="s">
        <v>436</v>
      </c>
      <c r="G1587" s="24">
        <v>1.0614892653140997</v>
      </c>
      <c r="H1587" s="24">
        <v>1.0676350172075997</v>
      </c>
      <c r="I1587" s="25">
        <v>1.0863064965085665</v>
      </c>
      <c r="L1587" s="15">
        <v>1585</v>
      </c>
      <c r="M1587" s="16">
        <v>1</v>
      </c>
      <c r="N1587" s="16">
        <v>2</v>
      </c>
      <c r="O1587" s="16">
        <v>1</v>
      </c>
      <c r="P1587" s="16">
        <v>1</v>
      </c>
      <c r="Q1587" s="29">
        <v>39</v>
      </c>
      <c r="R1587" s="20">
        <v>0.62360000000000004</v>
      </c>
      <c r="S1587" s="32">
        <v>24.320400000000003</v>
      </c>
      <c r="T1587" s="35">
        <v>2.29</v>
      </c>
      <c r="U1587" s="35">
        <v>1.72</v>
      </c>
      <c r="V1587" s="35">
        <v>5.871794871794872E-2</v>
      </c>
      <c r="W1587" s="9" t="s">
        <v>154</v>
      </c>
      <c r="X1587" s="15">
        <v>1586</v>
      </c>
      <c r="Y1587" s="39">
        <v>0.48076401037743766</v>
      </c>
      <c r="Z1587" s="39">
        <v>0.47464319858535159</v>
      </c>
      <c r="AA1587" s="39">
        <v>0.48591314304755118</v>
      </c>
      <c r="AB1587" s="39">
        <v>0.48874838626406636</v>
      </c>
      <c r="AC1587" s="39">
        <v>0.47333669090414188</v>
      </c>
      <c r="AD1587" s="39">
        <v>0.46842082667295787</v>
      </c>
      <c r="AE1587" s="39">
        <v>0.47725721353302697</v>
      </c>
      <c r="AF1587" s="40">
        <v>0.48187993321963374</v>
      </c>
    </row>
    <row r="1588" spans="1:32">
      <c r="A1588" s="15">
        <v>1586</v>
      </c>
      <c r="B1588" s="16">
        <v>0</v>
      </c>
      <c r="C1588" s="20">
        <v>0.18</v>
      </c>
      <c r="D1588" s="20">
        <v>0.90687636164668295</v>
      </c>
      <c r="E1588" s="20">
        <v>0.08</v>
      </c>
      <c r="F1588" s="8" t="s">
        <v>436</v>
      </c>
      <c r="G1588" s="24">
        <v>0.77378298108783228</v>
      </c>
      <c r="H1588" s="24">
        <v>0.77826298703473318</v>
      </c>
      <c r="I1588" s="25">
        <v>0.79187374447423187</v>
      </c>
      <c r="L1588" s="15">
        <v>1586</v>
      </c>
      <c r="M1588" s="16">
        <v>1</v>
      </c>
      <c r="N1588" s="16">
        <v>2</v>
      </c>
      <c r="O1588" s="16">
        <v>1</v>
      </c>
      <c r="P1588" s="16">
        <v>2</v>
      </c>
      <c r="Q1588" s="29">
        <v>15</v>
      </c>
      <c r="R1588" s="20">
        <v>0.62360000000000004</v>
      </c>
      <c r="S1588" s="32">
        <v>9.354000000000001</v>
      </c>
      <c r="T1588" s="35">
        <v>0.43</v>
      </c>
      <c r="U1588" s="35">
        <v>0.16</v>
      </c>
      <c r="V1588" s="35">
        <v>2.8666666666666667E-2</v>
      </c>
      <c r="W1588" s="9" t="s">
        <v>152</v>
      </c>
      <c r="X1588" s="15">
        <v>1587</v>
      </c>
      <c r="Y1588" s="39">
        <v>0.49157024054916554</v>
      </c>
      <c r="Z1588" s="39">
        <v>0.48857547586473088</v>
      </c>
      <c r="AA1588" s="39">
        <v>0.48360031317108881</v>
      </c>
      <c r="AB1588" s="39">
        <v>0.50131039031685065</v>
      </c>
      <c r="AC1588" s="39">
        <v>0.48548997979612363</v>
      </c>
      <c r="AD1588" s="39">
        <v>0.48308819494264588</v>
      </c>
      <c r="AE1588" s="39">
        <v>0.47878804642529171</v>
      </c>
      <c r="AF1588" s="40">
        <v>0.4957191587541051</v>
      </c>
    </row>
    <row r="1589" spans="1:32">
      <c r="A1589" s="15">
        <v>1587</v>
      </c>
      <c r="B1589" s="16">
        <v>0</v>
      </c>
      <c r="C1589" s="20">
        <v>0.94</v>
      </c>
      <c r="D1589" s="20">
        <v>0.17188516685452584</v>
      </c>
      <c r="E1589" s="20">
        <v>0.06</v>
      </c>
      <c r="F1589" s="8" t="s">
        <v>434</v>
      </c>
      <c r="G1589" s="24">
        <v>0.48289785463097118</v>
      </c>
      <c r="H1589" s="24">
        <v>0.48569370994617983</v>
      </c>
      <c r="I1589" s="25">
        <v>0.49418783003938255</v>
      </c>
      <c r="L1589" s="15">
        <v>1587</v>
      </c>
      <c r="M1589" s="16">
        <v>1</v>
      </c>
      <c r="N1589" s="16">
        <v>2</v>
      </c>
      <c r="O1589" s="16">
        <v>1</v>
      </c>
      <c r="P1589" s="16">
        <v>3</v>
      </c>
      <c r="Q1589" s="29">
        <v>40</v>
      </c>
      <c r="R1589" s="20">
        <v>0.62360000000000004</v>
      </c>
      <c r="S1589" s="32">
        <v>24.944000000000003</v>
      </c>
      <c r="T1589" s="35">
        <v>1.79</v>
      </c>
      <c r="U1589" s="35">
        <v>1.3</v>
      </c>
      <c r="V1589" s="35">
        <v>4.4749999999999998E-2</v>
      </c>
      <c r="W1589" s="9" t="s">
        <v>153</v>
      </c>
      <c r="X1589" s="15">
        <v>1588</v>
      </c>
      <c r="Y1589" s="39">
        <v>0.48300170281096327</v>
      </c>
      <c r="Z1589" s="39">
        <v>0.48123727420319629</v>
      </c>
      <c r="AA1589" s="39">
        <v>0.48429773451520042</v>
      </c>
      <c r="AB1589" s="39">
        <v>0.49212449999431995</v>
      </c>
      <c r="AC1589" s="39">
        <v>0.4768120091012103</v>
      </c>
      <c r="AD1589" s="39">
        <v>0.47513126718948612</v>
      </c>
      <c r="AE1589" s="39">
        <v>0.4797874066734471</v>
      </c>
      <c r="AF1589" s="40">
        <v>0.4863458116890646</v>
      </c>
    </row>
    <row r="1590" spans="1:32">
      <c r="A1590" s="15">
        <v>1588</v>
      </c>
      <c r="B1590" s="16">
        <v>1</v>
      </c>
      <c r="C1590" s="20">
        <v>0.9</v>
      </c>
      <c r="D1590" s="20">
        <v>0.231595386583653</v>
      </c>
      <c r="E1590" s="20">
        <v>0.1</v>
      </c>
      <c r="F1590" s="8" t="s">
        <v>434</v>
      </c>
      <c r="G1590" s="24">
        <v>0.93684697149191687</v>
      </c>
      <c r="H1590" s="24">
        <v>0.9422710763200165</v>
      </c>
      <c r="I1590" s="25">
        <v>0.95875011139646527</v>
      </c>
      <c r="L1590" s="15">
        <v>1588</v>
      </c>
      <c r="M1590" s="16">
        <v>1</v>
      </c>
      <c r="N1590" s="16">
        <v>2</v>
      </c>
      <c r="O1590" s="16">
        <v>1</v>
      </c>
      <c r="P1590" s="16">
        <v>4</v>
      </c>
      <c r="Q1590" s="29">
        <v>35</v>
      </c>
      <c r="R1590" s="20">
        <v>0.62360000000000004</v>
      </c>
      <c r="S1590" s="32">
        <v>21.826000000000001</v>
      </c>
      <c r="T1590" s="35">
        <v>2.52</v>
      </c>
      <c r="U1590" s="35">
        <v>2.06</v>
      </c>
      <c r="V1590" s="35">
        <v>7.1999999999999995E-2</v>
      </c>
      <c r="W1590" s="9" t="s">
        <v>154</v>
      </c>
      <c r="X1590" s="15">
        <v>1589</v>
      </c>
      <c r="Y1590" s="39">
        <v>0.48629701470446557</v>
      </c>
      <c r="Z1590" s="39">
        <v>0.49101128939223515</v>
      </c>
      <c r="AA1590" s="39">
        <v>0.48152737434222598</v>
      </c>
      <c r="AB1590" s="39">
        <v>0.48673302550840808</v>
      </c>
      <c r="AC1590" s="39">
        <v>0.48014473279670988</v>
      </c>
      <c r="AD1590" s="39">
        <v>0.48247058846936197</v>
      </c>
      <c r="AE1590" s="39">
        <v>0.47364332225359163</v>
      </c>
      <c r="AF1590" s="40">
        <v>0.48250675806382143</v>
      </c>
    </row>
    <row r="1591" spans="1:32">
      <c r="A1591" s="15">
        <v>1589</v>
      </c>
      <c r="B1591" s="16">
        <v>1</v>
      </c>
      <c r="C1591" s="20">
        <v>0.16</v>
      </c>
      <c r="D1591" s="20">
        <v>0.92461508334823839</v>
      </c>
      <c r="E1591" s="20">
        <v>0.04</v>
      </c>
      <c r="F1591" s="8" t="s">
        <v>436</v>
      </c>
      <c r="G1591" s="24">
        <v>1.0948969460428708</v>
      </c>
      <c r="H1591" s="24">
        <v>1.1012361198802427</v>
      </c>
      <c r="I1591" s="25">
        <v>1.1204952366068561</v>
      </c>
      <c r="L1591" s="15">
        <v>1589</v>
      </c>
      <c r="M1591" s="16">
        <v>1</v>
      </c>
      <c r="N1591" s="16">
        <v>2</v>
      </c>
      <c r="O1591" s="16">
        <v>1</v>
      </c>
      <c r="P1591" s="16">
        <v>5</v>
      </c>
      <c r="Q1591" s="29">
        <v>37</v>
      </c>
      <c r="R1591" s="20">
        <v>0.62360000000000004</v>
      </c>
      <c r="S1591" s="32">
        <v>23.0732</v>
      </c>
      <c r="T1591" s="35">
        <v>2.0300000000000002</v>
      </c>
      <c r="U1591" s="35">
        <v>1.54</v>
      </c>
      <c r="V1591" s="35">
        <v>5.4864864864864873E-2</v>
      </c>
      <c r="W1591" s="9" t="s">
        <v>154</v>
      </c>
      <c r="X1591" s="15">
        <v>1590</v>
      </c>
      <c r="Y1591" s="39">
        <v>0.49006542143909398</v>
      </c>
      <c r="Z1591" s="39">
        <v>0.49414070891978451</v>
      </c>
      <c r="AA1591" s="39">
        <v>0.47947537309478222</v>
      </c>
      <c r="AB1591" s="39">
        <v>0.49799670316142364</v>
      </c>
      <c r="AC1591" s="39">
        <v>0.48394256732671653</v>
      </c>
      <c r="AD1591" s="39">
        <v>0.48670364111473763</v>
      </c>
      <c r="AE1591" s="39">
        <v>0.47471585147019246</v>
      </c>
      <c r="AF1591" s="40">
        <v>0.49519648700885127</v>
      </c>
    </row>
    <row r="1592" spans="1:32">
      <c r="A1592" s="15">
        <v>1590</v>
      </c>
      <c r="B1592" s="16">
        <v>1</v>
      </c>
      <c r="C1592" s="20">
        <v>0.94</v>
      </c>
      <c r="D1592" s="20">
        <v>0.17188516685452584</v>
      </c>
      <c r="E1592" s="20">
        <v>0.06</v>
      </c>
      <c r="F1592" s="8" t="s">
        <v>434</v>
      </c>
      <c r="G1592" s="24">
        <v>0.54084831110700204</v>
      </c>
      <c r="H1592" s="24">
        <v>0.54397968477294167</v>
      </c>
      <c r="I1592" s="25">
        <v>0.55349314701488816</v>
      </c>
      <c r="L1592" s="15">
        <v>1590</v>
      </c>
      <c r="M1592" s="16">
        <v>1</v>
      </c>
      <c r="N1592" s="16">
        <v>2</v>
      </c>
      <c r="O1592" s="16">
        <v>1</v>
      </c>
      <c r="P1592" s="16">
        <v>6</v>
      </c>
      <c r="Q1592" s="29">
        <v>43</v>
      </c>
      <c r="R1592" s="20">
        <v>0.62360000000000004</v>
      </c>
      <c r="S1592" s="32">
        <v>26.814800000000002</v>
      </c>
      <c r="T1592" s="35">
        <v>1.49</v>
      </c>
      <c r="U1592" s="35">
        <v>0.82</v>
      </c>
      <c r="V1592" s="35">
        <v>3.4651162790697673E-2</v>
      </c>
      <c r="W1592" s="9" t="s">
        <v>153</v>
      </c>
      <c r="X1592" s="15">
        <v>1591</v>
      </c>
      <c r="Y1592" s="39">
        <v>0.49335907590435801</v>
      </c>
      <c r="Z1592" s="39">
        <v>0.47853476058193228</v>
      </c>
      <c r="AA1592" s="39">
        <v>0.4717244127785174</v>
      </c>
      <c r="AB1592" s="39">
        <v>0.48947502947882815</v>
      </c>
      <c r="AC1592" s="39">
        <v>0.48522279007189889</v>
      </c>
      <c r="AD1592" s="39">
        <v>0.47309371714380605</v>
      </c>
      <c r="AE1592" s="39">
        <v>0.46486756290847314</v>
      </c>
      <c r="AF1592" s="40">
        <v>0.48841819663929764</v>
      </c>
    </row>
    <row r="1593" spans="1:32">
      <c r="A1593" s="15">
        <v>1591</v>
      </c>
      <c r="B1593" s="16">
        <v>0</v>
      </c>
      <c r="C1593" s="20">
        <v>0.13</v>
      </c>
      <c r="D1593" s="20">
        <v>0.85998977411399713</v>
      </c>
      <c r="E1593" s="20">
        <v>0.16</v>
      </c>
      <c r="F1593" s="8" t="s">
        <v>436</v>
      </c>
      <c r="G1593" s="24">
        <v>0.7358545654683234</v>
      </c>
      <c r="H1593" s="24">
        <v>0.74011497557028461</v>
      </c>
      <c r="I1593" s="25">
        <v>0.75305857635516693</v>
      </c>
      <c r="L1593" s="15">
        <v>1591</v>
      </c>
      <c r="M1593" s="16">
        <v>1</v>
      </c>
      <c r="N1593" s="16">
        <v>2</v>
      </c>
      <c r="O1593" s="16">
        <v>1</v>
      </c>
      <c r="P1593" s="16">
        <v>7</v>
      </c>
      <c r="Q1593" s="29">
        <v>30</v>
      </c>
      <c r="R1593" s="20">
        <v>0.62360000000000004</v>
      </c>
      <c r="S1593" s="32">
        <v>18.708000000000002</v>
      </c>
      <c r="T1593" s="35">
        <v>1.3199999999999998</v>
      </c>
      <c r="U1593" s="35">
        <v>0.98</v>
      </c>
      <c r="V1593" s="35">
        <v>4.3999999999999997E-2</v>
      </c>
      <c r="W1593" s="9" t="s">
        <v>153</v>
      </c>
      <c r="X1593" s="15">
        <v>1592</v>
      </c>
      <c r="Y1593" s="39">
        <v>0.48983680475774949</v>
      </c>
      <c r="Z1593" s="39">
        <v>0.49546782549357621</v>
      </c>
      <c r="AA1593" s="39">
        <v>0.46501655655952517</v>
      </c>
      <c r="AB1593" s="39">
        <v>0.49064408196139592</v>
      </c>
      <c r="AC1593" s="39">
        <v>0.48167679246884193</v>
      </c>
      <c r="AD1593" s="39">
        <v>0.48939478078688597</v>
      </c>
      <c r="AE1593" s="39">
        <v>0.46038274316082395</v>
      </c>
      <c r="AF1593" s="40">
        <v>0.48469368166695953</v>
      </c>
    </row>
    <row r="1594" spans="1:32">
      <c r="A1594" s="15">
        <v>1592</v>
      </c>
      <c r="B1594" s="16">
        <v>0</v>
      </c>
      <c r="C1594" s="20">
        <v>0.24</v>
      </c>
      <c r="D1594" s="20">
        <v>0.85632692601001048</v>
      </c>
      <c r="E1594" s="20">
        <v>0.03</v>
      </c>
      <c r="F1594" s="8" t="s">
        <v>436</v>
      </c>
      <c r="G1594" s="24">
        <v>0.7746150869134536</v>
      </c>
      <c r="H1594" s="24">
        <v>0.77909991054068395</v>
      </c>
      <c r="I1594" s="25">
        <v>0.79272530463003577</v>
      </c>
      <c r="L1594" s="15">
        <v>1592</v>
      </c>
      <c r="M1594" s="16">
        <v>1</v>
      </c>
      <c r="N1594" s="16">
        <v>2</v>
      </c>
      <c r="O1594" s="16">
        <v>1</v>
      </c>
      <c r="P1594" s="16">
        <v>8</v>
      </c>
      <c r="Q1594" s="29">
        <v>30</v>
      </c>
      <c r="R1594" s="20">
        <v>0.62360000000000004</v>
      </c>
      <c r="S1594" s="32">
        <v>18.708000000000002</v>
      </c>
      <c r="T1594" s="35">
        <v>0.59</v>
      </c>
      <c r="U1594" s="35">
        <v>0.13</v>
      </c>
      <c r="V1594" s="35">
        <v>1.9666666666666666E-2</v>
      </c>
      <c r="W1594" s="9" t="s">
        <v>152</v>
      </c>
      <c r="X1594" s="15">
        <v>1593</v>
      </c>
      <c r="Y1594" s="39">
        <v>0.48569118329934052</v>
      </c>
      <c r="Z1594" s="39">
        <v>0.48634951796504389</v>
      </c>
      <c r="AA1594" s="39">
        <v>0.49485375111533575</v>
      </c>
      <c r="AB1594" s="39">
        <v>0.48226715238687407</v>
      </c>
      <c r="AC1594" s="39">
        <v>0.47956041300909891</v>
      </c>
      <c r="AD1594" s="39">
        <v>0.47819759230589298</v>
      </c>
      <c r="AE1594" s="39">
        <v>0.48919246227210694</v>
      </c>
      <c r="AF1594" s="40">
        <v>0.47535968198190803</v>
      </c>
    </row>
    <row r="1595" spans="1:32">
      <c r="A1595" s="15">
        <v>1593</v>
      </c>
      <c r="B1595" s="16">
        <v>1</v>
      </c>
      <c r="C1595" s="20">
        <v>0.25</v>
      </c>
      <c r="D1595" s="20">
        <v>0.67803951760797443</v>
      </c>
      <c r="E1595" s="20">
        <v>0.1</v>
      </c>
      <c r="F1595" s="8" t="s">
        <v>436</v>
      </c>
      <c r="G1595" s="24">
        <v>0.96383643994677703</v>
      </c>
      <c r="H1595" s="24">
        <v>0.96941680690797694</v>
      </c>
      <c r="I1595" s="25">
        <v>0.98637058376285514</v>
      </c>
      <c r="L1595" s="15">
        <v>1593</v>
      </c>
      <c r="M1595" s="16">
        <v>1</v>
      </c>
      <c r="N1595" s="16">
        <v>2</v>
      </c>
      <c r="O1595" s="16">
        <v>1</v>
      </c>
      <c r="P1595" s="16">
        <v>9</v>
      </c>
      <c r="Q1595" s="29">
        <v>33</v>
      </c>
      <c r="R1595" s="20">
        <v>0.62360000000000004</v>
      </c>
      <c r="S1595" s="32">
        <v>20.578800000000001</v>
      </c>
      <c r="T1595" s="35">
        <v>0.6</v>
      </c>
      <c r="U1595" s="35">
        <v>0.15</v>
      </c>
      <c r="V1595" s="35">
        <v>1.8181818181818181E-2</v>
      </c>
      <c r="W1595" s="9" t="s">
        <v>152</v>
      </c>
      <c r="X1595" s="15">
        <v>1594</v>
      </c>
      <c r="Y1595" s="39">
        <v>0.48750501998807827</v>
      </c>
      <c r="Z1595" s="39">
        <v>0.50223865594740602</v>
      </c>
      <c r="AA1595" s="39">
        <v>0.48065660806597887</v>
      </c>
      <c r="AB1595" s="39">
        <v>0.50362048280393401</v>
      </c>
      <c r="AC1595" s="39">
        <v>0.47803072757827159</v>
      </c>
      <c r="AD1595" s="39">
        <v>0.49416161660701996</v>
      </c>
      <c r="AE1595" s="39">
        <v>0.47706637221234116</v>
      </c>
      <c r="AF1595" s="40">
        <v>0.49978108251106607</v>
      </c>
    </row>
    <row r="1596" spans="1:32">
      <c r="A1596" s="15">
        <v>1594</v>
      </c>
      <c r="B1596" s="16">
        <v>1</v>
      </c>
      <c r="C1596" s="20">
        <v>0.3</v>
      </c>
      <c r="D1596" s="20">
        <v>0.76591226897832043</v>
      </c>
      <c r="E1596" s="20">
        <v>0.05</v>
      </c>
      <c r="F1596" s="8" t="s">
        <v>436</v>
      </c>
      <c r="G1596" s="24">
        <v>0.72569671877791997</v>
      </c>
      <c r="H1596" s="24">
        <v>0.72989831754040624</v>
      </c>
      <c r="I1596" s="25">
        <v>0.74266324292044006</v>
      </c>
      <c r="L1596" s="15">
        <v>1594</v>
      </c>
      <c r="M1596" s="16">
        <v>1</v>
      </c>
      <c r="N1596" s="16">
        <v>2</v>
      </c>
      <c r="O1596" s="16">
        <v>1</v>
      </c>
      <c r="P1596" s="16">
        <v>10</v>
      </c>
      <c r="Q1596" s="29">
        <v>39</v>
      </c>
      <c r="R1596" s="20">
        <v>0.62360000000000004</v>
      </c>
      <c r="S1596" s="32">
        <v>24.320400000000003</v>
      </c>
      <c r="T1596" s="35">
        <v>1.37</v>
      </c>
      <c r="U1596" s="35">
        <v>0.83</v>
      </c>
      <c r="V1596" s="35">
        <v>3.512820512820513E-2</v>
      </c>
      <c r="W1596" s="9" t="s">
        <v>153</v>
      </c>
      <c r="X1596" s="15">
        <v>1595</v>
      </c>
      <c r="Y1596" s="39">
        <v>0.48653616987168968</v>
      </c>
      <c r="Z1596" s="39">
        <v>0.48663553941599602</v>
      </c>
      <c r="AA1596" s="39">
        <v>0.48839575185571615</v>
      </c>
      <c r="AB1596" s="39">
        <v>0.47587337883226866</v>
      </c>
      <c r="AC1596" s="39">
        <v>0.47876936524208347</v>
      </c>
      <c r="AD1596" s="39">
        <v>0.48066443946869136</v>
      </c>
      <c r="AE1596" s="39">
        <v>0.480450773542972</v>
      </c>
      <c r="AF1596" s="40">
        <v>0.47123346192173826</v>
      </c>
    </row>
    <row r="1597" spans="1:32">
      <c r="A1597" s="15">
        <v>1595</v>
      </c>
      <c r="B1597" s="16">
        <v>1</v>
      </c>
      <c r="C1597" s="20">
        <v>0.18</v>
      </c>
      <c r="D1597" s="20">
        <v>0.83789108166398463</v>
      </c>
      <c r="E1597" s="20">
        <v>0.06</v>
      </c>
      <c r="F1597" s="8" t="s">
        <v>436</v>
      </c>
      <c r="G1597" s="24">
        <v>0.97310205362550384</v>
      </c>
      <c r="H1597" s="24">
        <v>0.97873606612478992</v>
      </c>
      <c r="I1597" s="25">
        <v>0.99585282410408105</v>
      </c>
      <c r="L1597" s="15">
        <v>1595</v>
      </c>
      <c r="M1597" s="16">
        <v>1</v>
      </c>
      <c r="N1597" s="16">
        <v>2</v>
      </c>
      <c r="O1597" s="16">
        <v>2</v>
      </c>
      <c r="P1597" s="16">
        <v>11</v>
      </c>
      <c r="Q1597" s="29">
        <v>34</v>
      </c>
      <c r="R1597" s="20">
        <v>0.62360000000000004</v>
      </c>
      <c r="S1597" s="32">
        <v>21.202400000000001</v>
      </c>
      <c r="T1597" s="35">
        <v>1.5499999999999998</v>
      </c>
      <c r="U1597" s="35">
        <v>1.1599999999999999</v>
      </c>
      <c r="V1597" s="35">
        <v>4.5588235294117645E-2</v>
      </c>
      <c r="W1597" s="9" t="s">
        <v>153</v>
      </c>
      <c r="X1597" s="15">
        <v>1596</v>
      </c>
      <c r="Y1597" s="39">
        <v>0.47647347623625802</v>
      </c>
      <c r="Z1597" s="39">
        <v>0.48597426816476297</v>
      </c>
      <c r="AA1597" s="39">
        <v>0.47561793794760832</v>
      </c>
      <c r="AB1597" s="39">
        <v>0.5009384891013281</v>
      </c>
      <c r="AC1597" s="39">
        <v>0.47208154986244394</v>
      </c>
      <c r="AD1597" s="39">
        <v>0.47799302983470243</v>
      </c>
      <c r="AE1597" s="39">
        <v>0.47004869907729641</v>
      </c>
      <c r="AF1597" s="40">
        <v>0.5018646028441841</v>
      </c>
    </row>
    <row r="1598" spans="1:32">
      <c r="A1598" s="15">
        <v>1596</v>
      </c>
      <c r="B1598" s="16">
        <v>1</v>
      </c>
      <c r="C1598" s="20">
        <v>0.02</v>
      </c>
      <c r="D1598" s="20">
        <v>0.99835916395484214</v>
      </c>
      <c r="E1598" s="20">
        <v>1</v>
      </c>
      <c r="F1598" s="8" t="s">
        <v>436</v>
      </c>
      <c r="G1598" s="24">
        <v>1.5152345826901485</v>
      </c>
      <c r="H1598" s="24">
        <v>1.5240074041495433</v>
      </c>
      <c r="I1598" s="25">
        <v>1.5506602136232561</v>
      </c>
      <c r="L1598" s="15">
        <v>1596</v>
      </c>
      <c r="M1598" s="16">
        <v>1</v>
      </c>
      <c r="N1598" s="16">
        <v>2</v>
      </c>
      <c r="O1598" s="16">
        <v>2</v>
      </c>
      <c r="P1598" s="16">
        <v>12</v>
      </c>
      <c r="Q1598" s="29">
        <v>33</v>
      </c>
      <c r="R1598" s="20">
        <v>0.62360000000000004</v>
      </c>
      <c r="S1598" s="32">
        <v>20.578800000000001</v>
      </c>
      <c r="T1598" s="35">
        <v>3.58</v>
      </c>
      <c r="U1598" s="35">
        <v>3.09</v>
      </c>
      <c r="V1598" s="35">
        <v>0.10848484848484849</v>
      </c>
      <c r="W1598" s="9" t="s">
        <v>155</v>
      </c>
      <c r="X1598" s="15">
        <v>1597</v>
      </c>
      <c r="Y1598" s="39">
        <v>0.49175300090481705</v>
      </c>
      <c r="Z1598" s="39">
        <v>0.48210927321350183</v>
      </c>
      <c r="AA1598" s="39">
        <v>0.48057165533914514</v>
      </c>
      <c r="AB1598" s="39">
        <v>0.49044394726063689</v>
      </c>
      <c r="AC1598" s="39">
        <v>0.48357106791070575</v>
      </c>
      <c r="AD1598" s="39">
        <v>0.47539397415668111</v>
      </c>
      <c r="AE1598" s="39">
        <v>0.47653372113008613</v>
      </c>
      <c r="AF1598" s="40">
        <v>0.48561252559942747</v>
      </c>
    </row>
    <row r="1599" spans="1:32">
      <c r="A1599" s="15">
        <v>1597</v>
      </c>
      <c r="B1599" s="16">
        <v>0</v>
      </c>
      <c r="C1599" s="20">
        <v>0.02</v>
      </c>
      <c r="D1599" s="20">
        <v>0.99835916395484214</v>
      </c>
      <c r="E1599" s="20">
        <v>1</v>
      </c>
      <c r="F1599" s="8" t="s">
        <v>436</v>
      </c>
      <c r="G1599" s="24">
        <v>0.98565225126821587</v>
      </c>
      <c r="H1599" s="24">
        <v>0.99135892620832622</v>
      </c>
      <c r="I1599" s="25">
        <v>1.0086964407823056</v>
      </c>
      <c r="L1599" s="15">
        <v>1597</v>
      </c>
      <c r="M1599" s="16">
        <v>1</v>
      </c>
      <c r="N1599" s="16">
        <v>2</v>
      </c>
      <c r="O1599" s="16">
        <v>2</v>
      </c>
      <c r="P1599" s="16">
        <v>13</v>
      </c>
      <c r="Q1599" s="29">
        <v>33</v>
      </c>
      <c r="R1599" s="20">
        <v>0.62360000000000004</v>
      </c>
      <c r="S1599" s="32">
        <v>20.578800000000001</v>
      </c>
      <c r="T1599" s="35">
        <v>2.4</v>
      </c>
      <c r="U1599" s="35">
        <v>1.86</v>
      </c>
      <c r="V1599" s="35">
        <v>7.2727272727272724E-2</v>
      </c>
      <c r="W1599" s="9" t="s">
        <v>154</v>
      </c>
      <c r="X1599" s="15">
        <v>1598</v>
      </c>
      <c r="Y1599" s="39">
        <v>0.49399011724097075</v>
      </c>
      <c r="Z1599" s="39">
        <v>0.49675440003767485</v>
      </c>
      <c r="AA1599" s="39">
        <v>0.49314407074139555</v>
      </c>
      <c r="AB1599" s="39">
        <v>0.48491323563840572</v>
      </c>
      <c r="AC1599" s="39">
        <v>0.48942035281202406</v>
      </c>
      <c r="AD1599" s="39">
        <v>0.48884004501897793</v>
      </c>
      <c r="AE1599" s="39">
        <v>0.48422706706402269</v>
      </c>
      <c r="AF1599" s="40">
        <v>0.48196966862751661</v>
      </c>
    </row>
    <row r="1600" spans="1:32">
      <c r="A1600" s="15">
        <v>1598</v>
      </c>
      <c r="B1600" s="16">
        <v>1</v>
      </c>
      <c r="C1600" s="20">
        <v>0.02</v>
      </c>
      <c r="D1600" s="20">
        <v>0.99917029198757767</v>
      </c>
      <c r="E1600" s="20">
        <v>1</v>
      </c>
      <c r="F1600" s="8" t="s">
        <v>436</v>
      </c>
      <c r="G1600" s="24">
        <v>1.1297977923401847</v>
      </c>
      <c r="H1600" s="24">
        <v>1.1363390331689294</v>
      </c>
      <c r="I1600" s="25">
        <v>1.1562120519391341</v>
      </c>
      <c r="L1600" s="15">
        <v>1598</v>
      </c>
      <c r="M1600" s="16">
        <v>1</v>
      </c>
      <c r="N1600" s="16">
        <v>2</v>
      </c>
      <c r="O1600" s="16">
        <v>2</v>
      </c>
      <c r="P1600" s="16">
        <v>14</v>
      </c>
      <c r="Q1600" s="29">
        <v>39</v>
      </c>
      <c r="R1600" s="20">
        <v>0.62360000000000004</v>
      </c>
      <c r="S1600" s="32">
        <v>24.320400000000003</v>
      </c>
      <c r="T1600" s="35">
        <v>2.88</v>
      </c>
      <c r="U1600" s="35">
        <v>2.3199999999999998</v>
      </c>
      <c r="V1600" s="35">
        <v>7.3846153846153839E-2</v>
      </c>
      <c r="W1600" s="9" t="s">
        <v>154</v>
      </c>
      <c r="X1600" s="15">
        <v>1599</v>
      </c>
      <c r="Y1600" s="39">
        <v>0.48286093700154747</v>
      </c>
      <c r="Z1600" s="39">
        <v>0.47815863811085241</v>
      </c>
      <c r="AA1600" s="39">
        <v>0.47987677133084194</v>
      </c>
      <c r="AB1600" s="39">
        <v>0.48662942313898849</v>
      </c>
      <c r="AC1600" s="39">
        <v>0.47719217795021512</v>
      </c>
      <c r="AD1600" s="39">
        <v>0.47105245776723703</v>
      </c>
      <c r="AE1600" s="39">
        <v>0.47360455844017296</v>
      </c>
      <c r="AF1600" s="40">
        <v>0.483247647947043</v>
      </c>
    </row>
    <row r="1601" spans="1:32">
      <c r="A1601" s="15">
        <v>1599</v>
      </c>
      <c r="B1601" s="16">
        <v>1</v>
      </c>
      <c r="C1601" s="20">
        <v>0.15</v>
      </c>
      <c r="D1601" s="20">
        <v>0.90581194489047567</v>
      </c>
      <c r="E1601" s="20">
        <v>0.06</v>
      </c>
      <c r="F1601" s="8" t="s">
        <v>436</v>
      </c>
      <c r="G1601" s="24">
        <v>1.0195398017559592</v>
      </c>
      <c r="H1601" s="24">
        <v>1.0254426769633558</v>
      </c>
      <c r="I1601" s="25">
        <v>1.0433762698192057</v>
      </c>
      <c r="L1601" s="15">
        <v>1599</v>
      </c>
      <c r="M1601" s="16">
        <v>1</v>
      </c>
      <c r="N1601" s="16">
        <v>2</v>
      </c>
      <c r="O1601" s="16">
        <v>2</v>
      </c>
      <c r="P1601" s="16">
        <v>15</v>
      </c>
      <c r="Q1601" s="29">
        <v>40</v>
      </c>
      <c r="R1601" s="20">
        <v>0.62360000000000004</v>
      </c>
      <c r="S1601" s="32">
        <v>24.944000000000003</v>
      </c>
      <c r="T1601" s="35">
        <v>2.96</v>
      </c>
      <c r="U1601" s="35">
        <v>2.4500000000000002</v>
      </c>
      <c r="V1601" s="35">
        <v>7.3999999999999996E-2</v>
      </c>
      <c r="W1601" s="9" t="s">
        <v>154</v>
      </c>
      <c r="X1601" s="15">
        <v>1600</v>
      </c>
      <c r="Y1601" s="39">
        <v>0.47998721482292239</v>
      </c>
      <c r="Z1601" s="39">
        <v>0.47994569364376793</v>
      </c>
      <c r="AA1601" s="39">
        <v>0.48789924050954314</v>
      </c>
      <c r="AB1601" s="39">
        <v>0.48329091260499518</v>
      </c>
      <c r="AC1601" s="39">
        <v>0.47133082934895881</v>
      </c>
      <c r="AD1601" s="39">
        <v>0.4748375266308793</v>
      </c>
      <c r="AE1601" s="39">
        <v>0.48065297724361866</v>
      </c>
      <c r="AF1601" s="40">
        <v>0.47847849439968959</v>
      </c>
    </row>
    <row r="1602" spans="1:32">
      <c r="A1602" s="15">
        <v>1600</v>
      </c>
      <c r="B1602" s="16">
        <v>0</v>
      </c>
      <c r="C1602" s="20">
        <v>0.02</v>
      </c>
      <c r="D1602" s="20">
        <v>0.99917029198757767</v>
      </c>
      <c r="E1602" s="20">
        <v>1</v>
      </c>
      <c r="F1602" s="8" t="s">
        <v>436</v>
      </c>
      <c r="G1602" s="24">
        <v>1.0217789791272969</v>
      </c>
      <c r="H1602" s="24">
        <v>1.0276948186001076</v>
      </c>
      <c r="I1602" s="25">
        <v>1.0456677983393734</v>
      </c>
      <c r="L1602" s="15">
        <v>1600</v>
      </c>
      <c r="M1602" s="16">
        <v>1</v>
      </c>
      <c r="N1602" s="16">
        <v>2</v>
      </c>
      <c r="O1602" s="16">
        <v>2</v>
      </c>
      <c r="P1602" s="16">
        <v>16</v>
      </c>
      <c r="Q1602" s="29">
        <v>37</v>
      </c>
      <c r="R1602" s="20">
        <v>0.62360000000000004</v>
      </c>
      <c r="S1602" s="32">
        <v>23.0732</v>
      </c>
      <c r="T1602" s="35">
        <v>1.32</v>
      </c>
      <c r="U1602" s="35">
        <v>0.83</v>
      </c>
      <c r="V1602" s="35">
        <v>3.5675675675675679E-2</v>
      </c>
      <c r="W1602" s="9" t="s">
        <v>153</v>
      </c>
      <c r="X1602" s="15">
        <v>1601</v>
      </c>
      <c r="Y1602" s="39">
        <v>0.49488936802404188</v>
      </c>
      <c r="Z1602" s="39">
        <v>0.47897824053364463</v>
      </c>
      <c r="AA1602" s="39">
        <v>0.48129779613959822</v>
      </c>
      <c r="AB1602" s="39">
        <v>0.49082953508725108</v>
      </c>
      <c r="AC1602" s="39">
        <v>0.48668828089892313</v>
      </c>
      <c r="AD1602" s="39">
        <v>0.47337367019587795</v>
      </c>
      <c r="AE1602" s="39">
        <v>0.47347439272648134</v>
      </c>
      <c r="AF1602" s="40">
        <v>0.48661710114614193</v>
      </c>
    </row>
    <row r="1603" spans="1:32">
      <c r="A1603" s="15">
        <v>1601</v>
      </c>
      <c r="B1603" s="16">
        <v>0</v>
      </c>
      <c r="C1603" s="20">
        <v>0.89</v>
      </c>
      <c r="D1603" s="20">
        <v>0.24559627500636821</v>
      </c>
      <c r="E1603" s="20">
        <v>0.11</v>
      </c>
      <c r="F1603" s="8" t="s">
        <v>434</v>
      </c>
      <c r="G1603" s="24">
        <v>0.91071169393864948</v>
      </c>
      <c r="H1603" s="24">
        <v>0.91598448218093076</v>
      </c>
      <c r="I1603" s="25">
        <v>0.93200380060285781</v>
      </c>
      <c r="L1603" s="15">
        <v>1601</v>
      </c>
      <c r="M1603" s="16">
        <v>1</v>
      </c>
      <c r="N1603" s="16">
        <v>2</v>
      </c>
      <c r="O1603" s="16">
        <v>2</v>
      </c>
      <c r="P1603" s="16">
        <v>17</v>
      </c>
      <c r="Q1603" s="29">
        <v>35</v>
      </c>
      <c r="R1603" s="20">
        <v>0.62360000000000004</v>
      </c>
      <c r="S1603" s="32">
        <v>21.826000000000001</v>
      </c>
      <c r="T1603" s="35">
        <v>0.72</v>
      </c>
      <c r="U1603" s="35">
        <v>0.28999999999999998</v>
      </c>
      <c r="V1603" s="35">
        <v>2.057142857142857E-2</v>
      </c>
      <c r="W1603" s="9" t="s">
        <v>152</v>
      </c>
      <c r="X1603" s="15">
        <v>1602</v>
      </c>
      <c r="Y1603" s="39">
        <v>0.47771004837329151</v>
      </c>
      <c r="Z1603" s="39">
        <v>0.47292234960726659</v>
      </c>
      <c r="AA1603" s="39">
        <v>0.47579525908369519</v>
      </c>
      <c r="AB1603" s="39">
        <v>0.47127813690497733</v>
      </c>
      <c r="AC1603" s="39">
        <v>0.47107870020504777</v>
      </c>
      <c r="AD1603" s="39">
        <v>0.46707143329461392</v>
      </c>
      <c r="AE1603" s="39">
        <v>0.47105662978870394</v>
      </c>
      <c r="AF1603" s="40">
        <v>0.46124421785488867</v>
      </c>
    </row>
    <row r="1604" spans="1:32">
      <c r="A1604" s="15">
        <v>1602</v>
      </c>
      <c r="B1604" s="16">
        <v>0</v>
      </c>
      <c r="C1604" s="20">
        <v>0.02</v>
      </c>
      <c r="D1604" s="20">
        <v>0.99756714174924133</v>
      </c>
      <c r="E1604" s="20">
        <v>1</v>
      </c>
      <c r="F1604" s="8" t="s">
        <v>436</v>
      </c>
      <c r="G1604" s="24">
        <v>0.96104361677460148</v>
      </c>
      <c r="H1604" s="24">
        <v>0.96660781400252249</v>
      </c>
      <c r="I1604" s="25">
        <v>0.98351246540530757</v>
      </c>
      <c r="L1604" s="15">
        <v>1602</v>
      </c>
      <c r="M1604" s="16">
        <v>1</v>
      </c>
      <c r="N1604" s="16">
        <v>2</v>
      </c>
      <c r="O1604" s="16">
        <v>2</v>
      </c>
      <c r="P1604" s="16">
        <v>18</v>
      </c>
      <c r="Q1604" s="29">
        <v>38</v>
      </c>
      <c r="R1604" s="20">
        <v>0.62360000000000004</v>
      </c>
      <c r="S1604" s="32">
        <v>23.696800000000003</v>
      </c>
      <c r="T1604" s="35">
        <v>0.76</v>
      </c>
      <c r="U1604" s="35">
        <v>0.28999999999999998</v>
      </c>
      <c r="V1604" s="35">
        <v>0.02</v>
      </c>
      <c r="W1604" s="9" t="s">
        <v>152</v>
      </c>
      <c r="X1604" s="15">
        <v>1603</v>
      </c>
      <c r="Y1604" s="39">
        <v>0.47132291533723902</v>
      </c>
      <c r="Z1604" s="39">
        <v>0.47297895046420085</v>
      </c>
      <c r="AA1604" s="39">
        <v>0.50012719612980827</v>
      </c>
      <c r="AB1604" s="39">
        <v>0.49309214058306583</v>
      </c>
      <c r="AC1604" s="39">
        <v>0.46709594942504334</v>
      </c>
      <c r="AD1604" s="39">
        <v>0.46747804927742609</v>
      </c>
      <c r="AE1604" s="39">
        <v>0.49544587886840891</v>
      </c>
      <c r="AF1604" s="40">
        <v>0.48536506945188679</v>
      </c>
    </row>
    <row r="1605" spans="1:32">
      <c r="A1605" s="15">
        <v>1603</v>
      </c>
      <c r="B1605" s="16">
        <v>0</v>
      </c>
      <c r="C1605" s="20">
        <v>0.02</v>
      </c>
      <c r="D1605" s="20">
        <v>0.99917029198757767</v>
      </c>
      <c r="E1605" s="20">
        <v>1</v>
      </c>
      <c r="F1605" s="8" t="s">
        <v>436</v>
      </c>
      <c r="G1605" s="24">
        <v>0.98956646428760775</v>
      </c>
      <c r="H1605" s="24">
        <v>0.99529580152196973</v>
      </c>
      <c r="I1605" s="25">
        <v>1.0127021666719835</v>
      </c>
      <c r="L1605" s="15">
        <v>1603</v>
      </c>
      <c r="M1605" s="16">
        <v>1</v>
      </c>
      <c r="N1605" s="16">
        <v>2</v>
      </c>
      <c r="O1605" s="16">
        <v>2</v>
      </c>
      <c r="P1605" s="16">
        <v>19</v>
      </c>
      <c r="Q1605" s="29">
        <v>32</v>
      </c>
      <c r="R1605" s="20">
        <v>0.62360000000000004</v>
      </c>
      <c r="S1605" s="32">
        <v>19.955200000000001</v>
      </c>
      <c r="T1605" s="35">
        <v>4.09</v>
      </c>
      <c r="U1605" s="35">
        <v>3.73</v>
      </c>
      <c r="V1605" s="35">
        <v>0.1278125</v>
      </c>
      <c r="W1605" s="9" t="s">
        <v>155</v>
      </c>
      <c r="X1605" s="15">
        <v>1604</v>
      </c>
      <c r="Y1605" s="39">
        <v>0.50793999659292544</v>
      </c>
      <c r="Z1605" s="39">
        <v>0.47824571397079185</v>
      </c>
      <c r="AA1605" s="39">
        <v>0.48012362446077511</v>
      </c>
      <c r="AB1605" s="39">
        <v>0.4808439979406095</v>
      </c>
      <c r="AC1605" s="39">
        <v>0.50009328516967289</v>
      </c>
      <c r="AD1605" s="39">
        <v>0.47464193641439612</v>
      </c>
      <c r="AE1605" s="39">
        <v>0.47532895205109243</v>
      </c>
      <c r="AF1605" s="40">
        <v>0.47609365552571375</v>
      </c>
    </row>
    <row r="1606" spans="1:32">
      <c r="A1606" s="15">
        <v>1604</v>
      </c>
      <c r="B1606" s="16">
        <v>1</v>
      </c>
      <c r="C1606" s="20">
        <v>7.0000000000000007E-2</v>
      </c>
      <c r="D1606" s="20">
        <v>0.96088621919315864</v>
      </c>
      <c r="E1606" s="20">
        <v>0.49</v>
      </c>
      <c r="F1606" s="8" t="s">
        <v>436</v>
      </c>
      <c r="G1606" s="24">
        <v>1.2094626943866229</v>
      </c>
      <c r="H1606" s="24">
        <v>1.2164651746631847</v>
      </c>
      <c r="I1606" s="25">
        <v>1.2377394902888348</v>
      </c>
      <c r="L1606" s="15">
        <v>1604</v>
      </c>
      <c r="M1606" s="16">
        <v>1</v>
      </c>
      <c r="N1606" s="16">
        <v>2</v>
      </c>
      <c r="O1606" s="16">
        <v>2</v>
      </c>
      <c r="P1606" s="16">
        <v>20</v>
      </c>
      <c r="Q1606" s="29">
        <v>38</v>
      </c>
      <c r="R1606" s="20">
        <v>0.62360000000000004</v>
      </c>
      <c r="S1606" s="32">
        <v>23.696800000000003</v>
      </c>
      <c r="T1606" s="35">
        <v>1.8</v>
      </c>
      <c r="U1606" s="35">
        <v>1.27</v>
      </c>
      <c r="V1606" s="35">
        <v>4.736842105263158E-2</v>
      </c>
      <c r="W1606" s="9" t="s">
        <v>153</v>
      </c>
      <c r="X1606" s="15">
        <v>1605</v>
      </c>
      <c r="Y1606" s="39">
        <v>0.4943681043183823</v>
      </c>
      <c r="Z1606" s="39">
        <v>0.48548122793983983</v>
      </c>
      <c r="AA1606" s="39">
        <v>0.49420634700884958</v>
      </c>
      <c r="AB1606" s="39">
        <v>0.48392478917102222</v>
      </c>
      <c r="AC1606" s="39">
        <v>0.485045122547893</v>
      </c>
      <c r="AD1606" s="39">
        <v>0.48021906157514016</v>
      </c>
      <c r="AE1606" s="39">
        <v>0.48598140455690875</v>
      </c>
      <c r="AF1606" s="40">
        <v>0.47959172880931861</v>
      </c>
    </row>
    <row r="1607" spans="1:32">
      <c r="A1607" s="15">
        <v>1605</v>
      </c>
      <c r="B1607" s="16">
        <v>0</v>
      </c>
      <c r="C1607" s="20">
        <v>0.02</v>
      </c>
      <c r="D1607" s="20">
        <v>0.99756714174924133</v>
      </c>
      <c r="E1607" s="20">
        <v>1</v>
      </c>
      <c r="F1607" s="8" t="s">
        <v>436</v>
      </c>
      <c r="G1607" s="24">
        <v>0.9314076504645008</v>
      </c>
      <c r="H1607" s="24">
        <v>0.93680026301227703</v>
      </c>
      <c r="I1607" s="25">
        <v>0.95318362103075316</v>
      </c>
      <c r="L1607" s="15">
        <v>1605</v>
      </c>
      <c r="M1607" s="16">
        <v>1</v>
      </c>
      <c r="N1607" s="16">
        <v>2</v>
      </c>
      <c r="O1607" s="16">
        <v>2</v>
      </c>
      <c r="P1607" s="16">
        <v>21</v>
      </c>
      <c r="Q1607" s="29">
        <v>44</v>
      </c>
      <c r="R1607" s="20">
        <v>0.62360000000000004</v>
      </c>
      <c r="S1607" s="32">
        <v>27.438400000000001</v>
      </c>
      <c r="T1607" s="35">
        <v>2.68</v>
      </c>
      <c r="U1607" s="35">
        <v>1.94</v>
      </c>
      <c r="V1607" s="35">
        <v>6.0909090909090913E-2</v>
      </c>
      <c r="W1607" s="9" t="s">
        <v>154</v>
      </c>
      <c r="X1607" s="15">
        <v>1606</v>
      </c>
      <c r="Y1607" s="39">
        <v>0.48236390865262102</v>
      </c>
      <c r="Z1607" s="39">
        <v>0.48215761511914756</v>
      </c>
      <c r="AA1607" s="39">
        <v>0.47575961230812475</v>
      </c>
      <c r="AB1607" s="39">
        <v>0.48122446332221608</v>
      </c>
      <c r="AC1607" s="39">
        <v>0.47659253043682875</v>
      </c>
      <c r="AD1607" s="39">
        <v>0.47565362157067276</v>
      </c>
      <c r="AE1607" s="39">
        <v>0.4684202891394722</v>
      </c>
      <c r="AF1607" s="40">
        <v>0.4822982470689019</v>
      </c>
    </row>
    <row r="1608" spans="1:32">
      <c r="A1608" s="15">
        <v>1606</v>
      </c>
      <c r="B1608" s="16">
        <v>0</v>
      </c>
      <c r="C1608" s="20">
        <v>0.93</v>
      </c>
      <c r="D1608" s="20">
        <v>0.18747949848141848</v>
      </c>
      <c r="E1608" s="20">
        <v>7.0000000000000007E-2</v>
      </c>
      <c r="F1608" s="8" t="s">
        <v>434</v>
      </c>
      <c r="G1608" s="24">
        <v>0.48262212515082697</v>
      </c>
      <c r="H1608" s="24">
        <v>0.48541638406272752</v>
      </c>
      <c r="I1608" s="25">
        <v>0.49390565410473386</v>
      </c>
      <c r="L1608" s="15">
        <v>1606</v>
      </c>
      <c r="M1608" s="16">
        <v>1</v>
      </c>
      <c r="N1608" s="16">
        <v>2</v>
      </c>
      <c r="O1608" s="16">
        <v>2</v>
      </c>
      <c r="P1608" s="16">
        <v>22</v>
      </c>
      <c r="Q1608" s="29">
        <v>39</v>
      </c>
      <c r="R1608" s="20">
        <v>0.62360000000000004</v>
      </c>
      <c r="S1608" s="32">
        <v>24.320400000000003</v>
      </c>
      <c r="T1608" s="35">
        <v>1.1300000000000001</v>
      </c>
      <c r="U1608" s="35">
        <v>0.44</v>
      </c>
      <c r="V1608" s="35">
        <v>2.8974358974358978E-2</v>
      </c>
      <c r="W1608" s="9" t="s">
        <v>153</v>
      </c>
      <c r="X1608" s="15">
        <v>1607</v>
      </c>
      <c r="Y1608" s="39">
        <v>0.48800977179818694</v>
      </c>
      <c r="Z1608" s="39">
        <v>0.47815007705517104</v>
      </c>
      <c r="AA1608" s="39">
        <v>0.48749118378952666</v>
      </c>
      <c r="AB1608" s="39">
        <v>0.49526507638458334</v>
      </c>
      <c r="AC1608" s="39">
        <v>0.48304062030890954</v>
      </c>
      <c r="AD1608" s="39">
        <v>0.46929941313244428</v>
      </c>
      <c r="AE1608" s="39">
        <v>0.48103017875836673</v>
      </c>
      <c r="AF1608" s="40">
        <v>0.49143543107515125</v>
      </c>
    </row>
    <row r="1609" spans="1:32">
      <c r="A1609" s="15">
        <v>1607</v>
      </c>
      <c r="B1609" s="16">
        <v>1</v>
      </c>
      <c r="C1609" s="20">
        <v>0.05</v>
      </c>
      <c r="D1609" s="20">
        <v>0.95738048058835201</v>
      </c>
      <c r="E1609" s="20">
        <v>0.47</v>
      </c>
      <c r="F1609" s="8" t="s">
        <v>436</v>
      </c>
      <c r="G1609" s="24">
        <v>1.0761013392131642</v>
      </c>
      <c r="H1609" s="24">
        <v>1.0823316912847043</v>
      </c>
      <c r="I1609" s="25">
        <v>1.1012601953566845</v>
      </c>
      <c r="L1609" s="15">
        <v>1607</v>
      </c>
      <c r="M1609" s="16">
        <v>1</v>
      </c>
      <c r="N1609" s="16">
        <v>2</v>
      </c>
      <c r="O1609" s="16">
        <v>2</v>
      </c>
      <c r="P1609" s="16">
        <v>23</v>
      </c>
      <c r="Q1609" s="29">
        <v>26</v>
      </c>
      <c r="R1609" s="20">
        <v>0.62360000000000004</v>
      </c>
      <c r="S1609" s="32">
        <v>16.2136</v>
      </c>
      <c r="T1609" s="35">
        <v>1.78</v>
      </c>
      <c r="U1609" s="35">
        <v>1.33</v>
      </c>
      <c r="V1609" s="35">
        <v>6.8461538461538463E-2</v>
      </c>
      <c r="W1609" s="9" t="s">
        <v>153</v>
      </c>
      <c r="X1609" s="15">
        <v>1608</v>
      </c>
      <c r="Y1609" s="39">
        <v>0.48681555590536058</v>
      </c>
      <c r="Z1609" s="39">
        <v>0.48466066886913733</v>
      </c>
      <c r="AA1609" s="39">
        <v>0.48020578182804724</v>
      </c>
      <c r="AB1609" s="39">
        <v>0.48432842070577958</v>
      </c>
      <c r="AC1609" s="39">
        <v>0.47954948654857954</v>
      </c>
      <c r="AD1609" s="39">
        <v>0.47717324190153459</v>
      </c>
      <c r="AE1609" s="39">
        <v>0.47340336488872153</v>
      </c>
      <c r="AF1609" s="40">
        <v>0.47867865005647908</v>
      </c>
    </row>
    <row r="1610" spans="1:32">
      <c r="A1610" s="15">
        <v>1608</v>
      </c>
      <c r="B1610" s="16">
        <v>0</v>
      </c>
      <c r="C1610" s="20">
        <v>0.92</v>
      </c>
      <c r="D1610" s="20">
        <v>0.20258497911151899</v>
      </c>
      <c r="E1610" s="20">
        <v>0.08</v>
      </c>
      <c r="F1610" s="8" t="s">
        <v>434</v>
      </c>
      <c r="G1610" s="24">
        <v>0.55624059034342754</v>
      </c>
      <c r="H1610" s="24">
        <v>0.55946108137715755</v>
      </c>
      <c r="I1610" s="25">
        <v>0.56924529211609676</v>
      </c>
      <c r="L1610" s="15">
        <v>1608</v>
      </c>
      <c r="M1610" s="16">
        <v>1</v>
      </c>
      <c r="N1610" s="16">
        <v>2</v>
      </c>
      <c r="O1610" s="16">
        <v>2</v>
      </c>
      <c r="P1610" s="16">
        <v>24</v>
      </c>
      <c r="Q1610" s="29">
        <v>36</v>
      </c>
      <c r="R1610" s="20">
        <v>0.62360000000000004</v>
      </c>
      <c r="S1610" s="32">
        <v>22.4496</v>
      </c>
      <c r="T1610" s="35">
        <v>1.6300000000000001</v>
      </c>
      <c r="U1610" s="35">
        <v>1.03</v>
      </c>
      <c r="V1610" s="35">
        <v>4.5277777777777778E-2</v>
      </c>
      <c r="W1610" s="9" t="s">
        <v>153</v>
      </c>
      <c r="X1610" s="15">
        <v>1609</v>
      </c>
      <c r="Y1610" s="39">
        <v>0.49308511032886132</v>
      </c>
      <c r="Z1610" s="39">
        <v>0.49237384080816138</v>
      </c>
      <c r="AA1610" s="39">
        <v>0.49118962816176576</v>
      </c>
      <c r="AB1610" s="39">
        <v>0.48266581202012254</v>
      </c>
      <c r="AC1610" s="39">
        <v>0.4845554020640746</v>
      </c>
      <c r="AD1610" s="39">
        <v>0.4837953091245511</v>
      </c>
      <c r="AE1610" s="39">
        <v>0.4835004340558629</v>
      </c>
      <c r="AF1610" s="40">
        <v>0.47872527107699747</v>
      </c>
    </row>
    <row r="1611" spans="1:32">
      <c r="A1611" s="15">
        <v>1609</v>
      </c>
      <c r="B1611" s="16">
        <v>1</v>
      </c>
      <c r="C1611" s="20">
        <v>0.02</v>
      </c>
      <c r="D1611" s="20">
        <v>0.99917029198757767</v>
      </c>
      <c r="E1611" s="20">
        <v>1</v>
      </c>
      <c r="F1611" s="8" t="s">
        <v>436</v>
      </c>
      <c r="G1611" s="24">
        <v>1.1021170821511539</v>
      </c>
      <c r="H1611" s="24">
        <v>1.1084980587336017</v>
      </c>
      <c r="I1611" s="25">
        <v>1.1278841768593826</v>
      </c>
      <c r="L1611" s="15">
        <v>1609</v>
      </c>
      <c r="M1611" s="16">
        <v>1</v>
      </c>
      <c r="N1611" s="16">
        <v>2</v>
      </c>
      <c r="O1611" s="16">
        <v>2</v>
      </c>
      <c r="P1611" s="16">
        <v>25</v>
      </c>
      <c r="Q1611" s="29">
        <v>38</v>
      </c>
      <c r="R1611" s="20">
        <v>0.62360000000000004</v>
      </c>
      <c r="S1611" s="32">
        <v>23.696800000000003</v>
      </c>
      <c r="T1611" s="35">
        <v>1.84</v>
      </c>
      <c r="U1611" s="35">
        <v>1.32</v>
      </c>
      <c r="V1611" s="35">
        <v>4.8421052631578948E-2</v>
      </c>
      <c r="W1611" s="9" t="s">
        <v>153</v>
      </c>
      <c r="X1611" s="15">
        <v>1610</v>
      </c>
      <c r="Y1611" s="39">
        <v>0.48427939957549965</v>
      </c>
      <c r="Z1611" s="39">
        <v>0.48789323369154297</v>
      </c>
      <c r="AA1611" s="39">
        <v>0.48067028979738363</v>
      </c>
      <c r="AB1611" s="39">
        <v>0.49393407351164037</v>
      </c>
      <c r="AC1611" s="39">
        <v>0.47817883213025847</v>
      </c>
      <c r="AD1611" s="39">
        <v>0.47944182120297085</v>
      </c>
      <c r="AE1611" s="39">
        <v>0.47474923045476669</v>
      </c>
      <c r="AF1611" s="40">
        <v>0.49061620818544599</v>
      </c>
    </row>
    <row r="1612" spans="1:32">
      <c r="A1612" s="15">
        <v>1610</v>
      </c>
      <c r="B1612" s="16">
        <v>0</v>
      </c>
      <c r="C1612" s="20">
        <v>0.86</v>
      </c>
      <c r="D1612" s="20">
        <v>0.28597383862931031</v>
      </c>
      <c r="E1612" s="20">
        <v>0.14000000000000001</v>
      </c>
      <c r="F1612" s="8" t="s">
        <v>434</v>
      </c>
      <c r="G1612" s="24">
        <v>2.6046550712932119</v>
      </c>
      <c r="H1612" s="24">
        <v>2.3557193791407478</v>
      </c>
      <c r="I1612" s="25">
        <v>1.6578926537592125</v>
      </c>
      <c r="L1612" s="15">
        <v>1610</v>
      </c>
      <c r="M1612" s="16">
        <v>1</v>
      </c>
      <c r="N1612" s="16">
        <v>2</v>
      </c>
      <c r="O1612" s="16">
        <v>2</v>
      </c>
      <c r="P1612" s="16">
        <v>26</v>
      </c>
      <c r="Q1612" s="29">
        <v>37</v>
      </c>
      <c r="R1612" s="20">
        <v>0.62360000000000004</v>
      </c>
      <c r="S1612" s="32">
        <v>23.0732</v>
      </c>
      <c r="T1612" s="35">
        <v>1.75</v>
      </c>
      <c r="U1612" s="35">
        <v>1.26</v>
      </c>
      <c r="V1612" s="35">
        <v>4.72972972972973E-2</v>
      </c>
      <c r="W1612" s="9" t="s">
        <v>153</v>
      </c>
      <c r="X1612" s="15">
        <v>1611</v>
      </c>
      <c r="Y1612" s="39">
        <v>0.48445358265127092</v>
      </c>
      <c r="Z1612" s="39">
        <v>0.46724059606490181</v>
      </c>
      <c r="AA1612" s="39">
        <v>0.4831115281426186</v>
      </c>
      <c r="AB1612" s="39">
        <v>0.49314035650010368</v>
      </c>
      <c r="AC1612" s="39">
        <v>0.47897153630556599</v>
      </c>
      <c r="AD1612" s="39">
        <v>0.46295320664761369</v>
      </c>
      <c r="AE1612" s="39">
        <v>0.47780430808318475</v>
      </c>
      <c r="AF1612" s="40">
        <v>0.48837292365245344</v>
      </c>
    </row>
    <row r="1613" spans="1:32">
      <c r="A1613" s="15">
        <v>1611</v>
      </c>
      <c r="B1613" s="16">
        <v>1</v>
      </c>
      <c r="C1613" s="20">
        <v>0.34</v>
      </c>
      <c r="D1613" s="20">
        <v>0.59995452663364379</v>
      </c>
      <c r="E1613" s="20">
        <v>0.11</v>
      </c>
      <c r="F1613" s="8" t="s">
        <v>436</v>
      </c>
      <c r="G1613" s="24">
        <v>1.299623246404946</v>
      </c>
      <c r="H1613" s="24">
        <v>1.3071477332635733</v>
      </c>
      <c r="I1613" s="25">
        <v>1.3300079630720441</v>
      </c>
      <c r="L1613" s="15">
        <v>1611</v>
      </c>
      <c r="M1613" s="16">
        <v>1</v>
      </c>
      <c r="N1613" s="16">
        <v>2</v>
      </c>
      <c r="O1613" s="16">
        <v>2</v>
      </c>
      <c r="P1613" s="16">
        <v>27</v>
      </c>
      <c r="Q1613" s="29">
        <v>41</v>
      </c>
      <c r="R1613" s="20">
        <v>0.62360000000000004</v>
      </c>
      <c r="S1613" s="32">
        <v>25.567600000000002</v>
      </c>
      <c r="T1613" s="35">
        <v>2.31</v>
      </c>
      <c r="U1613" s="35">
        <v>1.72</v>
      </c>
      <c r="V1613" s="35">
        <v>5.6341463414634148E-2</v>
      </c>
      <c r="W1613" s="9" t="s">
        <v>154</v>
      </c>
      <c r="X1613" s="15">
        <v>1612</v>
      </c>
      <c r="Y1613" s="39">
        <v>0.48618667742380262</v>
      </c>
      <c r="Z1613" s="39">
        <v>0.49242240558051664</v>
      </c>
      <c r="AA1613" s="39">
        <v>0.48675913088427808</v>
      </c>
      <c r="AB1613" s="39">
        <v>0.50134234345330897</v>
      </c>
      <c r="AC1613" s="39">
        <v>0.47993745266584387</v>
      </c>
      <c r="AD1613" s="39">
        <v>0.48574284565718762</v>
      </c>
      <c r="AE1613" s="39">
        <v>0.47897919617475404</v>
      </c>
      <c r="AF1613" s="40">
        <v>0.49666525556602231</v>
      </c>
    </row>
    <row r="1614" spans="1:32">
      <c r="A1614" s="15">
        <v>1612</v>
      </c>
      <c r="B1614" s="16">
        <v>1</v>
      </c>
      <c r="C1614" s="20">
        <v>0.02</v>
      </c>
      <c r="D1614" s="20">
        <v>0.99917029198757767</v>
      </c>
      <c r="E1614" s="20">
        <v>1</v>
      </c>
      <c r="F1614" s="8" t="s">
        <v>436</v>
      </c>
      <c r="G1614" s="24">
        <v>1.1216452105518748</v>
      </c>
      <c r="H1614" s="24">
        <v>1.1281392500130696</v>
      </c>
      <c r="I1614" s="25">
        <v>1.1478688657672627</v>
      </c>
      <c r="L1614" s="15">
        <v>1612</v>
      </c>
      <c r="M1614" s="16">
        <v>1</v>
      </c>
      <c r="N1614" s="16">
        <v>2</v>
      </c>
      <c r="O1614" s="16">
        <v>2</v>
      </c>
      <c r="P1614" s="16">
        <v>28</v>
      </c>
      <c r="Q1614" s="29">
        <v>39</v>
      </c>
      <c r="R1614" s="20">
        <v>0.62360000000000004</v>
      </c>
      <c r="S1614" s="32">
        <v>24.320400000000003</v>
      </c>
      <c r="T1614" s="35">
        <v>2.0499999999999998</v>
      </c>
      <c r="U1614" s="35">
        <v>1.49</v>
      </c>
      <c r="V1614" s="35">
        <v>5.2564102564102558E-2</v>
      </c>
      <c r="W1614" s="9" t="s">
        <v>154</v>
      </c>
      <c r="X1614" s="15">
        <v>1613</v>
      </c>
      <c r="Y1614" s="39">
        <v>0.48770460819360734</v>
      </c>
      <c r="Z1614" s="39">
        <v>0.48755773156224713</v>
      </c>
      <c r="AA1614" s="39">
        <v>0.48261845454851454</v>
      </c>
      <c r="AB1614" s="39">
        <v>0.48431501881155936</v>
      </c>
      <c r="AC1614" s="39">
        <v>0.47912120265667174</v>
      </c>
      <c r="AD1614" s="39">
        <v>0.47976238945473348</v>
      </c>
      <c r="AE1614" s="39">
        <v>0.47664948055908224</v>
      </c>
      <c r="AF1614" s="40">
        <v>0.48073344693912212</v>
      </c>
    </row>
    <row r="1615" spans="1:32">
      <c r="A1615" s="15">
        <v>1613</v>
      </c>
      <c r="B1615" s="16">
        <v>0</v>
      </c>
      <c r="C1615" s="20">
        <v>0.59</v>
      </c>
      <c r="D1615" s="20">
        <v>0.46338792631152276</v>
      </c>
      <c r="E1615" s="20">
        <v>0.12</v>
      </c>
      <c r="F1615" s="8" t="s">
        <v>438</v>
      </c>
      <c r="G1615" s="24">
        <v>0.50389079065739073</v>
      </c>
      <c r="H1615" s="24">
        <v>0.50680818971359642</v>
      </c>
      <c r="I1615" s="25">
        <v>0.51567157324006418</v>
      </c>
      <c r="L1615" s="15">
        <v>1613</v>
      </c>
      <c r="M1615" s="16">
        <v>1</v>
      </c>
      <c r="N1615" s="16">
        <v>2</v>
      </c>
      <c r="O1615" s="16">
        <v>2</v>
      </c>
      <c r="P1615" s="16">
        <v>29</v>
      </c>
      <c r="Q1615" s="29">
        <v>40</v>
      </c>
      <c r="R1615" s="20">
        <v>0.62360000000000004</v>
      </c>
      <c r="S1615" s="32">
        <v>24.944000000000003</v>
      </c>
      <c r="T1615" s="35">
        <v>1.61</v>
      </c>
      <c r="U1615" s="35">
        <v>1.02</v>
      </c>
      <c r="V1615" s="35">
        <v>4.0250000000000001E-2</v>
      </c>
      <c r="W1615" s="9" t="s">
        <v>153</v>
      </c>
      <c r="X1615" s="15">
        <v>1614</v>
      </c>
      <c r="Y1615" s="39">
        <v>0.49044413708256202</v>
      </c>
      <c r="Z1615" s="39">
        <v>0.4926976127731677</v>
      </c>
      <c r="AA1615" s="39">
        <v>0.47905514053238929</v>
      </c>
      <c r="AB1615" s="39">
        <v>0.49281644929312007</v>
      </c>
      <c r="AC1615" s="39">
        <v>0.48132549857610613</v>
      </c>
      <c r="AD1615" s="39">
        <v>0.48258341494349682</v>
      </c>
      <c r="AE1615" s="39">
        <v>0.47081891364742839</v>
      </c>
      <c r="AF1615" s="40">
        <v>0.48820151967121678</v>
      </c>
    </row>
    <row r="1616" spans="1:32">
      <c r="A1616" s="15">
        <v>1614</v>
      </c>
      <c r="B1616" s="16">
        <v>1</v>
      </c>
      <c r="C1616" s="20">
        <v>0.91</v>
      </c>
      <c r="D1616" s="20">
        <v>0.21727233298780477</v>
      </c>
      <c r="E1616" s="20">
        <v>0.09</v>
      </c>
      <c r="F1616" s="8" t="s">
        <v>434</v>
      </c>
      <c r="G1616" s="24">
        <v>0.67533856145377735</v>
      </c>
      <c r="H1616" s="24">
        <v>0.67924859933963389</v>
      </c>
      <c r="I1616" s="25">
        <v>0.69112773027705099</v>
      </c>
      <c r="L1616" s="15">
        <v>1614</v>
      </c>
      <c r="M1616" s="16">
        <v>1</v>
      </c>
      <c r="N1616" s="16">
        <v>2</v>
      </c>
      <c r="O1616" s="16">
        <v>2</v>
      </c>
      <c r="P1616" s="16">
        <v>30</v>
      </c>
      <c r="Q1616" s="29">
        <v>41</v>
      </c>
      <c r="R1616" s="20">
        <v>0.62360000000000004</v>
      </c>
      <c r="S1616" s="32">
        <v>25.567600000000002</v>
      </c>
      <c r="T1616" s="35">
        <v>3.18</v>
      </c>
      <c r="U1616" s="35">
        <v>2.56</v>
      </c>
      <c r="V1616" s="35">
        <v>7.7560975609756097E-2</v>
      </c>
      <c r="W1616" s="9" t="s">
        <v>155</v>
      </c>
      <c r="X1616" s="15">
        <v>1615</v>
      </c>
      <c r="Y1616" s="39">
        <v>0.49002924954442639</v>
      </c>
      <c r="Z1616" s="39">
        <v>0.48442466794530487</v>
      </c>
      <c r="AA1616" s="39">
        <v>0.50303247230079995</v>
      </c>
      <c r="AB1616" s="39">
        <v>0.49896762838263514</v>
      </c>
      <c r="AC1616" s="39">
        <v>0.48355445013322967</v>
      </c>
      <c r="AD1616" s="39">
        <v>0.47667708119422214</v>
      </c>
      <c r="AE1616" s="39">
        <v>0.49524304149288034</v>
      </c>
      <c r="AF1616" s="40">
        <v>0.49362603439025532</v>
      </c>
    </row>
    <row r="1617" spans="1:32">
      <c r="A1617" s="15">
        <v>1615</v>
      </c>
      <c r="B1617" s="16">
        <v>0</v>
      </c>
      <c r="C1617" s="20">
        <v>0.17</v>
      </c>
      <c r="D1617" s="20">
        <v>0.8616410671524356</v>
      </c>
      <c r="E1617" s="20">
        <v>0.06</v>
      </c>
      <c r="F1617" s="8" t="s">
        <v>436</v>
      </c>
      <c r="G1617" s="24">
        <v>1.00345067246671</v>
      </c>
      <c r="H1617" s="24">
        <v>1.0092603957223865</v>
      </c>
      <c r="I1617" s="25">
        <v>1.0269109825655416</v>
      </c>
      <c r="L1617" s="15">
        <v>1615</v>
      </c>
      <c r="M1617" s="16">
        <v>1</v>
      </c>
      <c r="N1617" s="16">
        <v>2</v>
      </c>
      <c r="O1617" s="16">
        <v>2</v>
      </c>
      <c r="P1617" s="16">
        <v>31</v>
      </c>
      <c r="Q1617" s="29">
        <v>40</v>
      </c>
      <c r="R1617" s="20">
        <v>0.62360000000000004</v>
      </c>
      <c r="S1617" s="32">
        <v>24.944000000000003</v>
      </c>
      <c r="T1617" s="35">
        <v>3.83</v>
      </c>
      <c r="U1617" s="35">
        <v>3.38</v>
      </c>
      <c r="V1617" s="35">
        <v>9.5750000000000002E-2</v>
      </c>
      <c r="W1617" s="9" t="s">
        <v>155</v>
      </c>
      <c r="X1617" s="15">
        <v>1616</v>
      </c>
      <c r="Y1617" s="39">
        <v>0.48776986300091491</v>
      </c>
      <c r="Z1617" s="39">
        <v>0.47813913259457796</v>
      </c>
      <c r="AA1617" s="39">
        <v>0.49338312539789253</v>
      </c>
      <c r="AB1617" s="39">
        <v>0.50171329592617309</v>
      </c>
      <c r="AC1617" s="39">
        <v>0.48309436557969598</v>
      </c>
      <c r="AD1617" s="39">
        <v>0.47192850365594813</v>
      </c>
      <c r="AE1617" s="39">
        <v>0.48548029939761256</v>
      </c>
      <c r="AF1617" s="40">
        <v>0.4990222430652167</v>
      </c>
    </row>
    <row r="1618" spans="1:32">
      <c r="A1618" s="15">
        <v>1616</v>
      </c>
      <c r="B1618" s="16">
        <v>0</v>
      </c>
      <c r="C1618" s="20">
        <v>0.92</v>
      </c>
      <c r="D1618" s="20">
        <v>0.20258497911151899</v>
      </c>
      <c r="E1618" s="20">
        <v>0.08</v>
      </c>
      <c r="F1618" s="8" t="s">
        <v>434</v>
      </c>
      <c r="G1618" s="24">
        <v>0.49524260270449366</v>
      </c>
      <c r="H1618" s="24">
        <v>0.49810993095996348</v>
      </c>
      <c r="I1618" s="25">
        <v>0.50682119381255364</v>
      </c>
      <c r="L1618" s="15">
        <v>1616</v>
      </c>
      <c r="M1618" s="16">
        <v>1</v>
      </c>
      <c r="N1618" s="16">
        <v>2</v>
      </c>
      <c r="O1618" s="16">
        <v>2</v>
      </c>
      <c r="P1618" s="16">
        <v>32</v>
      </c>
      <c r="Q1618" s="29">
        <v>32</v>
      </c>
      <c r="R1618" s="20">
        <v>0.62360000000000004</v>
      </c>
      <c r="S1618" s="32">
        <v>19.955200000000001</v>
      </c>
      <c r="T1618" s="35">
        <v>0.78</v>
      </c>
      <c r="U1618" s="35">
        <v>0.32</v>
      </c>
      <c r="V1618" s="35">
        <v>2.4375000000000001E-2</v>
      </c>
      <c r="W1618" s="9" t="s">
        <v>152</v>
      </c>
      <c r="X1618" s="15">
        <v>1617</v>
      </c>
      <c r="Y1618" s="39">
        <v>0.47774246676722748</v>
      </c>
      <c r="Z1618" s="39">
        <v>0.49214367631583356</v>
      </c>
      <c r="AA1618" s="39">
        <v>0.4788674184333877</v>
      </c>
      <c r="AB1618" s="39">
        <v>0.49719169885351033</v>
      </c>
      <c r="AC1618" s="39">
        <v>0.46994903549101852</v>
      </c>
      <c r="AD1618" s="39">
        <v>0.4849226698456196</v>
      </c>
      <c r="AE1618" s="39">
        <v>0.47399662652404034</v>
      </c>
      <c r="AF1618" s="40">
        <v>0.49418644504270198</v>
      </c>
    </row>
    <row r="1619" spans="1:32">
      <c r="A1619" s="15">
        <v>1617</v>
      </c>
      <c r="B1619" s="16">
        <v>1</v>
      </c>
      <c r="C1619" s="20">
        <v>0.79</v>
      </c>
      <c r="D1619" s="20">
        <v>0.3731124369664075</v>
      </c>
      <c r="E1619" s="20">
        <v>0.21</v>
      </c>
      <c r="F1619" s="8" t="s">
        <v>438</v>
      </c>
      <c r="G1619" s="24">
        <v>0.55139732044610146</v>
      </c>
      <c r="H1619" s="24">
        <v>0.55458977018340494</v>
      </c>
      <c r="I1619" s="25">
        <v>0.56428878833812124</v>
      </c>
      <c r="L1619" s="15">
        <v>1617</v>
      </c>
      <c r="M1619" s="16">
        <v>1</v>
      </c>
      <c r="N1619" s="16">
        <v>2</v>
      </c>
      <c r="O1619" s="16">
        <v>2</v>
      </c>
      <c r="P1619" s="16">
        <v>33</v>
      </c>
      <c r="Q1619" s="29">
        <v>31</v>
      </c>
      <c r="R1619" s="20">
        <v>0.62360000000000004</v>
      </c>
      <c r="S1619" s="32">
        <v>19.331600000000002</v>
      </c>
      <c r="T1619" s="35">
        <v>0.5</v>
      </c>
      <c r="U1619" s="35">
        <v>0.08</v>
      </c>
      <c r="V1619" s="35">
        <v>1.6129032258064516E-2</v>
      </c>
      <c r="W1619" s="9" t="s">
        <v>152</v>
      </c>
      <c r="X1619" s="15">
        <v>1618</v>
      </c>
      <c r="Y1619" s="39">
        <v>0.49364798346829503</v>
      </c>
      <c r="Z1619" s="39">
        <v>0.4953141638612088</v>
      </c>
      <c r="AA1619" s="39">
        <v>0.49260122545260249</v>
      </c>
      <c r="AB1619" s="39">
        <v>0.48613133008674581</v>
      </c>
      <c r="AC1619" s="39">
        <v>0.4875904992908266</v>
      </c>
      <c r="AD1619" s="39">
        <v>0.48653360191519518</v>
      </c>
      <c r="AE1619" s="39">
        <v>0.48511090380203392</v>
      </c>
      <c r="AF1619" s="40">
        <v>0.48120249095992246</v>
      </c>
    </row>
    <row r="1620" spans="1:32">
      <c r="A1620" s="15">
        <v>1618</v>
      </c>
      <c r="B1620" s="16">
        <v>1</v>
      </c>
      <c r="C1620" s="20">
        <v>0.02</v>
      </c>
      <c r="D1620" s="20">
        <v>0.99756714174924133</v>
      </c>
      <c r="E1620" s="20">
        <v>1</v>
      </c>
      <c r="F1620" s="8" t="s">
        <v>436</v>
      </c>
      <c r="G1620" s="24">
        <v>1.0920743348340707</v>
      </c>
      <c r="H1620" s="24">
        <v>1.0983971664730352</v>
      </c>
      <c r="I1620" s="25">
        <v>1.1176066337792712</v>
      </c>
      <c r="L1620" s="15">
        <v>1618</v>
      </c>
      <c r="M1620" s="16">
        <v>1</v>
      </c>
      <c r="N1620" s="16">
        <v>2</v>
      </c>
      <c r="O1620" s="16">
        <v>3</v>
      </c>
      <c r="P1620" s="16">
        <v>34</v>
      </c>
      <c r="Q1620" s="29">
        <v>22</v>
      </c>
      <c r="R1620" s="20">
        <v>0.62360000000000004</v>
      </c>
      <c r="S1620" s="32">
        <v>13.719200000000001</v>
      </c>
      <c r="T1620" s="35">
        <v>1.05</v>
      </c>
      <c r="U1620" s="35">
        <v>0.66</v>
      </c>
      <c r="V1620" s="35">
        <v>4.7727272727272729E-2</v>
      </c>
      <c r="W1620" s="9" t="s">
        <v>153</v>
      </c>
      <c r="X1620" s="15">
        <v>1619</v>
      </c>
      <c r="Y1620" s="39">
        <v>0.47963772067953375</v>
      </c>
      <c r="Z1620" s="39">
        <v>0.48966622741981491</v>
      </c>
      <c r="AA1620" s="39">
        <v>0.47998317424061004</v>
      </c>
      <c r="AB1620" s="39">
        <v>0.50628455175408849</v>
      </c>
      <c r="AC1620" s="39">
        <v>0.47343653951259801</v>
      </c>
      <c r="AD1620" s="39">
        <v>0.4816728282611617</v>
      </c>
      <c r="AE1620" s="39">
        <v>0.47120180114914939</v>
      </c>
      <c r="AF1620" s="40">
        <v>0.50394239597794699</v>
      </c>
    </row>
    <row r="1621" spans="1:32">
      <c r="A1621" s="15">
        <v>1619</v>
      </c>
      <c r="B1621" s="16">
        <v>0</v>
      </c>
      <c r="C1621" s="20">
        <v>0.75</v>
      </c>
      <c r="D1621" s="20">
        <v>0.42039246956041465</v>
      </c>
      <c r="E1621" s="20">
        <v>0.25</v>
      </c>
      <c r="F1621" s="8" t="s">
        <v>438</v>
      </c>
      <c r="G1621" s="24">
        <v>0.52478229030592838</v>
      </c>
      <c r="H1621" s="24">
        <v>0.52782064581239563</v>
      </c>
      <c r="I1621" s="25">
        <v>0.53705150851741001</v>
      </c>
      <c r="L1621" s="15">
        <v>1619</v>
      </c>
      <c r="M1621" s="16">
        <v>1</v>
      </c>
      <c r="N1621" s="16">
        <v>2</v>
      </c>
      <c r="O1621" s="16">
        <v>3</v>
      </c>
      <c r="P1621" s="16">
        <v>35</v>
      </c>
      <c r="Q1621" s="29">
        <v>26</v>
      </c>
      <c r="R1621" s="20">
        <v>0.62360000000000004</v>
      </c>
      <c r="S1621" s="32">
        <v>16.2136</v>
      </c>
      <c r="T1621" s="35">
        <v>0.92</v>
      </c>
      <c r="U1621" s="35">
        <v>0.59</v>
      </c>
      <c r="V1621" s="35">
        <v>3.5384615384615389E-2</v>
      </c>
      <c r="W1621" s="9" t="s">
        <v>152</v>
      </c>
      <c r="X1621" s="15">
        <v>1620</v>
      </c>
      <c r="Y1621" s="39">
        <v>0.48096043280561768</v>
      </c>
      <c r="Z1621" s="39">
        <v>0.48631635993633382</v>
      </c>
      <c r="AA1621" s="39">
        <v>0.49097579629385651</v>
      </c>
      <c r="AB1621" s="39">
        <v>0.47494049306697766</v>
      </c>
      <c r="AC1621" s="39">
        <v>0.47480718446745446</v>
      </c>
      <c r="AD1621" s="39">
        <v>0.47953401137020729</v>
      </c>
      <c r="AE1621" s="39">
        <v>0.4849258521146198</v>
      </c>
      <c r="AF1621" s="40">
        <v>0.4714179094160707</v>
      </c>
    </row>
    <row r="1622" spans="1:32">
      <c r="A1622" s="15">
        <v>1620</v>
      </c>
      <c r="B1622" s="16">
        <v>1</v>
      </c>
      <c r="C1622" s="20">
        <v>0.09</v>
      </c>
      <c r="D1622" s="20">
        <v>0.9233314384632868</v>
      </c>
      <c r="E1622" s="20">
        <v>0.48</v>
      </c>
      <c r="F1622" s="8" t="s">
        <v>436</v>
      </c>
      <c r="G1622" s="24">
        <v>0.95964193445018731</v>
      </c>
      <c r="H1622" s="24">
        <v>0.96519801629523927</v>
      </c>
      <c r="I1622" s="25">
        <v>0.98207801226027103</v>
      </c>
      <c r="L1622" s="15">
        <v>1620</v>
      </c>
      <c r="M1622" s="16">
        <v>1</v>
      </c>
      <c r="N1622" s="16">
        <v>2</v>
      </c>
      <c r="O1622" s="16">
        <v>3</v>
      </c>
      <c r="P1622" s="16">
        <v>36</v>
      </c>
      <c r="Q1622" s="29">
        <v>29</v>
      </c>
      <c r="R1622" s="20">
        <v>0.62360000000000004</v>
      </c>
      <c r="S1622" s="32">
        <v>18.084400000000002</v>
      </c>
      <c r="T1622" s="35">
        <v>0.65</v>
      </c>
      <c r="U1622" s="35">
        <v>0.27</v>
      </c>
      <c r="V1622" s="35">
        <v>2.2413793103448276E-2</v>
      </c>
      <c r="W1622" s="9" t="s">
        <v>152</v>
      </c>
      <c r="X1622" s="15">
        <v>1621</v>
      </c>
      <c r="Y1622" s="39">
        <v>0.47777744076185436</v>
      </c>
      <c r="Z1622" s="39">
        <v>0.47687066021980995</v>
      </c>
      <c r="AA1622" s="39">
        <v>0.48962487316633257</v>
      </c>
      <c r="AB1622" s="39">
        <v>0.49534778109587391</v>
      </c>
      <c r="AC1622" s="39">
        <v>0.47176982133334056</v>
      </c>
      <c r="AD1622" s="39">
        <v>0.46667834623812737</v>
      </c>
      <c r="AE1622" s="39">
        <v>0.48135971005971173</v>
      </c>
      <c r="AF1622" s="40">
        <v>0.49083741365416939</v>
      </c>
    </row>
    <row r="1623" spans="1:32">
      <c r="A1623" s="15">
        <v>1621</v>
      </c>
      <c r="B1623" s="16">
        <v>0</v>
      </c>
      <c r="C1623" s="20">
        <v>0.02</v>
      </c>
      <c r="D1623" s="20">
        <v>0.99835916395484214</v>
      </c>
      <c r="E1623" s="20">
        <v>1</v>
      </c>
      <c r="F1623" s="8" t="s">
        <v>436</v>
      </c>
      <c r="G1623" s="24">
        <v>1.0692425940905341</v>
      </c>
      <c r="H1623" s="24">
        <v>1.0754332357785574</v>
      </c>
      <c r="I1623" s="25">
        <v>1.0942410952790169</v>
      </c>
      <c r="L1623" s="15">
        <v>1621</v>
      </c>
      <c r="M1623" s="16">
        <v>1</v>
      </c>
      <c r="N1623" s="16">
        <v>2</v>
      </c>
      <c r="O1623" s="16">
        <v>3</v>
      </c>
      <c r="P1623" s="16">
        <v>37</v>
      </c>
      <c r="Q1623" s="29">
        <v>27</v>
      </c>
      <c r="R1623" s="20">
        <v>0.62360000000000004</v>
      </c>
      <c r="S1623" s="32">
        <v>16.837200000000003</v>
      </c>
      <c r="T1623" s="35">
        <v>2.0900000000000003</v>
      </c>
      <c r="U1623" s="35">
        <v>1.68</v>
      </c>
      <c r="V1623" s="35">
        <v>7.7407407407407425E-2</v>
      </c>
      <c r="W1623" s="9" t="s">
        <v>154</v>
      </c>
      <c r="X1623" s="15">
        <v>1622</v>
      </c>
      <c r="Y1623" s="39">
        <v>0.47931373589237891</v>
      </c>
      <c r="Z1623" s="39">
        <v>0.48939573295269406</v>
      </c>
      <c r="AA1623" s="39">
        <v>0.4749570987754107</v>
      </c>
      <c r="AB1623" s="39">
        <v>0.49694438002063851</v>
      </c>
      <c r="AC1623" s="39">
        <v>0.47174800255442029</v>
      </c>
      <c r="AD1623" s="39">
        <v>0.48293173427755776</v>
      </c>
      <c r="AE1623" s="39">
        <v>0.46804278344094541</v>
      </c>
      <c r="AF1623" s="40">
        <v>0.49236156948159637</v>
      </c>
    </row>
    <row r="1624" spans="1:32">
      <c r="A1624" s="15">
        <v>1622</v>
      </c>
      <c r="B1624" s="16">
        <v>1</v>
      </c>
      <c r="C1624" s="20">
        <v>0.94</v>
      </c>
      <c r="D1624" s="20">
        <v>0.17188516685452584</v>
      </c>
      <c r="E1624" s="20">
        <v>0.06</v>
      </c>
      <c r="F1624" s="8" t="s">
        <v>434</v>
      </c>
      <c r="G1624" s="24">
        <v>0.70562672572844387</v>
      </c>
      <c r="H1624" s="24">
        <v>0.70971212435418174</v>
      </c>
      <c r="I1624" s="25">
        <v>0.72212402076629401</v>
      </c>
      <c r="L1624" s="15">
        <v>1622</v>
      </c>
      <c r="M1624" s="16">
        <v>1</v>
      </c>
      <c r="N1624" s="16">
        <v>2</v>
      </c>
      <c r="O1624" s="16">
        <v>3</v>
      </c>
      <c r="P1624" s="16">
        <v>38</v>
      </c>
      <c r="Q1624" s="29">
        <v>23</v>
      </c>
      <c r="R1624" s="20">
        <v>0.62360000000000004</v>
      </c>
      <c r="S1624" s="32">
        <v>14.3428</v>
      </c>
      <c r="T1624" s="35">
        <v>0.65</v>
      </c>
      <c r="U1624" s="35">
        <v>0.4</v>
      </c>
      <c r="V1624" s="35">
        <v>2.8260869565217391E-2</v>
      </c>
      <c r="W1624" s="9" t="s">
        <v>152</v>
      </c>
      <c r="X1624" s="15">
        <v>1623</v>
      </c>
      <c r="Y1624" s="39">
        <v>0.47573800107047465</v>
      </c>
      <c r="Z1624" s="39">
        <v>0.49550758686035062</v>
      </c>
      <c r="AA1624" s="39">
        <v>0.50501805882160378</v>
      </c>
      <c r="AB1624" s="39">
        <v>0.48735143168106437</v>
      </c>
      <c r="AC1624" s="39">
        <v>0.46792865299591019</v>
      </c>
      <c r="AD1624" s="39">
        <v>0.48683056975097871</v>
      </c>
      <c r="AE1624" s="39">
        <v>0.50032699192347152</v>
      </c>
      <c r="AF1624" s="40">
        <v>0.48432043037623995</v>
      </c>
    </row>
    <row r="1625" spans="1:32">
      <c r="A1625" s="15">
        <v>1623</v>
      </c>
      <c r="B1625" s="16">
        <v>1</v>
      </c>
      <c r="C1625" s="20">
        <v>0.24</v>
      </c>
      <c r="D1625" s="20">
        <v>0.83395329590219414</v>
      </c>
      <c r="E1625" s="20">
        <v>0.11</v>
      </c>
      <c r="F1625" s="8" t="s">
        <v>436</v>
      </c>
      <c r="G1625" s="24">
        <v>1.2262757014383288</v>
      </c>
      <c r="H1625" s="24">
        <v>1.2333755247340807</v>
      </c>
      <c r="I1625" s="25">
        <v>1.2549455793025639</v>
      </c>
      <c r="L1625" s="15">
        <v>1623</v>
      </c>
      <c r="M1625" s="16">
        <v>1</v>
      </c>
      <c r="N1625" s="16">
        <v>2</v>
      </c>
      <c r="O1625" s="16">
        <v>3</v>
      </c>
      <c r="P1625" s="16">
        <v>39</v>
      </c>
      <c r="Q1625" s="29">
        <v>29</v>
      </c>
      <c r="R1625" s="20">
        <v>0.62360000000000004</v>
      </c>
      <c r="S1625" s="32">
        <v>18.084400000000002</v>
      </c>
      <c r="T1625" s="35">
        <v>0.54</v>
      </c>
      <c r="U1625" s="35">
        <v>0.11</v>
      </c>
      <c r="V1625" s="35">
        <v>1.8620689655172416E-2</v>
      </c>
      <c r="W1625" s="9" t="s">
        <v>152</v>
      </c>
      <c r="X1625" s="15">
        <v>1624</v>
      </c>
      <c r="Y1625" s="39">
        <v>0.49507279251640351</v>
      </c>
      <c r="Z1625" s="39">
        <v>0.50289268299868639</v>
      </c>
      <c r="AA1625" s="39">
        <v>0.5096984818598812</v>
      </c>
      <c r="AB1625" s="39">
        <v>0.50047119822957276</v>
      </c>
      <c r="AC1625" s="39">
        <v>0.48806585527735902</v>
      </c>
      <c r="AD1625" s="39">
        <v>0.49542388426361528</v>
      </c>
      <c r="AE1625" s="39">
        <v>0.50143714308286402</v>
      </c>
      <c r="AF1625" s="40">
        <v>0.49433779885852797</v>
      </c>
    </row>
    <row r="1626" spans="1:32">
      <c r="A1626" s="15">
        <v>1624</v>
      </c>
      <c r="B1626" s="16">
        <v>0</v>
      </c>
      <c r="C1626" s="20">
        <v>0.28000000000000003</v>
      </c>
      <c r="D1626" s="20">
        <v>0.74098873182250724</v>
      </c>
      <c r="E1626" s="20">
        <v>0.04</v>
      </c>
      <c r="F1626" s="8" t="s">
        <v>436</v>
      </c>
      <c r="G1626" s="24">
        <v>0.61457335164412619</v>
      </c>
      <c r="H1626" s="24">
        <v>0.61813157447593592</v>
      </c>
      <c r="I1626" s="25">
        <v>0.62894185206339093</v>
      </c>
      <c r="L1626" s="15">
        <v>1624</v>
      </c>
      <c r="M1626" s="16">
        <v>1</v>
      </c>
      <c r="N1626" s="16">
        <v>2</v>
      </c>
      <c r="O1626" s="16">
        <v>3</v>
      </c>
      <c r="P1626" s="16">
        <v>40</v>
      </c>
      <c r="Q1626" s="29">
        <v>22</v>
      </c>
      <c r="R1626" s="20">
        <v>0.62360000000000004</v>
      </c>
      <c r="S1626" s="32">
        <v>13.719200000000001</v>
      </c>
      <c r="T1626" s="35">
        <v>1.3699999999999999</v>
      </c>
      <c r="U1626" s="35">
        <v>1.0900000000000001</v>
      </c>
      <c r="V1626" s="35">
        <v>6.2272727272727264E-2</v>
      </c>
      <c r="W1626" s="9" t="s">
        <v>153</v>
      </c>
      <c r="X1626" s="15">
        <v>1625</v>
      </c>
      <c r="Y1626" s="39">
        <v>0.47647345111584677</v>
      </c>
      <c r="Z1626" s="39">
        <v>0.49198342533721301</v>
      </c>
      <c r="AA1626" s="39">
        <v>0.48080939073460027</v>
      </c>
      <c r="AB1626" s="39">
        <v>0.4797458911877383</v>
      </c>
      <c r="AC1626" s="39">
        <v>0.46878751047712286</v>
      </c>
      <c r="AD1626" s="39">
        <v>0.48607459087995147</v>
      </c>
      <c r="AE1626" s="39">
        <v>0.47595171747593518</v>
      </c>
      <c r="AF1626" s="40">
        <v>0.47501116039143942</v>
      </c>
    </row>
    <row r="1627" spans="1:32">
      <c r="A1627" s="15">
        <v>1625</v>
      </c>
      <c r="B1627" s="16">
        <v>0</v>
      </c>
      <c r="C1627" s="20">
        <v>0.9</v>
      </c>
      <c r="D1627" s="20">
        <v>0.23159538658365303</v>
      </c>
      <c r="E1627" s="20">
        <v>0.1</v>
      </c>
      <c r="F1627" s="8" t="s">
        <v>434</v>
      </c>
      <c r="G1627" s="24">
        <v>0.40530435812951893</v>
      </c>
      <c r="H1627" s="24">
        <v>0.40765096690627489</v>
      </c>
      <c r="I1627" s="25">
        <v>0.41478022593949521</v>
      </c>
      <c r="L1627" s="15">
        <v>1625</v>
      </c>
      <c r="M1627" s="16">
        <v>1</v>
      </c>
      <c r="N1627" s="16">
        <v>2</v>
      </c>
      <c r="O1627" s="16">
        <v>3</v>
      </c>
      <c r="P1627" s="16">
        <v>41</v>
      </c>
      <c r="Q1627" s="29">
        <v>24</v>
      </c>
      <c r="R1627" s="20">
        <v>0.62360000000000004</v>
      </c>
      <c r="S1627" s="32">
        <v>14.9664</v>
      </c>
      <c r="T1627" s="35">
        <v>0.45</v>
      </c>
      <c r="U1627" s="35">
        <v>0.11</v>
      </c>
      <c r="V1627" s="35">
        <v>1.8749999999999999E-2</v>
      </c>
      <c r="W1627" s="9" t="s">
        <v>152</v>
      </c>
      <c r="X1627" s="15">
        <v>1626</v>
      </c>
      <c r="Y1627" s="39">
        <v>0.49719803350336611</v>
      </c>
      <c r="Z1627" s="39">
        <v>0.49861359536542488</v>
      </c>
      <c r="AA1627" s="39">
        <v>0.47917459008326291</v>
      </c>
      <c r="AB1627" s="39">
        <v>0.47140415094033339</v>
      </c>
      <c r="AC1627" s="39">
        <v>0.49188207977394999</v>
      </c>
      <c r="AD1627" s="39">
        <v>0.49125722007138523</v>
      </c>
      <c r="AE1627" s="39">
        <v>0.4711336513200638</v>
      </c>
      <c r="AF1627" s="40">
        <v>0.46449990858555468</v>
      </c>
    </row>
    <row r="1628" spans="1:32">
      <c r="A1628" s="15">
        <v>1626</v>
      </c>
      <c r="B1628" s="16">
        <v>1</v>
      </c>
      <c r="C1628" s="20">
        <v>0.98</v>
      </c>
      <c r="D1628" s="20">
        <v>0.10185764172235329</v>
      </c>
      <c r="E1628" s="20">
        <v>0.02</v>
      </c>
      <c r="F1628" s="8" t="s">
        <v>434</v>
      </c>
      <c r="G1628" s="24">
        <v>0.82657427939469807</v>
      </c>
      <c r="H1628" s="24">
        <v>0.83135993348344217</v>
      </c>
      <c r="I1628" s="25">
        <v>0.84589928404754122</v>
      </c>
      <c r="L1628" s="15">
        <v>1626</v>
      </c>
      <c r="M1628" s="16">
        <v>1</v>
      </c>
      <c r="N1628" s="16">
        <v>2</v>
      </c>
      <c r="O1628" s="16">
        <v>3</v>
      </c>
      <c r="P1628" s="16">
        <v>42</v>
      </c>
      <c r="Q1628" s="29">
        <v>31</v>
      </c>
      <c r="R1628" s="20">
        <v>0.62360000000000004</v>
      </c>
      <c r="S1628" s="32">
        <v>19.331600000000002</v>
      </c>
      <c r="T1628" s="35">
        <v>1.02</v>
      </c>
      <c r="U1628" s="35">
        <v>0.46</v>
      </c>
      <c r="V1628" s="35">
        <v>3.2903225806451615E-2</v>
      </c>
      <c r="W1628" s="9" t="s">
        <v>153</v>
      </c>
      <c r="X1628" s="15">
        <v>1627</v>
      </c>
      <c r="Y1628" s="39">
        <v>0.4872092609681708</v>
      </c>
      <c r="Z1628" s="39">
        <v>0.47868626613676468</v>
      </c>
      <c r="AA1628" s="39">
        <v>0.48874679943645444</v>
      </c>
      <c r="AB1628" s="39">
        <v>0.48326997132940619</v>
      </c>
      <c r="AC1628" s="39">
        <v>0.47798596503954638</v>
      </c>
      <c r="AD1628" s="39">
        <v>0.4739621757982827</v>
      </c>
      <c r="AE1628" s="39">
        <v>0.48141654994732563</v>
      </c>
      <c r="AF1628" s="40">
        <v>0.47995412470924231</v>
      </c>
    </row>
    <row r="1629" spans="1:32">
      <c r="A1629" s="15">
        <v>1627</v>
      </c>
      <c r="B1629" s="16">
        <v>0</v>
      </c>
      <c r="C1629" s="20">
        <v>0.93</v>
      </c>
      <c r="D1629" s="20">
        <v>0.18747949848141848</v>
      </c>
      <c r="E1629" s="20">
        <v>7.0000000000000007E-2</v>
      </c>
      <c r="F1629" s="8" t="s">
        <v>434</v>
      </c>
      <c r="G1629" s="24">
        <v>0.58232264353559859</v>
      </c>
      <c r="H1629" s="24">
        <v>0.58569414299968203</v>
      </c>
      <c r="I1629" s="25">
        <v>0.5959371341824915</v>
      </c>
      <c r="L1629" s="15">
        <v>1627</v>
      </c>
      <c r="M1629" s="16">
        <v>1</v>
      </c>
      <c r="N1629" s="16">
        <v>2</v>
      </c>
      <c r="O1629" s="16">
        <v>3</v>
      </c>
      <c r="P1629" s="16">
        <v>43</v>
      </c>
      <c r="Q1629" s="29">
        <v>36</v>
      </c>
      <c r="R1629" s="20">
        <v>0.62360000000000004</v>
      </c>
      <c r="S1629" s="32">
        <v>22.4496</v>
      </c>
      <c r="T1629" s="35">
        <v>0.89</v>
      </c>
      <c r="U1629" s="35">
        <v>0.36</v>
      </c>
      <c r="V1629" s="35">
        <v>2.4722222222222222E-2</v>
      </c>
      <c r="W1629" s="9" t="s">
        <v>152</v>
      </c>
      <c r="X1629" s="15">
        <v>1628</v>
      </c>
      <c r="Y1629" s="39">
        <v>0.48188176106585445</v>
      </c>
      <c r="Z1629" s="39">
        <v>0.49862408172116746</v>
      </c>
      <c r="AA1629" s="39">
        <v>0.48907774343605293</v>
      </c>
      <c r="AB1629" s="39">
        <v>0.48380429510171974</v>
      </c>
      <c r="AC1629" s="39">
        <v>0.47190120824996351</v>
      </c>
      <c r="AD1629" s="39">
        <v>0.49062156360974751</v>
      </c>
      <c r="AE1629" s="39">
        <v>0.48368526903016962</v>
      </c>
      <c r="AF1629" s="40">
        <v>0.48245669851312267</v>
      </c>
    </row>
    <row r="1630" spans="1:32">
      <c r="A1630" s="15">
        <v>1628</v>
      </c>
      <c r="B1630" s="16">
        <v>1</v>
      </c>
      <c r="C1630" s="20">
        <v>0.02</v>
      </c>
      <c r="D1630" s="20">
        <v>0.99679477127711513</v>
      </c>
      <c r="E1630" s="20">
        <v>1</v>
      </c>
      <c r="F1630" s="8" t="s">
        <v>436</v>
      </c>
      <c r="G1630" s="24">
        <v>1.2441528009275515</v>
      </c>
      <c r="H1630" s="24">
        <v>1.2513561280660894</v>
      </c>
      <c r="I1630" s="25">
        <v>1.2732406388462196</v>
      </c>
      <c r="L1630" s="15">
        <v>1628</v>
      </c>
      <c r="M1630" s="16">
        <v>1</v>
      </c>
      <c r="N1630" s="16">
        <v>2</v>
      </c>
      <c r="O1630" s="16">
        <v>3</v>
      </c>
      <c r="P1630" s="16">
        <v>44</v>
      </c>
      <c r="Q1630" s="29">
        <v>38</v>
      </c>
      <c r="R1630" s="20">
        <v>0.62360000000000004</v>
      </c>
      <c r="S1630" s="32">
        <v>23.696800000000003</v>
      </c>
      <c r="T1630" s="35">
        <v>1.78</v>
      </c>
      <c r="U1630" s="35">
        <v>1.24</v>
      </c>
      <c r="V1630" s="35">
        <v>4.6842105263157893E-2</v>
      </c>
      <c r="W1630" s="9" t="s">
        <v>153</v>
      </c>
      <c r="X1630" s="15">
        <v>1629</v>
      </c>
      <c r="Y1630" s="39">
        <v>0.47980458669376053</v>
      </c>
      <c r="Z1630" s="39">
        <v>0.47322855061451224</v>
      </c>
      <c r="AA1630" s="39">
        <v>0.48199667726301382</v>
      </c>
      <c r="AB1630" s="39">
        <v>0.49559700795500783</v>
      </c>
      <c r="AC1630" s="39">
        <v>0.47358290372876288</v>
      </c>
      <c r="AD1630" s="39">
        <v>0.47176365265409093</v>
      </c>
      <c r="AE1630" s="39">
        <v>0.47643056915845333</v>
      </c>
      <c r="AF1630" s="40">
        <v>0.492951701659605</v>
      </c>
    </row>
    <row r="1631" spans="1:32">
      <c r="A1631" s="15">
        <v>1629</v>
      </c>
      <c r="B1631" s="16">
        <v>1</v>
      </c>
      <c r="C1631" s="20">
        <v>0.02</v>
      </c>
      <c r="D1631" s="20">
        <v>0.99835916395484214</v>
      </c>
      <c r="E1631" s="20">
        <v>1</v>
      </c>
      <c r="F1631" s="8" t="s">
        <v>436</v>
      </c>
      <c r="G1631" s="24">
        <v>1.0369296658442837</v>
      </c>
      <c r="H1631" s="24">
        <v>1.0429332239258655</v>
      </c>
      <c r="I1631" s="25">
        <v>1.0611727025763076</v>
      </c>
      <c r="L1631" s="15">
        <v>1629</v>
      </c>
      <c r="M1631" s="16">
        <v>1</v>
      </c>
      <c r="N1631" s="16">
        <v>2</v>
      </c>
      <c r="O1631" s="16">
        <v>3</v>
      </c>
      <c r="P1631" s="16">
        <v>45</v>
      </c>
      <c r="Q1631" s="29">
        <v>19</v>
      </c>
      <c r="R1631" s="20">
        <v>0.62360000000000004</v>
      </c>
      <c r="S1631" s="32">
        <v>11.848400000000002</v>
      </c>
      <c r="T1631" s="35">
        <v>0.34</v>
      </c>
      <c r="U1631" s="35">
        <v>0.06</v>
      </c>
      <c r="V1631" s="35">
        <v>1.7894736842105265E-2</v>
      </c>
      <c r="W1631" s="9" t="s">
        <v>152</v>
      </c>
      <c r="X1631" s="15">
        <v>1630</v>
      </c>
      <c r="Y1631" s="39">
        <v>0.4802298795409457</v>
      </c>
      <c r="Z1631" s="39">
        <v>0.48837185114016923</v>
      </c>
      <c r="AA1631" s="39">
        <v>0.48180597814351012</v>
      </c>
      <c r="AB1631" s="39">
        <v>0.49489231885738466</v>
      </c>
      <c r="AC1631" s="39">
        <v>0.47574885810367301</v>
      </c>
      <c r="AD1631" s="39">
        <v>0.47985178456730926</v>
      </c>
      <c r="AE1631" s="39">
        <v>0.47430437312119278</v>
      </c>
      <c r="AF1631" s="40">
        <v>0.48922839338096952</v>
      </c>
    </row>
    <row r="1632" spans="1:32">
      <c r="A1632" s="15">
        <v>1630</v>
      </c>
      <c r="B1632" s="16">
        <v>1</v>
      </c>
      <c r="C1632" s="20">
        <v>0.92</v>
      </c>
      <c r="D1632" s="20">
        <v>0.20258497911151899</v>
      </c>
      <c r="E1632" s="20">
        <v>0.08</v>
      </c>
      <c r="F1632" s="8" t="s">
        <v>434</v>
      </c>
      <c r="G1632" s="24">
        <v>0.86309538010021913</v>
      </c>
      <c r="H1632" s="24">
        <v>0.86809248203977796</v>
      </c>
      <c r="I1632" s="25">
        <v>0.88327423474410971</v>
      </c>
      <c r="L1632" s="15">
        <v>1630</v>
      </c>
      <c r="M1632" s="16">
        <v>1</v>
      </c>
      <c r="N1632" s="16">
        <v>2</v>
      </c>
      <c r="O1632" s="16">
        <v>3</v>
      </c>
      <c r="P1632" s="16">
        <v>46</v>
      </c>
      <c r="Q1632" s="29">
        <v>26</v>
      </c>
      <c r="R1632" s="20">
        <v>0.62360000000000004</v>
      </c>
      <c r="S1632" s="32">
        <v>16.2136</v>
      </c>
      <c r="T1632" s="35">
        <v>0.76</v>
      </c>
      <c r="U1632" s="35">
        <v>0.44</v>
      </c>
      <c r="V1632" s="35">
        <v>2.923076923076923E-2</v>
      </c>
      <c r="W1632" s="9" t="s">
        <v>152</v>
      </c>
      <c r="X1632" s="15">
        <v>1631</v>
      </c>
      <c r="Y1632" s="39">
        <v>0.50021744779616217</v>
      </c>
      <c r="Z1632" s="39">
        <v>0.48692474432901578</v>
      </c>
      <c r="AA1632" s="39">
        <v>0.47807975102236916</v>
      </c>
      <c r="AB1632" s="39">
        <v>0.48653229569780143</v>
      </c>
      <c r="AC1632" s="39">
        <v>0.49239210071727418</v>
      </c>
      <c r="AD1632" s="39">
        <v>0.48022379475338567</v>
      </c>
      <c r="AE1632" s="39">
        <v>0.47145867301537997</v>
      </c>
      <c r="AF1632" s="40">
        <v>0.48062330015486665</v>
      </c>
    </row>
    <row r="1633" spans="1:32">
      <c r="A1633" s="15">
        <v>1631</v>
      </c>
      <c r="B1633" s="16">
        <v>1</v>
      </c>
      <c r="C1633" s="20">
        <v>0.02</v>
      </c>
      <c r="D1633" s="20">
        <v>0.99917029198757767</v>
      </c>
      <c r="E1633" s="20">
        <v>1</v>
      </c>
      <c r="F1633" s="8" t="s">
        <v>436</v>
      </c>
      <c r="G1633" s="24">
        <v>1.0330586844036735</v>
      </c>
      <c r="H1633" s="24">
        <v>1.0390398304908097</v>
      </c>
      <c r="I1633" s="25">
        <v>1.0572112190039282</v>
      </c>
      <c r="L1633" s="15">
        <v>1631</v>
      </c>
      <c r="M1633" s="16">
        <v>1</v>
      </c>
      <c r="N1633" s="16">
        <v>2</v>
      </c>
      <c r="O1633" s="16">
        <v>3</v>
      </c>
      <c r="P1633" s="16">
        <v>47</v>
      </c>
      <c r="Q1633" s="29">
        <v>37</v>
      </c>
      <c r="R1633" s="20">
        <v>0.62360000000000004</v>
      </c>
      <c r="S1633" s="32">
        <v>23.0732</v>
      </c>
      <c r="T1633" s="35">
        <v>1.32</v>
      </c>
      <c r="U1633" s="35">
        <v>0.75</v>
      </c>
      <c r="V1633" s="35">
        <v>3.5675675675675679E-2</v>
      </c>
      <c r="W1633" s="9" t="s">
        <v>153</v>
      </c>
      <c r="X1633" s="15">
        <v>1632</v>
      </c>
      <c r="Y1633" s="39">
        <v>0.48078984241564471</v>
      </c>
      <c r="Z1633" s="39">
        <v>0.48580068428294643</v>
      </c>
      <c r="AA1633" s="39">
        <v>0.4798963466808096</v>
      </c>
      <c r="AB1633" s="39">
        <v>0.48405793783990947</v>
      </c>
      <c r="AC1633" s="39">
        <v>0.47306689811391289</v>
      </c>
      <c r="AD1633" s="39">
        <v>0.47894276314882567</v>
      </c>
      <c r="AE1633" s="39">
        <v>0.47306939915349772</v>
      </c>
      <c r="AF1633" s="40">
        <v>0.47840578093093239</v>
      </c>
    </row>
    <row r="1634" spans="1:32">
      <c r="A1634" s="15">
        <v>1632</v>
      </c>
      <c r="B1634" s="16">
        <v>0</v>
      </c>
      <c r="C1634" s="20">
        <v>0.93</v>
      </c>
      <c r="D1634" s="20">
        <v>0.18747949848141848</v>
      </c>
      <c r="E1634" s="20">
        <v>7.0000000000000007E-2</v>
      </c>
      <c r="F1634" s="8" t="s">
        <v>434</v>
      </c>
      <c r="G1634" s="24">
        <v>0.3397893525484052</v>
      </c>
      <c r="H1634" s="24">
        <v>0.34175664616601664</v>
      </c>
      <c r="I1634" s="25">
        <v>0.34773350346463394</v>
      </c>
      <c r="L1634" s="15">
        <v>1632</v>
      </c>
      <c r="M1634" s="16">
        <v>1</v>
      </c>
      <c r="N1634" s="16">
        <v>2</v>
      </c>
      <c r="O1634" s="16">
        <v>3</v>
      </c>
      <c r="P1634" s="16">
        <v>48</v>
      </c>
      <c r="Q1634" s="29">
        <v>27</v>
      </c>
      <c r="R1634" s="20">
        <v>0.62360000000000004</v>
      </c>
      <c r="S1634" s="32">
        <v>16.837200000000003</v>
      </c>
      <c r="T1634" s="35">
        <v>1.74</v>
      </c>
      <c r="U1634" s="35">
        <v>1.29</v>
      </c>
      <c r="V1634" s="35">
        <v>6.4444444444444443E-2</v>
      </c>
      <c r="W1634" s="9" t="s">
        <v>153</v>
      </c>
      <c r="X1634" s="15">
        <v>1633</v>
      </c>
      <c r="Y1634" s="39">
        <v>0.47928977324701905</v>
      </c>
      <c r="Z1634" s="39">
        <v>0.47242508178393949</v>
      </c>
      <c r="AA1634" s="39">
        <v>0.47373978548295498</v>
      </c>
      <c r="AB1634" s="39">
        <v>0.48502699876347466</v>
      </c>
      <c r="AC1634" s="39">
        <v>0.47165345679577253</v>
      </c>
      <c r="AD1634" s="39">
        <v>0.4666936254999775</v>
      </c>
      <c r="AE1634" s="39">
        <v>0.46886627981953471</v>
      </c>
      <c r="AF1634" s="40">
        <v>0.47984599260314459</v>
      </c>
    </row>
    <row r="1635" spans="1:32">
      <c r="A1635" s="15">
        <v>1633</v>
      </c>
      <c r="B1635" s="16">
        <v>0</v>
      </c>
      <c r="C1635" s="20">
        <v>0.34</v>
      </c>
      <c r="D1635" s="20">
        <v>0.61043770656651142</v>
      </c>
      <c r="E1635" s="20">
        <v>0.13</v>
      </c>
      <c r="F1635" s="8" t="s">
        <v>436</v>
      </c>
      <c r="G1635" s="24">
        <v>1.1275324515226295</v>
      </c>
      <c r="H1635" s="24">
        <v>1.1340605766062848</v>
      </c>
      <c r="I1635" s="25">
        <v>1.1538937482809353</v>
      </c>
      <c r="L1635" s="15">
        <v>1633</v>
      </c>
      <c r="M1635" s="16">
        <v>1</v>
      </c>
      <c r="N1635" s="16">
        <v>2</v>
      </c>
      <c r="O1635" s="16">
        <v>3</v>
      </c>
      <c r="P1635" s="16">
        <v>49</v>
      </c>
      <c r="Q1635" s="29">
        <v>35</v>
      </c>
      <c r="R1635" s="20">
        <v>0.62360000000000004</v>
      </c>
      <c r="S1635" s="32">
        <v>21.826000000000001</v>
      </c>
      <c r="T1635" s="35">
        <v>1.05</v>
      </c>
      <c r="U1635" s="35">
        <v>0.51</v>
      </c>
      <c r="V1635" s="35">
        <v>3.0000000000000002E-2</v>
      </c>
      <c r="W1635" s="9" t="s">
        <v>153</v>
      </c>
      <c r="X1635" s="15">
        <v>1634</v>
      </c>
      <c r="Y1635" s="39">
        <v>0.48395978241150195</v>
      </c>
      <c r="Z1635" s="39">
        <v>0.49376732053746419</v>
      </c>
      <c r="AA1635" s="39">
        <v>0.47482318092865289</v>
      </c>
      <c r="AB1635" s="39">
        <v>0.49381797946991463</v>
      </c>
      <c r="AC1635" s="39">
        <v>0.47914263364957094</v>
      </c>
      <c r="AD1635" s="39">
        <v>0.48450262967811863</v>
      </c>
      <c r="AE1635" s="39">
        <v>0.46713365254330652</v>
      </c>
      <c r="AF1635" s="40">
        <v>0.48853710594708194</v>
      </c>
    </row>
    <row r="1636" spans="1:32">
      <c r="A1636" s="15">
        <v>1634</v>
      </c>
      <c r="B1636" s="16">
        <v>1</v>
      </c>
      <c r="C1636" s="20">
        <v>0.22</v>
      </c>
      <c r="D1636" s="20">
        <v>0.82270400613493788</v>
      </c>
      <c r="E1636" s="20">
        <v>0.09</v>
      </c>
      <c r="F1636" s="8" t="s">
        <v>436</v>
      </c>
      <c r="G1636" s="24">
        <v>1.0441048202843193</v>
      </c>
      <c r="H1636" s="24">
        <v>1.0501499206785998</v>
      </c>
      <c r="I1636" s="25">
        <v>1.0685156095056174</v>
      </c>
      <c r="L1636" s="15">
        <v>1634</v>
      </c>
      <c r="M1636" s="16">
        <v>1</v>
      </c>
      <c r="N1636" s="16">
        <v>2</v>
      </c>
      <c r="O1636" s="16">
        <v>3</v>
      </c>
      <c r="P1636" s="16">
        <v>50</v>
      </c>
      <c r="Q1636" s="29">
        <v>31</v>
      </c>
      <c r="R1636" s="20">
        <v>0.62360000000000004</v>
      </c>
      <c r="S1636" s="32">
        <v>19.331600000000002</v>
      </c>
      <c r="T1636" s="35">
        <v>1.59</v>
      </c>
      <c r="U1636" s="35">
        <v>1.1000000000000001</v>
      </c>
      <c r="V1636" s="35">
        <v>5.1290322580645163E-2</v>
      </c>
      <c r="W1636" s="9" t="s">
        <v>153</v>
      </c>
      <c r="X1636" s="15">
        <v>1635</v>
      </c>
      <c r="Y1636" s="39">
        <v>0.48985529708273662</v>
      </c>
      <c r="Z1636" s="39">
        <v>0.4843181427606319</v>
      </c>
      <c r="AA1636" s="39">
        <v>0.46986122278387893</v>
      </c>
      <c r="AB1636" s="39">
        <v>0.48943065519629647</v>
      </c>
      <c r="AC1636" s="39">
        <v>0.48206915134492395</v>
      </c>
      <c r="AD1636" s="39">
        <v>0.47877245409615926</v>
      </c>
      <c r="AE1636" s="39">
        <v>0.46422078097848352</v>
      </c>
      <c r="AF1636" s="40">
        <v>0.48532783921160244</v>
      </c>
    </row>
    <row r="1637" spans="1:32">
      <c r="A1637" s="15">
        <v>1635</v>
      </c>
      <c r="B1637" s="16">
        <v>0</v>
      </c>
      <c r="C1637" s="20">
        <v>0.02</v>
      </c>
      <c r="D1637" s="20">
        <v>0.99835916395484214</v>
      </c>
      <c r="E1637" s="20">
        <v>1</v>
      </c>
      <c r="F1637" s="8" t="s">
        <v>436</v>
      </c>
      <c r="G1637" s="24">
        <v>1.0680120398590733</v>
      </c>
      <c r="H1637" s="24">
        <v>1.0741955569522041</v>
      </c>
      <c r="I1637" s="25">
        <v>1.0929817711392231</v>
      </c>
      <c r="L1637" s="15">
        <v>1635</v>
      </c>
      <c r="M1637" s="16">
        <v>1</v>
      </c>
      <c r="N1637" s="16">
        <v>2</v>
      </c>
      <c r="O1637" s="16">
        <v>3</v>
      </c>
      <c r="P1637" s="16">
        <v>51</v>
      </c>
      <c r="Q1637" s="29">
        <v>29</v>
      </c>
      <c r="R1637" s="20">
        <v>0.62360000000000004</v>
      </c>
      <c r="S1637" s="32">
        <v>18.084400000000002</v>
      </c>
      <c r="T1637" s="35">
        <v>1.05</v>
      </c>
      <c r="U1637" s="35">
        <v>0.53</v>
      </c>
      <c r="V1637" s="35">
        <v>3.6206896551724141E-2</v>
      </c>
      <c r="W1637" s="9" t="s">
        <v>153</v>
      </c>
      <c r="X1637" s="15">
        <v>1636</v>
      </c>
      <c r="Y1637" s="39">
        <v>0.49104333056635202</v>
      </c>
      <c r="Z1637" s="39">
        <v>0.48264727217846509</v>
      </c>
      <c r="AA1637" s="39">
        <v>0.47836703372399147</v>
      </c>
      <c r="AB1637" s="39">
        <v>0.48851350794007992</v>
      </c>
      <c r="AC1637" s="39">
        <v>0.48357138592997817</v>
      </c>
      <c r="AD1637" s="39">
        <v>0.4783042662414167</v>
      </c>
      <c r="AE1637" s="39">
        <v>0.47289777222418572</v>
      </c>
      <c r="AF1637" s="40">
        <v>0.48358832613435271</v>
      </c>
    </row>
    <row r="1638" spans="1:32">
      <c r="A1638" s="15">
        <v>1636</v>
      </c>
      <c r="B1638" s="16">
        <v>1</v>
      </c>
      <c r="C1638" s="20">
        <v>0.94</v>
      </c>
      <c r="D1638" s="20">
        <v>0.17188516685452584</v>
      </c>
      <c r="E1638" s="20">
        <v>0.06</v>
      </c>
      <c r="F1638" s="8" t="s">
        <v>434</v>
      </c>
      <c r="G1638" s="24">
        <v>2.1784335440385556</v>
      </c>
      <c r="H1638" s="24">
        <v>2.1910461181979159</v>
      </c>
      <c r="I1638" s="25">
        <v>1.6578926537592125</v>
      </c>
      <c r="L1638" s="15">
        <v>1636</v>
      </c>
      <c r="M1638" s="16">
        <v>1</v>
      </c>
      <c r="N1638" s="16">
        <v>2</v>
      </c>
      <c r="O1638" s="16">
        <v>3</v>
      </c>
      <c r="P1638" s="16">
        <v>52</v>
      </c>
      <c r="Q1638" s="29">
        <v>31</v>
      </c>
      <c r="R1638" s="20">
        <v>0.62360000000000004</v>
      </c>
      <c r="S1638" s="32">
        <v>19.331600000000002</v>
      </c>
      <c r="T1638" s="35">
        <v>2.19</v>
      </c>
      <c r="U1638" s="35">
        <v>1.68</v>
      </c>
      <c r="V1638" s="35">
        <v>7.0645161290322583E-2</v>
      </c>
      <c r="W1638" s="9" t="s">
        <v>154</v>
      </c>
      <c r="X1638" s="15">
        <v>1637</v>
      </c>
      <c r="Y1638" s="39">
        <v>0.50404717564896928</v>
      </c>
      <c r="Z1638" s="39">
        <v>0.48905849442502741</v>
      </c>
      <c r="AA1638" s="39">
        <v>0.47995535385372889</v>
      </c>
      <c r="AB1638" s="39">
        <v>0.48563704974234301</v>
      </c>
      <c r="AC1638" s="39">
        <v>0.49659466274235287</v>
      </c>
      <c r="AD1638" s="39">
        <v>0.47935437336013892</v>
      </c>
      <c r="AE1638" s="39">
        <v>0.47272198421368838</v>
      </c>
      <c r="AF1638" s="40">
        <v>0.48022984559989729</v>
      </c>
    </row>
    <row r="1639" spans="1:32">
      <c r="A1639" s="15">
        <v>1637</v>
      </c>
      <c r="B1639" s="16">
        <v>0</v>
      </c>
      <c r="C1639" s="20">
        <v>0.95</v>
      </c>
      <c r="D1639" s="20">
        <v>0.15570568692893463</v>
      </c>
      <c r="E1639" s="20">
        <v>0.05</v>
      </c>
      <c r="F1639" s="8" t="s">
        <v>434</v>
      </c>
      <c r="G1639" s="24">
        <v>0.53358505333432971</v>
      </c>
      <c r="H1639" s="24">
        <v>0.53667437459176359</v>
      </c>
      <c r="I1639" s="25">
        <v>0.54606007692921421</v>
      </c>
      <c r="L1639" s="15">
        <v>1637</v>
      </c>
      <c r="M1639" s="16">
        <v>1</v>
      </c>
      <c r="N1639" s="16">
        <v>2</v>
      </c>
      <c r="O1639" s="16">
        <v>3</v>
      </c>
      <c r="P1639" s="16">
        <v>53</v>
      </c>
      <c r="Q1639" s="29">
        <v>30</v>
      </c>
      <c r="R1639" s="20">
        <v>0.62360000000000004</v>
      </c>
      <c r="S1639" s="32">
        <v>18.708000000000002</v>
      </c>
      <c r="T1639" s="35">
        <v>0.56000000000000005</v>
      </c>
      <c r="U1639" s="35">
        <v>0.1</v>
      </c>
      <c r="V1639" s="35">
        <v>1.8666666666666668E-2</v>
      </c>
      <c r="W1639" s="9" t="s">
        <v>152</v>
      </c>
      <c r="X1639" s="15">
        <v>1638</v>
      </c>
      <c r="Y1639" s="39">
        <v>0.48330551121776383</v>
      </c>
      <c r="Z1639" s="39">
        <v>0.47657568517016147</v>
      </c>
      <c r="AA1639" s="39">
        <v>0.48748460031376067</v>
      </c>
      <c r="AB1639" s="39">
        <v>0.49022870800877894</v>
      </c>
      <c r="AC1639" s="39">
        <v>0.4765041126566793</v>
      </c>
      <c r="AD1639" s="39">
        <v>0.47064039195245227</v>
      </c>
      <c r="AE1639" s="39">
        <v>0.48226824127590689</v>
      </c>
      <c r="AF1639" s="40">
        <v>0.48277271516149745</v>
      </c>
    </row>
    <row r="1640" spans="1:32">
      <c r="A1640" s="15">
        <v>1638</v>
      </c>
      <c r="B1640" s="16">
        <v>0</v>
      </c>
      <c r="C1640" s="20">
        <v>0.47</v>
      </c>
      <c r="D1640" s="20">
        <v>0.474176671198758</v>
      </c>
      <c r="E1640" s="20">
        <v>0.1</v>
      </c>
      <c r="F1640" s="8" t="s">
        <v>436</v>
      </c>
      <c r="G1640" s="24">
        <v>0.9295329445872792</v>
      </c>
      <c r="H1640" s="24">
        <v>0.93491470306655833</v>
      </c>
      <c r="I1640" s="25">
        <v>0.95126508521506969</v>
      </c>
      <c r="L1640" s="15">
        <v>1638</v>
      </c>
      <c r="M1640" s="16">
        <v>1</v>
      </c>
      <c r="N1640" s="16">
        <v>2</v>
      </c>
      <c r="O1640" s="16">
        <v>3</v>
      </c>
      <c r="P1640" s="16">
        <v>54</v>
      </c>
      <c r="Q1640" s="29">
        <v>37</v>
      </c>
      <c r="R1640" s="20">
        <v>0.62360000000000004</v>
      </c>
      <c r="S1640" s="32">
        <v>23.0732</v>
      </c>
      <c r="T1640" s="35">
        <v>2.25</v>
      </c>
      <c r="U1640" s="35">
        <v>1.7</v>
      </c>
      <c r="V1640" s="35">
        <v>6.0810810810810814E-2</v>
      </c>
      <c r="W1640" s="9" t="s">
        <v>154</v>
      </c>
      <c r="X1640" s="15">
        <v>1639</v>
      </c>
      <c r="Y1640" s="39">
        <v>0.49640855176799192</v>
      </c>
      <c r="Z1640" s="39">
        <v>0.47525265551835799</v>
      </c>
      <c r="AA1640" s="39">
        <v>0.48642461392387787</v>
      </c>
      <c r="AB1640" s="39">
        <v>0.49364943881114415</v>
      </c>
      <c r="AC1640" s="39">
        <v>0.48667586075399039</v>
      </c>
      <c r="AD1640" s="39">
        <v>0.47105848603130196</v>
      </c>
      <c r="AE1640" s="39">
        <v>0.47855859393349165</v>
      </c>
      <c r="AF1640" s="40">
        <v>0.48915858548949243</v>
      </c>
    </row>
    <row r="1641" spans="1:32">
      <c r="A1641" s="15">
        <v>1639</v>
      </c>
      <c r="B1641" s="16">
        <v>0</v>
      </c>
      <c r="C1641" s="20">
        <v>0.48</v>
      </c>
      <c r="D1641" s="20">
        <v>0.47111217233675318</v>
      </c>
      <c r="E1641" s="20">
        <v>0.09</v>
      </c>
      <c r="F1641" s="8" t="s">
        <v>436</v>
      </c>
      <c r="G1641" s="24">
        <v>0.66190041621722351</v>
      </c>
      <c r="H1641" s="24">
        <v>0.66573265067234233</v>
      </c>
      <c r="I1641" s="25">
        <v>0.67737540611466351</v>
      </c>
      <c r="L1641" s="15">
        <v>1639</v>
      </c>
      <c r="M1641" s="16">
        <v>1</v>
      </c>
      <c r="N1641" s="16">
        <v>2</v>
      </c>
      <c r="O1641" s="16">
        <v>3</v>
      </c>
      <c r="P1641" s="16">
        <v>55</v>
      </c>
      <c r="Q1641" s="29">
        <v>28</v>
      </c>
      <c r="R1641" s="20">
        <v>0.62360000000000004</v>
      </c>
      <c r="S1641" s="32">
        <v>17.460800000000003</v>
      </c>
      <c r="T1641" s="35">
        <v>1.33</v>
      </c>
      <c r="U1641" s="35">
        <v>1</v>
      </c>
      <c r="V1641" s="35">
        <v>4.7500000000000001E-2</v>
      </c>
      <c r="W1641" s="9" t="s">
        <v>153</v>
      </c>
      <c r="X1641" s="15">
        <v>1640</v>
      </c>
      <c r="Y1641" s="39">
        <v>0.47038454986794676</v>
      </c>
      <c r="Z1641" s="39">
        <v>0.48845112784770867</v>
      </c>
      <c r="AA1641" s="39">
        <v>0.48427172021357295</v>
      </c>
      <c r="AB1641" s="39">
        <v>0.49908131042636605</v>
      </c>
      <c r="AC1641" s="39">
        <v>0.46466225712872489</v>
      </c>
      <c r="AD1641" s="39">
        <v>0.47905726663633913</v>
      </c>
      <c r="AE1641" s="39">
        <v>0.48048553800240096</v>
      </c>
      <c r="AF1641" s="40">
        <v>0.49508591906633492</v>
      </c>
    </row>
    <row r="1642" spans="1:32">
      <c r="A1642" s="15">
        <v>1640</v>
      </c>
      <c r="B1642" s="16">
        <v>1</v>
      </c>
      <c r="C1642" s="20">
        <v>0.5</v>
      </c>
      <c r="D1642" s="20">
        <v>0.52166616927800769</v>
      </c>
      <c r="E1642" s="20">
        <v>0.03</v>
      </c>
      <c r="F1642" s="8" t="s">
        <v>438</v>
      </c>
      <c r="G1642" s="24">
        <v>0.88832493229981657</v>
      </c>
      <c r="H1642" s="24">
        <v>0.89346810690658884</v>
      </c>
      <c r="I1642" s="25">
        <v>0.90909364465619658</v>
      </c>
      <c r="L1642" s="15">
        <v>1640</v>
      </c>
      <c r="M1642" s="16">
        <v>1</v>
      </c>
      <c r="N1642" s="16">
        <v>2</v>
      </c>
      <c r="O1642" s="16">
        <v>4</v>
      </c>
      <c r="P1642" s="16">
        <v>84</v>
      </c>
      <c r="Q1642" s="29">
        <v>40</v>
      </c>
      <c r="R1642" s="20">
        <v>0.62360000000000004</v>
      </c>
      <c r="S1642" s="32">
        <v>24.944000000000003</v>
      </c>
      <c r="T1642" s="35">
        <v>1.0900000000000001</v>
      </c>
      <c r="U1642" s="35">
        <v>0.37</v>
      </c>
      <c r="V1642" s="35">
        <v>2.7250000000000003E-2</v>
      </c>
      <c r="W1642" s="9" t="s">
        <v>153</v>
      </c>
      <c r="X1642" s="15">
        <v>1641</v>
      </c>
      <c r="Y1642" s="39">
        <v>0.48143209212654042</v>
      </c>
      <c r="Z1642" s="39">
        <v>0.49463635912686399</v>
      </c>
      <c r="AA1642" s="39">
        <v>0.48997153176262914</v>
      </c>
      <c r="AB1642" s="39">
        <v>0.48856451911086873</v>
      </c>
      <c r="AC1642" s="39">
        <v>0.47467278154953768</v>
      </c>
      <c r="AD1642" s="39">
        <v>0.48646166951540648</v>
      </c>
      <c r="AE1642" s="39">
        <v>0.48540105240429859</v>
      </c>
      <c r="AF1642" s="40">
        <v>0.48437349786366163</v>
      </c>
    </row>
    <row r="1643" spans="1:32">
      <c r="A1643" s="15">
        <v>1641</v>
      </c>
      <c r="B1643" s="16">
        <v>1</v>
      </c>
      <c r="C1643" s="20">
        <v>0.88</v>
      </c>
      <c r="D1643" s="20">
        <v>0.25930874124763043</v>
      </c>
      <c r="E1643" s="20">
        <v>0.12</v>
      </c>
      <c r="F1643" s="8" t="s">
        <v>434</v>
      </c>
      <c r="G1643" s="24">
        <v>0.46178834205930852</v>
      </c>
      <c r="H1643" s="24">
        <v>0.46446197868508016</v>
      </c>
      <c r="I1643" s="25">
        <v>0.47258478477642279</v>
      </c>
      <c r="L1643" s="15">
        <v>1641</v>
      </c>
      <c r="M1643" s="16">
        <v>1</v>
      </c>
      <c r="N1643" s="16">
        <v>2</v>
      </c>
      <c r="O1643" s="16">
        <v>4</v>
      </c>
      <c r="P1643" s="16">
        <v>85</v>
      </c>
      <c r="Q1643" s="29">
        <v>39</v>
      </c>
      <c r="R1643" s="20">
        <v>0.62360000000000004</v>
      </c>
      <c r="S1643" s="32">
        <v>24.320400000000003</v>
      </c>
      <c r="T1643" s="35">
        <v>1.02</v>
      </c>
      <c r="U1643" s="35">
        <v>0.44</v>
      </c>
      <c r="V1643" s="35">
        <v>2.6153846153846156E-2</v>
      </c>
      <c r="W1643" s="9" t="s">
        <v>153</v>
      </c>
      <c r="X1643" s="15">
        <v>1642</v>
      </c>
      <c r="Y1643" s="39">
        <v>0.49703829863475363</v>
      </c>
      <c r="Z1643" s="39">
        <v>0.48830108482607304</v>
      </c>
      <c r="AA1643" s="39">
        <v>0.49118262177873306</v>
      </c>
      <c r="AB1643" s="39">
        <v>0.48874406541583842</v>
      </c>
      <c r="AC1643" s="39">
        <v>0.4887260600498301</v>
      </c>
      <c r="AD1643" s="39">
        <v>0.48204782024804416</v>
      </c>
      <c r="AE1643" s="39">
        <v>0.48231110460805116</v>
      </c>
      <c r="AF1643" s="40">
        <v>0.48265208811652072</v>
      </c>
    </row>
    <row r="1644" spans="1:32">
      <c r="A1644" s="15">
        <v>1642</v>
      </c>
      <c r="B1644" s="16">
        <v>1</v>
      </c>
      <c r="C1644" s="20">
        <v>0.13</v>
      </c>
      <c r="D1644" s="20">
        <v>0.82372284994469458</v>
      </c>
      <c r="E1644" s="20">
        <v>0.37</v>
      </c>
      <c r="F1644" s="8" t="s">
        <v>436</v>
      </c>
      <c r="G1644" s="24">
        <v>0.97449617520652454</v>
      </c>
      <c r="H1644" s="24">
        <v>0.9801382593139053</v>
      </c>
      <c r="I1644" s="25">
        <v>0.99727953973830596</v>
      </c>
      <c r="L1644" s="15">
        <v>1642</v>
      </c>
      <c r="M1644" s="16">
        <v>1</v>
      </c>
      <c r="N1644" s="16">
        <v>2</v>
      </c>
      <c r="O1644" s="16">
        <v>4</v>
      </c>
      <c r="P1644" s="16">
        <v>86</v>
      </c>
      <c r="Q1644" s="29">
        <v>39</v>
      </c>
      <c r="R1644" s="20">
        <v>0.62360000000000004</v>
      </c>
      <c r="S1644" s="32">
        <v>24.320400000000003</v>
      </c>
      <c r="T1644" s="35">
        <v>1</v>
      </c>
      <c r="U1644" s="35">
        <v>0.34</v>
      </c>
      <c r="V1644" s="35">
        <v>2.564102564102564E-2</v>
      </c>
      <c r="W1644" s="9" t="s">
        <v>153</v>
      </c>
      <c r="X1644" s="15">
        <v>1643</v>
      </c>
      <c r="Y1644" s="39">
        <v>0.47589415247988698</v>
      </c>
      <c r="Z1644" s="39">
        <v>0.47891500463457043</v>
      </c>
      <c r="AA1644" s="39">
        <v>0.49277487050022334</v>
      </c>
      <c r="AB1644" s="39">
        <v>0.48135352281751065</v>
      </c>
      <c r="AC1644" s="39">
        <v>0.47321758393397134</v>
      </c>
      <c r="AD1644" s="39">
        <v>0.4737408630580055</v>
      </c>
      <c r="AE1644" s="39">
        <v>0.48451331149390525</v>
      </c>
      <c r="AF1644" s="40">
        <v>0.47690891264157098</v>
      </c>
    </row>
    <row r="1645" spans="1:32">
      <c r="A1645" s="15">
        <v>1643</v>
      </c>
      <c r="B1645" s="16">
        <v>1</v>
      </c>
      <c r="C1645" s="20">
        <v>0.52</v>
      </c>
      <c r="D1645" s="20">
        <v>0.47957373727176678</v>
      </c>
      <c r="E1645" s="20">
        <v>0.05</v>
      </c>
      <c r="F1645" s="8" t="s">
        <v>438</v>
      </c>
      <c r="G1645" s="24">
        <v>0.758905214552413</v>
      </c>
      <c r="H1645" s="24">
        <v>0.76329908202872931</v>
      </c>
      <c r="I1645" s="25">
        <v>0.7766481411929953</v>
      </c>
      <c r="L1645" s="15">
        <v>1643</v>
      </c>
      <c r="M1645" s="16">
        <v>1</v>
      </c>
      <c r="N1645" s="16">
        <v>2</v>
      </c>
      <c r="O1645" s="16">
        <v>4</v>
      </c>
      <c r="P1645" s="16">
        <v>87</v>
      </c>
      <c r="Q1645" s="29">
        <v>41</v>
      </c>
      <c r="R1645" s="20">
        <v>0.62360000000000004</v>
      </c>
      <c r="S1645" s="32">
        <v>25.567600000000002</v>
      </c>
      <c r="T1645" s="35">
        <v>1.31</v>
      </c>
      <c r="U1645" s="35">
        <v>0.72</v>
      </c>
      <c r="V1645" s="35">
        <v>3.1951219512195123E-2</v>
      </c>
      <c r="W1645" s="9" t="s">
        <v>153</v>
      </c>
      <c r="X1645" s="15">
        <v>1644</v>
      </c>
      <c r="Y1645" s="39">
        <v>0.47709597854096769</v>
      </c>
      <c r="Z1645" s="39">
        <v>0.49491043717565852</v>
      </c>
      <c r="AA1645" s="39">
        <v>0.48332864948193938</v>
      </c>
      <c r="AB1645" s="39">
        <v>0.47897398050285189</v>
      </c>
      <c r="AC1645" s="39">
        <v>0.47343728901229343</v>
      </c>
      <c r="AD1645" s="39">
        <v>0.48835190291515063</v>
      </c>
      <c r="AE1645" s="39">
        <v>0.47636479130344594</v>
      </c>
      <c r="AF1645" s="40">
        <v>0.47426892570842955</v>
      </c>
    </row>
    <row r="1646" spans="1:32">
      <c r="A1646" s="15">
        <v>1644</v>
      </c>
      <c r="B1646" s="16">
        <v>1</v>
      </c>
      <c r="C1646" s="20">
        <v>0.57999999999999996</v>
      </c>
      <c r="D1646" s="20">
        <v>0.46974091410981289</v>
      </c>
      <c r="E1646" s="20">
        <v>0.05</v>
      </c>
      <c r="F1646" s="8" t="s">
        <v>438</v>
      </c>
      <c r="G1646" s="24">
        <v>0.75529676959947034</v>
      </c>
      <c r="H1646" s="24">
        <v>0.75966974510059027</v>
      </c>
      <c r="I1646" s="25">
        <v>0.77295533211544398</v>
      </c>
      <c r="L1646" s="15">
        <v>1644</v>
      </c>
      <c r="M1646" s="16">
        <v>1</v>
      </c>
      <c r="N1646" s="16">
        <v>2</v>
      </c>
      <c r="O1646" s="16">
        <v>4</v>
      </c>
      <c r="P1646" s="16">
        <v>88</v>
      </c>
      <c r="Q1646" s="29">
        <v>42</v>
      </c>
      <c r="R1646" s="20">
        <v>0.62360000000000004</v>
      </c>
      <c r="S1646" s="32">
        <v>26.191200000000002</v>
      </c>
      <c r="T1646" s="35">
        <v>1.81</v>
      </c>
      <c r="U1646" s="35">
        <v>1.1200000000000001</v>
      </c>
      <c r="V1646" s="35">
        <v>4.3095238095238096E-2</v>
      </c>
      <c r="W1646" s="9" t="s">
        <v>153</v>
      </c>
      <c r="X1646" s="15">
        <v>1645</v>
      </c>
      <c r="Y1646" s="39">
        <v>0.47842076569371</v>
      </c>
      <c r="Z1646" s="39">
        <v>0.48688641423299794</v>
      </c>
      <c r="AA1646" s="39">
        <v>0.48017663252108089</v>
      </c>
      <c r="AB1646" s="39">
        <v>0.50200014200242393</v>
      </c>
      <c r="AC1646" s="39">
        <v>0.47117543711191917</v>
      </c>
      <c r="AD1646" s="39">
        <v>0.48192175710784635</v>
      </c>
      <c r="AE1646" s="39">
        <v>0.47411506240701501</v>
      </c>
      <c r="AF1646" s="40">
        <v>0.49666966806980734</v>
      </c>
    </row>
    <row r="1647" spans="1:32">
      <c r="A1647" s="15">
        <v>1645</v>
      </c>
      <c r="B1647" s="16">
        <v>0</v>
      </c>
      <c r="C1647" s="20">
        <v>0.92</v>
      </c>
      <c r="D1647" s="20">
        <v>0.20258497911151899</v>
      </c>
      <c r="E1647" s="20">
        <v>0.08</v>
      </c>
      <c r="F1647" s="8" t="s">
        <v>434</v>
      </c>
      <c r="G1647" s="24">
        <v>0.47179251132380656</v>
      </c>
      <c r="H1647" s="24">
        <v>0.47452406953598447</v>
      </c>
      <c r="I1647" s="25">
        <v>0.48282284786317459</v>
      </c>
      <c r="L1647" s="15">
        <v>1645</v>
      </c>
      <c r="M1647" s="16">
        <v>1</v>
      </c>
      <c r="N1647" s="16">
        <v>2</v>
      </c>
      <c r="O1647" s="16">
        <v>4</v>
      </c>
      <c r="P1647" s="16">
        <v>89</v>
      </c>
      <c r="Q1647" s="29">
        <v>32</v>
      </c>
      <c r="R1647" s="20">
        <v>0.62360000000000004</v>
      </c>
      <c r="S1647" s="32">
        <v>19.955200000000001</v>
      </c>
      <c r="T1647" s="35">
        <v>0.68</v>
      </c>
      <c r="U1647" s="35">
        <v>0.23</v>
      </c>
      <c r="V1647" s="35">
        <v>2.1250000000000002E-2</v>
      </c>
      <c r="W1647" s="9" t="s">
        <v>152</v>
      </c>
      <c r="X1647" s="15">
        <v>1646</v>
      </c>
      <c r="Y1647" s="39">
        <v>0.48763434907367464</v>
      </c>
      <c r="Z1647" s="39">
        <v>0.48106409066248479</v>
      </c>
      <c r="AA1647" s="39">
        <v>0.48996522541265058</v>
      </c>
      <c r="AB1647" s="39">
        <v>0.48905367295878177</v>
      </c>
      <c r="AC1647" s="39">
        <v>0.47908796543375737</v>
      </c>
      <c r="AD1647" s="39">
        <v>0.47261034335416513</v>
      </c>
      <c r="AE1647" s="39">
        <v>0.48423666909104163</v>
      </c>
      <c r="AF1647" s="40">
        <v>0.48487401053513318</v>
      </c>
    </row>
    <row r="1648" spans="1:32">
      <c r="A1648" s="15">
        <v>1646</v>
      </c>
      <c r="B1648" s="16">
        <v>0</v>
      </c>
      <c r="C1648" s="20">
        <v>0.21</v>
      </c>
      <c r="D1648" s="20">
        <v>0.86161904378484899</v>
      </c>
      <c r="E1648" s="20">
        <v>0.06</v>
      </c>
      <c r="F1648" s="8" t="s">
        <v>436</v>
      </c>
      <c r="G1648" s="24">
        <v>1.2460980634213907</v>
      </c>
      <c r="H1648" s="24">
        <v>1.2533126531332259</v>
      </c>
      <c r="I1648" s="25">
        <v>1.2752313808664384</v>
      </c>
      <c r="L1648" s="15">
        <v>1646</v>
      </c>
      <c r="M1648" s="16">
        <v>1</v>
      </c>
      <c r="N1648" s="16">
        <v>2</v>
      </c>
      <c r="O1648" s="16">
        <v>4</v>
      </c>
      <c r="P1648" s="16">
        <v>90</v>
      </c>
      <c r="Q1648" s="29">
        <v>48</v>
      </c>
      <c r="R1648" s="20">
        <v>0.62360000000000004</v>
      </c>
      <c r="S1648" s="32">
        <v>29.9328</v>
      </c>
      <c r="T1648" s="35">
        <v>1.28</v>
      </c>
      <c r="U1648" s="35">
        <v>0.69</v>
      </c>
      <c r="V1648" s="35">
        <v>2.6666666666666668E-2</v>
      </c>
      <c r="W1648" s="9" t="s">
        <v>153</v>
      </c>
      <c r="X1648" s="15">
        <v>1647</v>
      </c>
      <c r="Y1648" s="39">
        <v>0.48502501617184568</v>
      </c>
      <c r="Z1648" s="39">
        <v>0.48714444643956756</v>
      </c>
      <c r="AA1648" s="39">
        <v>0.48878176704400184</v>
      </c>
      <c r="AB1648" s="39">
        <v>0.49422415883125564</v>
      </c>
      <c r="AC1648" s="39">
        <v>0.47770311321754066</v>
      </c>
      <c r="AD1648" s="39">
        <v>0.47927231591657055</v>
      </c>
      <c r="AE1648" s="39">
        <v>0.48355037702443793</v>
      </c>
      <c r="AF1648" s="40">
        <v>0.48979023115091019</v>
      </c>
    </row>
    <row r="1649" spans="1:32">
      <c r="A1649" s="15">
        <v>1647</v>
      </c>
      <c r="B1649" s="16">
        <v>1</v>
      </c>
      <c r="C1649" s="20">
        <v>0.48</v>
      </c>
      <c r="D1649" s="20">
        <v>0.47372904779892611</v>
      </c>
      <c r="E1649" s="20">
        <v>0.1</v>
      </c>
      <c r="F1649" s="8" t="s">
        <v>436</v>
      </c>
      <c r="G1649" s="24">
        <v>0.94209551789435819</v>
      </c>
      <c r="H1649" s="24">
        <v>0.94755001046639931</v>
      </c>
      <c r="I1649" s="25">
        <v>0.96412136689617256</v>
      </c>
      <c r="L1649" s="15">
        <v>1647</v>
      </c>
      <c r="M1649" s="16">
        <v>1</v>
      </c>
      <c r="N1649" s="16">
        <v>2</v>
      </c>
      <c r="O1649" s="16">
        <v>4</v>
      </c>
      <c r="P1649" s="16">
        <v>91</v>
      </c>
      <c r="Q1649" s="29">
        <v>44</v>
      </c>
      <c r="R1649" s="20">
        <v>0.62360000000000004</v>
      </c>
      <c r="S1649" s="32">
        <v>27.438400000000001</v>
      </c>
      <c r="T1649" s="35">
        <v>2.19</v>
      </c>
      <c r="U1649" s="35">
        <v>1.66</v>
      </c>
      <c r="V1649" s="35">
        <v>4.9772727272727274E-2</v>
      </c>
      <c r="W1649" s="9" t="s">
        <v>154</v>
      </c>
      <c r="X1649" s="15">
        <v>1648</v>
      </c>
      <c r="Y1649" s="39">
        <v>0.4870959664873295</v>
      </c>
      <c r="Z1649" s="39">
        <v>0.46962443388192943</v>
      </c>
      <c r="AA1649" s="39">
        <v>0.47666155664874171</v>
      </c>
      <c r="AB1649" s="39">
        <v>0.49002771158885611</v>
      </c>
      <c r="AC1649" s="39">
        <v>0.47969399488646053</v>
      </c>
      <c r="AD1649" s="39">
        <v>0.46124250559780444</v>
      </c>
      <c r="AE1649" s="39">
        <v>0.46795167038656338</v>
      </c>
      <c r="AF1649" s="40">
        <v>0.48300146430092639</v>
      </c>
    </row>
    <row r="1650" spans="1:32">
      <c r="A1650" s="15">
        <v>1648</v>
      </c>
      <c r="B1650" s="16">
        <v>0</v>
      </c>
      <c r="C1650" s="20">
        <v>0.39</v>
      </c>
      <c r="D1650" s="20">
        <v>0.69170380479210358</v>
      </c>
      <c r="E1650" s="20">
        <v>0.1</v>
      </c>
      <c r="F1650" s="8" t="s">
        <v>436</v>
      </c>
      <c r="G1650" s="24">
        <v>0.75765246839460332</v>
      </c>
      <c r="H1650" s="24">
        <v>0.76203908279043819</v>
      </c>
      <c r="I1650" s="25">
        <v>0.77536610628772273</v>
      </c>
      <c r="L1650" s="15">
        <v>1648</v>
      </c>
      <c r="M1650" s="16">
        <v>1</v>
      </c>
      <c r="N1650" s="16">
        <v>2</v>
      </c>
      <c r="O1650" s="16">
        <v>4</v>
      </c>
      <c r="P1650" s="16">
        <v>92</v>
      </c>
      <c r="Q1650" s="29">
        <v>56</v>
      </c>
      <c r="R1650" s="20">
        <v>0.62360000000000004</v>
      </c>
      <c r="S1650" s="32">
        <v>34.921600000000005</v>
      </c>
      <c r="T1650" s="35">
        <v>1.31</v>
      </c>
      <c r="U1650" s="35">
        <v>0.56000000000000005</v>
      </c>
      <c r="V1650" s="35">
        <v>2.3392857142857142E-2</v>
      </c>
      <c r="W1650" s="9" t="s">
        <v>153</v>
      </c>
      <c r="X1650" s="15">
        <v>1649</v>
      </c>
      <c r="Y1650" s="39">
        <v>0.46670996147733274</v>
      </c>
      <c r="Z1650" s="39">
        <v>0.47774211160350905</v>
      </c>
      <c r="AA1650" s="39">
        <v>0.49237938259774383</v>
      </c>
      <c r="AB1650" s="39">
        <v>0.49851946375853851</v>
      </c>
      <c r="AC1650" s="39">
        <v>0.45812674467819875</v>
      </c>
      <c r="AD1650" s="39">
        <v>0.47070178533296181</v>
      </c>
      <c r="AE1650" s="39">
        <v>0.48529453521761884</v>
      </c>
      <c r="AF1650" s="40">
        <v>0.49313476240841991</v>
      </c>
    </row>
    <row r="1651" spans="1:32">
      <c r="A1651" s="15">
        <v>1649</v>
      </c>
      <c r="B1651" s="16">
        <v>0</v>
      </c>
      <c r="C1651" s="20">
        <v>0.95</v>
      </c>
      <c r="D1651" s="20">
        <v>0.15570568692893463</v>
      </c>
      <c r="E1651" s="20">
        <v>0.05</v>
      </c>
      <c r="F1651" s="8" t="s">
        <v>434</v>
      </c>
      <c r="G1651" s="24">
        <v>0.62303307737374014</v>
      </c>
      <c r="H1651" s="24">
        <v>0.62664027985811921</v>
      </c>
      <c r="I1651" s="25">
        <v>0.63759936308969511</v>
      </c>
      <c r="L1651" s="15">
        <v>1649</v>
      </c>
      <c r="M1651" s="16">
        <v>1</v>
      </c>
      <c r="N1651" s="16">
        <v>2</v>
      </c>
      <c r="O1651" s="16">
        <v>4</v>
      </c>
      <c r="P1651" s="16">
        <v>93</v>
      </c>
      <c r="Q1651" s="29">
        <v>44</v>
      </c>
      <c r="R1651" s="20">
        <v>0.62360000000000004</v>
      </c>
      <c r="S1651" s="32">
        <v>27.438400000000001</v>
      </c>
      <c r="T1651" s="35">
        <v>1.52</v>
      </c>
      <c r="U1651" s="35">
        <v>0.81</v>
      </c>
      <c r="V1651" s="35">
        <v>3.4545454545454546E-2</v>
      </c>
      <c r="W1651" s="9" t="s">
        <v>153</v>
      </c>
      <c r="X1651" s="15">
        <v>1650</v>
      </c>
      <c r="Y1651" s="39">
        <v>0.47769066262319038</v>
      </c>
      <c r="Z1651" s="39">
        <v>0.48764552474408124</v>
      </c>
      <c r="AA1651" s="39">
        <v>0.49410043974256707</v>
      </c>
      <c r="AB1651" s="39">
        <v>0.48736488921387555</v>
      </c>
      <c r="AC1651" s="39">
        <v>0.4723741786834193</v>
      </c>
      <c r="AD1651" s="39">
        <v>0.4823267283441468</v>
      </c>
      <c r="AE1651" s="39">
        <v>0.48675826797796551</v>
      </c>
      <c r="AF1651" s="40">
        <v>0.48417879557003907</v>
      </c>
    </row>
    <row r="1652" spans="1:32">
      <c r="A1652" s="15">
        <v>1650</v>
      </c>
      <c r="B1652" s="16">
        <v>1</v>
      </c>
      <c r="C1652" s="20">
        <v>0.28999999999999998</v>
      </c>
      <c r="D1652" s="20">
        <v>0.70328131423498474</v>
      </c>
      <c r="E1652" s="20">
        <v>0.06</v>
      </c>
      <c r="F1652" s="8" t="s">
        <v>436</v>
      </c>
      <c r="G1652" s="24">
        <v>1.2795686372399138</v>
      </c>
      <c r="H1652" s="24">
        <v>1.2869770130305567</v>
      </c>
      <c r="I1652" s="25">
        <v>1.3094844844719395</v>
      </c>
      <c r="L1652" s="15">
        <v>1650</v>
      </c>
      <c r="M1652" s="16">
        <v>1</v>
      </c>
      <c r="N1652" s="16">
        <v>2</v>
      </c>
      <c r="O1652" s="16">
        <v>4</v>
      </c>
      <c r="P1652" s="16">
        <v>94</v>
      </c>
      <c r="Q1652" s="29">
        <v>49</v>
      </c>
      <c r="R1652" s="20">
        <v>0.62360000000000004</v>
      </c>
      <c r="S1652" s="32">
        <v>30.556400000000004</v>
      </c>
      <c r="T1652" s="35">
        <v>2.1</v>
      </c>
      <c r="U1652" s="35">
        <v>1.36</v>
      </c>
      <c r="V1652" s="35">
        <v>4.2857142857142858E-2</v>
      </c>
      <c r="W1652" s="9" t="s">
        <v>154</v>
      </c>
      <c r="X1652" s="15">
        <v>1651</v>
      </c>
      <c r="Y1652" s="39">
        <v>0.48201478535254821</v>
      </c>
      <c r="Z1652" s="39">
        <v>0.48150419845632497</v>
      </c>
      <c r="AA1652" s="39">
        <v>0.47091660533565727</v>
      </c>
      <c r="AB1652" s="39">
        <v>0.49893152693119891</v>
      </c>
      <c r="AC1652" s="39">
        <v>0.47622654982799284</v>
      </c>
      <c r="AD1652" s="39">
        <v>0.47592001892379782</v>
      </c>
      <c r="AE1652" s="39">
        <v>0.46251810309825181</v>
      </c>
      <c r="AF1652" s="40">
        <v>0.49429079134944442</v>
      </c>
    </row>
    <row r="1653" spans="1:32">
      <c r="A1653" s="15">
        <v>1651</v>
      </c>
      <c r="B1653" s="16">
        <v>1</v>
      </c>
      <c r="C1653" s="20">
        <v>0.19</v>
      </c>
      <c r="D1653" s="20">
        <v>0.84464237451518653</v>
      </c>
      <c r="E1653" s="20">
        <v>0.05</v>
      </c>
      <c r="F1653" s="8" t="s">
        <v>436</v>
      </c>
      <c r="G1653" s="24">
        <v>0.59058241171023773</v>
      </c>
      <c r="H1653" s="24">
        <v>0.59400173312368787</v>
      </c>
      <c r="I1653" s="25">
        <v>0.60439001271924253</v>
      </c>
      <c r="L1653" s="15">
        <v>1651</v>
      </c>
      <c r="M1653" s="16">
        <v>1</v>
      </c>
      <c r="N1653" s="16">
        <v>2</v>
      </c>
      <c r="O1653" s="16">
        <v>4</v>
      </c>
      <c r="P1653" s="16">
        <v>95</v>
      </c>
      <c r="Q1653" s="29">
        <v>50</v>
      </c>
      <c r="R1653" s="20">
        <v>0.62360000000000004</v>
      </c>
      <c r="S1653" s="32">
        <v>31.180000000000003</v>
      </c>
      <c r="T1653" s="35">
        <v>2</v>
      </c>
      <c r="U1653" s="35">
        <v>1.34</v>
      </c>
      <c r="V1653" s="35">
        <v>0.04</v>
      </c>
      <c r="W1653" s="9" t="s">
        <v>154</v>
      </c>
      <c r="X1653" s="15">
        <v>1652</v>
      </c>
      <c r="Y1653" s="39">
        <v>0.47050963560191056</v>
      </c>
      <c r="Z1653" s="39">
        <v>0.4939638564023654</v>
      </c>
      <c r="AA1653" s="39">
        <v>0.50504052025589108</v>
      </c>
      <c r="AB1653" s="39">
        <v>0.48526119044672728</v>
      </c>
      <c r="AC1653" s="39">
        <v>0.46648460344953685</v>
      </c>
      <c r="AD1653" s="39">
        <v>0.48717626714853257</v>
      </c>
      <c r="AE1653" s="39">
        <v>0.49928803029972968</v>
      </c>
      <c r="AF1653" s="40">
        <v>0.48107893854778611</v>
      </c>
    </row>
    <row r="1654" spans="1:32">
      <c r="A1654" s="15">
        <v>1652</v>
      </c>
      <c r="B1654" s="16">
        <v>0</v>
      </c>
      <c r="C1654" s="20">
        <v>0.02</v>
      </c>
      <c r="D1654" s="20">
        <v>0.99756714174924133</v>
      </c>
      <c r="E1654" s="20">
        <v>1</v>
      </c>
      <c r="F1654" s="8" t="s">
        <v>436</v>
      </c>
      <c r="G1654" s="24">
        <v>1.0187289857320314</v>
      </c>
      <c r="H1654" s="24">
        <v>1.024627166521616</v>
      </c>
      <c r="I1654" s="25">
        <v>1.0425464972128804</v>
      </c>
      <c r="L1654" s="15">
        <v>1652</v>
      </c>
      <c r="M1654" s="16">
        <v>1</v>
      </c>
      <c r="N1654" s="16">
        <v>2</v>
      </c>
      <c r="O1654" s="16">
        <v>4</v>
      </c>
      <c r="P1654" s="16">
        <v>96</v>
      </c>
      <c r="Q1654" s="29">
        <v>51</v>
      </c>
      <c r="R1654" s="20">
        <v>0.62360000000000004</v>
      </c>
      <c r="S1654" s="32">
        <v>31.803600000000003</v>
      </c>
      <c r="T1654" s="35">
        <v>3.1300000000000003</v>
      </c>
      <c r="U1654" s="35">
        <v>2.38</v>
      </c>
      <c r="V1654" s="35">
        <v>6.1372549019607849E-2</v>
      </c>
      <c r="W1654" s="9" t="s">
        <v>155</v>
      </c>
      <c r="X1654" s="15">
        <v>1653</v>
      </c>
      <c r="Y1654" s="39">
        <v>0.48251622810923983</v>
      </c>
      <c r="Z1654" s="39">
        <v>0.48195303675980455</v>
      </c>
      <c r="AA1654" s="39">
        <v>0.46768805282857162</v>
      </c>
      <c r="AB1654" s="39">
        <v>0.47658806910432083</v>
      </c>
      <c r="AC1654" s="39">
        <v>0.47481426294472162</v>
      </c>
      <c r="AD1654" s="39">
        <v>0.47575413586357751</v>
      </c>
      <c r="AE1654" s="39">
        <v>0.45930560372302465</v>
      </c>
      <c r="AF1654" s="40">
        <v>0.47496354150884407</v>
      </c>
    </row>
    <row r="1655" spans="1:32">
      <c r="A1655" s="15">
        <v>1653</v>
      </c>
      <c r="B1655" s="16">
        <v>0</v>
      </c>
      <c r="C1655" s="20">
        <v>0.02</v>
      </c>
      <c r="D1655" s="20">
        <v>0.99835916395484214</v>
      </c>
      <c r="E1655" s="20">
        <v>1</v>
      </c>
      <c r="F1655" s="8" t="s">
        <v>436</v>
      </c>
      <c r="G1655" s="24">
        <v>0.84351495257766884</v>
      </c>
      <c r="H1655" s="24">
        <v>0.8483986888399152</v>
      </c>
      <c r="I1655" s="25">
        <v>0.86323602398003985</v>
      </c>
      <c r="L1655" s="15">
        <v>1653</v>
      </c>
      <c r="M1655" s="16">
        <v>1</v>
      </c>
      <c r="N1655" s="16">
        <v>2</v>
      </c>
      <c r="O1655" s="16">
        <v>4</v>
      </c>
      <c r="P1655" s="16">
        <v>97</v>
      </c>
      <c r="Q1655" s="29">
        <v>48</v>
      </c>
      <c r="R1655" s="20">
        <v>0.62360000000000004</v>
      </c>
      <c r="S1655" s="32">
        <v>29.9328</v>
      </c>
      <c r="T1655" s="35">
        <v>1.28</v>
      </c>
      <c r="U1655" s="35">
        <v>0.52</v>
      </c>
      <c r="V1655" s="35">
        <v>2.6666666666666668E-2</v>
      </c>
      <c r="W1655" s="9" t="s">
        <v>153</v>
      </c>
      <c r="X1655" s="15">
        <v>1654</v>
      </c>
      <c r="Y1655" s="39">
        <v>0.49363156206936726</v>
      </c>
      <c r="Z1655" s="39">
        <v>0.48040377554599273</v>
      </c>
      <c r="AA1655" s="39">
        <v>0.47122268520637139</v>
      </c>
      <c r="AB1655" s="39">
        <v>0.48340550674839378</v>
      </c>
      <c r="AC1655" s="39">
        <v>0.48855763364049232</v>
      </c>
      <c r="AD1655" s="39">
        <v>0.47489414317035217</v>
      </c>
      <c r="AE1655" s="39">
        <v>0.46197769824461526</v>
      </c>
      <c r="AF1655" s="40">
        <v>0.4816549329098575</v>
      </c>
    </row>
    <row r="1656" spans="1:32">
      <c r="A1656" s="15">
        <v>1654</v>
      </c>
      <c r="B1656" s="16">
        <v>0</v>
      </c>
      <c r="C1656" s="20">
        <v>0.89</v>
      </c>
      <c r="D1656" s="20">
        <v>0.24559627500636821</v>
      </c>
      <c r="E1656" s="20">
        <v>0.11</v>
      </c>
      <c r="F1656" s="8" t="s">
        <v>434</v>
      </c>
      <c r="G1656" s="24">
        <v>0.69287466151626764</v>
      </c>
      <c r="H1656" s="24">
        <v>0.69688622894527197</v>
      </c>
      <c r="I1656" s="25">
        <v>0.70907381795196556</v>
      </c>
      <c r="L1656" s="15">
        <v>1654</v>
      </c>
      <c r="M1656" s="16">
        <v>1</v>
      </c>
      <c r="N1656" s="16">
        <v>2</v>
      </c>
      <c r="O1656" s="16">
        <v>5</v>
      </c>
      <c r="P1656" s="16">
        <v>98</v>
      </c>
      <c r="Q1656" s="29">
        <v>60</v>
      </c>
      <c r="R1656" s="20">
        <v>0.62360000000000004</v>
      </c>
      <c r="S1656" s="32">
        <v>37.416000000000004</v>
      </c>
      <c r="T1656" s="35">
        <v>3.07</v>
      </c>
      <c r="U1656" s="35">
        <v>2.35</v>
      </c>
      <c r="V1656" s="35">
        <v>5.1166666666666666E-2</v>
      </c>
      <c r="W1656" s="9" t="s">
        <v>155</v>
      </c>
      <c r="X1656" s="15">
        <v>1655</v>
      </c>
      <c r="Y1656" s="39">
        <v>0.4848215541679341</v>
      </c>
      <c r="Z1656" s="39">
        <v>0.4775513525868737</v>
      </c>
      <c r="AA1656" s="39">
        <v>0.48413847583480901</v>
      </c>
      <c r="AB1656" s="39">
        <v>0.47605157651981173</v>
      </c>
      <c r="AC1656" s="39">
        <v>0.4783672895659814</v>
      </c>
      <c r="AD1656" s="39">
        <v>0.47174478385262064</v>
      </c>
      <c r="AE1656" s="39">
        <v>0.47586597830735805</v>
      </c>
      <c r="AF1656" s="40">
        <v>0.47014134293590371</v>
      </c>
    </row>
    <row r="1657" spans="1:32">
      <c r="A1657" s="15">
        <v>1655</v>
      </c>
      <c r="B1657" s="16">
        <v>0</v>
      </c>
      <c r="C1657" s="20">
        <v>0.22</v>
      </c>
      <c r="D1657" s="20">
        <v>0.73433151260058638</v>
      </c>
      <c r="E1657" s="20">
        <v>0.11</v>
      </c>
      <c r="F1657" s="8" t="s">
        <v>436</v>
      </c>
      <c r="G1657" s="24">
        <v>1.1572437242735203</v>
      </c>
      <c r="H1657" s="24">
        <v>1.1639438700423901</v>
      </c>
      <c r="I1657" s="25">
        <v>1.1842996597333513</v>
      </c>
      <c r="L1657" s="15">
        <v>1655</v>
      </c>
      <c r="M1657" s="16">
        <v>1</v>
      </c>
      <c r="N1657" s="16">
        <v>2</v>
      </c>
      <c r="O1657" s="16">
        <v>5</v>
      </c>
      <c r="P1657" s="16">
        <v>99</v>
      </c>
      <c r="Q1657" s="29">
        <v>54</v>
      </c>
      <c r="R1657" s="20">
        <v>0.62360000000000004</v>
      </c>
      <c r="S1657" s="32">
        <v>33.674400000000006</v>
      </c>
      <c r="T1657" s="35">
        <v>2.4900000000000002</v>
      </c>
      <c r="U1657" s="35">
        <v>1.58</v>
      </c>
      <c r="V1657" s="35">
        <v>4.6111111111111117E-2</v>
      </c>
      <c r="W1657" s="9" t="s">
        <v>154</v>
      </c>
      <c r="X1657" s="15">
        <v>1656</v>
      </c>
      <c r="Y1657" s="39">
        <v>0.48007119476195026</v>
      </c>
      <c r="Z1657" s="39">
        <v>0.47998091746397697</v>
      </c>
      <c r="AA1657" s="39">
        <v>0.49594804698111011</v>
      </c>
      <c r="AB1657" s="39">
        <v>0.48222110286720726</v>
      </c>
      <c r="AC1657" s="39">
        <v>0.47419396410573456</v>
      </c>
      <c r="AD1657" s="39">
        <v>0.47290592590827418</v>
      </c>
      <c r="AE1657" s="39">
        <v>0.48871749417383153</v>
      </c>
      <c r="AF1657" s="40">
        <v>0.48167273947585132</v>
      </c>
    </row>
    <row r="1658" spans="1:32">
      <c r="A1658" s="15">
        <v>1656</v>
      </c>
      <c r="B1658" s="16">
        <v>0</v>
      </c>
      <c r="C1658" s="20">
        <v>0.19</v>
      </c>
      <c r="D1658" s="20">
        <v>0.8544683103192896</v>
      </c>
      <c r="E1658" s="20">
        <v>0.52</v>
      </c>
      <c r="F1658" s="8" t="s">
        <v>436</v>
      </c>
      <c r="G1658" s="24">
        <v>0.90935147123584126</v>
      </c>
      <c r="H1658" s="24">
        <v>0.91461638413587987</v>
      </c>
      <c r="I1658" s="25">
        <v>0.93061177639023263</v>
      </c>
      <c r="L1658" s="15">
        <v>1656</v>
      </c>
      <c r="M1658" s="16">
        <v>1</v>
      </c>
      <c r="N1658" s="16">
        <v>2</v>
      </c>
      <c r="O1658" s="16">
        <v>5</v>
      </c>
      <c r="P1658" s="16">
        <v>100</v>
      </c>
      <c r="Q1658" s="29">
        <v>55</v>
      </c>
      <c r="R1658" s="20">
        <v>0.62360000000000004</v>
      </c>
      <c r="S1658" s="32">
        <v>34.298000000000002</v>
      </c>
      <c r="T1658" s="35">
        <v>3.02</v>
      </c>
      <c r="U1658" s="35">
        <v>2.0699999999999998</v>
      </c>
      <c r="V1658" s="35">
        <v>5.4909090909090907E-2</v>
      </c>
      <c r="W1658" s="9" t="s">
        <v>155</v>
      </c>
      <c r="X1658" s="15">
        <v>1657</v>
      </c>
      <c r="Y1658" s="39">
        <v>0.49622802157026047</v>
      </c>
      <c r="Z1658" s="39">
        <v>0.47258944933788299</v>
      </c>
      <c r="AA1658" s="39">
        <v>0.47803848554950618</v>
      </c>
      <c r="AB1658" s="39">
        <v>0.48535884187769773</v>
      </c>
      <c r="AC1658" s="39">
        <v>0.48641706999890105</v>
      </c>
      <c r="AD1658" s="39">
        <v>0.46566050512305712</v>
      </c>
      <c r="AE1658" s="39">
        <v>0.47032737847755574</v>
      </c>
      <c r="AF1658" s="40">
        <v>0.48117880391065682</v>
      </c>
    </row>
    <row r="1659" spans="1:32">
      <c r="A1659" s="15">
        <v>1657</v>
      </c>
      <c r="B1659" s="16">
        <v>1</v>
      </c>
      <c r="C1659" s="20">
        <v>0.02</v>
      </c>
      <c r="D1659" s="20">
        <v>0.99917029198757767</v>
      </c>
      <c r="E1659" s="20">
        <v>1</v>
      </c>
      <c r="F1659" s="8" t="s">
        <v>436</v>
      </c>
      <c r="G1659" s="24">
        <v>1.0005682473498934</v>
      </c>
      <c r="H1659" s="24">
        <v>1.0063612820999028</v>
      </c>
      <c r="I1659" s="25">
        <v>1.0239611674026243</v>
      </c>
      <c r="L1659" s="15">
        <v>1657</v>
      </c>
      <c r="M1659" s="16">
        <v>1</v>
      </c>
      <c r="N1659" s="16">
        <v>2</v>
      </c>
      <c r="O1659" s="16">
        <v>5</v>
      </c>
      <c r="P1659" s="16">
        <v>101</v>
      </c>
      <c r="Q1659" s="29">
        <v>47</v>
      </c>
      <c r="R1659" s="20">
        <v>0.62360000000000004</v>
      </c>
      <c r="S1659" s="32">
        <v>29.309200000000001</v>
      </c>
      <c r="T1659" s="35">
        <v>2.27</v>
      </c>
      <c r="U1659" s="35">
        <v>1.59</v>
      </c>
      <c r="V1659" s="35">
        <v>4.8297872340425534E-2</v>
      </c>
      <c r="W1659" s="9" t="s">
        <v>154</v>
      </c>
      <c r="X1659" s="15">
        <v>1658</v>
      </c>
      <c r="Y1659" s="39">
        <v>0.50841495258651004</v>
      </c>
      <c r="Z1659" s="39">
        <v>0.48638302693919627</v>
      </c>
      <c r="AA1659" s="39">
        <v>0.49668682450356094</v>
      </c>
      <c r="AB1659" s="39">
        <v>0.49329599179180184</v>
      </c>
      <c r="AC1659" s="39">
        <v>0.49942721231719628</v>
      </c>
      <c r="AD1659" s="39">
        <v>0.47846963386628</v>
      </c>
      <c r="AE1659" s="39">
        <v>0.48694620004844458</v>
      </c>
      <c r="AF1659" s="40">
        <v>0.49034879092273925</v>
      </c>
    </row>
    <row r="1660" spans="1:32">
      <c r="A1660" s="15">
        <v>1658</v>
      </c>
      <c r="B1660" s="16">
        <v>0</v>
      </c>
      <c r="C1660" s="20">
        <v>0.13</v>
      </c>
      <c r="D1660" s="20">
        <v>0.92775845952048963</v>
      </c>
      <c r="E1660" s="20">
        <v>0.44</v>
      </c>
      <c r="F1660" s="8" t="s">
        <v>436</v>
      </c>
      <c r="G1660" s="24">
        <v>0.91647170012214196</v>
      </c>
      <c r="H1660" s="24">
        <v>0.92177783732994323</v>
      </c>
      <c r="I1660" s="25">
        <v>0.93789847362642897</v>
      </c>
      <c r="L1660" s="15">
        <v>1658</v>
      </c>
      <c r="M1660" s="16">
        <v>1</v>
      </c>
      <c r="N1660" s="16">
        <v>2</v>
      </c>
      <c r="O1660" s="16">
        <v>5</v>
      </c>
      <c r="P1660" s="16">
        <v>102</v>
      </c>
      <c r="Q1660" s="29">
        <v>17</v>
      </c>
      <c r="R1660" s="20">
        <v>0.62360000000000004</v>
      </c>
      <c r="S1660" s="32">
        <v>10.6012</v>
      </c>
      <c r="T1660" s="35">
        <v>0.31</v>
      </c>
      <c r="U1660" s="35">
        <v>0.11</v>
      </c>
      <c r="V1660" s="35">
        <v>1.8235294117647058E-2</v>
      </c>
      <c r="W1660" s="9" t="s">
        <v>152</v>
      </c>
      <c r="X1660" s="15">
        <v>1659</v>
      </c>
      <c r="Y1660" s="39">
        <v>0.49391255560286074</v>
      </c>
      <c r="Z1660" s="39">
        <v>0.47993629825196621</v>
      </c>
      <c r="AA1660" s="39">
        <v>0.48562824256809789</v>
      </c>
      <c r="AB1660" s="39">
        <v>0.47925994415343143</v>
      </c>
      <c r="AC1660" s="39">
        <v>0.48621977230729363</v>
      </c>
      <c r="AD1660" s="39">
        <v>0.4725461679095066</v>
      </c>
      <c r="AE1660" s="39">
        <v>0.47935374192620966</v>
      </c>
      <c r="AF1660" s="40">
        <v>0.47549938497057403</v>
      </c>
    </row>
    <row r="1661" spans="1:32">
      <c r="A1661" s="15">
        <v>1659</v>
      </c>
      <c r="B1661" s="16">
        <v>0</v>
      </c>
      <c r="C1661" s="20">
        <v>0.6</v>
      </c>
      <c r="D1661" s="20">
        <v>0.45666148879483281</v>
      </c>
      <c r="E1661" s="20">
        <v>0.06</v>
      </c>
      <c r="F1661" s="8" t="s">
        <v>438</v>
      </c>
      <c r="G1661" s="24">
        <v>0.95279172891681296</v>
      </c>
      <c r="H1661" s="24">
        <v>0.95830814982039025</v>
      </c>
      <c r="I1661" s="25">
        <v>0.97506765142433593</v>
      </c>
      <c r="L1661" s="15">
        <v>1659</v>
      </c>
      <c r="M1661" s="16">
        <v>1</v>
      </c>
      <c r="N1661" s="16">
        <v>2</v>
      </c>
      <c r="O1661" s="16">
        <v>6</v>
      </c>
      <c r="P1661" s="16">
        <v>103</v>
      </c>
      <c r="Q1661" s="29">
        <v>34</v>
      </c>
      <c r="R1661" s="20">
        <v>0.62360000000000004</v>
      </c>
      <c r="S1661" s="32">
        <v>21.202400000000001</v>
      </c>
      <c r="T1661" s="35">
        <v>3.04</v>
      </c>
      <c r="U1661" s="35">
        <v>2.5099999999999998</v>
      </c>
      <c r="V1661" s="35">
        <v>8.9411764705882357E-2</v>
      </c>
      <c r="W1661" s="9" t="s">
        <v>155</v>
      </c>
      <c r="X1661" s="15">
        <v>1660</v>
      </c>
      <c r="Y1661" s="39">
        <v>0.47965387505363161</v>
      </c>
      <c r="Z1661" s="39">
        <v>0.48939324520119393</v>
      </c>
      <c r="AA1661" s="39">
        <v>0.47928663620106737</v>
      </c>
      <c r="AB1661" s="39">
        <v>0.50119662431511702</v>
      </c>
      <c r="AC1661" s="39">
        <v>0.47663375340028702</v>
      </c>
      <c r="AD1661" s="39">
        <v>0.48254630807555127</v>
      </c>
      <c r="AE1661" s="39">
        <v>0.47419218084518466</v>
      </c>
      <c r="AF1661" s="40">
        <v>0.49815829203652268</v>
      </c>
    </row>
    <row r="1662" spans="1:32">
      <c r="A1662" s="15">
        <v>1660</v>
      </c>
      <c r="B1662" s="16">
        <v>1</v>
      </c>
      <c r="C1662" s="20">
        <v>0.91</v>
      </c>
      <c r="D1662" s="20">
        <v>0.21727233298780477</v>
      </c>
      <c r="E1662" s="20">
        <v>0.09</v>
      </c>
      <c r="F1662" s="8" t="s">
        <v>434</v>
      </c>
      <c r="G1662" s="24">
        <v>1.2298451521146001</v>
      </c>
      <c r="H1662" s="24">
        <v>1.2369656416186401</v>
      </c>
      <c r="I1662" s="25">
        <v>1.2585984824315024</v>
      </c>
      <c r="L1662" s="15">
        <v>1660</v>
      </c>
      <c r="M1662" s="16">
        <v>1</v>
      </c>
      <c r="N1662" s="16">
        <v>2</v>
      </c>
      <c r="O1662" s="16">
        <v>6</v>
      </c>
      <c r="P1662" s="16">
        <v>104</v>
      </c>
      <c r="Q1662" s="29">
        <v>35</v>
      </c>
      <c r="R1662" s="20">
        <v>0.62360000000000004</v>
      </c>
      <c r="S1662" s="32">
        <v>21.826000000000001</v>
      </c>
      <c r="T1662" s="35">
        <v>0.96000000000000008</v>
      </c>
      <c r="U1662" s="35">
        <v>0.47</v>
      </c>
      <c r="V1662" s="35">
        <v>2.7428571428571431E-2</v>
      </c>
      <c r="W1662" s="9" t="s">
        <v>152</v>
      </c>
      <c r="X1662" s="15">
        <v>1661</v>
      </c>
      <c r="Y1662" s="39">
        <v>0.47677468017548169</v>
      </c>
      <c r="Z1662" s="39">
        <v>0.47676170868626161</v>
      </c>
      <c r="AA1662" s="39">
        <v>0.48554742810445195</v>
      </c>
      <c r="AB1662" s="39">
        <v>0.49152788787742741</v>
      </c>
      <c r="AC1662" s="39">
        <v>0.46951369933953441</v>
      </c>
      <c r="AD1662" s="39">
        <v>0.47041306918375719</v>
      </c>
      <c r="AE1662" s="39">
        <v>0.47738096151508314</v>
      </c>
      <c r="AF1662" s="40">
        <v>0.48879471046908263</v>
      </c>
    </row>
    <row r="1663" spans="1:32">
      <c r="A1663" s="15">
        <v>1661</v>
      </c>
      <c r="B1663" s="16">
        <v>0</v>
      </c>
      <c r="C1663" s="20">
        <v>0.02</v>
      </c>
      <c r="D1663" s="20">
        <v>0.99679477127711513</v>
      </c>
      <c r="E1663" s="20">
        <v>1</v>
      </c>
      <c r="F1663" s="8" t="s">
        <v>436</v>
      </c>
      <c r="G1663" s="24">
        <v>1.4614563333294508</v>
      </c>
      <c r="H1663" s="24">
        <v>1.4699177924523268</v>
      </c>
      <c r="I1663" s="25">
        <v>1.4956246484410713</v>
      </c>
      <c r="L1663" s="15">
        <v>1661</v>
      </c>
      <c r="M1663" s="16">
        <v>1</v>
      </c>
      <c r="N1663" s="16">
        <v>2</v>
      </c>
      <c r="O1663" s="16">
        <v>6</v>
      </c>
      <c r="P1663" s="16">
        <v>105</v>
      </c>
      <c r="Q1663" s="29">
        <v>34</v>
      </c>
      <c r="R1663" s="20">
        <v>0.62360000000000004</v>
      </c>
      <c r="S1663" s="32">
        <v>21.202400000000001</v>
      </c>
      <c r="T1663" s="35">
        <v>3.59</v>
      </c>
      <c r="U1663" s="35">
        <v>3.1</v>
      </c>
      <c r="V1663" s="35">
        <v>0.10558823529411765</v>
      </c>
      <c r="W1663" s="9" t="s">
        <v>155</v>
      </c>
      <c r="X1663" s="15">
        <v>1662</v>
      </c>
      <c r="Y1663" s="39">
        <v>0.47842291036513301</v>
      </c>
      <c r="Z1663" s="39">
        <v>0.47864414150006018</v>
      </c>
      <c r="AA1663" s="39">
        <v>0.48200744987547933</v>
      </c>
      <c r="AB1663" s="39">
        <v>0.48241938456121269</v>
      </c>
      <c r="AC1663" s="39">
        <v>0.47382567003135279</v>
      </c>
      <c r="AD1663" s="39">
        <v>0.47141538734937338</v>
      </c>
      <c r="AE1663" s="39">
        <v>0.47554996111523068</v>
      </c>
      <c r="AF1663" s="40">
        <v>0.47725704173935135</v>
      </c>
    </row>
    <row r="1664" spans="1:32">
      <c r="A1664" s="15">
        <v>1662</v>
      </c>
      <c r="B1664" s="16">
        <v>1</v>
      </c>
      <c r="C1664" s="20">
        <v>0.76</v>
      </c>
      <c r="D1664" s="20">
        <v>0.37873533159263617</v>
      </c>
      <c r="E1664" s="20">
        <v>7.0000000000000007E-2</v>
      </c>
      <c r="F1664" s="8" t="s">
        <v>438</v>
      </c>
      <c r="G1664" s="24">
        <v>0.813896308385336</v>
      </c>
      <c r="H1664" s="24">
        <v>0.81860856025807793</v>
      </c>
      <c r="I1664" s="25">
        <v>0.83292490670803787</v>
      </c>
      <c r="L1664" s="15">
        <v>1662</v>
      </c>
      <c r="M1664" s="16">
        <v>1</v>
      </c>
      <c r="N1664" s="16">
        <v>2</v>
      </c>
      <c r="O1664" s="16">
        <v>6</v>
      </c>
      <c r="P1664" s="16">
        <v>106</v>
      </c>
      <c r="Q1664" s="29">
        <v>41</v>
      </c>
      <c r="R1664" s="20">
        <v>0.62360000000000004</v>
      </c>
      <c r="S1664" s="32">
        <v>25.567600000000002</v>
      </c>
      <c r="T1664" s="35">
        <v>3.31</v>
      </c>
      <c r="U1664" s="35">
        <v>2.7</v>
      </c>
      <c r="V1664" s="35">
        <v>8.0731707317073173E-2</v>
      </c>
      <c r="W1664" s="9" t="s">
        <v>155</v>
      </c>
      <c r="X1664" s="15">
        <v>1663</v>
      </c>
      <c r="Y1664" s="39">
        <v>0.48076562231135839</v>
      </c>
      <c r="Z1664" s="39">
        <v>0.4875940417511988</v>
      </c>
      <c r="AA1664" s="39">
        <v>0.48456662027056369</v>
      </c>
      <c r="AB1664" s="39">
        <v>0.49035433488865521</v>
      </c>
      <c r="AC1664" s="39">
        <v>0.4724373163685156</v>
      </c>
      <c r="AD1664" s="39">
        <v>0.47961873527156618</v>
      </c>
      <c r="AE1664" s="39">
        <v>0.47487651175714285</v>
      </c>
      <c r="AF1664" s="40">
        <v>0.48520028493170608</v>
      </c>
    </row>
    <row r="1665" spans="1:32">
      <c r="A1665" s="15">
        <v>1663</v>
      </c>
      <c r="B1665" s="16">
        <v>0</v>
      </c>
      <c r="C1665" s="20">
        <v>0.86</v>
      </c>
      <c r="D1665" s="20">
        <v>0.28597383862931031</v>
      </c>
      <c r="E1665" s="20">
        <v>0.14000000000000001</v>
      </c>
      <c r="F1665" s="8" t="s">
        <v>434</v>
      </c>
      <c r="G1665" s="24">
        <v>0.52867192033267163</v>
      </c>
      <c r="H1665" s="24">
        <v>0.53173279580413801</v>
      </c>
      <c r="I1665" s="25">
        <v>0.54103207667305286</v>
      </c>
      <c r="L1665" s="15">
        <v>1663</v>
      </c>
      <c r="M1665" s="16">
        <v>1</v>
      </c>
      <c r="N1665" s="16">
        <v>2</v>
      </c>
      <c r="O1665" s="16">
        <v>6</v>
      </c>
      <c r="P1665" s="16">
        <v>107</v>
      </c>
      <c r="Q1665" s="29">
        <v>52</v>
      </c>
      <c r="R1665" s="20">
        <v>0.62360000000000004</v>
      </c>
      <c r="S1665" s="32">
        <v>32.427199999999999</v>
      </c>
      <c r="T1665" s="35">
        <v>3.84</v>
      </c>
      <c r="U1665" s="35">
        <v>3.05</v>
      </c>
      <c r="V1665" s="35">
        <v>7.3846153846153839E-2</v>
      </c>
      <c r="W1665" s="9" t="s">
        <v>155</v>
      </c>
      <c r="X1665" s="15">
        <v>1664</v>
      </c>
      <c r="Y1665" s="39">
        <v>0.48762003786538449</v>
      </c>
      <c r="Z1665" s="39">
        <v>0.4912662141127857</v>
      </c>
      <c r="AA1665" s="39">
        <v>0.47624330365262169</v>
      </c>
      <c r="AB1665" s="39">
        <v>0.47043042380000971</v>
      </c>
      <c r="AC1665" s="39">
        <v>0.48156198494939878</v>
      </c>
      <c r="AD1665" s="39">
        <v>0.48303355697269346</v>
      </c>
      <c r="AE1665" s="39">
        <v>0.47062375186881439</v>
      </c>
      <c r="AF1665" s="40">
        <v>0.46870510681280408</v>
      </c>
    </row>
    <row r="1666" spans="1:32">
      <c r="A1666" s="15">
        <v>1664</v>
      </c>
      <c r="B1666" s="16">
        <v>0</v>
      </c>
      <c r="C1666" s="20">
        <v>0.94</v>
      </c>
      <c r="D1666" s="20">
        <v>0.17188516685452584</v>
      </c>
      <c r="E1666" s="20">
        <v>0.06</v>
      </c>
      <c r="F1666" s="8" t="s">
        <v>434</v>
      </c>
      <c r="G1666" s="24">
        <v>0.9139579828767963</v>
      </c>
      <c r="H1666" s="24">
        <v>0.91924956630339116</v>
      </c>
      <c r="I1666" s="25">
        <v>0.93532598659030564</v>
      </c>
      <c r="L1666" s="15">
        <v>1664</v>
      </c>
      <c r="M1666" s="16">
        <v>1</v>
      </c>
      <c r="N1666" s="16">
        <v>2</v>
      </c>
      <c r="O1666" s="16">
        <v>6</v>
      </c>
      <c r="P1666" s="16">
        <v>108</v>
      </c>
      <c r="Q1666" s="29">
        <v>41</v>
      </c>
      <c r="R1666" s="20">
        <v>0.62360000000000004</v>
      </c>
      <c r="S1666" s="32">
        <v>25.567600000000002</v>
      </c>
      <c r="T1666" s="35">
        <v>3.1500000000000004</v>
      </c>
      <c r="U1666" s="35">
        <v>2.64</v>
      </c>
      <c r="V1666" s="35">
        <v>7.682926829268294E-2</v>
      </c>
      <c r="W1666" s="9" t="s">
        <v>155</v>
      </c>
      <c r="X1666" s="15">
        <v>1665</v>
      </c>
      <c r="Y1666" s="39">
        <v>0.49331029133881782</v>
      </c>
      <c r="Z1666" s="39">
        <v>0.48641831524120221</v>
      </c>
      <c r="AA1666" s="39">
        <v>0.49808045478704221</v>
      </c>
      <c r="AB1666" s="39">
        <v>0.48743549056946062</v>
      </c>
      <c r="AC1666" s="39">
        <v>0.48636255730994971</v>
      </c>
      <c r="AD1666" s="39">
        <v>0.47842522394808024</v>
      </c>
      <c r="AE1666" s="39">
        <v>0.49382934469106526</v>
      </c>
      <c r="AF1666" s="40">
        <v>0.48370076050413174</v>
      </c>
    </row>
    <row r="1667" spans="1:32">
      <c r="A1667" s="15">
        <v>1665</v>
      </c>
      <c r="B1667" s="16">
        <v>0</v>
      </c>
      <c r="C1667" s="20">
        <v>0.02</v>
      </c>
      <c r="D1667" s="20">
        <v>0.99756714174924133</v>
      </c>
      <c r="E1667" s="20">
        <v>1</v>
      </c>
      <c r="F1667" s="8" t="s">
        <v>436</v>
      </c>
      <c r="G1667" s="24">
        <v>1.0877425626024682</v>
      </c>
      <c r="H1667" s="24">
        <v>1.0940403143859274</v>
      </c>
      <c r="I1667" s="25">
        <v>1.1131735862955616</v>
      </c>
      <c r="L1667" s="15">
        <v>1665</v>
      </c>
      <c r="M1667" s="16">
        <v>1</v>
      </c>
      <c r="N1667" s="16">
        <v>2</v>
      </c>
      <c r="O1667" s="16">
        <v>6</v>
      </c>
      <c r="P1667" s="16">
        <v>109</v>
      </c>
      <c r="Q1667" s="29">
        <v>46</v>
      </c>
      <c r="R1667" s="20">
        <v>0.62360000000000004</v>
      </c>
      <c r="S1667" s="32">
        <v>28.685600000000001</v>
      </c>
      <c r="T1667" s="35">
        <v>4.1100000000000003</v>
      </c>
      <c r="U1667" s="35">
        <v>3.38</v>
      </c>
      <c r="V1667" s="35">
        <v>8.9347826086956531E-2</v>
      </c>
      <c r="W1667" s="9" t="s">
        <v>155</v>
      </c>
      <c r="X1667" s="15">
        <v>1666</v>
      </c>
      <c r="Y1667" s="39">
        <v>0.47710701022140478</v>
      </c>
      <c r="Z1667" s="39">
        <v>0.48240939706389158</v>
      </c>
      <c r="AA1667" s="39">
        <v>0.47984652629976859</v>
      </c>
      <c r="AB1667" s="39">
        <v>0.50346668417544937</v>
      </c>
      <c r="AC1667" s="39">
        <v>0.47010787839327017</v>
      </c>
      <c r="AD1667" s="39">
        <v>0.47694329916214212</v>
      </c>
      <c r="AE1667" s="39">
        <v>0.47247032850300369</v>
      </c>
      <c r="AF1667" s="40">
        <v>0.49684425181287528</v>
      </c>
    </row>
    <row r="1668" spans="1:32">
      <c r="A1668" s="15">
        <v>1666</v>
      </c>
      <c r="B1668" s="16">
        <v>1</v>
      </c>
      <c r="C1668" s="20">
        <v>0.12</v>
      </c>
      <c r="D1668" s="20">
        <v>0.88242281032543779</v>
      </c>
      <c r="E1668" s="20">
        <v>0.4</v>
      </c>
      <c r="F1668" s="8" t="s">
        <v>436</v>
      </c>
      <c r="G1668" s="24">
        <v>0.9949057687257189</v>
      </c>
      <c r="H1668" s="24">
        <v>1.0006660191698822</v>
      </c>
      <c r="I1668" s="25">
        <v>1.018166302097075</v>
      </c>
      <c r="L1668" s="15">
        <v>1666</v>
      </c>
      <c r="M1668" s="16">
        <v>1</v>
      </c>
      <c r="N1668" s="16">
        <v>2</v>
      </c>
      <c r="O1668" s="16">
        <v>6</v>
      </c>
      <c r="P1668" s="16">
        <v>110</v>
      </c>
      <c r="Q1668" s="29">
        <v>43</v>
      </c>
      <c r="R1668" s="20">
        <v>0.62360000000000004</v>
      </c>
      <c r="S1668" s="32">
        <v>26.814800000000002</v>
      </c>
      <c r="T1668" s="35">
        <v>3.2800000000000002</v>
      </c>
      <c r="U1668" s="35">
        <v>2.7</v>
      </c>
      <c r="V1668" s="35">
        <v>7.6279069767441865E-2</v>
      </c>
      <c r="W1668" s="9" t="s">
        <v>155</v>
      </c>
      <c r="X1668" s="15">
        <v>1667</v>
      </c>
      <c r="Y1668" s="39">
        <v>0.47116753153844332</v>
      </c>
      <c r="Z1668" s="39">
        <v>0.47547900990418185</v>
      </c>
      <c r="AA1668" s="39">
        <v>0.50040250173777245</v>
      </c>
      <c r="AB1668" s="39">
        <v>0.48536000305447347</v>
      </c>
      <c r="AC1668" s="39">
        <v>0.46220435666287074</v>
      </c>
      <c r="AD1668" s="39">
        <v>0.46820047522119024</v>
      </c>
      <c r="AE1668" s="39">
        <v>0.49398968719709324</v>
      </c>
      <c r="AF1668" s="40">
        <v>0.48173425350786142</v>
      </c>
    </row>
    <row r="1669" spans="1:32">
      <c r="A1669" s="15">
        <v>1667</v>
      </c>
      <c r="B1669" s="16">
        <v>0</v>
      </c>
      <c r="C1669" s="20">
        <v>0.91</v>
      </c>
      <c r="D1669" s="20">
        <v>0.21727233298780477</v>
      </c>
      <c r="E1669" s="20">
        <v>0.09</v>
      </c>
      <c r="F1669" s="8" t="s">
        <v>434</v>
      </c>
      <c r="G1669" s="24">
        <v>0.69938596718754942</v>
      </c>
      <c r="H1669" s="24">
        <v>0.70343523341433345</v>
      </c>
      <c r="I1669" s="25">
        <v>0.71573735557085372</v>
      </c>
      <c r="L1669" s="15">
        <v>1667</v>
      </c>
      <c r="M1669" s="16">
        <v>1</v>
      </c>
      <c r="N1669" s="16">
        <v>2</v>
      </c>
      <c r="O1669" s="16">
        <v>6</v>
      </c>
      <c r="P1669" s="16">
        <v>111</v>
      </c>
      <c r="Q1669" s="29">
        <v>34</v>
      </c>
      <c r="R1669" s="20">
        <v>0.62360000000000004</v>
      </c>
      <c r="S1669" s="32">
        <v>21.202400000000001</v>
      </c>
      <c r="T1669" s="35">
        <v>0.98</v>
      </c>
      <c r="U1669" s="35">
        <v>0.45</v>
      </c>
      <c r="V1669" s="35">
        <v>2.8823529411764706E-2</v>
      </c>
      <c r="W1669" s="9" t="s">
        <v>152</v>
      </c>
      <c r="X1669" s="15">
        <v>1668</v>
      </c>
      <c r="Y1669" s="39">
        <v>0.49820389074504096</v>
      </c>
      <c r="Z1669" s="39">
        <v>0.49961303214963687</v>
      </c>
      <c r="AA1669" s="39">
        <v>0.47156526990806286</v>
      </c>
      <c r="AB1669" s="39">
        <v>0.50374214035866349</v>
      </c>
      <c r="AC1669" s="39">
        <v>0.48906718853020653</v>
      </c>
      <c r="AD1669" s="39">
        <v>0.49385943624872092</v>
      </c>
      <c r="AE1669" s="39">
        <v>0.46392768821385677</v>
      </c>
      <c r="AF1669" s="40">
        <v>0.49968196665344</v>
      </c>
    </row>
    <row r="1670" spans="1:32">
      <c r="A1670" s="15">
        <v>1668</v>
      </c>
      <c r="B1670" s="16">
        <v>0</v>
      </c>
      <c r="C1670" s="20">
        <v>0.42</v>
      </c>
      <c r="D1670" s="20">
        <v>0.5944842309465822</v>
      </c>
      <c r="E1670" s="20">
        <v>0.08</v>
      </c>
      <c r="F1670" s="8" t="s">
        <v>436</v>
      </c>
      <c r="G1670" s="24">
        <v>1.2358336158888859</v>
      </c>
      <c r="H1670" s="24">
        <v>1.2429887770695809</v>
      </c>
      <c r="I1670" s="25">
        <v>1.2647269543008697</v>
      </c>
      <c r="L1670" s="15">
        <v>1668</v>
      </c>
      <c r="M1670" s="16">
        <v>1</v>
      </c>
      <c r="N1670" s="16">
        <v>2</v>
      </c>
      <c r="O1670" s="16">
        <v>6</v>
      </c>
      <c r="P1670" s="16">
        <v>112</v>
      </c>
      <c r="Q1670" s="29">
        <v>48</v>
      </c>
      <c r="R1670" s="20">
        <v>0.62360000000000004</v>
      </c>
      <c r="S1670" s="32">
        <v>29.9328</v>
      </c>
      <c r="T1670" s="35">
        <v>1.53</v>
      </c>
      <c r="U1670" s="35">
        <v>0.85</v>
      </c>
      <c r="V1670" s="35">
        <v>3.1875000000000001E-2</v>
      </c>
      <c r="W1670" s="9" t="s">
        <v>153</v>
      </c>
      <c r="X1670" s="15">
        <v>1669</v>
      </c>
      <c r="Y1670" s="39">
        <v>0.49532042137167059</v>
      </c>
      <c r="Z1670" s="39">
        <v>0.48421247392721484</v>
      </c>
      <c r="AA1670" s="39">
        <v>0.47123018473261707</v>
      </c>
      <c r="AB1670" s="39">
        <v>0.49045824356723705</v>
      </c>
      <c r="AC1670" s="39">
        <v>0.49027363226541482</v>
      </c>
      <c r="AD1670" s="39">
        <v>0.47623372348939991</v>
      </c>
      <c r="AE1670" s="39">
        <v>0.46477404653789639</v>
      </c>
      <c r="AF1670" s="40">
        <v>0.48483586506109366</v>
      </c>
    </row>
    <row r="1671" spans="1:32">
      <c r="A1671" s="15">
        <v>1669</v>
      </c>
      <c r="B1671" s="16">
        <v>1</v>
      </c>
      <c r="C1671" s="20">
        <v>0.02</v>
      </c>
      <c r="D1671" s="20">
        <v>0.99835916395484214</v>
      </c>
      <c r="E1671" s="20">
        <v>1</v>
      </c>
      <c r="F1671" s="8" t="s">
        <v>436</v>
      </c>
      <c r="G1671" s="24">
        <v>1.1054490874439524</v>
      </c>
      <c r="H1671" s="24">
        <v>1.1118493554865276</v>
      </c>
      <c r="I1671" s="25">
        <v>1.1312940832185363</v>
      </c>
      <c r="L1671" s="15">
        <v>1669</v>
      </c>
      <c r="M1671" s="16">
        <v>1</v>
      </c>
      <c r="N1671" s="16">
        <v>2</v>
      </c>
      <c r="O1671" s="16">
        <v>6</v>
      </c>
      <c r="P1671" s="16">
        <v>113</v>
      </c>
      <c r="Q1671" s="29">
        <v>37</v>
      </c>
      <c r="R1671" s="20">
        <v>0.62360000000000004</v>
      </c>
      <c r="S1671" s="32">
        <v>23.0732</v>
      </c>
      <c r="T1671" s="35">
        <v>0.87</v>
      </c>
      <c r="U1671" s="35">
        <v>0.3</v>
      </c>
      <c r="V1671" s="35">
        <v>2.3513513513513513E-2</v>
      </c>
      <c r="W1671" s="9" t="s">
        <v>152</v>
      </c>
      <c r="X1671" s="15">
        <v>1670</v>
      </c>
      <c r="Y1671" s="39">
        <v>0.48390451881977958</v>
      </c>
      <c r="Z1671" s="39">
        <v>0.50123572343621969</v>
      </c>
      <c r="AA1671" s="39">
        <v>0.49199041383512199</v>
      </c>
      <c r="AB1671" s="39">
        <v>0.48826756123291204</v>
      </c>
      <c r="AC1671" s="39">
        <v>0.4754560025545283</v>
      </c>
      <c r="AD1671" s="39">
        <v>0.49548863630346646</v>
      </c>
      <c r="AE1671" s="39">
        <v>0.48613663391023898</v>
      </c>
      <c r="AF1671" s="40">
        <v>0.48402522026440964</v>
      </c>
    </row>
    <row r="1672" spans="1:32">
      <c r="A1672" s="15">
        <v>1670</v>
      </c>
      <c r="B1672" s="16">
        <v>0</v>
      </c>
      <c r="C1672" s="20">
        <v>0.02</v>
      </c>
      <c r="D1672" s="20">
        <v>0.99835916395484214</v>
      </c>
      <c r="E1672" s="20">
        <v>1</v>
      </c>
      <c r="F1672" s="8" t="s">
        <v>436</v>
      </c>
      <c r="G1672" s="24">
        <v>1.0972076310175374</v>
      </c>
      <c r="H1672" s="24">
        <v>1.1035601831310939</v>
      </c>
      <c r="I1672" s="25">
        <v>1.1228599445519922</v>
      </c>
      <c r="L1672" s="15">
        <v>1670</v>
      </c>
      <c r="M1672" s="16">
        <v>1</v>
      </c>
      <c r="N1672" s="16">
        <v>2</v>
      </c>
      <c r="O1672" s="16">
        <v>6</v>
      </c>
      <c r="P1672" s="16">
        <v>114</v>
      </c>
      <c r="Q1672" s="29">
        <v>42</v>
      </c>
      <c r="R1672" s="20">
        <v>0.62360000000000004</v>
      </c>
      <c r="S1672" s="32">
        <v>26.191200000000002</v>
      </c>
      <c r="T1672" s="35">
        <v>1.97</v>
      </c>
      <c r="U1672" s="35">
        <v>1.39</v>
      </c>
      <c r="V1672" s="35">
        <v>4.6904761904761907E-2</v>
      </c>
      <c r="W1672" s="9" t="s">
        <v>153</v>
      </c>
      <c r="X1672" s="15">
        <v>1671</v>
      </c>
      <c r="Y1672" s="39">
        <v>0.47598968900722116</v>
      </c>
      <c r="Z1672" s="39">
        <v>0.48076870268744176</v>
      </c>
      <c r="AA1672" s="39">
        <v>0.48316764902268772</v>
      </c>
      <c r="AB1672" s="39">
        <v>0.49113096818771618</v>
      </c>
      <c r="AC1672" s="39">
        <v>0.470104745413289</v>
      </c>
      <c r="AD1672" s="39">
        <v>0.46928625500640342</v>
      </c>
      <c r="AE1672" s="39">
        <v>0.47621006333372268</v>
      </c>
      <c r="AF1672" s="40">
        <v>0.48480366543291953</v>
      </c>
    </row>
    <row r="1673" spans="1:32">
      <c r="A1673" s="15">
        <v>1671</v>
      </c>
      <c r="B1673" s="16">
        <v>1</v>
      </c>
      <c r="C1673" s="20">
        <v>0.02</v>
      </c>
      <c r="D1673" s="20">
        <v>0.99835916395484214</v>
      </c>
      <c r="E1673" s="20">
        <v>1</v>
      </c>
      <c r="F1673" s="8" t="s">
        <v>436</v>
      </c>
      <c r="G1673" s="24">
        <v>0.97347528398892591</v>
      </c>
      <c r="H1673" s="24">
        <v>0.97911145739674654</v>
      </c>
      <c r="I1673" s="25">
        <v>0.99623478045703551</v>
      </c>
      <c r="L1673" s="15">
        <v>1671</v>
      </c>
      <c r="M1673" s="16">
        <v>1</v>
      </c>
      <c r="N1673" s="16">
        <v>2</v>
      </c>
      <c r="O1673" s="16">
        <v>6</v>
      </c>
      <c r="P1673" s="16">
        <v>115</v>
      </c>
      <c r="Q1673" s="29">
        <v>37</v>
      </c>
      <c r="R1673" s="20">
        <v>0.62360000000000004</v>
      </c>
      <c r="S1673" s="32">
        <v>23.0732</v>
      </c>
      <c r="T1673" s="35">
        <v>0.95000000000000007</v>
      </c>
      <c r="U1673" s="35">
        <v>0.38</v>
      </c>
      <c r="V1673" s="35">
        <v>2.5675675675675677E-2</v>
      </c>
      <c r="W1673" s="9" t="s">
        <v>152</v>
      </c>
      <c r="X1673" s="15">
        <v>1672</v>
      </c>
      <c r="Y1673" s="39">
        <v>0.49046435786921133</v>
      </c>
      <c r="Z1673" s="39">
        <v>0.49529442383927458</v>
      </c>
      <c r="AA1673" s="39">
        <v>0.49280486412649471</v>
      </c>
      <c r="AB1673" s="39">
        <v>0.48082102791494635</v>
      </c>
      <c r="AC1673" s="39">
        <v>0.4830760821967931</v>
      </c>
      <c r="AD1673" s="39">
        <v>0.48883477709995193</v>
      </c>
      <c r="AE1673" s="39">
        <v>0.48515232413059062</v>
      </c>
      <c r="AF1673" s="40">
        <v>0.47406048538120638</v>
      </c>
    </row>
    <row r="1674" spans="1:32">
      <c r="A1674" s="15">
        <v>1672</v>
      </c>
      <c r="B1674" s="16">
        <v>1</v>
      </c>
      <c r="C1674" s="20">
        <v>0.02</v>
      </c>
      <c r="D1674" s="20">
        <v>0.99835916395484214</v>
      </c>
      <c r="E1674" s="20">
        <v>1</v>
      </c>
      <c r="F1674" s="8" t="s">
        <v>436</v>
      </c>
      <c r="G1674" s="24">
        <v>1.0451405942741845</v>
      </c>
      <c r="H1674" s="24">
        <v>1.0511916915354778</v>
      </c>
      <c r="I1674" s="25">
        <v>1.0695755995129326</v>
      </c>
      <c r="L1674" s="15">
        <v>1672</v>
      </c>
      <c r="M1674" s="16">
        <v>1</v>
      </c>
      <c r="N1674" s="16">
        <v>2</v>
      </c>
      <c r="O1674" s="16">
        <v>6</v>
      </c>
      <c r="P1674" s="16">
        <v>116</v>
      </c>
      <c r="Q1674" s="29">
        <v>45</v>
      </c>
      <c r="R1674" s="20">
        <v>0.62360000000000004</v>
      </c>
      <c r="S1674" s="32">
        <v>28.062000000000001</v>
      </c>
      <c r="T1674" s="35">
        <v>1.0900000000000001</v>
      </c>
      <c r="U1674" s="35">
        <v>0.51</v>
      </c>
      <c r="V1674" s="35">
        <v>2.4222222222222225E-2</v>
      </c>
      <c r="W1674" s="9" t="s">
        <v>153</v>
      </c>
      <c r="X1674" s="15">
        <v>1673</v>
      </c>
      <c r="Y1674" s="39">
        <v>0.48606328099106499</v>
      </c>
      <c r="Z1674" s="39">
        <v>0.49073355802779661</v>
      </c>
      <c r="AA1674" s="39">
        <v>0.48022112601891459</v>
      </c>
      <c r="AB1674" s="39">
        <v>0.48368476072949518</v>
      </c>
      <c r="AC1674" s="39">
        <v>0.47987640041078361</v>
      </c>
      <c r="AD1674" s="39">
        <v>0.48621145818468653</v>
      </c>
      <c r="AE1674" s="39">
        <v>0.47048453737677903</v>
      </c>
      <c r="AF1674" s="40">
        <v>0.47887657081455315</v>
      </c>
    </row>
    <row r="1675" spans="1:32">
      <c r="A1675" s="15">
        <v>1673</v>
      </c>
      <c r="B1675" s="16">
        <v>0</v>
      </c>
      <c r="C1675" s="20">
        <v>0.9</v>
      </c>
      <c r="D1675" s="20">
        <v>0.231595386583653</v>
      </c>
      <c r="E1675" s="20">
        <v>0.1</v>
      </c>
      <c r="F1675" s="8" t="s">
        <v>434</v>
      </c>
      <c r="G1675" s="24">
        <v>1.7092782149854981</v>
      </c>
      <c r="H1675" s="24">
        <v>1.7191744995448686</v>
      </c>
      <c r="I1675" s="25">
        <v>1.6578926537592125</v>
      </c>
      <c r="L1675" s="15">
        <v>1673</v>
      </c>
      <c r="M1675" s="16">
        <v>1</v>
      </c>
      <c r="N1675" s="16">
        <v>2</v>
      </c>
      <c r="O1675" s="16">
        <v>6</v>
      </c>
      <c r="P1675" s="16">
        <v>117</v>
      </c>
      <c r="Q1675" s="29">
        <v>41</v>
      </c>
      <c r="R1675" s="20">
        <v>0.62360000000000004</v>
      </c>
      <c r="S1675" s="32">
        <v>25.567600000000002</v>
      </c>
      <c r="T1675" s="35">
        <v>2.54</v>
      </c>
      <c r="U1675" s="35">
        <v>1.83</v>
      </c>
      <c r="V1675" s="35">
        <v>6.1951219512195121E-2</v>
      </c>
      <c r="W1675" s="9" t="s">
        <v>154</v>
      </c>
      <c r="X1675" s="15">
        <v>1674</v>
      </c>
      <c r="Y1675" s="39">
        <v>0.48354651014590294</v>
      </c>
      <c r="Z1675" s="39">
        <v>0.49691238170742474</v>
      </c>
      <c r="AA1675" s="39">
        <v>0.4907140843922832</v>
      </c>
      <c r="AB1675" s="39">
        <v>0.48616921486275155</v>
      </c>
      <c r="AC1675" s="39">
        <v>0.47649884018877714</v>
      </c>
      <c r="AD1675" s="39">
        <v>0.48919952129664268</v>
      </c>
      <c r="AE1675" s="39">
        <v>0.48634902834515636</v>
      </c>
      <c r="AF1675" s="40">
        <v>0.48273974230820371</v>
      </c>
    </row>
    <row r="1676" spans="1:32">
      <c r="A1676" s="15">
        <v>1674</v>
      </c>
      <c r="B1676" s="16">
        <v>0</v>
      </c>
      <c r="C1676" s="20">
        <v>0.88</v>
      </c>
      <c r="D1676" s="20">
        <v>0.25930874124763043</v>
      </c>
      <c r="E1676" s="20">
        <v>0.12</v>
      </c>
      <c r="F1676" s="8" t="s">
        <v>434</v>
      </c>
      <c r="G1676" s="24">
        <v>0.54897402298266562</v>
      </c>
      <c r="H1676" s="24">
        <v>0.55215244244621964</v>
      </c>
      <c r="I1676" s="25">
        <v>0.56180883506537282</v>
      </c>
      <c r="L1676" s="15">
        <v>1674</v>
      </c>
      <c r="M1676" s="16">
        <v>1</v>
      </c>
      <c r="N1676" s="16">
        <v>2</v>
      </c>
      <c r="O1676" s="16">
        <v>6</v>
      </c>
      <c r="P1676" s="16">
        <v>118</v>
      </c>
      <c r="Q1676" s="29">
        <v>35</v>
      </c>
      <c r="R1676" s="20">
        <v>0.62360000000000004</v>
      </c>
      <c r="S1676" s="32">
        <v>21.826000000000001</v>
      </c>
      <c r="T1676" s="35">
        <v>2.11</v>
      </c>
      <c r="U1676" s="35">
        <v>1.68</v>
      </c>
      <c r="V1676" s="35">
        <v>6.0285714285714283E-2</v>
      </c>
      <c r="W1676" s="9" t="s">
        <v>154</v>
      </c>
      <c r="X1676" s="15">
        <v>1675</v>
      </c>
      <c r="Y1676" s="39">
        <v>0.47177152139112943</v>
      </c>
      <c r="Z1676" s="39">
        <v>0.47102764336909542</v>
      </c>
      <c r="AA1676" s="39">
        <v>0.49445817994663555</v>
      </c>
      <c r="AB1676" s="39">
        <v>0.47907128751892758</v>
      </c>
      <c r="AC1676" s="39">
        <v>0.46928292736736732</v>
      </c>
      <c r="AD1676" s="39">
        <v>0.46186227381459555</v>
      </c>
      <c r="AE1676" s="39">
        <v>0.48785400662534661</v>
      </c>
      <c r="AF1676" s="40">
        <v>0.47363420034111198</v>
      </c>
    </row>
    <row r="1677" spans="1:32">
      <c r="A1677" s="15">
        <v>1675</v>
      </c>
      <c r="B1677" s="16">
        <v>1</v>
      </c>
      <c r="C1677" s="20">
        <v>0.92</v>
      </c>
      <c r="D1677" s="20">
        <v>0.20258497911151899</v>
      </c>
      <c r="E1677" s="20">
        <v>0.08</v>
      </c>
      <c r="F1677" s="8" t="s">
        <v>434</v>
      </c>
      <c r="G1677" s="24">
        <v>0.6106068175487871</v>
      </c>
      <c r="H1677" s="24">
        <v>0.61414207516067076</v>
      </c>
      <c r="I1677" s="25">
        <v>0.62488258185012635</v>
      </c>
      <c r="L1677" s="15">
        <v>1675</v>
      </c>
      <c r="M1677" s="16">
        <v>1</v>
      </c>
      <c r="N1677" s="16">
        <v>2</v>
      </c>
      <c r="O1677" s="16">
        <v>6</v>
      </c>
      <c r="P1677" s="16">
        <v>119</v>
      </c>
      <c r="Q1677" s="29">
        <v>38</v>
      </c>
      <c r="R1677" s="20">
        <v>0.62360000000000004</v>
      </c>
      <c r="S1677" s="32">
        <v>23.696800000000003</v>
      </c>
      <c r="T1677" s="35">
        <v>2.0499999999999998</v>
      </c>
      <c r="U1677" s="35">
        <v>1.65</v>
      </c>
      <c r="V1677" s="35">
        <v>5.3947368421052626E-2</v>
      </c>
      <c r="W1677" s="9" t="s">
        <v>154</v>
      </c>
      <c r="X1677" s="15">
        <v>1676</v>
      </c>
      <c r="Y1677" s="39">
        <v>0.47975603805303763</v>
      </c>
      <c r="Z1677" s="39">
        <v>0.47689097223251059</v>
      </c>
      <c r="AA1677" s="39">
        <v>0.48692383178204307</v>
      </c>
      <c r="AB1677" s="39">
        <v>0.48587227721811971</v>
      </c>
      <c r="AC1677" s="39">
        <v>0.47039438178316628</v>
      </c>
      <c r="AD1677" s="39">
        <v>0.47127702424322282</v>
      </c>
      <c r="AE1677" s="39">
        <v>0.48183846750011033</v>
      </c>
      <c r="AF1677" s="40">
        <v>0.48327056618945813</v>
      </c>
    </row>
    <row r="1678" spans="1:32">
      <c r="A1678" s="15">
        <v>1676</v>
      </c>
      <c r="B1678" s="16">
        <v>1</v>
      </c>
      <c r="C1678" s="20">
        <v>0.32</v>
      </c>
      <c r="D1678" s="20">
        <v>0.78601024414707299</v>
      </c>
      <c r="E1678" s="20">
        <v>0.09</v>
      </c>
      <c r="F1678" s="8" t="s">
        <v>436</v>
      </c>
      <c r="G1678" s="24">
        <v>1.3664380511141969</v>
      </c>
      <c r="H1678" s="24">
        <v>1.3743493786371377</v>
      </c>
      <c r="I1678" s="25">
        <v>1.3983848735037603</v>
      </c>
      <c r="L1678" s="15">
        <v>1676</v>
      </c>
      <c r="M1678" s="16">
        <v>1</v>
      </c>
      <c r="N1678" s="16">
        <v>2</v>
      </c>
      <c r="O1678" s="16">
        <v>6</v>
      </c>
      <c r="P1678" s="16">
        <v>120</v>
      </c>
      <c r="Q1678" s="29">
        <v>52</v>
      </c>
      <c r="R1678" s="20">
        <v>0.62360000000000004</v>
      </c>
      <c r="S1678" s="32">
        <v>32.427199999999999</v>
      </c>
      <c r="T1678" s="35">
        <v>1.46</v>
      </c>
      <c r="U1678" s="35">
        <v>0.48</v>
      </c>
      <c r="V1678" s="35">
        <v>2.8076923076923076E-2</v>
      </c>
      <c r="W1678" s="9" t="s">
        <v>153</v>
      </c>
      <c r="X1678" s="15">
        <v>1677</v>
      </c>
      <c r="Y1678" s="39">
        <v>0.47204758102185473</v>
      </c>
      <c r="Z1678" s="39">
        <v>0.48845288115774393</v>
      </c>
      <c r="AA1678" s="39">
        <v>0.47603332276789301</v>
      </c>
      <c r="AB1678" s="39">
        <v>0.49340117305207343</v>
      </c>
      <c r="AC1678" s="39">
        <v>0.46555748747387299</v>
      </c>
      <c r="AD1678" s="39">
        <v>0.48027240839196012</v>
      </c>
      <c r="AE1678" s="39">
        <v>0.46945410853999842</v>
      </c>
      <c r="AF1678" s="40">
        <v>0.48858810696856492</v>
      </c>
    </row>
    <row r="1679" spans="1:32">
      <c r="A1679" s="15">
        <v>1677</v>
      </c>
      <c r="B1679" s="16">
        <v>1</v>
      </c>
      <c r="C1679" s="20">
        <v>0.77</v>
      </c>
      <c r="D1679" s="20">
        <v>0.39660750838281328</v>
      </c>
      <c r="E1679" s="20">
        <v>0.23</v>
      </c>
      <c r="F1679" s="8" t="s">
        <v>438</v>
      </c>
      <c r="G1679" s="24">
        <v>1.2892570515776725</v>
      </c>
      <c r="H1679" s="24">
        <v>1.2967215208142946</v>
      </c>
      <c r="I1679" s="25">
        <v>1.3193994103971298</v>
      </c>
      <c r="L1679" s="15">
        <v>1677</v>
      </c>
      <c r="M1679" s="16">
        <v>1</v>
      </c>
      <c r="N1679" s="16">
        <v>2</v>
      </c>
      <c r="O1679" s="16">
        <v>6</v>
      </c>
      <c r="P1679" s="16">
        <v>121</v>
      </c>
      <c r="Q1679" s="29">
        <v>38</v>
      </c>
      <c r="R1679" s="20">
        <v>0.62360000000000004</v>
      </c>
      <c r="S1679" s="32">
        <v>23.696800000000003</v>
      </c>
      <c r="T1679" s="35">
        <v>1.67</v>
      </c>
      <c r="U1679" s="35">
        <v>1.21</v>
      </c>
      <c r="V1679" s="35">
        <v>4.3947368421052631E-2</v>
      </c>
      <c r="W1679" s="9" t="s">
        <v>153</v>
      </c>
      <c r="X1679" s="15">
        <v>1678</v>
      </c>
      <c r="Y1679" s="39">
        <v>0.46642094122382949</v>
      </c>
      <c r="Z1679" s="39">
        <v>0.49186849496475765</v>
      </c>
      <c r="AA1679" s="39">
        <v>0.48235537018692676</v>
      </c>
      <c r="AB1679" s="39">
        <v>0.48063938866617995</v>
      </c>
      <c r="AC1679" s="39">
        <v>0.46143297311533482</v>
      </c>
      <c r="AD1679" s="39">
        <v>0.48447145436700589</v>
      </c>
      <c r="AE1679" s="39">
        <v>0.47495403731479174</v>
      </c>
      <c r="AF1679" s="40">
        <v>0.47981287154146862</v>
      </c>
    </row>
    <row r="1680" spans="1:32">
      <c r="A1680" s="15">
        <v>1678</v>
      </c>
      <c r="B1680" s="16">
        <v>1</v>
      </c>
      <c r="C1680" s="20">
        <v>0.02</v>
      </c>
      <c r="D1680" s="20">
        <v>0.99917029198757767</v>
      </c>
      <c r="E1680" s="20">
        <v>1</v>
      </c>
      <c r="F1680" s="8" t="s">
        <v>436</v>
      </c>
      <c r="G1680" s="24">
        <v>1.0517627838354562</v>
      </c>
      <c r="H1680" s="24">
        <v>1.0578522218839483</v>
      </c>
      <c r="I1680" s="25">
        <v>1.0763526134466459</v>
      </c>
      <c r="L1680" s="15">
        <v>1678</v>
      </c>
      <c r="M1680" s="16">
        <v>1</v>
      </c>
      <c r="N1680" s="16">
        <v>2</v>
      </c>
      <c r="O1680" s="16">
        <v>6</v>
      </c>
      <c r="P1680" s="16">
        <v>122</v>
      </c>
      <c r="Q1680" s="29">
        <v>47</v>
      </c>
      <c r="R1680" s="20">
        <v>0.62360000000000004</v>
      </c>
      <c r="S1680" s="32">
        <v>29.309200000000001</v>
      </c>
      <c r="T1680" s="35">
        <v>1.63</v>
      </c>
      <c r="U1680" s="35">
        <v>0.99</v>
      </c>
      <c r="V1680" s="35">
        <v>3.4680851063829787E-2</v>
      </c>
      <c r="W1680" s="9" t="s">
        <v>153</v>
      </c>
      <c r="X1680" s="15">
        <v>1679</v>
      </c>
      <c r="Y1680" s="39">
        <v>0.49314416340838768</v>
      </c>
      <c r="Z1680" s="39">
        <v>0.47518481773439653</v>
      </c>
      <c r="AA1680" s="39">
        <v>0.49142120528459976</v>
      </c>
      <c r="AB1680" s="39">
        <v>0.48155626857368183</v>
      </c>
      <c r="AC1680" s="39">
        <v>0.48411007529121142</v>
      </c>
      <c r="AD1680" s="39">
        <v>0.46947934242307243</v>
      </c>
      <c r="AE1680" s="39">
        <v>0.48332364945011824</v>
      </c>
      <c r="AF1680" s="40">
        <v>0.47441388927956318</v>
      </c>
    </row>
    <row r="1681" spans="1:32">
      <c r="A1681" s="15">
        <v>1679</v>
      </c>
      <c r="B1681" s="16">
        <v>0</v>
      </c>
      <c r="C1681" s="20">
        <v>0.02</v>
      </c>
      <c r="D1681" s="20">
        <v>0.99679477127711513</v>
      </c>
      <c r="E1681" s="20">
        <v>1</v>
      </c>
      <c r="F1681" s="8" t="s">
        <v>436</v>
      </c>
      <c r="G1681" s="24">
        <v>0.97835075617557987</v>
      </c>
      <c r="H1681" s="24">
        <v>0.98401515732286238</v>
      </c>
      <c r="I1681" s="25">
        <v>1.0012242394020978</v>
      </c>
      <c r="L1681" s="15">
        <v>1679</v>
      </c>
      <c r="M1681" s="16">
        <v>1</v>
      </c>
      <c r="N1681" s="16">
        <v>2</v>
      </c>
      <c r="O1681" s="16">
        <v>6</v>
      </c>
      <c r="P1681" s="16">
        <v>123</v>
      </c>
      <c r="Q1681" s="29">
        <v>43</v>
      </c>
      <c r="R1681" s="20">
        <v>0.62360000000000004</v>
      </c>
      <c r="S1681" s="32">
        <v>26.814800000000002</v>
      </c>
      <c r="T1681" s="35">
        <v>0.93</v>
      </c>
      <c r="U1681" s="35">
        <v>0.28000000000000003</v>
      </c>
      <c r="V1681" s="35">
        <v>2.1627906976744188E-2</v>
      </c>
      <c r="W1681" s="9" t="s">
        <v>152</v>
      </c>
      <c r="X1681" s="15">
        <v>1680</v>
      </c>
      <c r="Y1681" s="39">
        <v>0.48204558422299082</v>
      </c>
      <c r="Z1681" s="39">
        <v>0.48368457984986779</v>
      </c>
      <c r="AA1681" s="39">
        <v>0.47636864891457414</v>
      </c>
      <c r="AB1681" s="39">
        <v>0.49242104209158744</v>
      </c>
      <c r="AC1681" s="39">
        <v>0.47537423283665148</v>
      </c>
      <c r="AD1681" s="39">
        <v>0.47731236557392892</v>
      </c>
      <c r="AE1681" s="39">
        <v>0.47052775791264917</v>
      </c>
      <c r="AF1681" s="40">
        <v>0.48628537182734888</v>
      </c>
    </row>
    <row r="1682" spans="1:32">
      <c r="A1682" s="15">
        <v>1680</v>
      </c>
      <c r="B1682" s="16">
        <v>1</v>
      </c>
      <c r="C1682" s="20">
        <v>0.94</v>
      </c>
      <c r="D1682" s="20">
        <v>0.17188516685452584</v>
      </c>
      <c r="E1682" s="20">
        <v>0.06</v>
      </c>
      <c r="F1682" s="8" t="s">
        <v>434</v>
      </c>
      <c r="G1682" s="24">
        <v>0.59826725463704888</v>
      </c>
      <c r="H1682" s="24">
        <v>0.60173106932943454</v>
      </c>
      <c r="I1682" s="25">
        <v>0.61225452446592765</v>
      </c>
      <c r="L1682" s="15">
        <v>1680</v>
      </c>
      <c r="M1682" s="16">
        <v>1</v>
      </c>
      <c r="N1682" s="16">
        <v>2</v>
      </c>
      <c r="O1682" s="16">
        <v>6</v>
      </c>
      <c r="P1682" s="16">
        <v>124</v>
      </c>
      <c r="Q1682" s="29">
        <v>41</v>
      </c>
      <c r="R1682" s="20">
        <v>0.62360000000000004</v>
      </c>
      <c r="S1682" s="32">
        <v>25.567600000000002</v>
      </c>
      <c r="T1682" s="35">
        <v>3.22</v>
      </c>
      <c r="U1682" s="35">
        <v>2.67</v>
      </c>
      <c r="V1682" s="35">
        <v>7.8536585365853659E-2</v>
      </c>
      <c r="W1682" s="9" t="s">
        <v>155</v>
      </c>
      <c r="X1682" s="15">
        <v>1681</v>
      </c>
      <c r="Y1682" s="39">
        <v>0.47094951084418385</v>
      </c>
      <c r="Z1682" s="39">
        <v>0.4792717167561299</v>
      </c>
      <c r="AA1682" s="39">
        <v>0.49063163988966096</v>
      </c>
      <c r="AB1682" s="39">
        <v>0.48887650696965862</v>
      </c>
      <c r="AC1682" s="39">
        <v>0.46580885467950328</v>
      </c>
      <c r="AD1682" s="39">
        <v>0.4729692099115762</v>
      </c>
      <c r="AE1682" s="39">
        <v>0.48549563127120804</v>
      </c>
      <c r="AF1682" s="40">
        <v>0.48462929492618623</v>
      </c>
    </row>
    <row r="1683" spans="1:32">
      <c r="A1683" s="15">
        <v>1681</v>
      </c>
      <c r="B1683" s="16">
        <v>1</v>
      </c>
      <c r="C1683" s="20">
        <v>0.23</v>
      </c>
      <c r="D1683" s="20">
        <v>0.76657233707941619</v>
      </c>
      <c r="E1683" s="20">
        <v>0.44</v>
      </c>
      <c r="F1683" s="8" t="s">
        <v>436</v>
      </c>
      <c r="G1683" s="24">
        <v>0.74755199021301166</v>
      </c>
      <c r="H1683" s="24">
        <v>0.75188012541839389</v>
      </c>
      <c r="I1683" s="25">
        <v>0.76502948261658343</v>
      </c>
      <c r="L1683" s="15">
        <v>1681</v>
      </c>
      <c r="M1683" s="16">
        <v>1</v>
      </c>
      <c r="N1683" s="16">
        <v>2</v>
      </c>
      <c r="O1683" s="16">
        <v>6</v>
      </c>
      <c r="P1683" s="16">
        <v>125</v>
      </c>
      <c r="Q1683" s="29">
        <v>40</v>
      </c>
      <c r="R1683" s="20">
        <v>0.62360000000000004</v>
      </c>
      <c r="S1683" s="32">
        <v>24.944000000000003</v>
      </c>
      <c r="T1683" s="35">
        <v>0.72</v>
      </c>
      <c r="U1683" s="35">
        <v>0.16</v>
      </c>
      <c r="V1683" s="35">
        <v>1.7999999999999999E-2</v>
      </c>
      <c r="W1683" s="9" t="s">
        <v>152</v>
      </c>
      <c r="X1683" s="15">
        <v>1682</v>
      </c>
      <c r="Y1683" s="39">
        <v>0.47510569428843308</v>
      </c>
      <c r="Z1683" s="39">
        <v>0.49142656326609235</v>
      </c>
      <c r="AA1683" s="39">
        <v>0.48698600797625757</v>
      </c>
      <c r="AB1683" s="39">
        <v>0.50311219798162787</v>
      </c>
      <c r="AC1683" s="39">
        <v>0.4678446593664991</v>
      </c>
      <c r="AD1683" s="39">
        <v>0.48444185543763341</v>
      </c>
      <c r="AE1683" s="39">
        <v>0.48056471212545343</v>
      </c>
      <c r="AF1683" s="40">
        <v>0.49830535860852121</v>
      </c>
    </row>
    <row r="1684" spans="1:32">
      <c r="A1684" s="15">
        <v>1682</v>
      </c>
      <c r="B1684" s="16">
        <v>1</v>
      </c>
      <c r="C1684" s="20">
        <v>0.91</v>
      </c>
      <c r="D1684" s="20">
        <v>0.21727233298780477</v>
      </c>
      <c r="E1684" s="20">
        <v>0.09</v>
      </c>
      <c r="F1684" s="8" t="s">
        <v>434</v>
      </c>
      <c r="G1684" s="24">
        <v>0.91592663076861669</v>
      </c>
      <c r="H1684" s="24">
        <v>0.92122961216399391</v>
      </c>
      <c r="I1684" s="25">
        <v>0.93734066075056632</v>
      </c>
      <c r="L1684" s="15">
        <v>1682</v>
      </c>
      <c r="M1684" s="16">
        <v>1</v>
      </c>
      <c r="N1684" s="16">
        <v>2</v>
      </c>
      <c r="O1684" s="16">
        <v>6</v>
      </c>
      <c r="P1684" s="16">
        <v>126</v>
      </c>
      <c r="Q1684" s="29">
        <v>37</v>
      </c>
      <c r="R1684" s="20">
        <v>0.62360000000000004</v>
      </c>
      <c r="S1684" s="32">
        <v>23.0732</v>
      </c>
      <c r="T1684" s="35">
        <v>1.91</v>
      </c>
      <c r="U1684" s="35">
        <v>1.53</v>
      </c>
      <c r="V1684" s="35">
        <v>5.1621621621621622E-2</v>
      </c>
      <c r="W1684" s="9" t="s">
        <v>153</v>
      </c>
      <c r="X1684" s="15">
        <v>1683</v>
      </c>
      <c r="Y1684" s="39">
        <v>0.48536562621389251</v>
      </c>
      <c r="Z1684" s="39">
        <v>0.49385153254207154</v>
      </c>
      <c r="AA1684" s="39">
        <v>0.4854899573904139</v>
      </c>
      <c r="AB1684" s="39">
        <v>0.474680870002545</v>
      </c>
      <c r="AC1684" s="39">
        <v>0.47959509407324696</v>
      </c>
      <c r="AD1684" s="39">
        <v>0.48779222003891004</v>
      </c>
      <c r="AE1684" s="39">
        <v>0.47927937833832612</v>
      </c>
      <c r="AF1684" s="40">
        <v>0.46928580146790744</v>
      </c>
    </row>
    <row r="1685" spans="1:32">
      <c r="A1685" s="15">
        <v>1683</v>
      </c>
      <c r="B1685" s="16">
        <v>1</v>
      </c>
      <c r="C1685" s="20">
        <v>0.02</v>
      </c>
      <c r="D1685" s="20">
        <v>0.99679477127711513</v>
      </c>
      <c r="E1685" s="20">
        <v>1</v>
      </c>
      <c r="F1685" s="8" t="s">
        <v>436</v>
      </c>
      <c r="G1685" s="24">
        <v>0.90802774018526133</v>
      </c>
      <c r="H1685" s="24">
        <v>0.91328498902040878</v>
      </c>
      <c r="I1685" s="25">
        <v>0.92925709699133208</v>
      </c>
      <c r="L1685" s="15">
        <v>1683</v>
      </c>
      <c r="M1685" s="16">
        <v>1</v>
      </c>
      <c r="N1685" s="16">
        <v>2</v>
      </c>
      <c r="O1685" s="16">
        <v>6</v>
      </c>
      <c r="P1685" s="16">
        <v>127</v>
      </c>
      <c r="Q1685" s="29">
        <v>45</v>
      </c>
      <c r="R1685" s="20">
        <v>0.62360000000000004</v>
      </c>
      <c r="S1685" s="32">
        <v>28.062000000000001</v>
      </c>
      <c r="T1685" s="35">
        <v>2.36</v>
      </c>
      <c r="U1685" s="35">
        <v>1.6</v>
      </c>
      <c r="V1685" s="35">
        <v>5.2444444444444439E-2</v>
      </c>
      <c r="W1685" s="9" t="s">
        <v>154</v>
      </c>
      <c r="X1685" s="15">
        <v>1684</v>
      </c>
      <c r="Y1685" s="39">
        <v>0.48934005620823162</v>
      </c>
      <c r="Z1685" s="39">
        <v>0.48660421941011728</v>
      </c>
      <c r="AA1685" s="39">
        <v>0.4871599182782142</v>
      </c>
      <c r="AB1685" s="39">
        <v>0.50648946798697703</v>
      </c>
      <c r="AC1685" s="39">
        <v>0.47991117764574076</v>
      </c>
      <c r="AD1685" s="39">
        <v>0.48075309441049818</v>
      </c>
      <c r="AE1685" s="39">
        <v>0.48253197304579321</v>
      </c>
      <c r="AF1685" s="40">
        <v>0.50165326244715713</v>
      </c>
    </row>
    <row r="1686" spans="1:32">
      <c r="A1686" s="15">
        <v>1684</v>
      </c>
      <c r="B1686" s="16">
        <v>0</v>
      </c>
      <c r="C1686" s="20">
        <v>0.49</v>
      </c>
      <c r="D1686" s="20">
        <v>0.49594205158184362</v>
      </c>
      <c r="E1686" s="20">
        <v>0.04</v>
      </c>
      <c r="F1686" s="8" t="s">
        <v>436</v>
      </c>
      <c r="G1686" s="24">
        <v>0.78858003120688414</v>
      </c>
      <c r="H1686" s="24">
        <v>0.79314570829692221</v>
      </c>
      <c r="I1686" s="25">
        <v>0.80701674421877712</v>
      </c>
      <c r="L1686" s="15">
        <v>1684</v>
      </c>
      <c r="M1686" s="16">
        <v>1</v>
      </c>
      <c r="N1686" s="16">
        <v>2</v>
      </c>
      <c r="O1686" s="16">
        <v>6</v>
      </c>
      <c r="P1686" s="16">
        <v>128</v>
      </c>
      <c r="Q1686" s="29">
        <v>44</v>
      </c>
      <c r="R1686" s="20">
        <v>0.62360000000000004</v>
      </c>
      <c r="S1686" s="32">
        <v>27.438400000000001</v>
      </c>
      <c r="T1686" s="35">
        <v>3.64</v>
      </c>
      <c r="U1686" s="35">
        <v>3.13</v>
      </c>
      <c r="V1686" s="35">
        <v>8.2727272727272733E-2</v>
      </c>
      <c r="W1686" s="9" t="s">
        <v>155</v>
      </c>
      <c r="X1686" s="15">
        <v>1685</v>
      </c>
      <c r="Y1686" s="39">
        <v>0.47770248726791448</v>
      </c>
      <c r="Z1686" s="39">
        <v>0.48338246756791853</v>
      </c>
      <c r="AA1686" s="39">
        <v>0.49945632319345401</v>
      </c>
      <c r="AB1686" s="39">
        <v>0.487068508223299</v>
      </c>
      <c r="AC1686" s="39">
        <v>0.47071903096634998</v>
      </c>
      <c r="AD1686" s="39">
        <v>0.47615342375498781</v>
      </c>
      <c r="AE1686" s="39">
        <v>0.49149435989784407</v>
      </c>
      <c r="AF1686" s="40">
        <v>0.48474147707395648</v>
      </c>
    </row>
    <row r="1687" spans="1:32">
      <c r="A1687" s="15">
        <v>1685</v>
      </c>
      <c r="B1687" s="16">
        <v>0</v>
      </c>
      <c r="C1687" s="20">
        <v>0.02</v>
      </c>
      <c r="D1687" s="20">
        <v>0.99756714174924133</v>
      </c>
      <c r="E1687" s="20">
        <v>1</v>
      </c>
      <c r="F1687" s="8" t="s">
        <v>436</v>
      </c>
      <c r="G1687" s="24">
        <v>1.1018027296511725</v>
      </c>
      <c r="H1687" s="24">
        <v>1.1081818862128863</v>
      </c>
      <c r="I1687" s="25">
        <v>1.1275624749128041</v>
      </c>
      <c r="L1687" s="15">
        <v>1685</v>
      </c>
      <c r="M1687" s="16">
        <v>1</v>
      </c>
      <c r="N1687" s="16">
        <v>2</v>
      </c>
      <c r="O1687" s="16">
        <v>6</v>
      </c>
      <c r="P1687" s="16">
        <v>129</v>
      </c>
      <c r="Q1687" s="29">
        <v>39</v>
      </c>
      <c r="R1687" s="20">
        <v>0.62360000000000004</v>
      </c>
      <c r="S1687" s="32">
        <v>24.320400000000003</v>
      </c>
      <c r="T1687" s="35">
        <v>2.14</v>
      </c>
      <c r="U1687" s="35">
        <v>1.64</v>
      </c>
      <c r="V1687" s="35">
        <v>5.4871794871794874E-2</v>
      </c>
      <c r="W1687" s="9" t="s">
        <v>154</v>
      </c>
      <c r="X1687" s="15">
        <v>1686</v>
      </c>
      <c r="Y1687" s="39">
        <v>0.4870784204969506</v>
      </c>
      <c r="Z1687" s="39">
        <v>0.48705903706622744</v>
      </c>
      <c r="AA1687" s="39">
        <v>0.47873305893857632</v>
      </c>
      <c r="AB1687" s="39">
        <v>0.49005280436826937</v>
      </c>
      <c r="AC1687" s="39">
        <v>0.47824312544840497</v>
      </c>
      <c r="AD1687" s="39">
        <v>0.47845779856871495</v>
      </c>
      <c r="AE1687" s="39">
        <v>0.46980961796254794</v>
      </c>
      <c r="AF1687" s="40">
        <v>0.48536658424361323</v>
      </c>
    </row>
    <row r="1688" spans="1:32">
      <c r="A1688" s="15">
        <v>1686</v>
      </c>
      <c r="B1688" s="16">
        <v>0</v>
      </c>
      <c r="C1688" s="20">
        <v>0.93</v>
      </c>
      <c r="D1688" s="20">
        <v>0.18747949848141848</v>
      </c>
      <c r="E1688" s="20">
        <v>7.0000000000000007E-2</v>
      </c>
      <c r="F1688" s="8" t="s">
        <v>434</v>
      </c>
      <c r="G1688" s="24">
        <v>0.37974755762453855</v>
      </c>
      <c r="H1688" s="24">
        <v>0.38194619904992538</v>
      </c>
      <c r="I1688" s="25">
        <v>0.38862591677620983</v>
      </c>
      <c r="L1688" s="15">
        <v>1686</v>
      </c>
      <c r="M1688" s="16">
        <v>1</v>
      </c>
      <c r="N1688" s="16">
        <v>2</v>
      </c>
      <c r="O1688" s="16">
        <v>6</v>
      </c>
      <c r="P1688" s="16">
        <v>130</v>
      </c>
      <c r="Q1688" s="29">
        <v>55</v>
      </c>
      <c r="R1688" s="20">
        <v>0.62360000000000004</v>
      </c>
      <c r="S1688" s="32">
        <v>34.298000000000002</v>
      </c>
      <c r="T1688" s="35">
        <v>1.3</v>
      </c>
      <c r="U1688" s="35">
        <v>0.56999999999999995</v>
      </c>
      <c r="V1688" s="35">
        <v>2.3636363636363636E-2</v>
      </c>
      <c r="W1688" s="9" t="s">
        <v>153</v>
      </c>
      <c r="X1688" s="15">
        <v>1687</v>
      </c>
      <c r="Y1688" s="39">
        <v>0.49034220862164357</v>
      </c>
      <c r="Z1688" s="39">
        <v>0.4870421497491017</v>
      </c>
      <c r="AA1688" s="39">
        <v>0.48283906213526073</v>
      </c>
      <c r="AB1688" s="39">
        <v>0.49776476434084282</v>
      </c>
      <c r="AC1688" s="39">
        <v>0.48373736211939433</v>
      </c>
      <c r="AD1688" s="39">
        <v>0.47970425629609675</v>
      </c>
      <c r="AE1688" s="39">
        <v>0.47350932611683805</v>
      </c>
      <c r="AF1688" s="40">
        <v>0.49479563403227861</v>
      </c>
    </row>
    <row r="1689" spans="1:32">
      <c r="A1689" s="15">
        <v>1687</v>
      </c>
      <c r="B1689" s="16">
        <v>1</v>
      </c>
      <c r="C1689" s="20">
        <v>0.94</v>
      </c>
      <c r="D1689" s="20">
        <v>0.17188516685452584</v>
      </c>
      <c r="E1689" s="20">
        <v>0.06</v>
      </c>
      <c r="F1689" s="8" t="s">
        <v>434</v>
      </c>
      <c r="G1689" s="24">
        <v>0.67993228473411516</v>
      </c>
      <c r="H1689" s="24">
        <v>0.68386891910518433</v>
      </c>
      <c r="I1689" s="25">
        <v>0.69582885312930798</v>
      </c>
      <c r="L1689" s="15">
        <v>1687</v>
      </c>
      <c r="M1689" s="16">
        <v>1</v>
      </c>
      <c r="N1689" s="16">
        <v>2</v>
      </c>
      <c r="O1689" s="16">
        <v>6</v>
      </c>
      <c r="P1689" s="16">
        <v>131</v>
      </c>
      <c r="Q1689" s="29">
        <v>47</v>
      </c>
      <c r="R1689" s="20">
        <v>0.62360000000000004</v>
      </c>
      <c r="S1689" s="32">
        <v>29.309200000000001</v>
      </c>
      <c r="T1689" s="35">
        <v>1.74</v>
      </c>
      <c r="U1689" s="35">
        <v>1.02</v>
      </c>
      <c r="V1689" s="35">
        <v>3.7021276595744682E-2</v>
      </c>
      <c r="W1689" s="9" t="s">
        <v>153</v>
      </c>
      <c r="X1689" s="15">
        <v>1688</v>
      </c>
      <c r="Y1689" s="39">
        <v>0.48391711681036376</v>
      </c>
      <c r="Z1689" s="39">
        <v>0.50406367691861709</v>
      </c>
      <c r="AA1689" s="39">
        <v>0.49369909945691082</v>
      </c>
      <c r="AB1689" s="39">
        <v>0.4867337101188331</v>
      </c>
      <c r="AC1689" s="39">
        <v>0.47690158502143537</v>
      </c>
      <c r="AD1689" s="39">
        <v>0.49691200742129932</v>
      </c>
      <c r="AE1689" s="39">
        <v>0.48811453684490141</v>
      </c>
      <c r="AF1689" s="40">
        <v>0.48210436698634351</v>
      </c>
    </row>
    <row r="1690" spans="1:32">
      <c r="A1690" s="15">
        <v>1688</v>
      </c>
      <c r="B1690" s="16">
        <v>0</v>
      </c>
      <c r="C1690" s="20">
        <v>0.02</v>
      </c>
      <c r="D1690" s="20">
        <v>0.99604261948721451</v>
      </c>
      <c r="E1690" s="20">
        <v>1</v>
      </c>
      <c r="F1690" s="8" t="s">
        <v>436</v>
      </c>
      <c r="G1690" s="24">
        <v>1.0268372385228937</v>
      </c>
      <c r="H1690" s="24">
        <v>1.0327823640264484</v>
      </c>
      <c r="I1690" s="25">
        <v>1.0508443179915399</v>
      </c>
      <c r="L1690" s="15">
        <v>1688</v>
      </c>
      <c r="M1690" s="16">
        <v>1</v>
      </c>
      <c r="N1690" s="16">
        <v>2</v>
      </c>
      <c r="O1690" s="16">
        <v>6</v>
      </c>
      <c r="P1690" s="16">
        <v>132</v>
      </c>
      <c r="Q1690" s="29">
        <v>41</v>
      </c>
      <c r="R1690" s="20">
        <v>0.62360000000000004</v>
      </c>
      <c r="S1690" s="32">
        <v>25.567600000000002</v>
      </c>
      <c r="T1690" s="35">
        <v>3.04</v>
      </c>
      <c r="U1690" s="35">
        <v>2.54</v>
      </c>
      <c r="V1690" s="35">
        <v>7.4146341463414631E-2</v>
      </c>
      <c r="W1690" s="9" t="s">
        <v>155</v>
      </c>
      <c r="X1690" s="15">
        <v>1689</v>
      </c>
      <c r="Y1690" s="39">
        <v>0.47585122613106945</v>
      </c>
      <c r="Z1690" s="39">
        <v>0.48482794251235573</v>
      </c>
      <c r="AA1690" s="39">
        <v>0.47911183925807183</v>
      </c>
      <c r="AB1690" s="39">
        <v>0.47637318590025302</v>
      </c>
      <c r="AC1690" s="39">
        <v>0.46751017749980545</v>
      </c>
      <c r="AD1690" s="39">
        <v>0.4808006678272389</v>
      </c>
      <c r="AE1690" s="39">
        <v>0.47097515688665931</v>
      </c>
      <c r="AF1690" s="40">
        <v>0.47332038766750734</v>
      </c>
    </row>
    <row r="1691" spans="1:32">
      <c r="A1691" s="15">
        <v>1689</v>
      </c>
      <c r="B1691" s="16">
        <v>1</v>
      </c>
      <c r="C1691" s="20">
        <v>0.02</v>
      </c>
      <c r="D1691" s="20">
        <v>0.99917029198757767</v>
      </c>
      <c r="E1691" s="20">
        <v>1</v>
      </c>
      <c r="F1691" s="8" t="s">
        <v>436</v>
      </c>
      <c r="G1691" s="24">
        <v>1.0809159325857696</v>
      </c>
      <c r="H1691" s="24">
        <v>1.0871741599239779</v>
      </c>
      <c r="I1691" s="25">
        <v>1.1061873521632686</v>
      </c>
      <c r="L1691" s="15">
        <v>1689</v>
      </c>
      <c r="M1691" s="16">
        <v>1</v>
      </c>
      <c r="N1691" s="16">
        <v>2</v>
      </c>
      <c r="O1691" s="16">
        <v>6</v>
      </c>
      <c r="P1691" s="16">
        <v>133</v>
      </c>
      <c r="Q1691" s="29">
        <v>54</v>
      </c>
      <c r="R1691" s="20">
        <v>0.62360000000000004</v>
      </c>
      <c r="S1691" s="32">
        <v>33.674400000000006</v>
      </c>
      <c r="T1691" s="35">
        <v>3.42</v>
      </c>
      <c r="U1691" s="35">
        <v>2.56</v>
      </c>
      <c r="V1691" s="35">
        <v>6.3333333333333339E-2</v>
      </c>
      <c r="W1691" s="9" t="s">
        <v>155</v>
      </c>
      <c r="X1691" s="15">
        <v>1690</v>
      </c>
      <c r="Y1691" s="39">
        <v>0.48714027170627006</v>
      </c>
      <c r="Z1691" s="39">
        <v>0.49022749987244912</v>
      </c>
      <c r="AA1691" s="39">
        <v>0.49167517855626491</v>
      </c>
      <c r="AB1691" s="39">
        <v>0.49077520383393841</v>
      </c>
      <c r="AC1691" s="39">
        <v>0.48238437750476648</v>
      </c>
      <c r="AD1691" s="39">
        <v>0.48423612058041721</v>
      </c>
      <c r="AE1691" s="39">
        <v>0.4868945510473161</v>
      </c>
      <c r="AF1691" s="40">
        <v>0.48744878059760549</v>
      </c>
    </row>
    <row r="1692" spans="1:32">
      <c r="A1692" s="15">
        <v>1690</v>
      </c>
      <c r="B1692" s="16">
        <v>0</v>
      </c>
      <c r="C1692" s="20">
        <v>0.25</v>
      </c>
      <c r="D1692" s="20">
        <v>0.80561993916688801</v>
      </c>
      <c r="E1692" s="20">
        <v>7.0000000000000007E-2</v>
      </c>
      <c r="F1692" s="8" t="s">
        <v>436</v>
      </c>
      <c r="G1692" s="24">
        <v>1.0974615240749406</v>
      </c>
      <c r="H1692" s="24">
        <v>1.1038155461644914</v>
      </c>
      <c r="I1692" s="25">
        <v>1.1231197735363145</v>
      </c>
      <c r="L1692" s="15">
        <v>1690</v>
      </c>
      <c r="M1692" s="16">
        <v>1</v>
      </c>
      <c r="N1692" s="16">
        <v>2</v>
      </c>
      <c r="O1692" s="16">
        <v>6</v>
      </c>
      <c r="P1692" s="16">
        <v>134</v>
      </c>
      <c r="Q1692" s="29">
        <v>34</v>
      </c>
      <c r="R1692" s="20">
        <v>0.62360000000000004</v>
      </c>
      <c r="S1692" s="32">
        <v>21.202400000000001</v>
      </c>
      <c r="T1692" s="35">
        <v>1.6199999999999999</v>
      </c>
      <c r="U1692" s="35">
        <v>1.02</v>
      </c>
      <c r="V1692" s="35">
        <v>4.764705882352941E-2</v>
      </c>
      <c r="W1692" s="9" t="s">
        <v>153</v>
      </c>
      <c r="X1692" s="15">
        <v>1691</v>
      </c>
      <c r="Y1692" s="39">
        <v>0.47483658919104726</v>
      </c>
      <c r="Z1692" s="39">
        <v>0.49361891273726088</v>
      </c>
      <c r="AA1692" s="39">
        <v>0.48844861408927542</v>
      </c>
      <c r="AB1692" s="39">
        <v>0.48939068588546913</v>
      </c>
      <c r="AC1692" s="39">
        <v>0.46741704908131254</v>
      </c>
      <c r="AD1692" s="39">
        <v>0.48532113487458606</v>
      </c>
      <c r="AE1692" s="39">
        <v>0.48161611930337084</v>
      </c>
      <c r="AF1692" s="40">
        <v>0.48332518845666667</v>
      </c>
    </row>
    <row r="1693" spans="1:32">
      <c r="A1693" s="15">
        <v>1691</v>
      </c>
      <c r="B1693" s="16">
        <v>1</v>
      </c>
      <c r="C1693" s="20">
        <v>0.92</v>
      </c>
      <c r="D1693" s="20">
        <v>0.20258497911151899</v>
      </c>
      <c r="E1693" s="20">
        <v>0.08</v>
      </c>
      <c r="F1693" s="8" t="s">
        <v>434</v>
      </c>
      <c r="G1693" s="24">
        <v>2.5964205988072564</v>
      </c>
      <c r="H1693" s="24">
        <v>2.3557193791407478</v>
      </c>
      <c r="I1693" s="25">
        <v>1.6578926537592125</v>
      </c>
      <c r="L1693" s="15">
        <v>1691</v>
      </c>
      <c r="M1693" s="16">
        <v>1</v>
      </c>
      <c r="N1693" s="16">
        <v>2</v>
      </c>
      <c r="O1693" s="16">
        <v>6</v>
      </c>
      <c r="P1693" s="16">
        <v>135</v>
      </c>
      <c r="Q1693" s="29">
        <v>35</v>
      </c>
      <c r="R1693" s="20">
        <v>0.62360000000000004</v>
      </c>
      <c r="S1693" s="32">
        <v>21.826000000000001</v>
      </c>
      <c r="T1693" s="35">
        <v>2.15</v>
      </c>
      <c r="U1693" s="35">
        <v>1.58</v>
      </c>
      <c r="V1693" s="35">
        <v>6.1428571428571423E-2</v>
      </c>
      <c r="W1693" s="9" t="s">
        <v>154</v>
      </c>
      <c r="X1693" s="15">
        <v>1692</v>
      </c>
      <c r="Y1693" s="39">
        <v>0.48200519532320157</v>
      </c>
      <c r="Z1693" s="39">
        <v>0.4856593445403925</v>
      </c>
      <c r="AA1693" s="39">
        <v>0.48283189061562731</v>
      </c>
      <c r="AB1693" s="39">
        <v>0.48056066464339681</v>
      </c>
      <c r="AC1693" s="39">
        <v>0.47639663155932543</v>
      </c>
      <c r="AD1693" s="39">
        <v>0.47993811110634771</v>
      </c>
      <c r="AE1693" s="39">
        <v>0.47740433511548586</v>
      </c>
      <c r="AF1693" s="40">
        <v>0.47724101705381045</v>
      </c>
    </row>
    <row r="1694" spans="1:32">
      <c r="A1694" s="15">
        <v>1692</v>
      </c>
      <c r="B1694" s="16">
        <v>1</v>
      </c>
      <c r="C1694" s="20">
        <v>0.02</v>
      </c>
      <c r="D1694" s="20">
        <v>0.99917029198757767</v>
      </c>
      <c r="E1694" s="20">
        <v>1</v>
      </c>
      <c r="F1694" s="8" t="s">
        <v>436</v>
      </c>
      <c r="G1694" s="24">
        <v>1.0496209696426968</v>
      </c>
      <c r="H1694" s="24">
        <v>1.0556980071337261</v>
      </c>
      <c r="I1694" s="25">
        <v>1.0741607244205986</v>
      </c>
      <c r="L1694" s="15">
        <v>1692</v>
      </c>
      <c r="M1694" s="16">
        <v>1</v>
      </c>
      <c r="N1694" s="16">
        <v>2</v>
      </c>
      <c r="O1694" s="16">
        <v>6</v>
      </c>
      <c r="P1694" s="16">
        <v>136</v>
      </c>
      <c r="Q1694" s="29">
        <v>50</v>
      </c>
      <c r="R1694" s="20">
        <v>0.62360000000000004</v>
      </c>
      <c r="S1694" s="32">
        <v>31.180000000000003</v>
      </c>
      <c r="T1694" s="35">
        <v>1.05</v>
      </c>
      <c r="U1694" s="35">
        <v>0.38</v>
      </c>
      <c r="V1694" s="35">
        <v>2.1000000000000001E-2</v>
      </c>
      <c r="W1694" s="9" t="s">
        <v>153</v>
      </c>
      <c r="X1694" s="15">
        <v>1693</v>
      </c>
      <c r="Y1694" s="39">
        <v>0.48359061095147216</v>
      </c>
      <c r="Z1694" s="39">
        <v>0.49623031660061173</v>
      </c>
      <c r="AA1694" s="39">
        <v>0.47231330005811906</v>
      </c>
      <c r="AB1694" s="39">
        <v>0.48177318363038885</v>
      </c>
      <c r="AC1694" s="39">
        <v>0.47648728154490244</v>
      </c>
      <c r="AD1694" s="39">
        <v>0.48891548136440005</v>
      </c>
      <c r="AE1694" s="39">
        <v>0.46573023755571391</v>
      </c>
      <c r="AF1694" s="40">
        <v>0.47575985679828176</v>
      </c>
    </row>
    <row r="1695" spans="1:32">
      <c r="A1695" s="15">
        <v>1693</v>
      </c>
      <c r="B1695" s="16">
        <v>1</v>
      </c>
      <c r="C1695" s="20">
        <v>0.96</v>
      </c>
      <c r="D1695" s="20">
        <v>0.13880369068795359</v>
      </c>
      <c r="E1695" s="20">
        <v>0.04</v>
      </c>
      <c r="F1695" s="8" t="s">
        <v>434</v>
      </c>
      <c r="G1695" s="24">
        <v>1.3900368415001179</v>
      </c>
      <c r="H1695" s="24">
        <v>1.3980847999956343</v>
      </c>
      <c r="I1695" s="25">
        <v>1.4225353949867865</v>
      </c>
      <c r="L1695" s="15">
        <v>1693</v>
      </c>
      <c r="M1695" s="16">
        <v>1</v>
      </c>
      <c r="N1695" s="16">
        <v>2</v>
      </c>
      <c r="O1695" s="16">
        <v>6</v>
      </c>
      <c r="P1695" s="16">
        <v>137</v>
      </c>
      <c r="Q1695" s="29">
        <v>32</v>
      </c>
      <c r="R1695" s="20">
        <v>0.62360000000000004</v>
      </c>
      <c r="S1695" s="32">
        <v>19.955200000000001</v>
      </c>
      <c r="T1695" s="35">
        <v>0.72</v>
      </c>
      <c r="U1695" s="35">
        <v>0.28000000000000003</v>
      </c>
      <c r="V1695" s="35">
        <v>2.2499999999999999E-2</v>
      </c>
      <c r="W1695" s="9" t="s">
        <v>152</v>
      </c>
      <c r="X1695" s="15">
        <v>1694</v>
      </c>
      <c r="Y1695" s="39">
        <v>0.49501524350689147</v>
      </c>
      <c r="Z1695" s="39">
        <v>0.4951386637799175</v>
      </c>
      <c r="AA1695" s="39">
        <v>0.47681127810059526</v>
      </c>
      <c r="AB1695" s="39">
        <v>0.49246183910948704</v>
      </c>
      <c r="AC1695" s="39">
        <v>0.48425556760865912</v>
      </c>
      <c r="AD1695" s="39">
        <v>0.4893335885922101</v>
      </c>
      <c r="AE1695" s="39">
        <v>0.46723110930203288</v>
      </c>
      <c r="AF1695" s="40">
        <v>0.48779547908543308</v>
      </c>
    </row>
    <row r="1696" spans="1:32">
      <c r="A1696" s="15">
        <v>1694</v>
      </c>
      <c r="B1696" s="16">
        <v>0</v>
      </c>
      <c r="C1696" s="20">
        <v>0.94</v>
      </c>
      <c r="D1696" s="20">
        <v>0.17188516685452584</v>
      </c>
      <c r="E1696" s="20">
        <v>0.06</v>
      </c>
      <c r="F1696" s="8" t="s">
        <v>434</v>
      </c>
      <c r="G1696" s="24">
        <v>0.97300807845363779</v>
      </c>
      <c r="H1696" s="24">
        <v>0.97864154686066662</v>
      </c>
      <c r="I1696" s="25">
        <v>0.99575665182703177</v>
      </c>
      <c r="L1696" s="15">
        <v>1694</v>
      </c>
      <c r="M1696" s="16">
        <v>1</v>
      </c>
      <c r="N1696" s="16">
        <v>2</v>
      </c>
      <c r="O1696" s="16">
        <v>6</v>
      </c>
      <c r="P1696" s="16">
        <v>138</v>
      </c>
      <c r="Q1696" s="29">
        <v>38</v>
      </c>
      <c r="R1696" s="20">
        <v>0.62360000000000004</v>
      </c>
      <c r="S1696" s="32">
        <v>23.696800000000003</v>
      </c>
      <c r="T1696" s="35">
        <v>1.81</v>
      </c>
      <c r="U1696" s="35">
        <v>1.27</v>
      </c>
      <c r="V1696" s="35">
        <v>4.7631578947368421E-2</v>
      </c>
      <c r="W1696" s="9" t="s">
        <v>153</v>
      </c>
      <c r="X1696" s="15">
        <v>1695</v>
      </c>
      <c r="Y1696" s="39">
        <v>0.48007432369390718</v>
      </c>
      <c r="Z1696" s="39">
        <v>0.50101988103000428</v>
      </c>
      <c r="AA1696" s="39">
        <v>0.49886744172360381</v>
      </c>
      <c r="AB1696" s="39">
        <v>0.47277268308860193</v>
      </c>
      <c r="AC1696" s="39">
        <v>0.47282690248257953</v>
      </c>
      <c r="AD1696" s="39">
        <v>0.48970581589176027</v>
      </c>
      <c r="AE1696" s="39">
        <v>0.49266722999473761</v>
      </c>
      <c r="AF1696" s="40">
        <v>0.46821786336239629</v>
      </c>
    </row>
    <row r="1697" spans="1:32">
      <c r="A1697" s="15">
        <v>1695</v>
      </c>
      <c r="B1697" s="16">
        <v>1</v>
      </c>
      <c r="C1697" s="20">
        <v>0.94</v>
      </c>
      <c r="D1697" s="20">
        <v>0.17188516685452584</v>
      </c>
      <c r="E1697" s="20">
        <v>0.06</v>
      </c>
      <c r="F1697" s="8" t="s">
        <v>434</v>
      </c>
      <c r="G1697" s="24">
        <v>0.66322068781107824</v>
      </c>
      <c r="H1697" s="24">
        <v>0.66706056630171673</v>
      </c>
      <c r="I1697" s="25">
        <v>0.6787265451760045</v>
      </c>
      <c r="L1697" s="15">
        <v>1695</v>
      </c>
      <c r="M1697" s="16">
        <v>1</v>
      </c>
      <c r="N1697" s="16">
        <v>2</v>
      </c>
      <c r="O1697" s="16">
        <v>6</v>
      </c>
      <c r="P1697" s="16">
        <v>139</v>
      </c>
      <c r="Q1697" s="29">
        <v>41</v>
      </c>
      <c r="R1697" s="20">
        <v>0.62360000000000004</v>
      </c>
      <c r="S1697" s="32">
        <v>25.567600000000002</v>
      </c>
      <c r="T1697" s="35">
        <v>1.29</v>
      </c>
      <c r="U1697" s="35">
        <v>0.78</v>
      </c>
      <c r="V1697" s="35">
        <v>3.1463414634146342E-2</v>
      </c>
      <c r="W1697" s="9" t="s">
        <v>153</v>
      </c>
      <c r="X1697" s="15">
        <v>1696</v>
      </c>
      <c r="Y1697" s="39">
        <v>0.48523130783387503</v>
      </c>
      <c r="Z1697" s="39">
        <v>0.48696624624656398</v>
      </c>
      <c r="AA1697" s="39">
        <v>0.48241240482720726</v>
      </c>
      <c r="AB1697" s="39">
        <v>0.49819223644812999</v>
      </c>
      <c r="AC1697" s="39">
        <v>0.47967752296531674</v>
      </c>
      <c r="AD1697" s="39">
        <v>0.47692463134017882</v>
      </c>
      <c r="AE1697" s="39">
        <v>0.47511373149356778</v>
      </c>
      <c r="AF1697" s="40">
        <v>0.49157542695731815</v>
      </c>
    </row>
    <row r="1698" spans="1:32">
      <c r="A1698" s="15">
        <v>1696</v>
      </c>
      <c r="B1698" s="16">
        <v>0</v>
      </c>
      <c r="C1698" s="20">
        <v>0.02</v>
      </c>
      <c r="D1698" s="20">
        <v>0.99917029198757767</v>
      </c>
      <c r="E1698" s="20">
        <v>1</v>
      </c>
      <c r="F1698" s="8" t="s">
        <v>436</v>
      </c>
      <c r="G1698" s="24">
        <v>1.1463446851347199</v>
      </c>
      <c r="H1698" s="24">
        <v>1.1529817282490331</v>
      </c>
      <c r="I1698" s="25">
        <v>1.1731458050415882</v>
      </c>
      <c r="L1698" s="15">
        <v>1696</v>
      </c>
      <c r="M1698" s="16">
        <v>1</v>
      </c>
      <c r="N1698" s="16">
        <v>2</v>
      </c>
      <c r="O1698" s="16">
        <v>6</v>
      </c>
      <c r="P1698" s="16">
        <v>140</v>
      </c>
      <c r="Q1698" s="29">
        <v>45</v>
      </c>
      <c r="R1698" s="20">
        <v>0.62360000000000004</v>
      </c>
      <c r="S1698" s="32">
        <v>28.062000000000001</v>
      </c>
      <c r="T1698" s="35">
        <v>1.28</v>
      </c>
      <c r="U1698" s="35">
        <v>0.71</v>
      </c>
      <c r="V1698" s="35">
        <v>2.8444444444444446E-2</v>
      </c>
      <c r="W1698" s="9" t="s">
        <v>153</v>
      </c>
      <c r="X1698" s="15">
        <v>1697</v>
      </c>
      <c r="Y1698" s="39">
        <v>0.49744634839480306</v>
      </c>
      <c r="Z1698" s="39">
        <v>0.49644481753390401</v>
      </c>
      <c r="AA1698" s="39">
        <v>0.49214466821026753</v>
      </c>
      <c r="AB1698" s="39">
        <v>0.48503544692465</v>
      </c>
      <c r="AC1698" s="39">
        <v>0.48906973986570212</v>
      </c>
      <c r="AD1698" s="39">
        <v>0.48798549779937128</v>
      </c>
      <c r="AE1698" s="39">
        <v>0.48240870010804293</v>
      </c>
      <c r="AF1698" s="40">
        <v>0.47954459376235664</v>
      </c>
    </row>
    <row r="1699" spans="1:32">
      <c r="A1699" s="15">
        <v>1697</v>
      </c>
      <c r="B1699" s="16">
        <v>1</v>
      </c>
      <c r="C1699" s="20">
        <v>0.02</v>
      </c>
      <c r="D1699" s="20">
        <v>0.99917029198757767</v>
      </c>
      <c r="E1699" s="20">
        <v>1</v>
      </c>
      <c r="F1699" s="8" t="s">
        <v>436</v>
      </c>
      <c r="G1699" s="24">
        <v>0.96710629284389049</v>
      </c>
      <c r="H1699" s="24">
        <v>0.9727055914187116</v>
      </c>
      <c r="I1699" s="25">
        <v>0.98971688462602092</v>
      </c>
      <c r="L1699" s="15">
        <v>1697</v>
      </c>
      <c r="M1699" s="16">
        <v>1</v>
      </c>
      <c r="N1699" s="16">
        <v>2</v>
      </c>
      <c r="O1699" s="16">
        <v>6</v>
      </c>
      <c r="P1699" s="16">
        <v>141</v>
      </c>
      <c r="Q1699" s="29">
        <v>40</v>
      </c>
      <c r="R1699" s="20">
        <v>0.62360000000000004</v>
      </c>
      <c r="S1699" s="32">
        <v>24.944000000000003</v>
      </c>
      <c r="T1699" s="35">
        <v>0.98</v>
      </c>
      <c r="U1699" s="35">
        <v>0.45</v>
      </c>
      <c r="V1699" s="35">
        <v>2.4500000000000001E-2</v>
      </c>
      <c r="W1699" s="9" t="s">
        <v>152</v>
      </c>
      <c r="X1699" s="15">
        <v>1698</v>
      </c>
      <c r="Y1699" s="39">
        <v>0.48772395912148581</v>
      </c>
      <c r="Z1699" s="39">
        <v>0.48767070450482819</v>
      </c>
      <c r="AA1699" s="39">
        <v>0.48840687128242716</v>
      </c>
      <c r="AB1699" s="39">
        <v>0.50236138726635882</v>
      </c>
      <c r="AC1699" s="39">
        <v>0.48194476328635888</v>
      </c>
      <c r="AD1699" s="39">
        <v>0.47875471295745436</v>
      </c>
      <c r="AE1699" s="39">
        <v>0.48115257470670808</v>
      </c>
      <c r="AF1699" s="40">
        <v>0.49284725801681672</v>
      </c>
    </row>
    <row r="1700" spans="1:32">
      <c r="A1700" s="15">
        <v>1698</v>
      </c>
      <c r="B1700" s="16">
        <v>0</v>
      </c>
      <c r="C1700" s="20">
        <v>0.4</v>
      </c>
      <c r="D1700" s="20">
        <v>0.60382988606733223</v>
      </c>
      <c r="E1700" s="20">
        <v>7.0000000000000007E-2</v>
      </c>
      <c r="F1700" s="8" t="s">
        <v>436</v>
      </c>
      <c r="G1700" s="24">
        <v>1.2401788131801612</v>
      </c>
      <c r="H1700" s="24">
        <v>1.2473591319440305</v>
      </c>
      <c r="I1700" s="25">
        <v>1.2691737407172421</v>
      </c>
      <c r="L1700" s="15">
        <v>1698</v>
      </c>
      <c r="M1700" s="16">
        <v>1</v>
      </c>
      <c r="N1700" s="16">
        <v>2</v>
      </c>
      <c r="O1700" s="16">
        <v>6</v>
      </c>
      <c r="P1700" s="16">
        <v>142</v>
      </c>
      <c r="Q1700" s="29">
        <v>45</v>
      </c>
      <c r="R1700" s="20">
        <v>0.62360000000000004</v>
      </c>
      <c r="S1700" s="32">
        <v>28.062000000000001</v>
      </c>
      <c r="T1700" s="35">
        <v>2</v>
      </c>
      <c r="U1700" s="35">
        <v>1.31</v>
      </c>
      <c r="V1700" s="35">
        <v>4.4444444444444446E-2</v>
      </c>
      <c r="W1700" s="9" t="s">
        <v>154</v>
      </c>
      <c r="X1700" s="15">
        <v>1699</v>
      </c>
      <c r="Y1700" s="39">
        <v>0.46845263883894595</v>
      </c>
      <c r="Z1700" s="39">
        <v>0.47459463280419695</v>
      </c>
      <c r="AA1700" s="39">
        <v>0.48686939869514639</v>
      </c>
      <c r="AB1700" s="39">
        <v>0.48382612746536957</v>
      </c>
      <c r="AC1700" s="39">
        <v>0.46363675141307004</v>
      </c>
      <c r="AD1700" s="39">
        <v>0.46886433593404064</v>
      </c>
      <c r="AE1700" s="39">
        <v>0.4795067487566837</v>
      </c>
      <c r="AF1700" s="40">
        <v>0.47867633978976987</v>
      </c>
    </row>
    <row r="1701" spans="1:32">
      <c r="A1701" s="15">
        <v>1699</v>
      </c>
      <c r="B1701" s="16">
        <v>0</v>
      </c>
      <c r="C1701" s="20">
        <v>0.39</v>
      </c>
      <c r="D1701" s="20">
        <v>0.7114671361201621</v>
      </c>
      <c r="E1701" s="20">
        <v>0.04</v>
      </c>
      <c r="F1701" s="8" t="s">
        <v>436</v>
      </c>
      <c r="G1701" s="24">
        <v>0.76259464613102457</v>
      </c>
      <c r="H1701" s="24">
        <v>0.76700987447442748</v>
      </c>
      <c r="I1701" s="25">
        <v>0.78042383033393414</v>
      </c>
      <c r="L1701" s="15">
        <v>1699</v>
      </c>
      <c r="M1701" s="16">
        <v>1</v>
      </c>
      <c r="N1701" s="16">
        <v>2</v>
      </c>
      <c r="O1701" s="16">
        <v>7</v>
      </c>
      <c r="P1701" s="16">
        <v>188</v>
      </c>
      <c r="Q1701" s="29">
        <v>49</v>
      </c>
      <c r="R1701" s="20">
        <v>0.62360000000000004</v>
      </c>
      <c r="S1701" s="32">
        <v>30.556400000000004</v>
      </c>
      <c r="T1701" s="35">
        <v>1.48</v>
      </c>
      <c r="U1701" s="35">
        <v>0.55000000000000004</v>
      </c>
      <c r="V1701" s="35">
        <v>3.0204081632653063E-2</v>
      </c>
      <c r="W1701" s="9" t="s">
        <v>153</v>
      </c>
      <c r="X1701" s="15">
        <v>1700</v>
      </c>
      <c r="Y1701" s="39">
        <v>0.48173321090488419</v>
      </c>
      <c r="Z1701" s="39">
        <v>0.49532388936268712</v>
      </c>
      <c r="AA1701" s="39">
        <v>0.48680198289195575</v>
      </c>
      <c r="AB1701" s="39">
        <v>0.49600109837870898</v>
      </c>
      <c r="AC1701" s="39">
        <v>0.47531559435294074</v>
      </c>
      <c r="AD1701" s="39">
        <v>0.48972585385218265</v>
      </c>
      <c r="AE1701" s="39">
        <v>0.47683989516616299</v>
      </c>
      <c r="AF1701" s="40">
        <v>0.49043674674310694</v>
      </c>
    </row>
    <row r="1702" spans="1:32">
      <c r="A1702" s="15">
        <v>1700</v>
      </c>
      <c r="B1702" s="16">
        <v>1</v>
      </c>
      <c r="C1702" s="20">
        <v>0.23</v>
      </c>
      <c r="D1702" s="20">
        <v>0.81676877988823471</v>
      </c>
      <c r="E1702" s="20">
        <v>0.06</v>
      </c>
      <c r="F1702" s="8" t="s">
        <v>436</v>
      </c>
      <c r="G1702" s="24">
        <v>1.0613379976450303</v>
      </c>
      <c r="H1702" s="24">
        <v>1.0674828737373385</v>
      </c>
      <c r="I1702" s="25">
        <v>1.0861516922566619</v>
      </c>
      <c r="L1702" s="15">
        <v>1700</v>
      </c>
      <c r="M1702" s="16">
        <v>1</v>
      </c>
      <c r="N1702" s="16">
        <v>2</v>
      </c>
      <c r="O1702" s="16">
        <v>7</v>
      </c>
      <c r="P1702" s="16">
        <v>189</v>
      </c>
      <c r="Q1702" s="29">
        <v>48</v>
      </c>
      <c r="R1702" s="20">
        <v>0.62360000000000004</v>
      </c>
      <c r="S1702" s="32">
        <v>29.9328</v>
      </c>
      <c r="T1702" s="35">
        <v>1.46</v>
      </c>
      <c r="U1702" s="35">
        <v>0.63</v>
      </c>
      <c r="V1702" s="35">
        <v>3.0416666666666665E-2</v>
      </c>
      <c r="W1702" s="9" t="s">
        <v>153</v>
      </c>
      <c r="X1702" s="15">
        <v>1701</v>
      </c>
      <c r="Y1702" s="39">
        <v>0.48407869180211993</v>
      </c>
      <c r="Z1702" s="39">
        <v>0.49239652361046754</v>
      </c>
      <c r="AA1702" s="39">
        <v>0.48661315227814039</v>
      </c>
      <c r="AB1702" s="39">
        <v>0.49429350299114855</v>
      </c>
      <c r="AC1702" s="39">
        <v>0.47722371359601151</v>
      </c>
      <c r="AD1702" s="39">
        <v>0.48744238272291357</v>
      </c>
      <c r="AE1702" s="39">
        <v>0.47889439854926497</v>
      </c>
      <c r="AF1702" s="40">
        <v>0.49350442206228184</v>
      </c>
    </row>
    <row r="1703" spans="1:32">
      <c r="A1703" s="15">
        <v>1701</v>
      </c>
      <c r="B1703" s="16">
        <v>1</v>
      </c>
      <c r="C1703" s="20">
        <v>0.9</v>
      </c>
      <c r="D1703" s="20">
        <v>0.231595386583653</v>
      </c>
      <c r="E1703" s="20">
        <v>0.1</v>
      </c>
      <c r="F1703" s="8" t="s">
        <v>434</v>
      </c>
      <c r="G1703" s="24">
        <v>0.61271192870136315</v>
      </c>
      <c r="H1703" s="24">
        <v>0.61625937436947564</v>
      </c>
      <c r="I1703" s="25">
        <v>0.62703690973232062</v>
      </c>
      <c r="L1703" s="15">
        <v>1701</v>
      </c>
      <c r="M1703" s="16">
        <v>1</v>
      </c>
      <c r="N1703" s="16">
        <v>2</v>
      </c>
      <c r="O1703" s="16">
        <v>7</v>
      </c>
      <c r="P1703" s="16">
        <v>190</v>
      </c>
      <c r="Q1703" s="29">
        <v>46</v>
      </c>
      <c r="R1703" s="20">
        <v>0.62360000000000004</v>
      </c>
      <c r="S1703" s="32">
        <v>28.685600000000001</v>
      </c>
      <c r="T1703" s="35">
        <v>1.9000000000000001</v>
      </c>
      <c r="U1703" s="35">
        <v>1.21</v>
      </c>
      <c r="V1703" s="35">
        <v>4.1304347826086961E-2</v>
      </c>
      <c r="W1703" s="9" t="s">
        <v>153</v>
      </c>
      <c r="X1703" s="15">
        <v>1702</v>
      </c>
      <c r="Y1703" s="39">
        <v>0.48015145430669554</v>
      </c>
      <c r="Z1703" s="39">
        <v>0.47835029227271519</v>
      </c>
      <c r="AA1703" s="39">
        <v>0.48882318593094692</v>
      </c>
      <c r="AB1703" s="39">
        <v>0.4768003029967775</v>
      </c>
      <c r="AC1703" s="39">
        <v>0.4721295022916504</v>
      </c>
      <c r="AD1703" s="39">
        <v>0.4696380820523498</v>
      </c>
      <c r="AE1703" s="39">
        <v>0.48432427668442751</v>
      </c>
      <c r="AF1703" s="40">
        <v>0.47290422646681601</v>
      </c>
    </row>
    <row r="1704" spans="1:32">
      <c r="A1704" s="15">
        <v>1702</v>
      </c>
      <c r="B1704" s="16">
        <v>0</v>
      </c>
      <c r="C1704" s="20">
        <v>0.09</v>
      </c>
      <c r="D1704" s="20">
        <v>0.93777661252771805</v>
      </c>
      <c r="E1704" s="20">
        <v>0.12</v>
      </c>
      <c r="F1704" s="8" t="s">
        <v>436</v>
      </c>
      <c r="G1704" s="24">
        <v>0.9314223224838194</v>
      </c>
      <c r="H1704" s="24">
        <v>0.93681501997884231</v>
      </c>
      <c r="I1704" s="25">
        <v>0.95319863607652278</v>
      </c>
      <c r="L1704" s="15">
        <v>1702</v>
      </c>
      <c r="M1704" s="16">
        <v>1</v>
      </c>
      <c r="N1704" s="16">
        <v>2</v>
      </c>
      <c r="O1704" s="16">
        <v>7</v>
      </c>
      <c r="P1704" s="16">
        <v>191</v>
      </c>
      <c r="Q1704" s="29">
        <v>62</v>
      </c>
      <c r="R1704" s="20">
        <v>0.62360000000000004</v>
      </c>
      <c r="S1704" s="32">
        <v>38.663200000000003</v>
      </c>
      <c r="T1704" s="35">
        <v>3.02</v>
      </c>
      <c r="U1704" s="35">
        <v>1.85</v>
      </c>
      <c r="V1704" s="35">
        <v>4.8709677419354842E-2</v>
      </c>
      <c r="W1704" s="9" t="s">
        <v>155</v>
      </c>
      <c r="X1704" s="15">
        <v>1703</v>
      </c>
      <c r="Y1704" s="39">
        <v>0.48450889153288629</v>
      </c>
      <c r="Z1704" s="39">
        <v>0.48169729273667083</v>
      </c>
      <c r="AA1704" s="39">
        <v>0.47940808461819318</v>
      </c>
      <c r="AB1704" s="39">
        <v>0.49412080476061621</v>
      </c>
      <c r="AC1704" s="39">
        <v>0.47702971917506715</v>
      </c>
      <c r="AD1704" s="39">
        <v>0.47485214023254635</v>
      </c>
      <c r="AE1704" s="39">
        <v>0.47165520421848883</v>
      </c>
      <c r="AF1704" s="40">
        <v>0.48882496846675766</v>
      </c>
    </row>
    <row r="1705" spans="1:32">
      <c r="A1705" s="15">
        <v>1703</v>
      </c>
      <c r="B1705" s="16">
        <v>1</v>
      </c>
      <c r="C1705" s="20">
        <v>0.35</v>
      </c>
      <c r="D1705" s="20">
        <v>0.59895477979729872</v>
      </c>
      <c r="E1705" s="20">
        <v>0.11</v>
      </c>
      <c r="F1705" s="8" t="s">
        <v>436</v>
      </c>
      <c r="G1705" s="24">
        <v>0.76057665529199869</v>
      </c>
      <c r="H1705" s="24">
        <v>0.76498019998355005</v>
      </c>
      <c r="I1705" s="25">
        <v>0.77835865960639039</v>
      </c>
      <c r="L1705" s="15">
        <v>1703</v>
      </c>
      <c r="M1705" s="16">
        <v>1</v>
      </c>
      <c r="N1705" s="16">
        <v>2</v>
      </c>
      <c r="O1705" s="16">
        <v>7</v>
      </c>
      <c r="P1705" s="16">
        <v>192</v>
      </c>
      <c r="Q1705" s="29">
        <v>61</v>
      </c>
      <c r="R1705" s="20">
        <v>0.62360000000000004</v>
      </c>
      <c r="S1705" s="32">
        <v>38.0396</v>
      </c>
      <c r="T1705" s="35">
        <v>1.31</v>
      </c>
      <c r="U1705" s="35">
        <v>0.5</v>
      </c>
      <c r="V1705" s="35">
        <v>2.1475409836065575E-2</v>
      </c>
      <c r="W1705" s="9" t="s">
        <v>153</v>
      </c>
      <c r="X1705" s="15">
        <v>1704</v>
      </c>
      <c r="Y1705" s="39">
        <v>0.48240071750309771</v>
      </c>
      <c r="Z1705" s="39">
        <v>0.47805458029971154</v>
      </c>
      <c r="AA1705" s="39">
        <v>0.48790236406040821</v>
      </c>
      <c r="AB1705" s="39">
        <v>0.48517339386461283</v>
      </c>
      <c r="AC1705" s="39">
        <v>0.4762129735535473</v>
      </c>
      <c r="AD1705" s="39">
        <v>0.47234506612303412</v>
      </c>
      <c r="AE1705" s="39">
        <v>0.47836777276937142</v>
      </c>
      <c r="AF1705" s="40">
        <v>0.47804336277386633</v>
      </c>
    </row>
    <row r="1706" spans="1:32">
      <c r="A1706" s="15">
        <v>1704</v>
      </c>
      <c r="B1706" s="16">
        <v>0</v>
      </c>
      <c r="C1706" s="20">
        <v>0.27</v>
      </c>
      <c r="D1706" s="20">
        <v>0.78098990735166107</v>
      </c>
      <c r="E1706" s="20">
        <v>7.0000000000000007E-2</v>
      </c>
      <c r="F1706" s="8" t="s">
        <v>436</v>
      </c>
      <c r="G1706" s="24">
        <v>0.95386766609422124</v>
      </c>
      <c r="H1706" s="24">
        <v>0.95939031639941519</v>
      </c>
      <c r="I1706" s="25">
        <v>0.97616874361984463</v>
      </c>
      <c r="L1706" s="15">
        <v>1704</v>
      </c>
      <c r="M1706" s="16">
        <v>1</v>
      </c>
      <c r="N1706" s="16">
        <v>2</v>
      </c>
      <c r="O1706" s="16">
        <v>7</v>
      </c>
      <c r="P1706" s="16">
        <v>193</v>
      </c>
      <c r="Q1706" s="29">
        <v>52</v>
      </c>
      <c r="R1706" s="20">
        <v>0.62360000000000004</v>
      </c>
      <c r="S1706" s="32">
        <v>32.427199999999999</v>
      </c>
      <c r="T1706" s="35">
        <v>1.47</v>
      </c>
      <c r="U1706" s="35">
        <v>0.67</v>
      </c>
      <c r="V1706" s="35">
        <v>2.8269230769230769E-2</v>
      </c>
      <c r="W1706" s="9" t="s">
        <v>153</v>
      </c>
      <c r="X1706" s="15">
        <v>1705</v>
      </c>
      <c r="Y1706" s="39">
        <v>0.47911041083040662</v>
      </c>
      <c r="Z1706" s="39">
        <v>0.49583405777594941</v>
      </c>
      <c r="AA1706" s="39">
        <v>0.48913787545690318</v>
      </c>
      <c r="AB1706" s="39">
        <v>0.47513738268739913</v>
      </c>
      <c r="AC1706" s="39">
        <v>0.47150591655419494</v>
      </c>
      <c r="AD1706" s="39">
        <v>0.48870270902600049</v>
      </c>
      <c r="AE1706" s="39">
        <v>0.48189637659862955</v>
      </c>
      <c r="AF1706" s="40">
        <v>0.47118993229047024</v>
      </c>
    </row>
    <row r="1707" spans="1:32">
      <c r="A1707" s="15">
        <v>1705</v>
      </c>
      <c r="B1707" s="16">
        <v>0</v>
      </c>
      <c r="C1707" s="20">
        <v>0.12</v>
      </c>
      <c r="D1707" s="20">
        <v>0.89451949907037165</v>
      </c>
      <c r="E1707" s="20">
        <v>0.55000000000000004</v>
      </c>
      <c r="F1707" s="8" t="s">
        <v>436</v>
      </c>
      <c r="G1707" s="24">
        <v>0.78623549272718529</v>
      </c>
      <c r="H1707" s="24">
        <v>0.79078759553788602</v>
      </c>
      <c r="I1707" s="25">
        <v>0.80461739128602972</v>
      </c>
      <c r="L1707" s="15">
        <v>1705</v>
      </c>
      <c r="M1707" s="16">
        <v>1</v>
      </c>
      <c r="N1707" s="16">
        <v>2</v>
      </c>
      <c r="O1707" s="16">
        <v>7</v>
      </c>
      <c r="P1707" s="16">
        <v>194</v>
      </c>
      <c r="Q1707" s="29">
        <v>38</v>
      </c>
      <c r="R1707" s="20">
        <v>0.62360000000000004</v>
      </c>
      <c r="S1707" s="32">
        <v>23.696800000000003</v>
      </c>
      <c r="T1707" s="35">
        <v>3.0900000000000003</v>
      </c>
      <c r="U1707" s="35">
        <v>2.5</v>
      </c>
      <c r="V1707" s="35">
        <v>8.1315789473684216E-2</v>
      </c>
      <c r="W1707" s="9" t="s">
        <v>155</v>
      </c>
      <c r="X1707" s="15">
        <v>1706</v>
      </c>
      <c r="Y1707" s="39">
        <v>0.49184317137979233</v>
      </c>
      <c r="Z1707" s="39">
        <v>0.48568040664683687</v>
      </c>
      <c r="AA1707" s="39">
        <v>0.50175752748923863</v>
      </c>
      <c r="AB1707" s="39">
        <v>0.49081114701149875</v>
      </c>
      <c r="AC1707" s="39">
        <v>0.48287616501522224</v>
      </c>
      <c r="AD1707" s="39">
        <v>0.47771067864872119</v>
      </c>
      <c r="AE1707" s="39">
        <v>0.4920610294761254</v>
      </c>
      <c r="AF1707" s="40">
        <v>0.48312713457856438</v>
      </c>
    </row>
    <row r="1708" spans="1:32">
      <c r="A1708" s="15">
        <v>1706</v>
      </c>
      <c r="B1708" s="16">
        <v>0</v>
      </c>
      <c r="C1708" s="20">
        <v>0.02</v>
      </c>
      <c r="D1708" s="20">
        <v>0.99835916395484214</v>
      </c>
      <c r="E1708" s="20">
        <v>1</v>
      </c>
      <c r="F1708" s="8" t="s">
        <v>436</v>
      </c>
      <c r="G1708" s="24">
        <v>1.1727503610130248</v>
      </c>
      <c r="H1708" s="24">
        <v>1.1795402862504372</v>
      </c>
      <c r="I1708" s="25">
        <v>1.2001688359742788</v>
      </c>
      <c r="L1708" s="15">
        <v>1706</v>
      </c>
      <c r="M1708" s="16">
        <v>1</v>
      </c>
      <c r="N1708" s="16">
        <v>2</v>
      </c>
      <c r="O1708" s="16">
        <v>7</v>
      </c>
      <c r="P1708" s="16">
        <v>195</v>
      </c>
      <c r="Q1708" s="29">
        <v>43</v>
      </c>
      <c r="R1708" s="20">
        <v>0.62360000000000004</v>
      </c>
      <c r="S1708" s="32">
        <v>26.814800000000002</v>
      </c>
      <c r="T1708" s="35">
        <v>0.87</v>
      </c>
      <c r="U1708" s="35">
        <v>0.26</v>
      </c>
      <c r="V1708" s="35">
        <v>2.0232558139534885E-2</v>
      </c>
      <c r="W1708" s="9" t="s">
        <v>152</v>
      </c>
      <c r="X1708" s="15">
        <v>1707</v>
      </c>
      <c r="Y1708" s="39">
        <v>0.48877176182124188</v>
      </c>
      <c r="Z1708" s="39">
        <v>0.48197909980443565</v>
      </c>
      <c r="AA1708" s="39">
        <v>0.51267233466014617</v>
      </c>
      <c r="AB1708" s="39">
        <v>0.4822426998403358</v>
      </c>
      <c r="AC1708" s="39">
        <v>0.48348981440351169</v>
      </c>
      <c r="AD1708" s="39">
        <v>0.47394969239849238</v>
      </c>
      <c r="AE1708" s="39">
        <v>0.50278117784836618</v>
      </c>
      <c r="AF1708" s="40">
        <v>0.47647162684081629</v>
      </c>
    </row>
    <row r="1709" spans="1:32">
      <c r="A1709" s="15">
        <v>1707</v>
      </c>
      <c r="B1709" s="16">
        <v>1</v>
      </c>
      <c r="C1709" s="20">
        <v>0.12</v>
      </c>
      <c r="D1709" s="20">
        <v>0.91854745519945036</v>
      </c>
      <c r="E1709" s="20">
        <v>7.0000000000000007E-2</v>
      </c>
      <c r="F1709" s="8" t="s">
        <v>436</v>
      </c>
      <c r="G1709" s="24">
        <v>0.96588923722421416</v>
      </c>
      <c r="H1709" s="24">
        <v>0.97148148935765932</v>
      </c>
      <c r="I1709" s="25">
        <v>0.98847137469062318</v>
      </c>
      <c r="L1709" s="15">
        <v>1707</v>
      </c>
      <c r="M1709" s="16">
        <v>1</v>
      </c>
      <c r="N1709" s="16">
        <v>2</v>
      </c>
      <c r="O1709" s="16">
        <v>8</v>
      </c>
      <c r="P1709" s="16">
        <v>143</v>
      </c>
      <c r="Q1709" s="29">
        <v>32</v>
      </c>
      <c r="R1709" s="20">
        <v>0.62360000000000004</v>
      </c>
      <c r="S1709" s="32">
        <v>19.955200000000001</v>
      </c>
      <c r="T1709" s="35">
        <v>0.6</v>
      </c>
      <c r="U1709" s="35">
        <v>0.24</v>
      </c>
      <c r="V1709" s="35">
        <v>1.8749999999999999E-2</v>
      </c>
      <c r="W1709" s="9" t="s">
        <v>152</v>
      </c>
      <c r="X1709" s="15">
        <v>1708</v>
      </c>
      <c r="Y1709" s="39">
        <v>0.487421501278407</v>
      </c>
      <c r="Z1709" s="39">
        <v>0.47542947133044838</v>
      </c>
      <c r="AA1709" s="39">
        <v>0.51225012866510466</v>
      </c>
      <c r="AB1709" s="39">
        <v>0.49494311034228411</v>
      </c>
      <c r="AC1709" s="39">
        <v>0.48052549351866003</v>
      </c>
      <c r="AD1709" s="39">
        <v>0.47011631235923351</v>
      </c>
      <c r="AE1709" s="39">
        <v>0.50333773100839707</v>
      </c>
      <c r="AF1709" s="40">
        <v>0.48999365027390346</v>
      </c>
    </row>
    <row r="1710" spans="1:32">
      <c r="A1710" s="15">
        <v>1708</v>
      </c>
      <c r="B1710" s="16">
        <v>1</v>
      </c>
      <c r="C1710" s="20">
        <v>0.92</v>
      </c>
      <c r="D1710" s="20">
        <v>0.20258497911151899</v>
      </c>
      <c r="E1710" s="20">
        <v>0.08</v>
      </c>
      <c r="F1710" s="8" t="s">
        <v>434</v>
      </c>
      <c r="G1710" s="24">
        <v>0.6596439655218006</v>
      </c>
      <c r="H1710" s="24">
        <v>0.6634631357033679</v>
      </c>
      <c r="I1710" s="25">
        <v>0.67506620042640453</v>
      </c>
      <c r="L1710" s="15">
        <v>1708</v>
      </c>
      <c r="M1710" s="16">
        <v>1</v>
      </c>
      <c r="N1710" s="16">
        <v>2</v>
      </c>
      <c r="O1710" s="16">
        <v>8</v>
      </c>
      <c r="P1710" s="16">
        <v>144</v>
      </c>
      <c r="Q1710" s="29">
        <v>32</v>
      </c>
      <c r="R1710" s="20">
        <v>0.62360000000000004</v>
      </c>
      <c r="S1710" s="32">
        <v>19.955200000000001</v>
      </c>
      <c r="T1710" s="35">
        <v>0.64</v>
      </c>
      <c r="U1710" s="35">
        <v>0.28999999999999998</v>
      </c>
      <c r="V1710" s="35">
        <v>0.02</v>
      </c>
      <c r="W1710" s="9" t="s">
        <v>152</v>
      </c>
      <c r="X1710" s="15">
        <v>1709</v>
      </c>
      <c r="Y1710" s="39">
        <v>0.47932166677806454</v>
      </c>
      <c r="Z1710" s="39">
        <v>0.48899391446505996</v>
      </c>
      <c r="AA1710" s="39">
        <v>0.47458859907016832</v>
      </c>
      <c r="AB1710" s="39">
        <v>0.49108739748885744</v>
      </c>
      <c r="AC1710" s="39">
        <v>0.47143221090311188</v>
      </c>
      <c r="AD1710" s="39">
        <v>0.48152414280595934</v>
      </c>
      <c r="AE1710" s="39">
        <v>0.46818076039847945</v>
      </c>
      <c r="AF1710" s="40">
        <v>0.48742493925486535</v>
      </c>
    </row>
    <row r="1711" spans="1:32">
      <c r="A1711" s="15">
        <v>1709</v>
      </c>
      <c r="B1711" s="16">
        <v>1</v>
      </c>
      <c r="C1711" s="20">
        <v>0.02</v>
      </c>
      <c r="D1711" s="20">
        <v>0.99604261948721451</v>
      </c>
      <c r="E1711" s="20">
        <v>1</v>
      </c>
      <c r="F1711" s="8" t="s">
        <v>436</v>
      </c>
      <c r="G1711" s="24">
        <v>1.0197576761408544</v>
      </c>
      <c r="H1711" s="24">
        <v>1.0256618127853256</v>
      </c>
      <c r="I1711" s="25">
        <v>1.0435992380276167</v>
      </c>
      <c r="L1711" s="15">
        <v>1709</v>
      </c>
      <c r="M1711" s="16">
        <v>1</v>
      </c>
      <c r="N1711" s="16">
        <v>2</v>
      </c>
      <c r="O1711" s="16">
        <v>8</v>
      </c>
      <c r="P1711" s="16">
        <v>145</v>
      </c>
      <c r="Q1711" s="29">
        <v>33</v>
      </c>
      <c r="R1711" s="20">
        <v>0.62360000000000004</v>
      </c>
      <c r="S1711" s="32">
        <v>20.578800000000001</v>
      </c>
      <c r="T1711" s="35">
        <v>0.95000000000000007</v>
      </c>
      <c r="U1711" s="35">
        <v>0.31</v>
      </c>
      <c r="V1711" s="35">
        <v>2.8787878787878789E-2</v>
      </c>
      <c r="W1711" s="9" t="s">
        <v>152</v>
      </c>
      <c r="X1711" s="15">
        <v>1710</v>
      </c>
      <c r="Y1711" s="39">
        <v>0.49183747028975378</v>
      </c>
      <c r="Z1711" s="39">
        <v>0.47911261537292543</v>
      </c>
      <c r="AA1711" s="39">
        <v>0.49931259064917016</v>
      </c>
      <c r="AB1711" s="39">
        <v>0.48451870955101278</v>
      </c>
      <c r="AC1711" s="39">
        <v>0.48635486339321837</v>
      </c>
      <c r="AD1711" s="39">
        <v>0.47339515289161094</v>
      </c>
      <c r="AE1711" s="39">
        <v>0.49355659300363702</v>
      </c>
      <c r="AF1711" s="40">
        <v>0.48054615483439378</v>
      </c>
    </row>
    <row r="1712" spans="1:32">
      <c r="A1712" s="15">
        <v>1710</v>
      </c>
      <c r="B1712" s="16">
        <v>1</v>
      </c>
      <c r="C1712" s="20">
        <v>0.8</v>
      </c>
      <c r="D1712" s="20">
        <v>0.3624108683616718</v>
      </c>
      <c r="E1712" s="20">
        <v>0.2</v>
      </c>
      <c r="F1712" s="8" t="s">
        <v>434</v>
      </c>
      <c r="G1712" s="24">
        <v>1.0315479882988836</v>
      </c>
      <c r="H1712" s="24">
        <v>1.0375203878411889</v>
      </c>
      <c r="I1712" s="25">
        <v>1.0556652033761602</v>
      </c>
      <c r="L1712" s="15">
        <v>1710</v>
      </c>
      <c r="M1712" s="16">
        <v>1</v>
      </c>
      <c r="N1712" s="16">
        <v>2</v>
      </c>
      <c r="O1712" s="16">
        <v>8</v>
      </c>
      <c r="P1712" s="16">
        <v>146</v>
      </c>
      <c r="Q1712" s="29">
        <v>37</v>
      </c>
      <c r="R1712" s="20">
        <v>0.62360000000000004</v>
      </c>
      <c r="S1712" s="32">
        <v>23.0732</v>
      </c>
      <c r="T1712" s="35">
        <v>1.79</v>
      </c>
      <c r="U1712" s="35">
        <v>1.24</v>
      </c>
      <c r="V1712" s="35">
        <v>4.8378378378378377E-2</v>
      </c>
      <c r="W1712" s="9" t="s">
        <v>153</v>
      </c>
      <c r="X1712" s="15">
        <v>1711</v>
      </c>
      <c r="Y1712" s="39">
        <v>0.47596047134180924</v>
      </c>
      <c r="Z1712" s="39">
        <v>0.48806048169846167</v>
      </c>
      <c r="AA1712" s="39">
        <v>0.4836877935544478</v>
      </c>
      <c r="AB1712" s="39">
        <v>0.4964518823039461</v>
      </c>
      <c r="AC1712" s="39">
        <v>0.46860024229396907</v>
      </c>
      <c r="AD1712" s="39">
        <v>0.48074563156305711</v>
      </c>
      <c r="AE1712" s="39">
        <v>0.47883053747826815</v>
      </c>
      <c r="AF1712" s="40">
        <v>0.49132993972627292</v>
      </c>
    </row>
    <row r="1713" spans="1:32">
      <c r="A1713" s="15">
        <v>1711</v>
      </c>
      <c r="B1713" s="16">
        <v>0</v>
      </c>
      <c r="C1713" s="20">
        <v>0.02</v>
      </c>
      <c r="D1713" s="20">
        <v>0.99835916395484214</v>
      </c>
      <c r="E1713" s="20">
        <v>1</v>
      </c>
      <c r="F1713" s="8" t="s">
        <v>436</v>
      </c>
      <c r="G1713" s="24">
        <v>1.0668509804928876</v>
      </c>
      <c r="H1713" s="24">
        <v>1.073027775348657</v>
      </c>
      <c r="I1713" s="25">
        <v>1.0917935666292637</v>
      </c>
      <c r="L1713" s="15">
        <v>1711</v>
      </c>
      <c r="M1713" s="16">
        <v>1</v>
      </c>
      <c r="N1713" s="16">
        <v>2</v>
      </c>
      <c r="O1713" s="16">
        <v>8</v>
      </c>
      <c r="P1713" s="16">
        <v>147</v>
      </c>
      <c r="Q1713" s="29">
        <v>40</v>
      </c>
      <c r="R1713" s="20">
        <v>0.62360000000000004</v>
      </c>
      <c r="S1713" s="32">
        <v>24.944000000000003</v>
      </c>
      <c r="T1713" s="35">
        <v>0.79</v>
      </c>
      <c r="U1713" s="35">
        <v>0.1</v>
      </c>
      <c r="V1713" s="35">
        <v>1.975E-2</v>
      </c>
      <c r="W1713" s="9" t="s">
        <v>152</v>
      </c>
      <c r="X1713" s="15">
        <v>1712</v>
      </c>
      <c r="Y1713" s="39">
        <v>0.48412752951607108</v>
      </c>
      <c r="Z1713" s="39">
        <v>0.50115951854739105</v>
      </c>
      <c r="AA1713" s="39">
        <v>0.49135203527761817</v>
      </c>
      <c r="AB1713" s="39">
        <v>0.48623834402779731</v>
      </c>
      <c r="AC1713" s="39">
        <v>0.47776479824802409</v>
      </c>
      <c r="AD1713" s="39">
        <v>0.49161963728229147</v>
      </c>
      <c r="AE1713" s="39">
        <v>0.48333386092786407</v>
      </c>
      <c r="AF1713" s="40">
        <v>0.48183286470322129</v>
      </c>
    </row>
    <row r="1714" spans="1:32">
      <c r="A1714" s="15">
        <v>1712</v>
      </c>
      <c r="B1714" s="16">
        <v>0</v>
      </c>
      <c r="C1714" s="20">
        <v>0.02</v>
      </c>
      <c r="D1714" s="20">
        <v>0.99835916395484214</v>
      </c>
      <c r="E1714" s="20">
        <v>1</v>
      </c>
      <c r="F1714" s="8" t="s">
        <v>436</v>
      </c>
      <c r="G1714" s="24">
        <v>1.1061562707680037</v>
      </c>
      <c r="H1714" s="24">
        <v>1.1125606332215117</v>
      </c>
      <c r="I1714" s="25">
        <v>1.1320178002303254</v>
      </c>
      <c r="L1714" s="15">
        <v>1712</v>
      </c>
      <c r="M1714" s="16">
        <v>1</v>
      </c>
      <c r="N1714" s="16">
        <v>2</v>
      </c>
      <c r="O1714" s="16">
        <v>8</v>
      </c>
      <c r="P1714" s="16">
        <v>148</v>
      </c>
      <c r="Q1714" s="29">
        <v>34</v>
      </c>
      <c r="R1714" s="20">
        <v>0.62360000000000004</v>
      </c>
      <c r="S1714" s="32">
        <v>21.202400000000001</v>
      </c>
      <c r="T1714" s="35">
        <v>1.75</v>
      </c>
      <c r="U1714" s="35">
        <v>1.36</v>
      </c>
      <c r="V1714" s="35">
        <v>5.1470588235294115E-2</v>
      </c>
      <c r="W1714" s="9" t="s">
        <v>153</v>
      </c>
      <c r="X1714" s="15">
        <v>1713</v>
      </c>
      <c r="Y1714" s="39">
        <v>0.48923891107078016</v>
      </c>
      <c r="Z1714" s="39">
        <v>0.49231921246796889</v>
      </c>
      <c r="AA1714" s="39">
        <v>0.48124759229991654</v>
      </c>
      <c r="AB1714" s="39">
        <v>0.48436591246534871</v>
      </c>
      <c r="AC1714" s="39">
        <v>0.4836334377659306</v>
      </c>
      <c r="AD1714" s="39">
        <v>0.48711761381879815</v>
      </c>
      <c r="AE1714" s="39">
        <v>0.47378767119412846</v>
      </c>
      <c r="AF1714" s="40">
        <v>0.48034064350643568</v>
      </c>
    </row>
    <row r="1715" spans="1:32">
      <c r="A1715" s="15">
        <v>1713</v>
      </c>
      <c r="B1715" s="16">
        <v>0</v>
      </c>
      <c r="C1715" s="20">
        <v>0.01</v>
      </c>
      <c r="D1715" s="20">
        <v>0.99999999999999978</v>
      </c>
      <c r="E1715" s="20">
        <v>1</v>
      </c>
      <c r="F1715" s="8" t="s">
        <v>436</v>
      </c>
      <c r="G1715" s="24">
        <v>1.0883833002865937</v>
      </c>
      <c r="H1715" s="24">
        <v>1.0946847617776911</v>
      </c>
      <c r="I1715" s="25">
        <v>1.1138293041926404</v>
      </c>
      <c r="L1715" s="15">
        <v>1713</v>
      </c>
      <c r="M1715" s="16">
        <v>1</v>
      </c>
      <c r="N1715" s="16">
        <v>2</v>
      </c>
      <c r="O1715" s="16">
        <v>8</v>
      </c>
      <c r="P1715" s="16">
        <v>149</v>
      </c>
      <c r="Q1715" s="29">
        <v>27</v>
      </c>
      <c r="R1715" s="20">
        <v>0.62360000000000004</v>
      </c>
      <c r="S1715" s="32">
        <v>16.837200000000003</v>
      </c>
      <c r="T1715" s="35">
        <v>0.71</v>
      </c>
      <c r="U1715" s="35">
        <v>0.22</v>
      </c>
      <c r="V1715" s="35">
        <v>2.6296296296296293E-2</v>
      </c>
      <c r="W1715" s="9" t="s">
        <v>152</v>
      </c>
      <c r="X1715" s="15">
        <v>1714</v>
      </c>
      <c r="Y1715" s="39">
        <v>0.50124888896415709</v>
      </c>
      <c r="Z1715" s="39">
        <v>0.48237811400905656</v>
      </c>
      <c r="AA1715" s="39">
        <v>0.47380804677868588</v>
      </c>
      <c r="AB1715" s="39">
        <v>0.49210630569316155</v>
      </c>
      <c r="AC1715" s="39">
        <v>0.49324187976071054</v>
      </c>
      <c r="AD1715" s="39">
        <v>0.47402029491509728</v>
      </c>
      <c r="AE1715" s="39">
        <v>0.46685971942835042</v>
      </c>
      <c r="AF1715" s="40">
        <v>0.48719351777931785</v>
      </c>
    </row>
    <row r="1716" spans="1:32">
      <c r="A1716" s="15">
        <v>1714</v>
      </c>
      <c r="B1716" s="16">
        <v>0</v>
      </c>
      <c r="C1716" s="20">
        <v>0.35</v>
      </c>
      <c r="D1716" s="20">
        <v>0.7042308142452931</v>
      </c>
      <c r="E1716" s="20">
        <v>0.43</v>
      </c>
      <c r="F1716" s="8" t="s">
        <v>436</v>
      </c>
      <c r="G1716" s="24">
        <v>0.84468294107572395</v>
      </c>
      <c r="H1716" s="24">
        <v>0.84957343969323673</v>
      </c>
      <c r="I1716" s="25">
        <v>0.86443131962244013</v>
      </c>
      <c r="L1716" s="15">
        <v>1714</v>
      </c>
      <c r="M1716" s="16">
        <v>1</v>
      </c>
      <c r="N1716" s="16">
        <v>2</v>
      </c>
      <c r="O1716" s="16">
        <v>8</v>
      </c>
      <c r="P1716" s="16">
        <v>150</v>
      </c>
      <c r="Q1716" s="29">
        <v>50</v>
      </c>
      <c r="R1716" s="20">
        <v>0.62360000000000004</v>
      </c>
      <c r="S1716" s="32">
        <v>31.180000000000003</v>
      </c>
      <c r="T1716" s="35">
        <v>2.13</v>
      </c>
      <c r="U1716" s="35">
        <v>1.51</v>
      </c>
      <c r="V1716" s="35">
        <v>4.2599999999999999E-2</v>
      </c>
      <c r="W1716" s="9" t="s">
        <v>154</v>
      </c>
      <c r="X1716" s="15">
        <v>1715</v>
      </c>
      <c r="Y1716" s="39">
        <v>0.48802097582915166</v>
      </c>
      <c r="Z1716" s="39">
        <v>0.47292254779592718</v>
      </c>
      <c r="AA1716" s="39">
        <v>0.47292729040829623</v>
      </c>
      <c r="AB1716" s="39">
        <v>0.4982266431497866</v>
      </c>
      <c r="AC1716" s="39">
        <v>0.48060232437197536</v>
      </c>
      <c r="AD1716" s="39">
        <v>0.46824351056154445</v>
      </c>
      <c r="AE1716" s="39">
        <v>0.46737443058353617</v>
      </c>
      <c r="AF1716" s="40">
        <v>0.49038560987773333</v>
      </c>
    </row>
    <row r="1717" spans="1:32">
      <c r="A1717" s="15">
        <v>1715</v>
      </c>
      <c r="B1717" s="16">
        <v>1</v>
      </c>
      <c r="C1717" s="20">
        <v>0.02</v>
      </c>
      <c r="D1717" s="20">
        <v>0.99917029198757767</v>
      </c>
      <c r="E1717" s="20">
        <v>1</v>
      </c>
      <c r="F1717" s="8" t="s">
        <v>436</v>
      </c>
      <c r="G1717" s="24">
        <v>1.0682824655709928</v>
      </c>
      <c r="H1717" s="24">
        <v>1.0744675483599677</v>
      </c>
      <c r="I1717" s="25">
        <v>1.0932585193054838</v>
      </c>
      <c r="L1717" s="15">
        <v>1715</v>
      </c>
      <c r="M1717" s="16">
        <v>1</v>
      </c>
      <c r="N1717" s="16">
        <v>2</v>
      </c>
      <c r="O1717" s="16">
        <v>8</v>
      </c>
      <c r="P1717" s="16">
        <v>151</v>
      </c>
      <c r="Q1717" s="29">
        <v>40</v>
      </c>
      <c r="R1717" s="20">
        <v>0.62360000000000004</v>
      </c>
      <c r="S1717" s="32">
        <v>24.944000000000003</v>
      </c>
      <c r="T1717" s="35">
        <v>1.25</v>
      </c>
      <c r="U1717" s="35">
        <v>0.64</v>
      </c>
      <c r="V1717" s="35">
        <v>3.125E-2</v>
      </c>
      <c r="W1717" s="9" t="s">
        <v>153</v>
      </c>
      <c r="X1717" s="15">
        <v>1716</v>
      </c>
      <c r="Y1717" s="39">
        <v>0.47367111858294475</v>
      </c>
      <c r="Z1717" s="39">
        <v>0.48281950728023254</v>
      </c>
      <c r="AA1717" s="39">
        <v>0.49359319723890144</v>
      </c>
      <c r="AB1717" s="39">
        <v>0.48550757527672078</v>
      </c>
      <c r="AC1717" s="39">
        <v>0.46770593843700831</v>
      </c>
      <c r="AD1717" s="39">
        <v>0.47571247559392754</v>
      </c>
      <c r="AE1717" s="39">
        <v>0.48487147548589199</v>
      </c>
      <c r="AF1717" s="40">
        <v>0.4797499009323884</v>
      </c>
    </row>
    <row r="1718" spans="1:32">
      <c r="A1718" s="15">
        <v>1716</v>
      </c>
      <c r="B1718" s="16">
        <v>0</v>
      </c>
      <c r="C1718" s="20">
        <v>0.02</v>
      </c>
      <c r="D1718" s="20">
        <v>0.99835916395484214</v>
      </c>
      <c r="E1718" s="20">
        <v>1</v>
      </c>
      <c r="F1718" s="8" t="s">
        <v>436</v>
      </c>
      <c r="G1718" s="24">
        <v>1.06963018418949</v>
      </c>
      <c r="H1718" s="24">
        <v>1.0758230699252511</v>
      </c>
      <c r="I1718" s="25">
        <v>1.0946377470928754</v>
      </c>
      <c r="L1718" s="15">
        <v>1716</v>
      </c>
      <c r="M1718" s="16">
        <v>1</v>
      </c>
      <c r="N1718" s="16">
        <v>2</v>
      </c>
      <c r="O1718" s="16">
        <v>8</v>
      </c>
      <c r="P1718" s="16">
        <v>152</v>
      </c>
      <c r="Q1718" s="29">
        <v>42</v>
      </c>
      <c r="R1718" s="20">
        <v>0.62360000000000004</v>
      </c>
      <c r="S1718" s="32">
        <v>26.191200000000002</v>
      </c>
      <c r="T1718" s="35">
        <v>1.37</v>
      </c>
      <c r="U1718" s="35">
        <v>0.76</v>
      </c>
      <c r="V1718" s="35">
        <v>3.2619047619047624E-2</v>
      </c>
      <c r="W1718" s="9" t="s">
        <v>153</v>
      </c>
      <c r="X1718" s="15">
        <v>1717</v>
      </c>
      <c r="Y1718" s="39">
        <v>0.49486896287156412</v>
      </c>
      <c r="Z1718" s="39">
        <v>0.49549804544920828</v>
      </c>
      <c r="AA1718" s="39">
        <v>0.48656846152506583</v>
      </c>
      <c r="AB1718" s="39">
        <v>0.49410562799286645</v>
      </c>
      <c r="AC1718" s="39">
        <v>0.49063954069794102</v>
      </c>
      <c r="AD1718" s="39">
        <v>0.48800805626710175</v>
      </c>
      <c r="AE1718" s="39">
        <v>0.48030668109258406</v>
      </c>
      <c r="AF1718" s="40">
        <v>0.49055550145644689</v>
      </c>
    </row>
    <row r="1719" spans="1:32">
      <c r="A1719" s="15">
        <v>1717</v>
      </c>
      <c r="B1719" s="16">
        <v>0</v>
      </c>
      <c r="C1719" s="20">
        <v>0.02</v>
      </c>
      <c r="D1719" s="20">
        <v>0.99917029198757767</v>
      </c>
      <c r="E1719" s="20">
        <v>1</v>
      </c>
      <c r="F1719" s="8" t="s">
        <v>436</v>
      </c>
      <c r="G1719" s="24">
        <v>1.0265543433958373</v>
      </c>
      <c r="H1719" s="24">
        <v>1.0324978310088173</v>
      </c>
      <c r="I1719" s="25">
        <v>1.0505548088797723</v>
      </c>
      <c r="L1719" s="15">
        <v>1717</v>
      </c>
      <c r="M1719" s="16">
        <v>1</v>
      </c>
      <c r="N1719" s="16">
        <v>2</v>
      </c>
      <c r="O1719" s="16">
        <v>9</v>
      </c>
      <c r="P1719" s="16">
        <v>153</v>
      </c>
      <c r="Q1719" s="29">
        <v>26</v>
      </c>
      <c r="R1719" s="20">
        <v>0.62360000000000004</v>
      </c>
      <c r="S1719" s="32">
        <v>16.2136</v>
      </c>
      <c r="T1719" s="35">
        <v>1.24</v>
      </c>
      <c r="U1719" s="35">
        <v>0.93</v>
      </c>
      <c r="V1719" s="35">
        <v>4.7692307692307694E-2</v>
      </c>
      <c r="W1719" s="9" t="s">
        <v>153</v>
      </c>
      <c r="X1719" s="15">
        <v>1718</v>
      </c>
      <c r="Y1719" s="39">
        <v>0.47913050997682194</v>
      </c>
      <c r="Z1719" s="39">
        <v>0.50673922025195484</v>
      </c>
      <c r="AA1719" s="39">
        <v>0.49550046387200453</v>
      </c>
      <c r="AB1719" s="39">
        <v>0.48514823406522312</v>
      </c>
      <c r="AC1719" s="39">
        <v>0.47309744740389159</v>
      </c>
      <c r="AD1719" s="39">
        <v>0.49726460973934122</v>
      </c>
      <c r="AE1719" s="39">
        <v>0.4873679480325061</v>
      </c>
      <c r="AF1719" s="40">
        <v>0.48215190877432945</v>
      </c>
    </row>
    <row r="1720" spans="1:32">
      <c r="A1720" s="15">
        <v>1718</v>
      </c>
      <c r="B1720" s="16">
        <v>0</v>
      </c>
      <c r="C1720" s="20">
        <v>0.31</v>
      </c>
      <c r="D1720" s="20">
        <v>0.60347632320077693</v>
      </c>
      <c r="E1720" s="20">
        <v>0.09</v>
      </c>
      <c r="F1720" s="8" t="s">
        <v>436</v>
      </c>
      <c r="G1720" s="24">
        <v>2.0539528638303426</v>
      </c>
      <c r="H1720" s="24">
        <v>2.0658447266258744</v>
      </c>
      <c r="I1720" s="25">
        <v>1.6578926537592125</v>
      </c>
      <c r="L1720" s="15">
        <v>1718</v>
      </c>
      <c r="M1720" s="16">
        <v>1</v>
      </c>
      <c r="N1720" s="16">
        <v>2</v>
      </c>
      <c r="O1720" s="16">
        <v>9</v>
      </c>
      <c r="P1720" s="16">
        <v>154</v>
      </c>
      <c r="Q1720" s="29">
        <v>39</v>
      </c>
      <c r="R1720" s="20">
        <v>0.62360000000000004</v>
      </c>
      <c r="S1720" s="32">
        <v>24.320400000000003</v>
      </c>
      <c r="T1720" s="35">
        <v>1.5</v>
      </c>
      <c r="U1720" s="35">
        <v>0.92</v>
      </c>
      <c r="V1720" s="35">
        <v>3.8461538461538464E-2</v>
      </c>
      <c r="W1720" s="9" t="s">
        <v>153</v>
      </c>
      <c r="X1720" s="15">
        <v>1719</v>
      </c>
      <c r="Y1720" s="39">
        <v>0.48367556764042924</v>
      </c>
      <c r="Z1720" s="39">
        <v>0.49829284611019914</v>
      </c>
      <c r="AA1720" s="39">
        <v>0.46941920554011329</v>
      </c>
      <c r="AB1720" s="39">
        <v>0.49931293827716883</v>
      </c>
      <c r="AC1720" s="39">
        <v>0.47541137404368555</v>
      </c>
      <c r="AD1720" s="39">
        <v>0.49387865936885283</v>
      </c>
      <c r="AE1720" s="39">
        <v>0.46386013993353498</v>
      </c>
      <c r="AF1720" s="40">
        <v>0.49792583430731469</v>
      </c>
    </row>
    <row r="1721" spans="1:32">
      <c r="A1721" s="15">
        <v>1719</v>
      </c>
      <c r="B1721" s="16">
        <v>0</v>
      </c>
      <c r="C1721" s="20">
        <v>0.19</v>
      </c>
      <c r="D1721" s="20">
        <v>0.88129832007806741</v>
      </c>
      <c r="E1721" s="20">
        <v>7.0000000000000007E-2</v>
      </c>
      <c r="F1721" s="8" t="s">
        <v>436</v>
      </c>
      <c r="G1721" s="24">
        <v>1.2234984165997604</v>
      </c>
      <c r="H1721" s="24">
        <v>1.2305821601252187</v>
      </c>
      <c r="I1721" s="25">
        <v>1.2521033625591862</v>
      </c>
      <c r="L1721" s="15">
        <v>1719</v>
      </c>
      <c r="M1721" s="16">
        <v>1</v>
      </c>
      <c r="N1721" s="16">
        <v>2</v>
      </c>
      <c r="O1721" s="16">
        <v>9</v>
      </c>
      <c r="P1721" s="16">
        <v>155</v>
      </c>
      <c r="Q1721" s="29">
        <v>35</v>
      </c>
      <c r="R1721" s="20">
        <v>0.62360000000000004</v>
      </c>
      <c r="S1721" s="32">
        <v>21.826000000000001</v>
      </c>
      <c r="T1721" s="35">
        <v>0.85</v>
      </c>
      <c r="U1721" s="35">
        <v>0.49</v>
      </c>
      <c r="V1721" s="35">
        <v>2.4285714285714285E-2</v>
      </c>
      <c r="W1721" s="9" t="s">
        <v>152</v>
      </c>
      <c r="X1721" s="15">
        <v>1720</v>
      </c>
      <c r="Y1721" s="39">
        <v>0.47355704017151234</v>
      </c>
      <c r="Z1721" s="39">
        <v>0.48132783069564122</v>
      </c>
      <c r="AA1721" s="39">
        <v>0.50244974773350526</v>
      </c>
      <c r="AB1721" s="39">
        <v>0.48089748802758026</v>
      </c>
      <c r="AC1721" s="39">
        <v>0.46686013308269242</v>
      </c>
      <c r="AD1721" s="39">
        <v>0.47244440184127617</v>
      </c>
      <c r="AE1721" s="39">
        <v>0.49485290318940955</v>
      </c>
      <c r="AF1721" s="40">
        <v>0.47585581714749997</v>
      </c>
    </row>
    <row r="1722" spans="1:32">
      <c r="A1722" s="15">
        <v>1720</v>
      </c>
      <c r="B1722" s="16">
        <v>0</v>
      </c>
      <c r="C1722" s="20">
        <v>0.02</v>
      </c>
      <c r="D1722" s="20">
        <v>0.99756714174924133</v>
      </c>
      <c r="E1722" s="20">
        <v>1</v>
      </c>
      <c r="F1722" s="8" t="s">
        <v>436</v>
      </c>
      <c r="G1722" s="24">
        <v>1.0637809930792244</v>
      </c>
      <c r="H1722" s="24">
        <v>1.0699400134915047</v>
      </c>
      <c r="I1722" s="25">
        <v>1.0886518040315281</v>
      </c>
      <c r="L1722" s="15">
        <v>1720</v>
      </c>
      <c r="M1722" s="16">
        <v>1</v>
      </c>
      <c r="N1722" s="16">
        <v>2</v>
      </c>
      <c r="O1722" s="16">
        <v>9</v>
      </c>
      <c r="P1722" s="16">
        <v>156</v>
      </c>
      <c r="Q1722" s="29">
        <v>29</v>
      </c>
      <c r="R1722" s="20">
        <v>0.62360000000000004</v>
      </c>
      <c r="S1722" s="32">
        <v>18.084400000000002</v>
      </c>
      <c r="T1722" s="35">
        <v>1.05</v>
      </c>
      <c r="U1722" s="35">
        <v>0.55000000000000004</v>
      </c>
      <c r="V1722" s="35">
        <v>3.6206896551724141E-2</v>
      </c>
      <c r="W1722" s="9" t="s">
        <v>153</v>
      </c>
      <c r="X1722" s="15">
        <v>1721</v>
      </c>
      <c r="Y1722" s="39">
        <v>0.48858653617297076</v>
      </c>
      <c r="Z1722" s="39">
        <v>0.4822182359013506</v>
      </c>
      <c r="AA1722" s="39">
        <v>0.48654642259896358</v>
      </c>
      <c r="AB1722" s="39">
        <v>0.47031222229549124</v>
      </c>
      <c r="AC1722" s="39">
        <v>0.48218173500198441</v>
      </c>
      <c r="AD1722" s="39">
        <v>0.47460470237004548</v>
      </c>
      <c r="AE1722" s="39">
        <v>0.47826270862932974</v>
      </c>
      <c r="AF1722" s="40">
        <v>0.46719733152480858</v>
      </c>
    </row>
    <row r="1723" spans="1:32">
      <c r="A1723" s="15">
        <v>1721</v>
      </c>
      <c r="B1723" s="16">
        <v>0</v>
      </c>
      <c r="C1723" s="20">
        <v>0.47</v>
      </c>
      <c r="D1723" s="20">
        <v>0.47789620872611344</v>
      </c>
      <c r="E1723" s="20">
        <v>0.11</v>
      </c>
      <c r="F1723" s="8" t="s">
        <v>436</v>
      </c>
      <c r="G1723" s="24">
        <v>0.97717399388170489</v>
      </c>
      <c r="H1723" s="24">
        <v>0.98283158187568276</v>
      </c>
      <c r="I1723" s="25">
        <v>1.0000199648357371</v>
      </c>
      <c r="L1723" s="15">
        <v>1721</v>
      </c>
      <c r="M1723" s="16">
        <v>1</v>
      </c>
      <c r="N1723" s="16">
        <v>2</v>
      </c>
      <c r="O1723" s="16">
        <v>9</v>
      </c>
      <c r="P1723" s="16">
        <v>157</v>
      </c>
      <c r="Q1723" s="29">
        <v>40</v>
      </c>
      <c r="R1723" s="20">
        <v>0.62360000000000004</v>
      </c>
      <c r="S1723" s="32">
        <v>24.944000000000003</v>
      </c>
      <c r="T1723" s="35">
        <v>1.6199999999999999</v>
      </c>
      <c r="U1723" s="35">
        <v>1.04</v>
      </c>
      <c r="V1723" s="35">
        <v>4.0499999999999994E-2</v>
      </c>
      <c r="W1723" s="9" t="s">
        <v>153</v>
      </c>
      <c r="X1723" s="15">
        <v>1722</v>
      </c>
      <c r="Y1723" s="39">
        <v>0.49409621549919913</v>
      </c>
      <c r="Z1723" s="39">
        <v>0.49216581823081873</v>
      </c>
      <c r="AA1723" s="39">
        <v>0.47274487560690726</v>
      </c>
      <c r="AB1723" s="39">
        <v>0.4882656368360071</v>
      </c>
      <c r="AC1723" s="39">
        <v>0.48685771374586062</v>
      </c>
      <c r="AD1723" s="39">
        <v>0.48707892153349674</v>
      </c>
      <c r="AE1723" s="39">
        <v>0.46679781445825108</v>
      </c>
      <c r="AF1723" s="40">
        <v>0.48423323947720043</v>
      </c>
    </row>
    <row r="1724" spans="1:32">
      <c r="A1724" s="15">
        <v>1722</v>
      </c>
      <c r="B1724" s="16">
        <v>0</v>
      </c>
      <c r="C1724" s="20">
        <v>0.16</v>
      </c>
      <c r="D1724" s="20">
        <v>0.86149854539735615</v>
      </c>
      <c r="E1724" s="20">
        <v>7.0000000000000007E-2</v>
      </c>
      <c r="F1724" s="8" t="s">
        <v>436</v>
      </c>
      <c r="G1724" s="24">
        <v>0.59993611256201262</v>
      </c>
      <c r="H1724" s="24">
        <v>0.60340958951579604</v>
      </c>
      <c r="I1724" s="25">
        <v>0.61396239967943866</v>
      </c>
      <c r="L1724" s="15">
        <v>1722</v>
      </c>
      <c r="M1724" s="16">
        <v>1</v>
      </c>
      <c r="N1724" s="16">
        <v>2</v>
      </c>
      <c r="O1724" s="16">
        <v>9</v>
      </c>
      <c r="P1724" s="16">
        <v>158</v>
      </c>
      <c r="Q1724" s="29">
        <v>24</v>
      </c>
      <c r="R1724" s="20">
        <v>0.62360000000000004</v>
      </c>
      <c r="S1724" s="32">
        <v>14.9664</v>
      </c>
      <c r="T1724" s="35">
        <v>0.43</v>
      </c>
      <c r="U1724" s="35">
        <v>0.04</v>
      </c>
      <c r="V1724" s="35">
        <v>1.7916666666666668E-2</v>
      </c>
      <c r="W1724" s="9" t="s">
        <v>152</v>
      </c>
      <c r="X1724" s="15">
        <v>1723</v>
      </c>
      <c r="Y1724" s="39">
        <v>0.49504043332843345</v>
      </c>
      <c r="Z1724" s="39">
        <v>0.48949604058258905</v>
      </c>
      <c r="AA1724" s="39">
        <v>0.49357484925797779</v>
      </c>
      <c r="AB1724" s="39">
        <v>0.48373652743994699</v>
      </c>
      <c r="AC1724" s="39">
        <v>0.48916196892190567</v>
      </c>
      <c r="AD1724" s="39">
        <v>0.4819260730601273</v>
      </c>
      <c r="AE1724" s="39">
        <v>0.48448351238091719</v>
      </c>
      <c r="AF1724" s="40">
        <v>0.48025728675523088</v>
      </c>
    </row>
    <row r="1725" spans="1:32">
      <c r="A1725" s="15">
        <v>1723</v>
      </c>
      <c r="B1725" s="16">
        <v>1</v>
      </c>
      <c r="C1725" s="20">
        <v>0.24</v>
      </c>
      <c r="D1725" s="20">
        <v>0.81381773897253695</v>
      </c>
      <c r="E1725" s="20">
        <v>0.06</v>
      </c>
      <c r="F1725" s="8" t="s">
        <v>436</v>
      </c>
      <c r="G1725" s="24">
        <v>1.1327928232497753</v>
      </c>
      <c r="H1725" s="24">
        <v>1.1393514045429836</v>
      </c>
      <c r="I1725" s="25">
        <v>1.1592771055771183</v>
      </c>
      <c r="L1725" s="15">
        <v>1723</v>
      </c>
      <c r="M1725" s="16">
        <v>1</v>
      </c>
      <c r="N1725" s="16">
        <v>2</v>
      </c>
      <c r="O1725" s="16">
        <v>9</v>
      </c>
      <c r="P1725" s="16">
        <v>159</v>
      </c>
      <c r="Q1725" s="29">
        <v>23</v>
      </c>
      <c r="R1725" s="20">
        <v>0.62360000000000004</v>
      </c>
      <c r="S1725" s="32">
        <v>14.3428</v>
      </c>
      <c r="T1725" s="35">
        <v>1.48</v>
      </c>
      <c r="U1725" s="35">
        <v>1.1399999999999999</v>
      </c>
      <c r="V1725" s="35">
        <v>6.4347826086956522E-2</v>
      </c>
      <c r="W1725" s="9" t="s">
        <v>153</v>
      </c>
      <c r="X1725" s="15">
        <v>1724</v>
      </c>
      <c r="Y1725" s="39">
        <v>0.49800848471720016</v>
      </c>
      <c r="Z1725" s="39">
        <v>0.46383866797523166</v>
      </c>
      <c r="AA1725" s="39">
        <v>0.48625371072596713</v>
      </c>
      <c r="AB1725" s="39">
        <v>0.49241904663086494</v>
      </c>
      <c r="AC1725" s="39">
        <v>0.49115863141035698</v>
      </c>
      <c r="AD1725" s="39">
        <v>0.4589652476552481</v>
      </c>
      <c r="AE1725" s="39">
        <v>0.47990747261565031</v>
      </c>
      <c r="AF1725" s="40">
        <v>0.48897999255873181</v>
      </c>
    </row>
    <row r="1726" spans="1:32">
      <c r="A1726" s="15">
        <v>1724</v>
      </c>
      <c r="B1726" s="16">
        <v>1</v>
      </c>
      <c r="C1726" s="20">
        <v>0.06</v>
      </c>
      <c r="D1726" s="20">
        <v>0.94204699302471762</v>
      </c>
      <c r="E1726" s="20">
        <v>0.39</v>
      </c>
      <c r="F1726" s="8" t="s">
        <v>436</v>
      </c>
      <c r="G1726" s="24">
        <v>0.94155956761442783</v>
      </c>
      <c r="H1726" s="24">
        <v>0.94701095717115324</v>
      </c>
      <c r="I1726" s="25">
        <v>0.96357288629451365</v>
      </c>
      <c r="L1726" s="15">
        <v>1724</v>
      </c>
      <c r="M1726" s="16">
        <v>1</v>
      </c>
      <c r="N1726" s="16">
        <v>2</v>
      </c>
      <c r="O1726" s="16">
        <v>9</v>
      </c>
      <c r="P1726" s="16">
        <v>160</v>
      </c>
      <c r="Q1726" s="29">
        <v>37</v>
      </c>
      <c r="R1726" s="20">
        <v>0.62360000000000004</v>
      </c>
      <c r="S1726" s="32">
        <v>23.0732</v>
      </c>
      <c r="T1726" s="35">
        <v>0.92</v>
      </c>
      <c r="U1726" s="35">
        <v>0.39</v>
      </c>
      <c r="V1726" s="35">
        <v>2.4864864864864868E-2</v>
      </c>
      <c r="W1726" s="9" t="s">
        <v>152</v>
      </c>
      <c r="X1726" s="15">
        <v>1725</v>
      </c>
      <c r="Y1726" s="39">
        <v>0.47938100305062964</v>
      </c>
      <c r="Z1726" s="39">
        <v>0.47206063836745077</v>
      </c>
      <c r="AA1726" s="39">
        <v>0.48797113210535448</v>
      </c>
      <c r="AB1726" s="39">
        <v>0.48996744757295879</v>
      </c>
      <c r="AC1726" s="39">
        <v>0.46993157184036927</v>
      </c>
      <c r="AD1726" s="39">
        <v>0.46527613948490137</v>
      </c>
      <c r="AE1726" s="39">
        <v>0.48286485327987627</v>
      </c>
      <c r="AF1726" s="40">
        <v>0.48406525506361742</v>
      </c>
    </row>
    <row r="1727" spans="1:32">
      <c r="A1727" s="15">
        <v>1725</v>
      </c>
      <c r="B1727" s="16">
        <v>0</v>
      </c>
      <c r="C1727" s="20">
        <v>0.09</v>
      </c>
      <c r="D1727" s="20">
        <v>0.92768124380896333</v>
      </c>
      <c r="E1727" s="20">
        <v>0.4</v>
      </c>
      <c r="F1727" s="8" t="s">
        <v>436</v>
      </c>
      <c r="G1727" s="24">
        <v>1.0390334351591273</v>
      </c>
      <c r="H1727" s="24">
        <v>1.0450491735280401</v>
      </c>
      <c r="I1727" s="25">
        <v>1.0633256572490934</v>
      </c>
      <c r="L1727" s="15">
        <v>1725</v>
      </c>
      <c r="M1727" s="16">
        <v>1</v>
      </c>
      <c r="N1727" s="16">
        <v>2</v>
      </c>
      <c r="O1727" s="16">
        <v>9</v>
      </c>
      <c r="P1727" s="16">
        <v>161</v>
      </c>
      <c r="Q1727" s="29">
        <v>30</v>
      </c>
      <c r="R1727" s="20">
        <v>0.62360000000000004</v>
      </c>
      <c r="S1727" s="32">
        <v>18.708000000000002</v>
      </c>
      <c r="T1727" s="35">
        <v>1.03</v>
      </c>
      <c r="U1727" s="35">
        <v>0.65</v>
      </c>
      <c r="V1727" s="35">
        <v>3.4333333333333334E-2</v>
      </c>
      <c r="W1727" s="9" t="s">
        <v>153</v>
      </c>
      <c r="X1727" s="15">
        <v>1726</v>
      </c>
      <c r="Y1727" s="39">
        <v>0.49156058766679461</v>
      </c>
      <c r="Z1727" s="39">
        <v>0.48633182818614007</v>
      </c>
      <c r="AA1727" s="39">
        <v>0.47545730896161725</v>
      </c>
      <c r="AB1727" s="39">
        <v>0.47872315977475494</v>
      </c>
      <c r="AC1727" s="39">
        <v>0.48449094965278638</v>
      </c>
      <c r="AD1727" s="39">
        <v>0.47968751881210769</v>
      </c>
      <c r="AE1727" s="39">
        <v>0.46941220004325446</v>
      </c>
      <c r="AF1727" s="40">
        <v>0.47540452234417374</v>
      </c>
    </row>
    <row r="1728" spans="1:32">
      <c r="A1728" s="15">
        <v>1726</v>
      </c>
      <c r="B1728" s="16">
        <v>0</v>
      </c>
      <c r="C1728" s="20">
        <v>0.22</v>
      </c>
      <c r="D1728" s="20">
        <v>0.75077033240242752</v>
      </c>
      <c r="E1728" s="20">
        <v>0.11</v>
      </c>
      <c r="F1728" s="8" t="s">
        <v>436</v>
      </c>
      <c r="G1728" s="24">
        <v>0.66391320929163655</v>
      </c>
      <c r="H1728" s="24">
        <v>0.66775709730487653</v>
      </c>
      <c r="I1728" s="25">
        <v>0.67943525755575684</v>
      </c>
      <c r="L1728" s="15">
        <v>1726</v>
      </c>
      <c r="M1728" s="16">
        <v>1</v>
      </c>
      <c r="N1728" s="16">
        <v>2</v>
      </c>
      <c r="O1728" s="16">
        <v>9</v>
      </c>
      <c r="P1728" s="16">
        <v>162</v>
      </c>
      <c r="Q1728" s="29">
        <v>30</v>
      </c>
      <c r="R1728" s="20">
        <v>0.62360000000000004</v>
      </c>
      <c r="S1728" s="32">
        <v>18.708000000000002</v>
      </c>
      <c r="T1728" s="35">
        <v>0.78</v>
      </c>
      <c r="U1728" s="35">
        <v>0.23</v>
      </c>
      <c r="V1728" s="35">
        <v>2.6000000000000002E-2</v>
      </c>
      <c r="W1728" s="9" t="s">
        <v>152</v>
      </c>
      <c r="X1728" s="15">
        <v>1727</v>
      </c>
      <c r="Y1728" s="39">
        <v>0.49235590647956201</v>
      </c>
      <c r="Z1728" s="39">
        <v>0.46513547789743809</v>
      </c>
      <c r="AA1728" s="39">
        <v>0.48957958741522306</v>
      </c>
      <c r="AB1728" s="39">
        <v>0.49241154776324164</v>
      </c>
      <c r="AC1728" s="39">
        <v>0.48435455469920313</v>
      </c>
      <c r="AD1728" s="39">
        <v>0.45888493017068299</v>
      </c>
      <c r="AE1728" s="39">
        <v>0.48192985423953838</v>
      </c>
      <c r="AF1728" s="40">
        <v>0.48654419389178422</v>
      </c>
    </row>
    <row r="1729" spans="1:32">
      <c r="A1729" s="15">
        <v>1727</v>
      </c>
      <c r="B1729" s="16">
        <v>0</v>
      </c>
      <c r="C1729" s="20">
        <v>0.17</v>
      </c>
      <c r="D1729" s="20">
        <v>0.87859975613422436</v>
      </c>
      <c r="E1729" s="20">
        <v>0.12</v>
      </c>
      <c r="F1729" s="8" t="s">
        <v>436</v>
      </c>
      <c r="G1729" s="24">
        <v>1.0347212838675854</v>
      </c>
      <c r="H1729" s="24">
        <v>1.0407120559812273</v>
      </c>
      <c r="I1729" s="25">
        <v>1.0589126894358545</v>
      </c>
      <c r="L1729" s="15">
        <v>1727</v>
      </c>
      <c r="M1729" s="16">
        <v>1</v>
      </c>
      <c r="N1729" s="16">
        <v>2</v>
      </c>
      <c r="O1729" s="16">
        <v>9</v>
      </c>
      <c r="P1729" s="16">
        <v>163</v>
      </c>
      <c r="Q1729" s="29">
        <v>35</v>
      </c>
      <c r="R1729" s="20">
        <v>0.62360000000000004</v>
      </c>
      <c r="S1729" s="32">
        <v>21.826000000000001</v>
      </c>
      <c r="T1729" s="35">
        <v>1.73</v>
      </c>
      <c r="U1729" s="35">
        <v>1.0900000000000001</v>
      </c>
      <c r="V1729" s="35">
        <v>4.9428571428571426E-2</v>
      </c>
      <c r="W1729" s="9" t="s">
        <v>153</v>
      </c>
      <c r="X1729" s="15">
        <v>1728</v>
      </c>
      <c r="Y1729" s="39">
        <v>0.48694946561749058</v>
      </c>
      <c r="Z1729" s="39">
        <v>0.48823159052126808</v>
      </c>
      <c r="AA1729" s="39">
        <v>0.48454437549594487</v>
      </c>
      <c r="AB1729" s="39">
        <v>0.48332049471625238</v>
      </c>
      <c r="AC1729" s="39">
        <v>0.47920476793291694</v>
      </c>
      <c r="AD1729" s="39">
        <v>0.48278565970672099</v>
      </c>
      <c r="AE1729" s="39">
        <v>0.48027037687931334</v>
      </c>
      <c r="AF1729" s="40">
        <v>0.47730140903962326</v>
      </c>
    </row>
    <row r="1730" spans="1:32">
      <c r="A1730" s="15">
        <v>1728</v>
      </c>
      <c r="B1730" s="16">
        <v>0</v>
      </c>
      <c r="C1730" s="20">
        <v>0.96</v>
      </c>
      <c r="D1730" s="20">
        <v>0.13880369068795359</v>
      </c>
      <c r="E1730" s="20">
        <v>0.04</v>
      </c>
      <c r="F1730" s="8" t="s">
        <v>434</v>
      </c>
      <c r="G1730" s="24">
        <v>1.0763033438236258</v>
      </c>
      <c r="H1730" s="24">
        <v>1.0825348654502973</v>
      </c>
      <c r="I1730" s="25">
        <v>1.1014669227611338</v>
      </c>
      <c r="L1730" s="15">
        <v>1728</v>
      </c>
      <c r="M1730" s="16">
        <v>1</v>
      </c>
      <c r="N1730" s="16">
        <v>2</v>
      </c>
      <c r="O1730" s="16">
        <v>9</v>
      </c>
      <c r="P1730" s="16">
        <v>164</v>
      </c>
      <c r="Q1730" s="29">
        <v>31</v>
      </c>
      <c r="R1730" s="20">
        <v>0.62360000000000004</v>
      </c>
      <c r="S1730" s="32">
        <v>19.331600000000002</v>
      </c>
      <c r="T1730" s="35">
        <v>0.53</v>
      </c>
      <c r="U1730" s="35">
        <v>0.14000000000000001</v>
      </c>
      <c r="V1730" s="35">
        <v>1.7096774193548388E-2</v>
      </c>
      <c r="W1730" s="9" t="s">
        <v>152</v>
      </c>
      <c r="X1730" s="15">
        <v>1729</v>
      </c>
      <c r="Y1730" s="39">
        <v>0.4859639980998246</v>
      </c>
      <c r="Z1730" s="39">
        <v>0.47861088326413981</v>
      </c>
      <c r="AA1730" s="39">
        <v>0.49147795636677644</v>
      </c>
      <c r="AB1730" s="39">
        <v>0.48792571615341457</v>
      </c>
      <c r="AC1730" s="39">
        <v>0.47908711959238576</v>
      </c>
      <c r="AD1730" s="39">
        <v>0.47180348768087454</v>
      </c>
      <c r="AE1730" s="39">
        <v>0.48517419872521533</v>
      </c>
      <c r="AF1730" s="40">
        <v>0.48329333995763951</v>
      </c>
    </row>
    <row r="1731" spans="1:32">
      <c r="A1731" s="15">
        <v>1729</v>
      </c>
      <c r="B1731" s="16">
        <v>1</v>
      </c>
      <c r="C1731" s="20">
        <v>0.02</v>
      </c>
      <c r="D1731" s="20">
        <v>0.99531127541355291</v>
      </c>
      <c r="E1731" s="20">
        <v>1</v>
      </c>
      <c r="F1731" s="8" t="s">
        <v>436</v>
      </c>
      <c r="G1731" s="24">
        <v>1.0683182389829657</v>
      </c>
      <c r="H1731" s="24">
        <v>1.0745035288908644</v>
      </c>
      <c r="I1731" s="25">
        <v>1.0932951290867585</v>
      </c>
      <c r="L1731" s="15">
        <v>1729</v>
      </c>
      <c r="M1731" s="16">
        <v>1</v>
      </c>
      <c r="N1731" s="16">
        <v>2</v>
      </c>
      <c r="O1731" s="16">
        <v>9</v>
      </c>
      <c r="P1731" s="16">
        <v>165</v>
      </c>
      <c r="Q1731" s="29">
        <v>37</v>
      </c>
      <c r="R1731" s="20">
        <v>0.62360000000000004</v>
      </c>
      <c r="S1731" s="32">
        <v>23.0732</v>
      </c>
      <c r="T1731" s="35">
        <v>1.54</v>
      </c>
      <c r="U1731" s="35">
        <v>1.04</v>
      </c>
      <c r="V1731" s="35">
        <v>4.162162162162162E-2</v>
      </c>
      <c r="W1731" s="9" t="s">
        <v>153</v>
      </c>
      <c r="X1731" s="15">
        <v>1730</v>
      </c>
      <c r="Y1731" s="39">
        <v>0.47494785741423917</v>
      </c>
      <c r="Z1731" s="39">
        <v>0.4901130795651093</v>
      </c>
      <c r="AA1731" s="39">
        <v>0.47512777962761371</v>
      </c>
      <c r="AB1731" s="39">
        <v>0.4683518301076145</v>
      </c>
      <c r="AC1731" s="39">
        <v>0.46848754385885716</v>
      </c>
      <c r="AD1731" s="39">
        <v>0.48287405336942041</v>
      </c>
      <c r="AE1731" s="39">
        <v>0.47314942210561994</v>
      </c>
      <c r="AF1731" s="40">
        <v>0.46444593296748138</v>
      </c>
    </row>
    <row r="1732" spans="1:32">
      <c r="A1732" s="15">
        <v>1730</v>
      </c>
      <c r="B1732" s="16">
        <v>0</v>
      </c>
      <c r="C1732" s="20">
        <v>0.96</v>
      </c>
      <c r="D1732" s="20">
        <v>0.13880369068795359</v>
      </c>
      <c r="E1732" s="20">
        <v>0.04</v>
      </c>
      <c r="F1732" s="8" t="s">
        <v>434</v>
      </c>
      <c r="G1732" s="24">
        <v>1.178103988990697</v>
      </c>
      <c r="H1732" s="24">
        <v>1.1849249103675485</v>
      </c>
      <c r="I1732" s="25">
        <v>1.2056476298180532</v>
      </c>
      <c r="L1732" s="15">
        <v>1730</v>
      </c>
      <c r="M1732" s="16">
        <v>1</v>
      </c>
      <c r="N1732" s="16">
        <v>2</v>
      </c>
      <c r="O1732" s="16">
        <v>9</v>
      </c>
      <c r="P1732" s="16">
        <v>166</v>
      </c>
      <c r="Q1732" s="29">
        <v>49</v>
      </c>
      <c r="R1732" s="20">
        <v>0.62360000000000004</v>
      </c>
      <c r="S1732" s="32">
        <v>30.556400000000004</v>
      </c>
      <c r="T1732" s="35">
        <v>1.6</v>
      </c>
      <c r="U1732" s="35">
        <v>0.73</v>
      </c>
      <c r="V1732" s="35">
        <v>3.2653061224489799E-2</v>
      </c>
      <c r="W1732" s="9" t="s">
        <v>153</v>
      </c>
      <c r="X1732" s="15">
        <v>1731</v>
      </c>
      <c r="Y1732" s="39">
        <v>0.47935784234200218</v>
      </c>
      <c r="Z1732" s="39">
        <v>0.48190327408083883</v>
      </c>
      <c r="AA1732" s="39">
        <v>0.48382432311007645</v>
      </c>
      <c r="AB1732" s="39">
        <v>0.49563963702646252</v>
      </c>
      <c r="AC1732" s="39">
        <v>0.47501625581864948</v>
      </c>
      <c r="AD1732" s="39">
        <v>0.47292865563464803</v>
      </c>
      <c r="AE1732" s="39">
        <v>0.47638985380213927</v>
      </c>
      <c r="AF1732" s="40">
        <v>0.49171566323098415</v>
      </c>
    </row>
    <row r="1733" spans="1:32">
      <c r="A1733" s="15">
        <v>1731</v>
      </c>
      <c r="B1733" s="16">
        <v>1</v>
      </c>
      <c r="C1733" s="20">
        <v>0.03</v>
      </c>
      <c r="D1733" s="20">
        <v>0.9948936026028764</v>
      </c>
      <c r="E1733" s="20">
        <v>1</v>
      </c>
      <c r="F1733" s="8" t="s">
        <v>436</v>
      </c>
      <c r="G1733" s="24">
        <v>1.0679333570198988</v>
      </c>
      <c r="H1733" s="24">
        <v>1.0741164185594752</v>
      </c>
      <c r="I1733" s="25">
        <v>1.0929012487240166</v>
      </c>
      <c r="L1733" s="15">
        <v>1731</v>
      </c>
      <c r="M1733" s="16">
        <v>1</v>
      </c>
      <c r="N1733" s="16">
        <v>2</v>
      </c>
      <c r="O1733" s="16">
        <v>9</v>
      </c>
      <c r="P1733" s="16">
        <v>167</v>
      </c>
      <c r="Q1733" s="29">
        <v>37</v>
      </c>
      <c r="R1733" s="20">
        <v>0.62360000000000004</v>
      </c>
      <c r="S1733" s="32">
        <v>23.0732</v>
      </c>
      <c r="T1733" s="35">
        <v>3.17</v>
      </c>
      <c r="U1733" s="35">
        <v>2.64</v>
      </c>
      <c r="V1733" s="35">
        <v>8.5675675675675675E-2</v>
      </c>
      <c r="W1733" s="9" t="s">
        <v>155</v>
      </c>
      <c r="X1733" s="15">
        <v>1732</v>
      </c>
      <c r="Y1733" s="39">
        <v>0.48730425285650064</v>
      </c>
      <c r="Z1733" s="39">
        <v>0.48450125738070199</v>
      </c>
      <c r="AA1733" s="39">
        <v>0.49101892468193525</v>
      </c>
      <c r="AB1733" s="39">
        <v>0.49605060140999452</v>
      </c>
      <c r="AC1733" s="39">
        <v>0.48153786540890625</v>
      </c>
      <c r="AD1733" s="39">
        <v>0.47903475160877557</v>
      </c>
      <c r="AE1733" s="39">
        <v>0.48052102639876743</v>
      </c>
      <c r="AF1733" s="40">
        <v>0.49128770534306132</v>
      </c>
    </row>
    <row r="1734" spans="1:32">
      <c r="A1734" s="15">
        <v>1732</v>
      </c>
      <c r="B1734" s="16">
        <v>1</v>
      </c>
      <c r="C1734" s="20">
        <v>0.02</v>
      </c>
      <c r="D1734" s="20">
        <v>0.99756714174924133</v>
      </c>
      <c r="E1734" s="20">
        <v>1</v>
      </c>
      <c r="F1734" s="8" t="s">
        <v>436</v>
      </c>
      <c r="G1734" s="24">
        <v>1.5874668759586599</v>
      </c>
      <c r="H1734" s="24">
        <v>1.5966579039582738</v>
      </c>
      <c r="I1734" s="25">
        <v>1.6245812715174002</v>
      </c>
      <c r="L1734" s="15">
        <v>1732</v>
      </c>
      <c r="M1734" s="16">
        <v>1</v>
      </c>
      <c r="N1734" s="16">
        <v>2</v>
      </c>
      <c r="O1734" s="16">
        <v>9</v>
      </c>
      <c r="P1734" s="16">
        <v>168</v>
      </c>
      <c r="Q1734" s="29">
        <v>30</v>
      </c>
      <c r="R1734" s="20">
        <v>0.62360000000000004</v>
      </c>
      <c r="S1734" s="32">
        <v>18.708000000000002</v>
      </c>
      <c r="T1734" s="35">
        <v>2.06</v>
      </c>
      <c r="U1734" s="35">
        <v>1.68</v>
      </c>
      <c r="V1734" s="35">
        <v>6.8666666666666668E-2</v>
      </c>
      <c r="W1734" s="9" t="s">
        <v>154</v>
      </c>
      <c r="X1734" s="15">
        <v>1733</v>
      </c>
      <c r="Y1734" s="39">
        <v>0.48747117933748968</v>
      </c>
      <c r="Z1734" s="39">
        <v>0.48462190771760921</v>
      </c>
      <c r="AA1734" s="39">
        <v>0.48563338001495776</v>
      </c>
      <c r="AB1734" s="39">
        <v>0.48518045097969359</v>
      </c>
      <c r="AC1734" s="39">
        <v>0.47876524574706641</v>
      </c>
      <c r="AD1734" s="39">
        <v>0.47716705510638069</v>
      </c>
      <c r="AE1734" s="39">
        <v>0.48008292656565921</v>
      </c>
      <c r="AF1734" s="40">
        <v>0.48009861343986143</v>
      </c>
    </row>
    <row r="1735" spans="1:32">
      <c r="A1735" s="15">
        <v>1733</v>
      </c>
      <c r="B1735" s="16">
        <v>0</v>
      </c>
      <c r="C1735" s="20">
        <v>0.13</v>
      </c>
      <c r="D1735" s="20">
        <v>0.90238667960204877</v>
      </c>
      <c r="E1735" s="20">
        <v>7.0000000000000007E-2</v>
      </c>
      <c r="F1735" s="8" t="s">
        <v>436</v>
      </c>
      <c r="G1735" s="24">
        <v>0.91361913207307377</v>
      </c>
      <c r="H1735" s="24">
        <v>0.91890875364000923</v>
      </c>
      <c r="I1735" s="25">
        <v>0.93497921357859559</v>
      </c>
      <c r="L1735" s="15">
        <v>1733</v>
      </c>
      <c r="M1735" s="16">
        <v>1</v>
      </c>
      <c r="N1735" s="16">
        <v>2</v>
      </c>
      <c r="O1735" s="16">
        <v>9</v>
      </c>
      <c r="P1735" s="16">
        <v>169</v>
      </c>
      <c r="Q1735" s="29">
        <v>30</v>
      </c>
      <c r="R1735" s="20">
        <v>0.62360000000000004</v>
      </c>
      <c r="S1735" s="32">
        <v>18.708000000000002</v>
      </c>
      <c r="T1735" s="35">
        <v>2.02</v>
      </c>
      <c r="U1735" s="35">
        <v>1.63</v>
      </c>
      <c r="V1735" s="35">
        <v>6.7333333333333328E-2</v>
      </c>
      <c r="W1735" s="9" t="s">
        <v>154</v>
      </c>
      <c r="X1735" s="15">
        <v>1734</v>
      </c>
      <c r="Y1735" s="39">
        <v>0.4860096568285997</v>
      </c>
      <c r="Z1735" s="39">
        <v>0.48428530339084991</v>
      </c>
      <c r="AA1735" s="39">
        <v>0.48313322372766609</v>
      </c>
      <c r="AB1735" s="39">
        <v>0.49144983739305109</v>
      </c>
      <c r="AC1735" s="39">
        <v>0.47801346327977279</v>
      </c>
      <c r="AD1735" s="39">
        <v>0.47898607612756439</v>
      </c>
      <c r="AE1735" s="39">
        <v>0.47542026750154992</v>
      </c>
      <c r="AF1735" s="40">
        <v>0.48501437597806724</v>
      </c>
    </row>
    <row r="1736" spans="1:32">
      <c r="A1736" s="15">
        <v>1734</v>
      </c>
      <c r="B1736" s="16">
        <v>0</v>
      </c>
      <c r="C1736" s="20">
        <v>0.94</v>
      </c>
      <c r="D1736" s="20">
        <v>0.17188516685452584</v>
      </c>
      <c r="E1736" s="20">
        <v>0.06</v>
      </c>
      <c r="F1736" s="8" t="s">
        <v>434</v>
      </c>
      <c r="G1736" s="24">
        <v>0.58795694617506267</v>
      </c>
      <c r="H1736" s="24">
        <v>0.59136106681323286</v>
      </c>
      <c r="I1736" s="25">
        <v>0.60170316475910224</v>
      </c>
      <c r="L1736" s="15">
        <v>1734</v>
      </c>
      <c r="M1736" s="16">
        <v>1</v>
      </c>
      <c r="N1736" s="16">
        <v>2</v>
      </c>
      <c r="O1736" s="16">
        <v>9</v>
      </c>
      <c r="P1736" s="16">
        <v>170</v>
      </c>
      <c r="Q1736" s="29">
        <v>33</v>
      </c>
      <c r="R1736" s="20">
        <v>0.62360000000000004</v>
      </c>
      <c r="S1736" s="32">
        <v>20.578800000000001</v>
      </c>
      <c r="T1736" s="35">
        <v>0.94</v>
      </c>
      <c r="U1736" s="35">
        <v>0.53</v>
      </c>
      <c r="V1736" s="35">
        <v>2.8484848484848484E-2</v>
      </c>
      <c r="W1736" s="9" t="s">
        <v>152</v>
      </c>
      <c r="X1736" s="15">
        <v>1735</v>
      </c>
      <c r="Y1736" s="39">
        <v>0.49004013474552888</v>
      </c>
      <c r="Z1736" s="39">
        <v>0.48319337223854331</v>
      </c>
      <c r="AA1736" s="39">
        <v>0.47071481716963265</v>
      </c>
      <c r="AB1736" s="39">
        <v>0.50290362827456392</v>
      </c>
      <c r="AC1736" s="39">
        <v>0.48218088460375724</v>
      </c>
      <c r="AD1736" s="39">
        <v>0.47466058622508511</v>
      </c>
      <c r="AE1736" s="39">
        <v>0.46521844244383959</v>
      </c>
      <c r="AF1736" s="40">
        <v>0.50079078969182089</v>
      </c>
    </row>
    <row r="1737" spans="1:32">
      <c r="A1737" s="15">
        <v>1735</v>
      </c>
      <c r="B1737" s="16">
        <v>0</v>
      </c>
      <c r="C1737" s="20">
        <v>0.06</v>
      </c>
      <c r="D1737" s="20">
        <v>0.96101763130679629</v>
      </c>
      <c r="E1737" s="20">
        <v>0.48</v>
      </c>
      <c r="F1737" s="8" t="s">
        <v>436</v>
      </c>
      <c r="G1737" s="24">
        <v>1.372295125360198</v>
      </c>
      <c r="H1737" s="24">
        <v>1.3802403638479632</v>
      </c>
      <c r="I1737" s="25">
        <v>1.4043788840056766</v>
      </c>
      <c r="L1737" s="15">
        <v>1735</v>
      </c>
      <c r="M1737" s="16">
        <v>1</v>
      </c>
      <c r="N1737" s="16">
        <v>2</v>
      </c>
      <c r="O1737" s="16">
        <v>9</v>
      </c>
      <c r="P1737" s="16">
        <v>171</v>
      </c>
      <c r="Q1737" s="29">
        <v>37</v>
      </c>
      <c r="R1737" s="20">
        <v>0.62360000000000004</v>
      </c>
      <c r="S1737" s="32">
        <v>23.0732</v>
      </c>
      <c r="T1737" s="35">
        <v>1.32</v>
      </c>
      <c r="U1737" s="35">
        <v>0.68</v>
      </c>
      <c r="V1737" s="35">
        <v>3.5675675675675679E-2</v>
      </c>
      <c r="W1737" s="9" t="s">
        <v>153</v>
      </c>
      <c r="X1737" s="15">
        <v>1736</v>
      </c>
      <c r="Y1737" s="39">
        <v>0.47647453131918033</v>
      </c>
      <c r="Z1737" s="39">
        <v>0.47839060953530943</v>
      </c>
      <c r="AA1737" s="39">
        <v>0.47406072064229982</v>
      </c>
      <c r="AB1737" s="39">
        <v>0.4849633909065762</v>
      </c>
      <c r="AC1737" s="39">
        <v>0.4684043840702195</v>
      </c>
      <c r="AD1737" s="39">
        <v>0.47175590663628236</v>
      </c>
      <c r="AE1737" s="39">
        <v>0.46613819740101037</v>
      </c>
      <c r="AF1737" s="40">
        <v>0.48052845811742501</v>
      </c>
    </row>
    <row r="1738" spans="1:32">
      <c r="A1738" s="15">
        <v>1736</v>
      </c>
      <c r="B1738" s="16">
        <v>1</v>
      </c>
      <c r="C1738" s="20">
        <v>0.03</v>
      </c>
      <c r="D1738" s="20">
        <v>0.99415958227269285</v>
      </c>
      <c r="E1738" s="20">
        <v>1</v>
      </c>
      <c r="F1738" s="8" t="s">
        <v>436</v>
      </c>
      <c r="G1738" s="24">
        <v>0.98686408471926101</v>
      </c>
      <c r="H1738" s="24">
        <v>0.99257777586572382</v>
      </c>
      <c r="I1738" s="25">
        <v>1.0099366064566775</v>
      </c>
      <c r="L1738" s="15">
        <v>1736</v>
      </c>
      <c r="M1738" s="16">
        <v>1</v>
      </c>
      <c r="N1738" s="16">
        <v>2</v>
      </c>
      <c r="O1738" s="16">
        <v>9</v>
      </c>
      <c r="P1738" s="16">
        <v>172</v>
      </c>
      <c r="Q1738" s="29">
        <v>26</v>
      </c>
      <c r="R1738" s="20">
        <v>0.62360000000000004</v>
      </c>
      <c r="S1738" s="32">
        <v>16.2136</v>
      </c>
      <c r="T1738" s="35">
        <v>0.99</v>
      </c>
      <c r="U1738" s="35">
        <v>0.53</v>
      </c>
      <c r="V1738" s="35">
        <v>3.8076923076923078E-2</v>
      </c>
      <c r="W1738" s="9" t="s">
        <v>152</v>
      </c>
      <c r="X1738" s="15">
        <v>1737</v>
      </c>
      <c r="Y1738" s="39">
        <v>0.493522235944931</v>
      </c>
      <c r="Z1738" s="39">
        <v>0.47308608681316711</v>
      </c>
      <c r="AA1738" s="39">
        <v>0.49276862564898927</v>
      </c>
      <c r="AB1738" s="39">
        <v>0.47770844011994107</v>
      </c>
      <c r="AC1738" s="39">
        <v>0.48786084586240402</v>
      </c>
      <c r="AD1738" s="39">
        <v>0.46901111997160827</v>
      </c>
      <c r="AE1738" s="39">
        <v>0.4872664826983017</v>
      </c>
      <c r="AF1738" s="40">
        <v>0.47228093334482957</v>
      </c>
    </row>
    <row r="1739" spans="1:32">
      <c r="A1739" s="15">
        <v>1737</v>
      </c>
      <c r="B1739" s="16">
        <v>1</v>
      </c>
      <c r="C1739" s="20">
        <v>0.06</v>
      </c>
      <c r="D1739" s="20">
        <v>0.9530799331625317</v>
      </c>
      <c r="E1739" s="20">
        <v>0.47</v>
      </c>
      <c r="F1739" s="8" t="s">
        <v>436</v>
      </c>
      <c r="G1739" s="24">
        <v>0.96598721211361993</v>
      </c>
      <c r="H1739" s="24">
        <v>0.97158003149666605</v>
      </c>
      <c r="I1739" s="25">
        <v>0.98857164019714694</v>
      </c>
      <c r="L1739" s="15">
        <v>1737</v>
      </c>
      <c r="M1739" s="16">
        <v>1</v>
      </c>
      <c r="N1739" s="16">
        <v>2</v>
      </c>
      <c r="O1739" s="16">
        <v>9</v>
      </c>
      <c r="P1739" s="16">
        <v>173</v>
      </c>
      <c r="Q1739" s="29">
        <v>29</v>
      </c>
      <c r="R1739" s="20">
        <v>0.62360000000000004</v>
      </c>
      <c r="S1739" s="32">
        <v>18.084400000000002</v>
      </c>
      <c r="T1739" s="35">
        <v>0.57000000000000006</v>
      </c>
      <c r="U1739" s="35">
        <v>7.0000000000000007E-2</v>
      </c>
      <c r="V1739" s="35">
        <v>1.9655172413793106E-2</v>
      </c>
      <c r="W1739" s="9" t="s">
        <v>152</v>
      </c>
      <c r="X1739" s="15">
        <v>1738</v>
      </c>
      <c r="Y1739" s="39">
        <v>0.47601855020787626</v>
      </c>
      <c r="Z1739" s="39">
        <v>0.47560917787424756</v>
      </c>
      <c r="AA1739" s="39">
        <v>0.49567428871004904</v>
      </c>
      <c r="AB1739" s="39">
        <v>0.487977517278118</v>
      </c>
      <c r="AC1739" s="39">
        <v>0.4697765653874062</v>
      </c>
      <c r="AD1739" s="39">
        <v>0.47257387256904132</v>
      </c>
      <c r="AE1739" s="39">
        <v>0.49043958372377133</v>
      </c>
      <c r="AF1739" s="40">
        <v>0.48348073172835099</v>
      </c>
    </row>
    <row r="1740" spans="1:32">
      <c r="A1740" s="15">
        <v>1738</v>
      </c>
      <c r="B1740" s="16">
        <v>1</v>
      </c>
      <c r="C1740" s="20">
        <v>0.26</v>
      </c>
      <c r="D1740" s="20">
        <v>0.8146188309432274</v>
      </c>
      <c r="E1740" s="20">
        <v>0.1</v>
      </c>
      <c r="F1740" s="8" t="s">
        <v>436</v>
      </c>
      <c r="G1740" s="24">
        <v>0.89695911418259455</v>
      </c>
      <c r="H1740" s="24">
        <v>0.90215227849853197</v>
      </c>
      <c r="I1740" s="25">
        <v>0.91792969055678597</v>
      </c>
      <c r="L1740" s="15">
        <v>1738</v>
      </c>
      <c r="M1740" s="16">
        <v>1</v>
      </c>
      <c r="N1740" s="16">
        <v>2</v>
      </c>
      <c r="O1740" s="16">
        <v>9</v>
      </c>
      <c r="P1740" s="16">
        <v>174</v>
      </c>
      <c r="Q1740" s="29">
        <v>38</v>
      </c>
      <c r="R1740" s="20">
        <v>0.62360000000000004</v>
      </c>
      <c r="S1740" s="32">
        <v>23.696800000000003</v>
      </c>
      <c r="T1740" s="35">
        <v>3.5300000000000002</v>
      </c>
      <c r="U1740" s="35">
        <v>3.09</v>
      </c>
      <c r="V1740" s="35">
        <v>9.2894736842105266E-2</v>
      </c>
      <c r="W1740" s="9" t="s">
        <v>155</v>
      </c>
      <c r="X1740" s="15">
        <v>1739</v>
      </c>
      <c r="Y1740" s="39">
        <v>0.49241115647791078</v>
      </c>
      <c r="Z1740" s="39">
        <v>0.49536233135154134</v>
      </c>
      <c r="AA1740" s="39">
        <v>0.48838306776277163</v>
      </c>
      <c r="AB1740" s="39">
        <v>0.48962900936828341</v>
      </c>
      <c r="AC1740" s="39">
        <v>0.48390472068292179</v>
      </c>
      <c r="AD1740" s="39">
        <v>0.48793655041112471</v>
      </c>
      <c r="AE1740" s="39">
        <v>0.48071155967067836</v>
      </c>
      <c r="AF1740" s="40">
        <v>0.48819850616176547</v>
      </c>
    </row>
    <row r="1741" spans="1:32">
      <c r="A1741" s="15">
        <v>1739</v>
      </c>
      <c r="B1741" s="16">
        <v>0</v>
      </c>
      <c r="C1741" s="20">
        <v>0.9</v>
      </c>
      <c r="D1741" s="20">
        <v>0.23159538658365303</v>
      </c>
      <c r="E1741" s="20">
        <v>0.1</v>
      </c>
      <c r="F1741" s="8" t="s">
        <v>434</v>
      </c>
      <c r="G1741" s="24">
        <v>1.2555513857456555</v>
      </c>
      <c r="H1741" s="24">
        <v>1.2628207077807205</v>
      </c>
      <c r="I1741" s="25">
        <v>1.2849057184127533</v>
      </c>
      <c r="L1741" s="15">
        <v>1739</v>
      </c>
      <c r="M1741" s="16">
        <v>1</v>
      </c>
      <c r="N1741" s="16">
        <v>2</v>
      </c>
      <c r="O1741" s="16">
        <v>9</v>
      </c>
      <c r="P1741" s="16">
        <v>175</v>
      </c>
      <c r="Q1741" s="29">
        <v>31</v>
      </c>
      <c r="R1741" s="20">
        <v>0.62360000000000004</v>
      </c>
      <c r="S1741" s="32">
        <v>19.331600000000002</v>
      </c>
      <c r="T1741" s="35">
        <v>2.04</v>
      </c>
      <c r="U1741" s="35">
        <v>1.54</v>
      </c>
      <c r="V1741" s="35">
        <v>6.580645161290323E-2</v>
      </c>
      <c r="W1741" s="9" t="s">
        <v>154</v>
      </c>
      <c r="X1741" s="15">
        <v>1740</v>
      </c>
      <c r="Y1741" s="39">
        <v>0.49927428964223525</v>
      </c>
      <c r="Z1741" s="39">
        <v>0.47696691604969693</v>
      </c>
      <c r="AA1741" s="39">
        <v>0.48058505957153935</v>
      </c>
      <c r="AB1741" s="39">
        <v>0.48725363478519906</v>
      </c>
      <c r="AC1741" s="39">
        <v>0.49145627059141234</v>
      </c>
      <c r="AD1741" s="39">
        <v>0.47053943379836022</v>
      </c>
      <c r="AE1741" s="39">
        <v>0.47352000747592321</v>
      </c>
      <c r="AF1741" s="40">
        <v>0.48305082645096153</v>
      </c>
    </row>
    <row r="1742" spans="1:32">
      <c r="A1742" s="15">
        <v>1740</v>
      </c>
      <c r="B1742" s="16">
        <v>1</v>
      </c>
      <c r="C1742" s="20">
        <v>0.96</v>
      </c>
      <c r="D1742" s="20">
        <v>0.13880369068795359</v>
      </c>
      <c r="E1742" s="20">
        <v>0.04</v>
      </c>
      <c r="F1742" s="8" t="s">
        <v>434</v>
      </c>
      <c r="G1742" s="24">
        <v>1.3263006730564024</v>
      </c>
      <c r="H1742" s="24">
        <v>1.3339796154057391</v>
      </c>
      <c r="I1742" s="25">
        <v>1.3573090982116751</v>
      </c>
      <c r="L1742" s="15">
        <v>1740</v>
      </c>
      <c r="M1742" s="16">
        <v>1</v>
      </c>
      <c r="N1742" s="16">
        <v>2</v>
      </c>
      <c r="O1742" s="16">
        <v>9</v>
      </c>
      <c r="P1742" s="16">
        <v>176</v>
      </c>
      <c r="Q1742" s="29">
        <v>35</v>
      </c>
      <c r="R1742" s="20">
        <v>0.62360000000000004</v>
      </c>
      <c r="S1742" s="32">
        <v>21.826000000000001</v>
      </c>
      <c r="T1742" s="35">
        <v>1.07</v>
      </c>
      <c r="U1742" s="35">
        <v>0.66</v>
      </c>
      <c r="V1742" s="35">
        <v>3.0571428571428572E-2</v>
      </c>
      <c r="W1742" s="9" t="s">
        <v>153</v>
      </c>
      <c r="X1742" s="15">
        <v>1741</v>
      </c>
      <c r="Y1742" s="39">
        <v>0.47647538455292648</v>
      </c>
      <c r="Z1742" s="39">
        <v>0.45700856796111816</v>
      </c>
      <c r="AA1742" s="39">
        <v>0.48588014945185304</v>
      </c>
      <c r="AB1742" s="39">
        <v>0.48687467909966098</v>
      </c>
      <c r="AC1742" s="39">
        <v>0.46940326683964534</v>
      </c>
      <c r="AD1742" s="39">
        <v>0.45390290455350202</v>
      </c>
      <c r="AE1742" s="39">
        <v>0.47851969768081132</v>
      </c>
      <c r="AF1742" s="40">
        <v>0.48248691767889146</v>
      </c>
    </row>
    <row r="1743" spans="1:32">
      <c r="A1743" s="15">
        <v>1741</v>
      </c>
      <c r="B1743" s="16">
        <v>1</v>
      </c>
      <c r="C1743" s="20">
        <v>0.02</v>
      </c>
      <c r="D1743" s="20">
        <v>0.99835916395484214</v>
      </c>
      <c r="E1743" s="20">
        <v>1</v>
      </c>
      <c r="F1743" s="8" t="s">
        <v>436</v>
      </c>
      <c r="G1743" s="24">
        <v>1.0424284157047223</v>
      </c>
      <c r="H1743" s="24">
        <v>1.0484638101444013</v>
      </c>
      <c r="I1743" s="25">
        <v>1.0668000111994453</v>
      </c>
      <c r="L1743" s="15">
        <v>1741</v>
      </c>
      <c r="M1743" s="16">
        <v>1</v>
      </c>
      <c r="N1743" s="16">
        <v>2</v>
      </c>
      <c r="O1743" s="16">
        <v>9</v>
      </c>
      <c r="P1743" s="16">
        <v>177</v>
      </c>
      <c r="Q1743" s="29">
        <v>42</v>
      </c>
      <c r="R1743" s="20">
        <v>0.62360000000000004</v>
      </c>
      <c r="S1743" s="32">
        <v>26.191200000000002</v>
      </c>
      <c r="T1743" s="35">
        <v>2.94</v>
      </c>
      <c r="U1743" s="35">
        <v>2.34</v>
      </c>
      <c r="V1743" s="35">
        <v>6.9999999999999993E-2</v>
      </c>
      <c r="W1743" s="9" t="s">
        <v>154</v>
      </c>
      <c r="X1743" s="15">
        <v>1742</v>
      </c>
      <c r="Y1743" s="39">
        <v>0.47417670150108671</v>
      </c>
      <c r="Z1743" s="39">
        <v>0.47215582691224384</v>
      </c>
      <c r="AA1743" s="39">
        <v>0.48705697171042805</v>
      </c>
      <c r="AB1743" s="39">
        <v>0.48182377527317893</v>
      </c>
      <c r="AC1743" s="39">
        <v>0.46967397337306133</v>
      </c>
      <c r="AD1743" s="39">
        <v>0.46613182641539636</v>
      </c>
      <c r="AE1743" s="39">
        <v>0.47902914153281867</v>
      </c>
      <c r="AF1743" s="40">
        <v>0.47890068267365238</v>
      </c>
    </row>
    <row r="1744" spans="1:32">
      <c r="A1744" s="15">
        <v>1742</v>
      </c>
      <c r="B1744" s="16">
        <v>1</v>
      </c>
      <c r="C1744" s="20">
        <v>0.5</v>
      </c>
      <c r="D1744" s="20">
        <v>0.60848164768903323</v>
      </c>
      <c r="E1744" s="20">
        <v>0.1</v>
      </c>
      <c r="F1744" s="8" t="s">
        <v>438</v>
      </c>
      <c r="G1744" s="24">
        <v>2.5411945053925455</v>
      </c>
      <c r="H1744" s="24">
        <v>2.3557193791407478</v>
      </c>
      <c r="I1744" s="25">
        <v>1.6578926537592125</v>
      </c>
      <c r="L1744" s="15">
        <v>1742</v>
      </c>
      <c r="M1744" s="16">
        <v>1</v>
      </c>
      <c r="N1744" s="16">
        <v>2</v>
      </c>
      <c r="O1744" s="16">
        <v>10</v>
      </c>
      <c r="P1744" s="16">
        <v>178</v>
      </c>
      <c r="Q1744" s="29">
        <v>33</v>
      </c>
      <c r="R1744" s="20">
        <v>0.62360000000000004</v>
      </c>
      <c r="S1744" s="32">
        <v>20.578800000000001</v>
      </c>
      <c r="T1744" s="35">
        <v>0.74</v>
      </c>
      <c r="U1744" s="35">
        <v>0.31</v>
      </c>
      <c r="V1744" s="35">
        <v>2.2424242424242423E-2</v>
      </c>
      <c r="W1744" s="9" t="s">
        <v>152</v>
      </c>
      <c r="X1744" s="15">
        <v>1743</v>
      </c>
      <c r="Y1744" s="39">
        <v>0.4711697885425562</v>
      </c>
      <c r="Z1744" s="39">
        <v>0.4982160406606399</v>
      </c>
      <c r="AA1744" s="39">
        <v>0.47810888284715042</v>
      </c>
      <c r="AB1744" s="39">
        <v>0.48691518254106325</v>
      </c>
      <c r="AC1744" s="39">
        <v>0.46312045468961294</v>
      </c>
      <c r="AD1744" s="39">
        <v>0.49011894476841794</v>
      </c>
      <c r="AE1744" s="39">
        <v>0.47066653700476657</v>
      </c>
      <c r="AF1744" s="40">
        <v>0.48404479158124797</v>
      </c>
    </row>
    <row r="1745" spans="1:32">
      <c r="A1745" s="15">
        <v>1743</v>
      </c>
      <c r="B1745" s="16">
        <v>1</v>
      </c>
      <c r="C1745" s="20">
        <v>0.89</v>
      </c>
      <c r="D1745" s="20">
        <v>0.24559627500636821</v>
      </c>
      <c r="E1745" s="20">
        <v>0.11</v>
      </c>
      <c r="F1745" s="8" t="s">
        <v>434</v>
      </c>
      <c r="G1745" s="24">
        <v>1.4316151656765417</v>
      </c>
      <c r="H1745" s="24">
        <v>1.4399038520558773</v>
      </c>
      <c r="I1745" s="25">
        <v>1.4650858051912867</v>
      </c>
      <c r="L1745" s="15">
        <v>1743</v>
      </c>
      <c r="M1745" s="16">
        <v>1</v>
      </c>
      <c r="N1745" s="16">
        <v>2</v>
      </c>
      <c r="O1745" s="16">
        <v>10</v>
      </c>
      <c r="P1745" s="16">
        <v>179</v>
      </c>
      <c r="Q1745" s="29">
        <v>19</v>
      </c>
      <c r="R1745" s="20">
        <v>0.62360000000000004</v>
      </c>
      <c r="S1745" s="32">
        <v>11.848400000000002</v>
      </c>
      <c r="T1745" s="35">
        <v>0.31</v>
      </c>
      <c r="U1745" s="35">
        <v>0.1</v>
      </c>
      <c r="V1745" s="35">
        <v>1.6315789473684211E-2</v>
      </c>
      <c r="W1745" s="9" t="s">
        <v>152</v>
      </c>
      <c r="X1745" s="15">
        <v>1744</v>
      </c>
      <c r="Y1745" s="39">
        <v>0.48954861120614662</v>
      </c>
      <c r="Z1745" s="39">
        <v>0.4942816702028468</v>
      </c>
      <c r="AA1745" s="39">
        <v>0.49474842811474251</v>
      </c>
      <c r="AB1745" s="39">
        <v>0.48068305593070909</v>
      </c>
      <c r="AC1745" s="39">
        <v>0.48558445296476715</v>
      </c>
      <c r="AD1745" s="39">
        <v>0.48756469592656637</v>
      </c>
      <c r="AE1745" s="39">
        <v>0.49013015769578144</v>
      </c>
      <c r="AF1745" s="40">
        <v>0.4784033005162121</v>
      </c>
    </row>
    <row r="1746" spans="1:32">
      <c r="A1746" s="15">
        <v>1744</v>
      </c>
      <c r="B1746" s="16">
        <v>0</v>
      </c>
      <c r="C1746" s="20">
        <v>0.39</v>
      </c>
      <c r="D1746" s="20">
        <v>0.55736800700442157</v>
      </c>
      <c r="E1746" s="20">
        <v>0.23</v>
      </c>
      <c r="F1746" s="8" t="s">
        <v>436</v>
      </c>
      <c r="G1746" s="24">
        <v>0.61514163100795927</v>
      </c>
      <c r="H1746" s="24">
        <v>0.61870314403222826</v>
      </c>
      <c r="I1746" s="25">
        <v>0.62952341759112229</v>
      </c>
      <c r="L1746" s="15">
        <v>1744</v>
      </c>
      <c r="M1746" s="16">
        <v>1</v>
      </c>
      <c r="N1746" s="16">
        <v>2</v>
      </c>
      <c r="O1746" s="16">
        <v>10</v>
      </c>
      <c r="P1746" s="16">
        <v>180</v>
      </c>
      <c r="Q1746" s="29">
        <v>36</v>
      </c>
      <c r="R1746" s="20">
        <v>0.62360000000000004</v>
      </c>
      <c r="S1746" s="32">
        <v>22.4496</v>
      </c>
      <c r="T1746" s="35">
        <v>1.1100000000000001</v>
      </c>
      <c r="U1746" s="35">
        <v>0.56000000000000005</v>
      </c>
      <c r="V1746" s="35">
        <v>3.0833333333333338E-2</v>
      </c>
      <c r="W1746" s="9" t="s">
        <v>153</v>
      </c>
      <c r="X1746" s="15">
        <v>1745</v>
      </c>
      <c r="Y1746" s="39">
        <v>0.49235443829509418</v>
      </c>
      <c r="Z1746" s="39">
        <v>0.49159375476112283</v>
      </c>
      <c r="AA1746" s="39">
        <v>0.47824803586271469</v>
      </c>
      <c r="AB1746" s="39">
        <v>0.48500340489303934</v>
      </c>
      <c r="AC1746" s="39">
        <v>0.48937286373672623</v>
      </c>
      <c r="AD1746" s="39">
        <v>0.48133334295721536</v>
      </c>
      <c r="AE1746" s="39">
        <v>0.47140572268572728</v>
      </c>
      <c r="AF1746" s="40">
        <v>0.48148207994164971</v>
      </c>
    </row>
    <row r="1747" spans="1:32">
      <c r="A1747" s="15">
        <v>1745</v>
      </c>
      <c r="B1747" s="16">
        <v>0</v>
      </c>
      <c r="C1747" s="20">
        <v>0.98</v>
      </c>
      <c r="D1747" s="20">
        <v>0.10185764172235329</v>
      </c>
      <c r="E1747" s="20">
        <v>0.02</v>
      </c>
      <c r="F1747" s="8" t="s">
        <v>434</v>
      </c>
      <c r="G1747" s="24">
        <v>0.86944200304852037</v>
      </c>
      <c r="H1747" s="24">
        <v>0.87447585031492936</v>
      </c>
      <c r="I1747" s="25">
        <v>0.88976923941812291</v>
      </c>
      <c r="L1747" s="15">
        <v>1745</v>
      </c>
      <c r="M1747" s="16">
        <v>1</v>
      </c>
      <c r="N1747" s="16">
        <v>2</v>
      </c>
      <c r="O1747" s="16">
        <v>10</v>
      </c>
      <c r="P1747" s="16">
        <v>181</v>
      </c>
      <c r="Q1747" s="29">
        <v>38</v>
      </c>
      <c r="R1747" s="20">
        <v>0.62360000000000004</v>
      </c>
      <c r="S1747" s="32">
        <v>23.696800000000003</v>
      </c>
      <c r="T1747" s="35">
        <v>3.19</v>
      </c>
      <c r="U1747" s="35">
        <v>2.68</v>
      </c>
      <c r="V1747" s="35">
        <v>8.3947368421052632E-2</v>
      </c>
      <c r="W1747" s="9" t="s">
        <v>155</v>
      </c>
      <c r="X1747" s="15">
        <v>1746</v>
      </c>
      <c r="Y1747" s="39">
        <v>0.47745698581003759</v>
      </c>
      <c r="Z1747" s="39">
        <v>0.47692486585462701</v>
      </c>
      <c r="AA1747" s="39">
        <v>0.47998896591025053</v>
      </c>
      <c r="AB1747" s="39">
        <v>0.48162842534475875</v>
      </c>
      <c r="AC1747" s="39">
        <v>0.47106588895278451</v>
      </c>
      <c r="AD1747" s="39">
        <v>0.46920021796058525</v>
      </c>
      <c r="AE1747" s="39">
        <v>0.47109588446202472</v>
      </c>
      <c r="AF1747" s="40">
        <v>0.4755686886046564</v>
      </c>
    </row>
    <row r="1748" spans="1:32">
      <c r="A1748" s="15">
        <v>1746</v>
      </c>
      <c r="B1748" s="16">
        <v>0</v>
      </c>
      <c r="C1748" s="20">
        <v>0.02</v>
      </c>
      <c r="D1748" s="20">
        <v>0.99835916395484214</v>
      </c>
      <c r="E1748" s="20">
        <v>1</v>
      </c>
      <c r="F1748" s="8" t="s">
        <v>436</v>
      </c>
      <c r="G1748" s="24">
        <v>1.0958224287027252</v>
      </c>
      <c r="H1748" s="24">
        <v>1.1021669608484617</v>
      </c>
      <c r="I1748" s="25">
        <v>1.1214423567131611</v>
      </c>
      <c r="L1748" s="15">
        <v>1746</v>
      </c>
      <c r="M1748" s="16">
        <v>1</v>
      </c>
      <c r="N1748" s="16">
        <v>2</v>
      </c>
      <c r="O1748" s="16">
        <v>10</v>
      </c>
      <c r="P1748" s="16">
        <v>182</v>
      </c>
      <c r="Q1748" s="29">
        <v>30</v>
      </c>
      <c r="R1748" s="20">
        <v>0.62360000000000004</v>
      </c>
      <c r="S1748" s="32">
        <v>18.708000000000002</v>
      </c>
      <c r="T1748" s="35">
        <v>1.43</v>
      </c>
      <c r="U1748" s="35">
        <v>0.97</v>
      </c>
      <c r="V1748" s="35">
        <v>4.7666666666666663E-2</v>
      </c>
      <c r="W1748" s="9" t="s">
        <v>153</v>
      </c>
      <c r="X1748" s="15">
        <v>1747</v>
      </c>
      <c r="Y1748" s="39">
        <v>0.47727349371908606</v>
      </c>
      <c r="Z1748" s="39">
        <v>0.49937230941896249</v>
      </c>
      <c r="AA1748" s="39">
        <v>0.49452426261469296</v>
      </c>
      <c r="AB1748" s="39">
        <v>0.49952326593219809</v>
      </c>
      <c r="AC1748" s="39">
        <v>0.47431851022375077</v>
      </c>
      <c r="AD1748" s="39">
        <v>0.4903574222864473</v>
      </c>
      <c r="AE1748" s="39">
        <v>0.48726968657989828</v>
      </c>
      <c r="AF1748" s="40">
        <v>0.49643531291521598</v>
      </c>
    </row>
    <row r="1749" spans="1:32">
      <c r="A1749" s="15">
        <v>1747</v>
      </c>
      <c r="B1749" s="16">
        <v>1</v>
      </c>
      <c r="C1749" s="20">
        <v>0.62</v>
      </c>
      <c r="D1749" s="20">
        <v>0.44684136705772082</v>
      </c>
      <c r="E1749" s="20">
        <v>7.0000000000000007E-2</v>
      </c>
      <c r="F1749" s="8" t="s">
        <v>438</v>
      </c>
      <c r="G1749" s="24">
        <v>0.93979963319882176</v>
      </c>
      <c r="H1749" s="24">
        <v>0.94524083318451657</v>
      </c>
      <c r="I1749" s="25">
        <v>0.96177180525528516</v>
      </c>
      <c r="L1749" s="15">
        <v>1747</v>
      </c>
      <c r="M1749" s="16">
        <v>1</v>
      </c>
      <c r="N1749" s="16">
        <v>2</v>
      </c>
      <c r="O1749" s="16">
        <v>10</v>
      </c>
      <c r="P1749" s="16">
        <v>183</v>
      </c>
      <c r="Q1749" s="29">
        <v>33</v>
      </c>
      <c r="R1749" s="20">
        <v>0.62360000000000004</v>
      </c>
      <c r="S1749" s="32">
        <v>20.578800000000001</v>
      </c>
      <c r="T1749" s="35">
        <v>0.64</v>
      </c>
      <c r="U1749" s="35">
        <v>0.17</v>
      </c>
      <c r="V1749" s="35">
        <v>1.9393939393939394E-2</v>
      </c>
      <c r="W1749" s="9" t="s">
        <v>152</v>
      </c>
      <c r="X1749" s="15">
        <v>1748</v>
      </c>
      <c r="Y1749" s="39">
        <v>0.49343780181318408</v>
      </c>
      <c r="Z1749" s="39">
        <v>0.47571878488131392</v>
      </c>
      <c r="AA1749" s="39">
        <v>0.49180260868248421</v>
      </c>
      <c r="AB1749" s="39">
        <v>0.48399494489291894</v>
      </c>
      <c r="AC1749" s="39">
        <v>0.48808219428742294</v>
      </c>
      <c r="AD1749" s="39">
        <v>0.46948272639468303</v>
      </c>
      <c r="AE1749" s="39">
        <v>0.48481596259410054</v>
      </c>
      <c r="AF1749" s="40">
        <v>0.48090687975971874</v>
      </c>
    </row>
    <row r="1750" spans="1:32">
      <c r="A1750" s="15">
        <v>1748</v>
      </c>
      <c r="B1750" s="16">
        <v>0</v>
      </c>
      <c r="C1750" s="20">
        <v>0.93</v>
      </c>
      <c r="D1750" s="20">
        <v>0.18747949848141848</v>
      </c>
      <c r="E1750" s="20">
        <v>7.0000000000000007E-2</v>
      </c>
      <c r="F1750" s="8" t="s">
        <v>434</v>
      </c>
      <c r="G1750" s="24">
        <v>0.68128431563099723</v>
      </c>
      <c r="H1750" s="24">
        <v>0.68522877791584391</v>
      </c>
      <c r="I1750" s="25">
        <v>0.69721249401457752</v>
      </c>
      <c r="L1750" s="15">
        <v>1748</v>
      </c>
      <c r="M1750" s="16">
        <v>1</v>
      </c>
      <c r="N1750" s="16">
        <v>2</v>
      </c>
      <c r="O1750" s="16">
        <v>10</v>
      </c>
      <c r="P1750" s="16">
        <v>184</v>
      </c>
      <c r="Q1750" s="29">
        <v>40</v>
      </c>
      <c r="R1750" s="20">
        <v>0.62360000000000004</v>
      </c>
      <c r="S1750" s="32">
        <v>24.944000000000003</v>
      </c>
      <c r="T1750" s="35">
        <v>1.34</v>
      </c>
      <c r="U1750" s="35">
        <v>0.73</v>
      </c>
      <c r="V1750" s="35">
        <v>3.3500000000000002E-2</v>
      </c>
      <c r="W1750" s="9" t="s">
        <v>153</v>
      </c>
      <c r="X1750" s="15">
        <v>1749</v>
      </c>
      <c r="Y1750" s="39">
        <v>0.4893795148228568</v>
      </c>
      <c r="Z1750" s="39">
        <v>0.48651205029133232</v>
      </c>
      <c r="AA1750" s="39">
        <v>0.48227228593156352</v>
      </c>
      <c r="AB1750" s="39">
        <v>0.47075080720945489</v>
      </c>
      <c r="AC1750" s="39">
        <v>0.48469264467210799</v>
      </c>
      <c r="AD1750" s="39">
        <v>0.47740922008638959</v>
      </c>
      <c r="AE1750" s="39">
        <v>0.47313119597123776</v>
      </c>
      <c r="AF1750" s="40">
        <v>0.46601327034300727</v>
      </c>
    </row>
    <row r="1751" spans="1:32">
      <c r="A1751" s="15">
        <v>1749</v>
      </c>
      <c r="B1751" s="16">
        <v>0</v>
      </c>
      <c r="C1751" s="20">
        <v>0.17</v>
      </c>
      <c r="D1751" s="20">
        <v>0.81177800057911298</v>
      </c>
      <c r="E1751" s="20">
        <v>0.4</v>
      </c>
      <c r="F1751" s="8" t="s">
        <v>436</v>
      </c>
      <c r="G1751" s="24">
        <v>1.1781267242675568</v>
      </c>
      <c r="H1751" s="24">
        <v>1.1849477772758581</v>
      </c>
      <c r="I1751" s="25">
        <v>1.2056708966373795</v>
      </c>
      <c r="L1751" s="15">
        <v>1749</v>
      </c>
      <c r="M1751" s="16">
        <v>1</v>
      </c>
      <c r="N1751" s="16">
        <v>2</v>
      </c>
      <c r="O1751" s="16">
        <v>10</v>
      </c>
      <c r="P1751" s="16">
        <v>185</v>
      </c>
      <c r="Q1751" s="29">
        <v>29</v>
      </c>
      <c r="R1751" s="20">
        <v>0.62360000000000004</v>
      </c>
      <c r="S1751" s="32">
        <v>18.084400000000002</v>
      </c>
      <c r="T1751" s="35">
        <v>0.99</v>
      </c>
      <c r="U1751" s="35">
        <v>0.59</v>
      </c>
      <c r="V1751" s="35">
        <v>3.413793103448276E-2</v>
      </c>
      <c r="W1751" s="9" t="s">
        <v>152</v>
      </c>
      <c r="X1751" s="15">
        <v>1750</v>
      </c>
      <c r="Y1751" s="39">
        <v>0.47534678992638574</v>
      </c>
      <c r="Z1751" s="39">
        <v>0.48172284988081937</v>
      </c>
      <c r="AA1751" s="39">
        <v>0.50071531909637568</v>
      </c>
      <c r="AB1751" s="39">
        <v>0.49532465421955629</v>
      </c>
      <c r="AC1751" s="39">
        <v>0.46814142662496683</v>
      </c>
      <c r="AD1751" s="39">
        <v>0.47244623821390769</v>
      </c>
      <c r="AE1751" s="39">
        <v>0.49354086144042592</v>
      </c>
      <c r="AF1751" s="40">
        <v>0.49021291143002416</v>
      </c>
    </row>
    <row r="1752" spans="1:32">
      <c r="A1752" s="15">
        <v>1750</v>
      </c>
      <c r="B1752" s="16">
        <v>0</v>
      </c>
      <c r="C1752" s="20">
        <v>0.27</v>
      </c>
      <c r="D1752" s="20">
        <v>0.7428971537196859</v>
      </c>
      <c r="E1752" s="20">
        <v>0.04</v>
      </c>
      <c r="F1752" s="8" t="s">
        <v>436</v>
      </c>
      <c r="G1752" s="24">
        <v>0.6592923621078034</v>
      </c>
      <c r="H1752" s="24">
        <v>0.66310949659535301</v>
      </c>
      <c r="I1752" s="25">
        <v>0.67470637665305078</v>
      </c>
      <c r="L1752" s="15">
        <v>1750</v>
      </c>
      <c r="M1752" s="16">
        <v>1</v>
      </c>
      <c r="N1752" s="16">
        <v>2</v>
      </c>
      <c r="O1752" s="16">
        <v>10</v>
      </c>
      <c r="P1752" s="16">
        <v>186</v>
      </c>
      <c r="Q1752" s="29">
        <v>38</v>
      </c>
      <c r="R1752" s="20">
        <v>0.62360000000000004</v>
      </c>
      <c r="S1752" s="32">
        <v>23.696800000000003</v>
      </c>
      <c r="T1752" s="35">
        <v>0.96000000000000008</v>
      </c>
      <c r="U1752" s="35">
        <v>0.5</v>
      </c>
      <c r="V1752" s="35">
        <v>2.5263157894736845E-2</v>
      </c>
      <c r="W1752" s="9" t="s">
        <v>152</v>
      </c>
      <c r="X1752" s="15">
        <v>1751</v>
      </c>
      <c r="Y1752" s="39">
        <v>0.48766573619017206</v>
      </c>
      <c r="Z1752" s="39">
        <v>0.49147081193236747</v>
      </c>
      <c r="AA1752" s="39">
        <v>0.48368040961188147</v>
      </c>
      <c r="AB1752" s="39">
        <v>0.47568660026578069</v>
      </c>
      <c r="AC1752" s="39">
        <v>0.47996625408561527</v>
      </c>
      <c r="AD1752" s="39">
        <v>0.48477863580041897</v>
      </c>
      <c r="AE1752" s="39">
        <v>0.47680168809114787</v>
      </c>
      <c r="AF1752" s="40">
        <v>0.47174512833795246</v>
      </c>
    </row>
    <row r="1753" spans="1:32">
      <c r="A1753" s="15">
        <v>1751</v>
      </c>
      <c r="B1753" s="16">
        <v>0</v>
      </c>
      <c r="C1753" s="20">
        <v>0.24</v>
      </c>
      <c r="D1753" s="20">
        <v>0.80844061035790216</v>
      </c>
      <c r="E1753" s="20">
        <v>0.48</v>
      </c>
      <c r="F1753" s="8" t="s">
        <v>436</v>
      </c>
      <c r="G1753" s="24">
        <v>0.72751383035274009</v>
      </c>
      <c r="H1753" s="24">
        <v>0.73172594972741389</v>
      </c>
      <c r="I1753" s="25">
        <v>0.74452283789997475</v>
      </c>
      <c r="L1753" s="15">
        <v>1751</v>
      </c>
      <c r="M1753" s="16">
        <v>1</v>
      </c>
      <c r="N1753" s="16">
        <v>2</v>
      </c>
      <c r="O1753" s="16">
        <v>10</v>
      </c>
      <c r="P1753" s="16">
        <v>187</v>
      </c>
      <c r="Q1753" s="29">
        <v>28</v>
      </c>
      <c r="R1753" s="20">
        <v>0.62360000000000004</v>
      </c>
      <c r="S1753" s="32">
        <v>17.460800000000003</v>
      </c>
      <c r="T1753" s="35">
        <v>0.65</v>
      </c>
      <c r="U1753" s="35">
        <v>0.12</v>
      </c>
      <c r="V1753" s="35">
        <v>2.3214285714285715E-2</v>
      </c>
      <c r="W1753" s="9" t="s">
        <v>152</v>
      </c>
      <c r="X1753" s="15">
        <v>1752</v>
      </c>
      <c r="Y1753" s="39">
        <v>0.48714695439929978</v>
      </c>
      <c r="Z1753" s="39">
        <v>0.47818528408338279</v>
      </c>
      <c r="AA1753" s="39">
        <v>0.48520879603078387</v>
      </c>
      <c r="AB1753" s="39">
        <v>0.50522064951727219</v>
      </c>
      <c r="AC1753" s="39">
        <v>0.48159281037239282</v>
      </c>
      <c r="AD1753" s="39">
        <v>0.47262366940440109</v>
      </c>
      <c r="AE1753" s="39">
        <v>0.47939967287516067</v>
      </c>
      <c r="AF1753" s="40">
        <v>0.50077408301107729</v>
      </c>
    </row>
    <row r="1754" spans="1:32">
      <c r="A1754" s="15">
        <v>1752</v>
      </c>
      <c r="B1754" s="16">
        <v>0</v>
      </c>
      <c r="C1754" s="20">
        <v>0.02</v>
      </c>
      <c r="D1754" s="20">
        <v>0.99835916395484214</v>
      </c>
      <c r="E1754" s="20">
        <v>1</v>
      </c>
      <c r="F1754" s="8" t="s">
        <v>436</v>
      </c>
      <c r="G1754" s="24">
        <v>1.1442165787618321</v>
      </c>
      <c r="H1754" s="24">
        <v>1.1508413006834606</v>
      </c>
      <c r="I1754" s="25">
        <v>1.1709679443192329</v>
      </c>
      <c r="L1754" s="15">
        <v>1752</v>
      </c>
      <c r="M1754" s="16">
        <v>1</v>
      </c>
      <c r="N1754" s="16">
        <v>2</v>
      </c>
      <c r="O1754" s="16">
        <v>11</v>
      </c>
      <c r="P1754" s="16">
        <v>196</v>
      </c>
      <c r="Q1754" s="29">
        <v>41</v>
      </c>
      <c r="R1754" s="20">
        <v>0.62360000000000004</v>
      </c>
      <c r="S1754" s="32">
        <v>25.567600000000002</v>
      </c>
      <c r="T1754" s="35">
        <v>0.82000000000000006</v>
      </c>
      <c r="U1754" s="35">
        <v>0.14000000000000001</v>
      </c>
      <c r="V1754" s="35">
        <v>0.02</v>
      </c>
      <c r="W1754" s="9" t="s">
        <v>152</v>
      </c>
      <c r="X1754" s="15">
        <v>1753</v>
      </c>
      <c r="Y1754" s="39">
        <v>0.4686948141109234</v>
      </c>
      <c r="Z1754" s="39">
        <v>0.48885491521040886</v>
      </c>
      <c r="AA1754" s="39">
        <v>0.48232678719133604</v>
      </c>
      <c r="AB1754" s="39">
        <v>0.48438674483946598</v>
      </c>
      <c r="AC1754" s="39">
        <v>0.46437285836626591</v>
      </c>
      <c r="AD1754" s="39">
        <v>0.48382755695343244</v>
      </c>
      <c r="AE1754" s="39">
        <v>0.47609812157574283</v>
      </c>
      <c r="AF1754" s="40">
        <v>0.47897093057906903</v>
      </c>
    </row>
    <row r="1755" spans="1:32">
      <c r="A1755" s="15">
        <v>1753</v>
      </c>
      <c r="B1755" s="16">
        <v>1</v>
      </c>
      <c r="C1755" s="20">
        <v>0.91</v>
      </c>
      <c r="D1755" s="20">
        <v>0.21727233298780477</v>
      </c>
      <c r="E1755" s="20">
        <v>0.09</v>
      </c>
      <c r="F1755" s="8" t="s">
        <v>434</v>
      </c>
      <c r="G1755" s="24">
        <v>1.7111961839343912</v>
      </c>
      <c r="H1755" s="24">
        <v>1.7211035730444006</v>
      </c>
      <c r="I1755" s="25">
        <v>1.6578926537592125</v>
      </c>
      <c r="L1755" s="15">
        <v>1753</v>
      </c>
      <c r="M1755" s="16">
        <v>1</v>
      </c>
      <c r="N1755" s="16">
        <v>2</v>
      </c>
      <c r="O1755" s="16">
        <v>11</v>
      </c>
      <c r="P1755" s="16">
        <v>197</v>
      </c>
      <c r="Q1755" s="29">
        <v>21</v>
      </c>
      <c r="R1755" s="20">
        <v>0.62360000000000004</v>
      </c>
      <c r="S1755" s="32">
        <v>13.095600000000001</v>
      </c>
      <c r="T1755" s="35">
        <v>0.56000000000000005</v>
      </c>
      <c r="U1755" s="35">
        <v>0.2</v>
      </c>
      <c r="V1755" s="35">
        <v>2.6666666666666668E-2</v>
      </c>
      <c r="W1755" s="9" t="s">
        <v>152</v>
      </c>
      <c r="X1755" s="15">
        <v>1754</v>
      </c>
      <c r="Y1755" s="39">
        <v>0.49599231940621696</v>
      </c>
      <c r="Z1755" s="39">
        <v>0.5093206137192432</v>
      </c>
      <c r="AA1755" s="39">
        <v>0.48774637973378615</v>
      </c>
      <c r="AB1755" s="39">
        <v>0.48214484239828476</v>
      </c>
      <c r="AC1755" s="39">
        <v>0.48901895433752085</v>
      </c>
      <c r="AD1755" s="39">
        <v>0.50045775829549533</v>
      </c>
      <c r="AE1755" s="39">
        <v>0.47897304778922689</v>
      </c>
      <c r="AF1755" s="40">
        <v>0.47742403979895703</v>
      </c>
    </row>
    <row r="1756" spans="1:32">
      <c r="A1756" s="15">
        <v>1754</v>
      </c>
      <c r="B1756" s="16">
        <v>0</v>
      </c>
      <c r="C1756" s="20">
        <v>0.15</v>
      </c>
      <c r="D1756" s="20">
        <v>0.85988276500760441</v>
      </c>
      <c r="E1756" s="20">
        <v>0.11</v>
      </c>
      <c r="F1756" s="8" t="s">
        <v>436</v>
      </c>
      <c r="G1756" s="24">
        <v>1.0116176267964019</v>
      </c>
      <c r="H1756" s="24">
        <v>1.0174746346329742</v>
      </c>
      <c r="I1756" s="25">
        <v>1.0352688773035612</v>
      </c>
      <c r="L1756" s="15">
        <v>1754</v>
      </c>
      <c r="M1756" s="16">
        <v>1</v>
      </c>
      <c r="N1756" s="16">
        <v>2</v>
      </c>
      <c r="O1756" s="16">
        <v>11</v>
      </c>
      <c r="P1756" s="16">
        <v>198</v>
      </c>
      <c r="Q1756" s="29">
        <v>67</v>
      </c>
      <c r="R1756" s="20">
        <v>0.62360000000000004</v>
      </c>
      <c r="S1756" s="32">
        <v>41.781200000000005</v>
      </c>
      <c r="T1756" s="35">
        <v>1.6600000000000001</v>
      </c>
      <c r="U1756" s="35">
        <v>0.67</v>
      </c>
      <c r="V1756" s="35">
        <v>2.4776119402985075E-2</v>
      </c>
      <c r="W1756" s="9" t="s">
        <v>153</v>
      </c>
      <c r="X1756" s="15">
        <v>1755</v>
      </c>
      <c r="Y1756" s="39">
        <v>0.50370715549281364</v>
      </c>
      <c r="Z1756" s="39">
        <v>0.50301426108547254</v>
      </c>
      <c r="AA1756" s="39">
        <v>0.48400944008666408</v>
      </c>
      <c r="AB1756" s="39">
        <v>0.48557387932506973</v>
      </c>
      <c r="AC1756" s="39">
        <v>0.49568500556697076</v>
      </c>
      <c r="AD1756" s="39">
        <v>0.49257539598481942</v>
      </c>
      <c r="AE1756" s="39">
        <v>0.47656791079113092</v>
      </c>
      <c r="AF1756" s="40">
        <v>0.48223425858051477</v>
      </c>
    </row>
    <row r="1757" spans="1:32">
      <c r="A1757" s="15">
        <v>1755</v>
      </c>
      <c r="B1757" s="16">
        <v>0</v>
      </c>
      <c r="C1757" s="20">
        <v>0.92</v>
      </c>
      <c r="D1757" s="20">
        <v>0.20258497911151899</v>
      </c>
      <c r="E1757" s="20">
        <v>0.08</v>
      </c>
      <c r="F1757" s="8" t="s">
        <v>434</v>
      </c>
      <c r="G1757" s="24">
        <v>0.47929994819642052</v>
      </c>
      <c r="H1757" s="24">
        <v>0.48207497255176429</v>
      </c>
      <c r="I1757" s="25">
        <v>0.49050580586693288</v>
      </c>
      <c r="L1757" s="15">
        <v>1755</v>
      </c>
      <c r="M1757" s="16">
        <v>1</v>
      </c>
      <c r="N1757" s="16">
        <v>2</v>
      </c>
      <c r="O1757" s="16">
        <v>11</v>
      </c>
      <c r="P1757" s="16">
        <v>199</v>
      </c>
      <c r="Q1757" s="29">
        <v>64</v>
      </c>
      <c r="R1757" s="20">
        <v>0.62360000000000004</v>
      </c>
      <c r="S1757" s="32">
        <v>39.910400000000003</v>
      </c>
      <c r="T1757" s="35">
        <v>3.69</v>
      </c>
      <c r="U1757" s="35">
        <v>2.72</v>
      </c>
      <c r="V1757" s="35">
        <v>5.7656249999999999E-2</v>
      </c>
      <c r="W1757" s="9" t="s">
        <v>155</v>
      </c>
      <c r="X1757" s="15">
        <v>1756</v>
      </c>
      <c r="Y1757" s="39">
        <v>0.48441353346619653</v>
      </c>
      <c r="Z1757" s="39">
        <v>0.47803668928117515</v>
      </c>
      <c r="AA1757" s="39">
        <v>0.48646945326250968</v>
      </c>
      <c r="AB1757" s="39">
        <v>0.49064045510800591</v>
      </c>
      <c r="AC1757" s="39">
        <v>0.47549517002096336</v>
      </c>
      <c r="AD1757" s="39">
        <v>0.46971962507195986</v>
      </c>
      <c r="AE1757" s="39">
        <v>0.47891421532624012</v>
      </c>
      <c r="AF1757" s="40">
        <v>0.48515916408450432</v>
      </c>
    </row>
    <row r="1758" spans="1:32">
      <c r="A1758" s="15">
        <v>1756</v>
      </c>
      <c r="B1758" s="16">
        <v>0</v>
      </c>
      <c r="C1758" s="20">
        <v>0.88</v>
      </c>
      <c r="D1758" s="20">
        <v>0.25930874124763043</v>
      </c>
      <c r="E1758" s="20">
        <v>0.12</v>
      </c>
      <c r="F1758" s="8" t="s">
        <v>434</v>
      </c>
      <c r="G1758" s="24">
        <v>0.35491583945588934</v>
      </c>
      <c r="H1758" s="24">
        <v>0.35697071157155197</v>
      </c>
      <c r="I1758" s="25">
        <v>0.36321364210936108</v>
      </c>
      <c r="L1758" s="15">
        <v>1756</v>
      </c>
      <c r="M1758" s="16">
        <v>1</v>
      </c>
      <c r="N1758" s="16">
        <v>2</v>
      </c>
      <c r="O1758" s="16">
        <v>11</v>
      </c>
      <c r="P1758" s="16">
        <v>200</v>
      </c>
      <c r="Q1758" s="29">
        <v>47</v>
      </c>
      <c r="R1758" s="20">
        <v>0.62360000000000004</v>
      </c>
      <c r="S1758" s="32">
        <v>29.309200000000001</v>
      </c>
      <c r="T1758" s="35">
        <v>2.5499999999999998</v>
      </c>
      <c r="U1758" s="35">
        <v>1.83</v>
      </c>
      <c r="V1758" s="35">
        <v>5.4255319148936165E-2</v>
      </c>
      <c r="W1758" s="9" t="s">
        <v>154</v>
      </c>
      <c r="X1758" s="15">
        <v>1757</v>
      </c>
      <c r="Y1758" s="39">
        <v>0.49037254838470851</v>
      </c>
      <c r="Z1758" s="39">
        <v>0.47420695400912555</v>
      </c>
      <c r="AA1758" s="39">
        <v>0.4842585190422341</v>
      </c>
      <c r="AB1758" s="39">
        <v>0.49202709566228209</v>
      </c>
      <c r="AC1758" s="39">
        <v>0.48745590194433569</v>
      </c>
      <c r="AD1758" s="39">
        <v>0.46766719723106831</v>
      </c>
      <c r="AE1758" s="39">
        <v>0.47704013119351529</v>
      </c>
      <c r="AF1758" s="40">
        <v>0.48702839981683549</v>
      </c>
    </row>
    <row r="1759" spans="1:32">
      <c r="A1759" s="15">
        <v>1757</v>
      </c>
      <c r="B1759" s="16">
        <v>0</v>
      </c>
      <c r="C1759" s="20">
        <v>0.06</v>
      </c>
      <c r="D1759" s="20">
        <v>0.9544792937833334</v>
      </c>
      <c r="E1759" s="20">
        <v>0.52</v>
      </c>
      <c r="F1759" s="8" t="s">
        <v>436</v>
      </c>
      <c r="G1759" s="24">
        <v>1.2278550176787273</v>
      </c>
      <c r="H1759" s="24">
        <v>1.2349639848123795</v>
      </c>
      <c r="I1759" s="25">
        <v>1.2565618193796397</v>
      </c>
      <c r="L1759" s="15">
        <v>1757</v>
      </c>
      <c r="M1759" s="16">
        <v>1</v>
      </c>
      <c r="N1759" s="16">
        <v>2</v>
      </c>
      <c r="O1759" s="16">
        <v>11</v>
      </c>
      <c r="P1759" s="16">
        <v>201</v>
      </c>
      <c r="Q1759" s="29">
        <v>64</v>
      </c>
      <c r="R1759" s="20">
        <v>0.62360000000000004</v>
      </c>
      <c r="S1759" s="32">
        <v>39.910400000000003</v>
      </c>
      <c r="T1759" s="35">
        <v>3.9</v>
      </c>
      <c r="U1759" s="35">
        <v>3.19</v>
      </c>
      <c r="V1759" s="35">
        <v>6.0937499999999999E-2</v>
      </c>
      <c r="W1759" s="9" t="s">
        <v>155</v>
      </c>
      <c r="X1759" s="15">
        <v>1758</v>
      </c>
      <c r="Y1759" s="39">
        <v>0.49644661751798025</v>
      </c>
      <c r="Z1759" s="39">
        <v>0.49632350713724199</v>
      </c>
      <c r="AA1759" s="39">
        <v>0.47918552066975612</v>
      </c>
      <c r="AB1759" s="39">
        <v>0.47224300513703277</v>
      </c>
      <c r="AC1759" s="39">
        <v>0.48764321352952544</v>
      </c>
      <c r="AD1759" s="39">
        <v>0.48796571738089201</v>
      </c>
      <c r="AE1759" s="39">
        <v>0.47229514235802594</v>
      </c>
      <c r="AF1759" s="40">
        <v>0.46582615491924573</v>
      </c>
    </row>
    <row r="1760" spans="1:32">
      <c r="A1760" s="15">
        <v>1758</v>
      </c>
      <c r="B1760" s="16">
        <v>0</v>
      </c>
      <c r="C1760" s="20">
        <v>0.66</v>
      </c>
      <c r="D1760" s="20">
        <v>0.43616556427400549</v>
      </c>
      <c r="E1760" s="20">
        <v>0.06</v>
      </c>
      <c r="F1760" s="8" t="s">
        <v>438</v>
      </c>
      <c r="G1760" s="24">
        <v>1.3640352570893641</v>
      </c>
      <c r="H1760" s="24">
        <v>1.3719326730482313</v>
      </c>
      <c r="I1760" s="25">
        <v>1.3959259030325182</v>
      </c>
      <c r="L1760" s="15">
        <v>1758</v>
      </c>
      <c r="M1760" s="16">
        <v>1</v>
      </c>
      <c r="N1760" s="16">
        <v>2</v>
      </c>
      <c r="O1760" s="16">
        <v>11</v>
      </c>
      <c r="P1760" s="16">
        <v>202</v>
      </c>
      <c r="Q1760" s="29">
        <v>51</v>
      </c>
      <c r="R1760" s="20">
        <v>0.62360000000000004</v>
      </c>
      <c r="S1760" s="32">
        <v>31.803600000000003</v>
      </c>
      <c r="T1760" s="35">
        <v>2.11</v>
      </c>
      <c r="U1760" s="35">
        <v>1.33</v>
      </c>
      <c r="V1760" s="35">
        <v>4.1372549019607838E-2</v>
      </c>
      <c r="W1760" s="9" t="s">
        <v>154</v>
      </c>
      <c r="X1760" s="15">
        <v>1759</v>
      </c>
      <c r="Y1760" s="39">
        <v>0.49020400570507439</v>
      </c>
      <c r="Z1760" s="39">
        <v>0.48357396649465151</v>
      </c>
      <c r="AA1760" s="39">
        <v>0.47764345022912219</v>
      </c>
      <c r="AB1760" s="39">
        <v>0.48978829420311076</v>
      </c>
      <c r="AC1760" s="39">
        <v>0.4810216340902056</v>
      </c>
      <c r="AD1760" s="39">
        <v>0.47582265797905754</v>
      </c>
      <c r="AE1760" s="39">
        <v>0.46858355776823674</v>
      </c>
      <c r="AF1760" s="40">
        <v>0.48311543810173002</v>
      </c>
    </row>
    <row r="1761" spans="1:32">
      <c r="A1761" s="15">
        <v>1759</v>
      </c>
      <c r="B1761" s="16">
        <v>0</v>
      </c>
      <c r="C1761" s="20">
        <v>0.02</v>
      </c>
      <c r="D1761" s="20">
        <v>0.99679477127711513</v>
      </c>
      <c r="E1761" s="20">
        <v>1</v>
      </c>
      <c r="F1761" s="8" t="s">
        <v>436</v>
      </c>
      <c r="G1761" s="24">
        <v>0.9335021335545014</v>
      </c>
      <c r="H1761" s="24">
        <v>0.93890687262473704</v>
      </c>
      <c r="I1761" s="25">
        <v>0.95532707237015202</v>
      </c>
      <c r="L1761" s="15">
        <v>1759</v>
      </c>
      <c r="M1761" s="16">
        <v>1</v>
      </c>
      <c r="N1761" s="16">
        <v>2</v>
      </c>
      <c r="O1761" s="16">
        <v>11</v>
      </c>
      <c r="P1761" s="16">
        <v>203</v>
      </c>
      <c r="Q1761" s="29">
        <v>63</v>
      </c>
      <c r="R1761" s="20">
        <v>0.62360000000000004</v>
      </c>
      <c r="S1761" s="32">
        <v>39.286799999999999</v>
      </c>
      <c r="T1761" s="35">
        <v>2.57</v>
      </c>
      <c r="U1761" s="35">
        <v>1.61</v>
      </c>
      <c r="V1761" s="35">
        <v>4.0793650793650792E-2</v>
      </c>
      <c r="W1761" s="9" t="s">
        <v>154</v>
      </c>
      <c r="X1761" s="15">
        <v>1760</v>
      </c>
      <c r="Y1761" s="39">
        <v>0.49240037688378896</v>
      </c>
      <c r="Z1761" s="39">
        <v>0.47345529576342221</v>
      </c>
      <c r="AA1761" s="39">
        <v>0.49054379313944857</v>
      </c>
      <c r="AB1761" s="39">
        <v>0.49343266783476158</v>
      </c>
      <c r="AC1761" s="39">
        <v>0.48374877587807014</v>
      </c>
      <c r="AD1761" s="39">
        <v>0.46654595181515141</v>
      </c>
      <c r="AE1761" s="39">
        <v>0.48244042213380095</v>
      </c>
      <c r="AF1761" s="40">
        <v>0.48900955815799335</v>
      </c>
    </row>
    <row r="1762" spans="1:32">
      <c r="A1762" s="15">
        <v>1760</v>
      </c>
      <c r="B1762" s="16">
        <v>1</v>
      </c>
      <c r="C1762" s="20">
        <v>0.26</v>
      </c>
      <c r="D1762" s="20">
        <v>0.78352945090465065</v>
      </c>
      <c r="E1762" s="20">
        <v>0.1</v>
      </c>
      <c r="F1762" s="8" t="s">
        <v>436</v>
      </c>
      <c r="G1762" s="24">
        <v>0.89005427559177275</v>
      </c>
      <c r="H1762" s="24">
        <v>0.89520746265477835</v>
      </c>
      <c r="I1762" s="25">
        <v>0.91086341936248116</v>
      </c>
      <c r="L1762" s="15">
        <v>1760</v>
      </c>
      <c r="M1762" s="16">
        <v>1</v>
      </c>
      <c r="N1762" s="16">
        <v>2</v>
      </c>
      <c r="O1762" s="16">
        <v>11</v>
      </c>
      <c r="P1762" s="16">
        <v>204</v>
      </c>
      <c r="Q1762" s="29">
        <v>57</v>
      </c>
      <c r="R1762" s="20">
        <v>0.62360000000000004</v>
      </c>
      <c r="S1762" s="32">
        <v>35.545200000000001</v>
      </c>
      <c r="T1762" s="35">
        <v>2.64</v>
      </c>
      <c r="U1762" s="35">
        <v>1.74</v>
      </c>
      <c r="V1762" s="35">
        <v>4.6315789473684213E-2</v>
      </c>
      <c r="W1762" s="9" t="s">
        <v>154</v>
      </c>
      <c r="X1762" s="15">
        <v>1761</v>
      </c>
      <c r="Y1762" s="39">
        <v>0.48953253605166214</v>
      </c>
      <c r="Z1762" s="39">
        <v>0.50704559124653059</v>
      </c>
      <c r="AA1762" s="39">
        <v>0.48325596914384472</v>
      </c>
      <c r="AB1762" s="39">
        <v>0.49219262911893891</v>
      </c>
      <c r="AC1762" s="39">
        <v>0.48311231761519524</v>
      </c>
      <c r="AD1762" s="39">
        <v>0.50035165058098641</v>
      </c>
      <c r="AE1762" s="39">
        <v>0.47677905406189613</v>
      </c>
      <c r="AF1762" s="40">
        <v>0.48719807629314171</v>
      </c>
    </row>
    <row r="1763" spans="1:32">
      <c r="A1763" s="15">
        <v>1761</v>
      </c>
      <c r="B1763" s="16">
        <v>1</v>
      </c>
      <c r="C1763" s="20">
        <v>0.9</v>
      </c>
      <c r="D1763" s="20">
        <v>0.231595386583653</v>
      </c>
      <c r="E1763" s="20">
        <v>0.1</v>
      </c>
      <c r="F1763" s="8" t="s">
        <v>434</v>
      </c>
      <c r="G1763" s="24">
        <v>1.1789827924841301</v>
      </c>
      <c r="H1763" s="24">
        <v>1.1858088019088879</v>
      </c>
      <c r="I1763" s="25">
        <v>1.2065469794160808</v>
      </c>
      <c r="L1763" s="15">
        <v>1761</v>
      </c>
      <c r="M1763" s="16">
        <v>1</v>
      </c>
      <c r="N1763" s="16">
        <v>2</v>
      </c>
      <c r="O1763" s="16">
        <v>11</v>
      </c>
      <c r="P1763" s="16">
        <v>205</v>
      </c>
      <c r="Q1763" s="29">
        <v>57</v>
      </c>
      <c r="R1763" s="20">
        <v>0.62360000000000004</v>
      </c>
      <c r="S1763" s="32">
        <v>35.545200000000001</v>
      </c>
      <c r="T1763" s="35">
        <v>1.07</v>
      </c>
      <c r="U1763" s="35">
        <v>0.28000000000000003</v>
      </c>
      <c r="V1763" s="35">
        <v>1.8771929824561405E-2</v>
      </c>
      <c r="W1763" s="9" t="s">
        <v>153</v>
      </c>
      <c r="X1763" s="15">
        <v>1762</v>
      </c>
      <c r="Y1763" s="39">
        <v>0.47853268554907658</v>
      </c>
      <c r="Z1763" s="39">
        <v>0.48734098607399967</v>
      </c>
      <c r="AA1763" s="39">
        <v>0.47890688004889076</v>
      </c>
      <c r="AB1763" s="39">
        <v>0.48920169816152032</v>
      </c>
      <c r="AC1763" s="39">
        <v>0.47099336466456826</v>
      </c>
      <c r="AD1763" s="39">
        <v>0.47687749387188388</v>
      </c>
      <c r="AE1763" s="39">
        <v>0.47272566501626978</v>
      </c>
      <c r="AF1763" s="40">
        <v>0.4852331472362918</v>
      </c>
    </row>
    <row r="1764" spans="1:32">
      <c r="A1764" s="15">
        <v>1762</v>
      </c>
      <c r="B1764" s="16">
        <v>1</v>
      </c>
      <c r="C1764" s="20">
        <v>0.34</v>
      </c>
      <c r="D1764" s="20">
        <v>0.73851045877336419</v>
      </c>
      <c r="E1764" s="20">
        <v>0.06</v>
      </c>
      <c r="F1764" s="8" t="s">
        <v>436</v>
      </c>
      <c r="G1764" s="24">
        <v>0.79574763070292742</v>
      </c>
      <c r="H1764" s="24">
        <v>0.80035480636446699</v>
      </c>
      <c r="I1764" s="25">
        <v>0.81435191957226438</v>
      </c>
      <c r="L1764" s="15">
        <v>1762</v>
      </c>
      <c r="M1764" s="16">
        <v>1</v>
      </c>
      <c r="N1764" s="16">
        <v>2</v>
      </c>
      <c r="O1764" s="16">
        <v>12</v>
      </c>
      <c r="P1764" s="16">
        <v>206</v>
      </c>
      <c r="Q1764" s="29">
        <v>45</v>
      </c>
      <c r="R1764" s="20">
        <v>0.62360000000000004</v>
      </c>
      <c r="S1764" s="32">
        <v>28.062000000000001</v>
      </c>
      <c r="T1764" s="35">
        <v>0.8</v>
      </c>
      <c r="U1764" s="35">
        <v>0.16</v>
      </c>
      <c r="V1764" s="35">
        <v>1.7777777777777778E-2</v>
      </c>
      <c r="W1764" s="9" t="s">
        <v>152</v>
      </c>
      <c r="X1764" s="15">
        <v>1763</v>
      </c>
      <c r="Y1764" s="39">
        <v>0.48445479157084798</v>
      </c>
      <c r="Z1764" s="39">
        <v>0.48155940739765563</v>
      </c>
      <c r="AA1764" s="39">
        <v>0.48268169287448875</v>
      </c>
      <c r="AB1764" s="39">
        <v>0.48856131352286142</v>
      </c>
      <c r="AC1764" s="39">
        <v>0.47523729398853864</v>
      </c>
      <c r="AD1764" s="39">
        <v>0.47342327642714899</v>
      </c>
      <c r="AE1764" s="39">
        <v>0.4767640191925247</v>
      </c>
      <c r="AF1764" s="40">
        <v>0.48621954793983141</v>
      </c>
    </row>
    <row r="1765" spans="1:32">
      <c r="A1765" s="15">
        <v>1763</v>
      </c>
      <c r="B1765" s="16">
        <v>0</v>
      </c>
      <c r="C1765" s="20">
        <v>0.36</v>
      </c>
      <c r="D1765" s="20">
        <v>0.65060177162864463</v>
      </c>
      <c r="E1765" s="20">
        <v>0.04</v>
      </c>
      <c r="F1765" s="8" t="s">
        <v>436</v>
      </c>
      <c r="G1765" s="24">
        <v>0.64562137181806456</v>
      </c>
      <c r="H1765" s="24">
        <v>0.6493593547614539</v>
      </c>
      <c r="I1765" s="25">
        <v>0.66071576360520767</v>
      </c>
      <c r="L1765" s="15">
        <v>1763</v>
      </c>
      <c r="M1765" s="16">
        <v>1</v>
      </c>
      <c r="N1765" s="16">
        <v>2</v>
      </c>
      <c r="O1765" s="16">
        <v>12</v>
      </c>
      <c r="P1765" s="16">
        <v>207</v>
      </c>
      <c r="Q1765" s="29">
        <v>50</v>
      </c>
      <c r="R1765" s="20">
        <v>0.62360000000000004</v>
      </c>
      <c r="S1765" s="32">
        <v>31.180000000000003</v>
      </c>
      <c r="T1765" s="35">
        <v>2.34</v>
      </c>
      <c r="U1765" s="35">
        <v>1.55</v>
      </c>
      <c r="V1765" s="35">
        <v>4.6799999999999994E-2</v>
      </c>
      <c r="W1765" s="9" t="s">
        <v>154</v>
      </c>
      <c r="X1765" s="15">
        <v>1764</v>
      </c>
      <c r="Y1765" s="39">
        <v>0.48101896206277939</v>
      </c>
      <c r="Z1765" s="39">
        <v>0.48518542364487893</v>
      </c>
      <c r="AA1765" s="39">
        <v>0.48851269388288582</v>
      </c>
      <c r="AB1765" s="39">
        <v>0.49108999651050889</v>
      </c>
      <c r="AC1765" s="39">
        <v>0.47421994375004889</v>
      </c>
      <c r="AD1765" s="39">
        <v>0.47589288163897614</v>
      </c>
      <c r="AE1765" s="39">
        <v>0.48230118163546409</v>
      </c>
      <c r="AF1765" s="40">
        <v>0.48654359467156655</v>
      </c>
    </row>
    <row r="1766" spans="1:32">
      <c r="A1766" s="15">
        <v>1764</v>
      </c>
      <c r="B1766" s="16">
        <v>0</v>
      </c>
      <c r="C1766" s="20">
        <v>0.9</v>
      </c>
      <c r="D1766" s="20">
        <v>0.231595386583653</v>
      </c>
      <c r="E1766" s="20">
        <v>0.1</v>
      </c>
      <c r="F1766" s="8" t="s">
        <v>434</v>
      </c>
      <c r="G1766" s="24">
        <v>0.36540900463386061</v>
      </c>
      <c r="H1766" s="24">
        <v>0.36752462949744885</v>
      </c>
      <c r="I1766" s="25">
        <v>0.37395213365538221</v>
      </c>
      <c r="L1766" s="15">
        <v>1764</v>
      </c>
      <c r="M1766" s="16">
        <v>1</v>
      </c>
      <c r="N1766" s="16">
        <v>2</v>
      </c>
      <c r="O1766" s="16">
        <v>12</v>
      </c>
      <c r="P1766" s="16">
        <v>208</v>
      </c>
      <c r="Q1766" s="29">
        <v>50</v>
      </c>
      <c r="R1766" s="20">
        <v>0.62360000000000004</v>
      </c>
      <c r="S1766" s="32">
        <v>31.180000000000003</v>
      </c>
      <c r="T1766" s="35">
        <v>1.27</v>
      </c>
      <c r="U1766" s="35">
        <v>0.38</v>
      </c>
      <c r="V1766" s="35">
        <v>2.5399999999999999E-2</v>
      </c>
      <c r="W1766" s="9" t="s">
        <v>153</v>
      </c>
      <c r="X1766" s="15">
        <v>1765</v>
      </c>
      <c r="Y1766" s="39">
        <v>0.49128159212279648</v>
      </c>
      <c r="Z1766" s="39">
        <v>0.49630089980085507</v>
      </c>
      <c r="AA1766" s="39">
        <v>0.47536307771844516</v>
      </c>
      <c r="AB1766" s="39">
        <v>0.47676655301453325</v>
      </c>
      <c r="AC1766" s="39">
        <v>0.48471370752258885</v>
      </c>
      <c r="AD1766" s="39">
        <v>0.48711092417538004</v>
      </c>
      <c r="AE1766" s="39">
        <v>0.46685989956134488</v>
      </c>
      <c r="AF1766" s="40">
        <v>0.4693638076234925</v>
      </c>
    </row>
    <row r="1767" spans="1:32">
      <c r="A1767" s="15">
        <v>1765</v>
      </c>
      <c r="B1767" s="16">
        <v>0</v>
      </c>
      <c r="C1767" s="20">
        <v>0.02</v>
      </c>
      <c r="D1767" s="20">
        <v>0.99835916395484214</v>
      </c>
      <c r="E1767" s="20">
        <v>1</v>
      </c>
      <c r="F1767" s="8" t="s">
        <v>436</v>
      </c>
      <c r="G1767" s="24">
        <v>0.92098247900516206</v>
      </c>
      <c r="H1767" s="24">
        <v>0.92631473247128771</v>
      </c>
      <c r="I1767" s="25">
        <v>0.94251471287166377</v>
      </c>
      <c r="L1767" s="15">
        <v>1765</v>
      </c>
      <c r="M1767" s="16">
        <v>1</v>
      </c>
      <c r="N1767" s="16">
        <v>2</v>
      </c>
      <c r="O1767" s="16">
        <v>12</v>
      </c>
      <c r="P1767" s="16">
        <v>209</v>
      </c>
      <c r="Q1767" s="29">
        <v>43</v>
      </c>
      <c r="R1767" s="20">
        <v>0.62360000000000004</v>
      </c>
      <c r="S1767" s="32">
        <v>26.814800000000002</v>
      </c>
      <c r="T1767" s="35">
        <v>2.0500000000000003</v>
      </c>
      <c r="U1767" s="35">
        <v>1.36</v>
      </c>
      <c r="V1767" s="35">
        <v>4.7674418604651166E-2</v>
      </c>
      <c r="W1767" s="9" t="s">
        <v>154</v>
      </c>
      <c r="X1767" s="15">
        <v>1766</v>
      </c>
      <c r="Y1767" s="39">
        <v>0.4856301666029415</v>
      </c>
      <c r="Z1767" s="39">
        <v>0.49851867163745944</v>
      </c>
      <c r="AA1767" s="39">
        <v>0.48992401251534645</v>
      </c>
      <c r="AB1767" s="39">
        <v>0.49124924394974306</v>
      </c>
      <c r="AC1767" s="39">
        <v>0.47954439681499283</v>
      </c>
      <c r="AD1767" s="39">
        <v>0.49324157977516137</v>
      </c>
      <c r="AE1767" s="39">
        <v>0.48401505676730189</v>
      </c>
      <c r="AF1767" s="40">
        <v>0.48377767070283995</v>
      </c>
    </row>
    <row r="1768" spans="1:32">
      <c r="A1768" s="15">
        <v>1766</v>
      </c>
      <c r="B1768" s="16">
        <v>0</v>
      </c>
      <c r="C1768" s="20">
        <v>0.52</v>
      </c>
      <c r="D1768" s="20">
        <v>0.56853180810726289</v>
      </c>
      <c r="E1768" s="20">
        <v>7.0000000000000007E-2</v>
      </c>
      <c r="F1768" s="8" t="s">
        <v>438</v>
      </c>
      <c r="G1768" s="24">
        <v>1.1280720877620185</v>
      </c>
      <c r="H1768" s="24">
        <v>1.1346033372017539</v>
      </c>
      <c r="I1768" s="25">
        <v>1.1544460010184383</v>
      </c>
      <c r="L1768" s="15">
        <v>1766</v>
      </c>
      <c r="M1768" s="16">
        <v>1</v>
      </c>
      <c r="N1768" s="16">
        <v>2</v>
      </c>
      <c r="O1768" s="16">
        <v>12</v>
      </c>
      <c r="P1768" s="16">
        <v>210</v>
      </c>
      <c r="Q1768" s="29">
        <v>46</v>
      </c>
      <c r="R1768" s="20">
        <v>0.62360000000000004</v>
      </c>
      <c r="S1768" s="32">
        <v>28.685600000000001</v>
      </c>
      <c r="T1768" s="35">
        <v>1.96</v>
      </c>
      <c r="U1768" s="35">
        <v>1.3</v>
      </c>
      <c r="V1768" s="35">
        <v>4.2608695652173914E-2</v>
      </c>
      <c r="W1768" s="9" t="s">
        <v>153</v>
      </c>
      <c r="X1768" s="15">
        <v>1767</v>
      </c>
      <c r="Y1768" s="39">
        <v>0.48301040586712674</v>
      </c>
      <c r="Z1768" s="39">
        <v>0.47441663578327303</v>
      </c>
      <c r="AA1768" s="39">
        <v>0.49163657858122661</v>
      </c>
      <c r="AB1768" s="39">
        <v>0.49898072815387662</v>
      </c>
      <c r="AC1768" s="39">
        <v>0.47685835450627823</v>
      </c>
      <c r="AD1768" s="39">
        <v>0.47112063160323581</v>
      </c>
      <c r="AE1768" s="39">
        <v>0.48391697336618916</v>
      </c>
      <c r="AF1768" s="40">
        <v>0.49527533869578438</v>
      </c>
    </row>
    <row r="1769" spans="1:32">
      <c r="A1769" s="15">
        <v>1767</v>
      </c>
      <c r="B1769" s="16">
        <v>0</v>
      </c>
      <c r="C1769" s="20">
        <v>0.93</v>
      </c>
      <c r="D1769" s="20">
        <v>0.18747949848141848</v>
      </c>
      <c r="E1769" s="20">
        <v>7.0000000000000007E-2</v>
      </c>
      <c r="F1769" s="8" t="s">
        <v>434</v>
      </c>
      <c r="G1769" s="24">
        <v>1.4590423805912078</v>
      </c>
      <c r="H1769" s="24">
        <v>1.467489863543908</v>
      </c>
      <c r="I1769" s="25">
        <v>1.4931542583697766</v>
      </c>
      <c r="L1769" s="15">
        <v>1767</v>
      </c>
      <c r="M1769" s="16">
        <v>1</v>
      </c>
      <c r="N1769" s="16">
        <v>2</v>
      </c>
      <c r="O1769" s="16">
        <v>12</v>
      </c>
      <c r="P1769" s="16">
        <v>211</v>
      </c>
      <c r="Q1769" s="29">
        <v>44</v>
      </c>
      <c r="R1769" s="20">
        <v>0.62360000000000004</v>
      </c>
      <c r="S1769" s="32">
        <v>27.438400000000001</v>
      </c>
      <c r="T1769" s="35">
        <v>2.19</v>
      </c>
      <c r="U1769" s="35">
        <v>1.51</v>
      </c>
      <c r="V1769" s="35">
        <v>4.9772727272727274E-2</v>
      </c>
      <c r="W1769" s="9" t="s">
        <v>154</v>
      </c>
      <c r="X1769" s="15">
        <v>1768</v>
      </c>
      <c r="Y1769" s="39">
        <v>0.4808618463565057</v>
      </c>
      <c r="Z1769" s="39">
        <v>0.48692571807945301</v>
      </c>
      <c r="AA1769" s="39">
        <v>0.48618964940932252</v>
      </c>
      <c r="AB1769" s="39">
        <v>0.49777391473413801</v>
      </c>
      <c r="AC1769" s="39">
        <v>0.47442285596020078</v>
      </c>
      <c r="AD1769" s="39">
        <v>0.47644367260758586</v>
      </c>
      <c r="AE1769" s="39">
        <v>0.48071869939963896</v>
      </c>
      <c r="AF1769" s="40">
        <v>0.49296898085219054</v>
      </c>
    </row>
    <row r="1770" spans="1:32">
      <c r="A1770" s="15">
        <v>1768</v>
      </c>
      <c r="B1770" s="16">
        <v>1</v>
      </c>
      <c r="C1770" s="20">
        <v>0.94</v>
      </c>
      <c r="D1770" s="20">
        <v>0.17188516685452584</v>
      </c>
      <c r="E1770" s="20">
        <v>0.06</v>
      </c>
      <c r="F1770" s="8" t="s">
        <v>434</v>
      </c>
      <c r="G1770" s="24">
        <v>0.8764729871618363</v>
      </c>
      <c r="H1770" s="24">
        <v>0.88154754203155283</v>
      </c>
      <c r="I1770" s="25">
        <v>0.89696460537114886</v>
      </c>
      <c r="L1770" s="15">
        <v>1768</v>
      </c>
      <c r="M1770" s="16">
        <v>1</v>
      </c>
      <c r="N1770" s="16">
        <v>2</v>
      </c>
      <c r="O1770" s="16">
        <v>12</v>
      </c>
      <c r="P1770" s="16">
        <v>212</v>
      </c>
      <c r="Q1770" s="29">
        <v>14</v>
      </c>
      <c r="R1770" s="20">
        <v>0.62360000000000004</v>
      </c>
      <c r="S1770" s="32">
        <v>8.7304000000000013</v>
      </c>
      <c r="T1770" s="35">
        <v>0.18</v>
      </c>
      <c r="U1770" s="35">
        <v>0</v>
      </c>
      <c r="V1770" s="35">
        <v>1.2857142857142857E-2</v>
      </c>
      <c r="W1770" s="9" t="s">
        <v>152</v>
      </c>
      <c r="X1770" s="15">
        <v>1769</v>
      </c>
      <c r="Y1770" s="39">
        <v>0.48861001978328455</v>
      </c>
      <c r="Z1770" s="39">
        <v>0.47019593564861734</v>
      </c>
      <c r="AA1770" s="39">
        <v>0.49765317996218905</v>
      </c>
      <c r="AB1770" s="39">
        <v>0.49219554378644903</v>
      </c>
      <c r="AC1770" s="39">
        <v>0.4818722170202579</v>
      </c>
      <c r="AD1770" s="39">
        <v>0.46584326778667828</v>
      </c>
      <c r="AE1770" s="39">
        <v>0.48964930915240934</v>
      </c>
      <c r="AF1770" s="40">
        <v>0.48830346173404415</v>
      </c>
    </row>
    <row r="1771" spans="1:32">
      <c r="A1771" s="15">
        <v>1769</v>
      </c>
      <c r="B1771" s="16">
        <v>1</v>
      </c>
      <c r="C1771" s="20">
        <v>0.32</v>
      </c>
      <c r="D1771" s="20">
        <v>0.60695572680136212</v>
      </c>
      <c r="E1771" s="20">
        <v>0.08</v>
      </c>
      <c r="F1771" s="8" t="s">
        <v>436</v>
      </c>
      <c r="G1771" s="24">
        <v>1.4699803179079391</v>
      </c>
      <c r="H1771" s="24">
        <v>1.4784911287257172</v>
      </c>
      <c r="I1771" s="25">
        <v>1.5043479206646588</v>
      </c>
      <c r="L1771" s="15">
        <v>1769</v>
      </c>
      <c r="M1771" s="16">
        <v>1</v>
      </c>
      <c r="N1771" s="16">
        <v>2</v>
      </c>
      <c r="O1771" s="16">
        <v>12</v>
      </c>
      <c r="P1771" s="16">
        <v>213</v>
      </c>
      <c r="Q1771" s="29">
        <v>43</v>
      </c>
      <c r="R1771" s="20">
        <v>0.62360000000000004</v>
      </c>
      <c r="S1771" s="32">
        <v>26.814800000000002</v>
      </c>
      <c r="T1771" s="35">
        <v>1.21</v>
      </c>
      <c r="U1771" s="35">
        <v>0.55000000000000004</v>
      </c>
      <c r="V1771" s="35">
        <v>2.8139534883720931E-2</v>
      </c>
      <c r="W1771" s="9" t="s">
        <v>153</v>
      </c>
      <c r="X1771" s="15">
        <v>1770</v>
      </c>
      <c r="Y1771" s="39">
        <v>0.48320239799608733</v>
      </c>
      <c r="Z1771" s="39">
        <v>0.48624585499625994</v>
      </c>
      <c r="AA1771" s="39">
        <v>0.47934465065513099</v>
      </c>
      <c r="AB1771" s="39">
        <v>0.48193430155498412</v>
      </c>
      <c r="AC1771" s="39">
        <v>0.47427342612625545</v>
      </c>
      <c r="AD1771" s="39">
        <v>0.48018096492335954</v>
      </c>
      <c r="AE1771" s="39">
        <v>0.47227027490129397</v>
      </c>
      <c r="AF1771" s="40">
        <v>0.47808405723827402</v>
      </c>
    </row>
    <row r="1772" spans="1:32">
      <c r="A1772" s="15">
        <v>1770</v>
      </c>
      <c r="B1772" s="16">
        <v>1</v>
      </c>
      <c r="C1772" s="20">
        <v>0.02</v>
      </c>
      <c r="D1772" s="20">
        <v>0.99835916395484214</v>
      </c>
      <c r="E1772" s="20">
        <v>1</v>
      </c>
      <c r="F1772" s="8" t="s">
        <v>436</v>
      </c>
      <c r="G1772" s="24">
        <v>1.0170883872590573</v>
      </c>
      <c r="H1772" s="24">
        <v>1.0229770694022577</v>
      </c>
      <c r="I1772" s="25">
        <v>1.0408675421470217</v>
      </c>
      <c r="L1772" s="15">
        <v>1770</v>
      </c>
      <c r="M1772" s="16">
        <v>1</v>
      </c>
      <c r="N1772" s="16">
        <v>2</v>
      </c>
      <c r="O1772" s="16">
        <v>12</v>
      </c>
      <c r="P1772" s="16">
        <v>214</v>
      </c>
      <c r="Q1772" s="29">
        <v>44</v>
      </c>
      <c r="R1772" s="20">
        <v>0.62360000000000004</v>
      </c>
      <c r="S1772" s="32">
        <v>27.438400000000001</v>
      </c>
      <c r="T1772" s="35">
        <v>1.53</v>
      </c>
      <c r="U1772" s="35">
        <v>0.92</v>
      </c>
      <c r="V1772" s="35">
        <v>3.4772727272727275E-2</v>
      </c>
      <c r="W1772" s="9" t="s">
        <v>153</v>
      </c>
      <c r="X1772" s="15">
        <v>1771</v>
      </c>
      <c r="Y1772" s="39">
        <v>0.47439173662095546</v>
      </c>
      <c r="Z1772" s="39">
        <v>0.49985298209376927</v>
      </c>
      <c r="AA1772" s="39">
        <v>0.48140017155833298</v>
      </c>
      <c r="AB1772" s="39">
        <v>0.47576406200810151</v>
      </c>
      <c r="AC1772" s="39">
        <v>0.47001126880349398</v>
      </c>
      <c r="AD1772" s="39">
        <v>0.49297336174355372</v>
      </c>
      <c r="AE1772" s="39">
        <v>0.47337676251089322</v>
      </c>
      <c r="AF1772" s="40">
        <v>0.47149914772600915</v>
      </c>
    </row>
    <row r="1773" spans="1:32">
      <c r="A1773" s="15">
        <v>1771</v>
      </c>
      <c r="B1773" s="16">
        <v>1</v>
      </c>
      <c r="C1773" s="20">
        <v>0.23</v>
      </c>
      <c r="D1773" s="20">
        <v>0.81640171440897602</v>
      </c>
      <c r="E1773" s="20">
        <v>0.05</v>
      </c>
      <c r="F1773" s="8" t="s">
        <v>436</v>
      </c>
      <c r="G1773" s="24">
        <v>0.85553027861571007</v>
      </c>
      <c r="H1773" s="24">
        <v>0.86048358054871943</v>
      </c>
      <c r="I1773" s="25">
        <v>0.87553226395089867</v>
      </c>
      <c r="L1773" s="15">
        <v>1771</v>
      </c>
      <c r="M1773" s="16">
        <v>1</v>
      </c>
      <c r="N1773" s="16">
        <v>2</v>
      </c>
      <c r="O1773" s="16">
        <v>12</v>
      </c>
      <c r="P1773" s="16">
        <v>215</v>
      </c>
      <c r="Q1773" s="29">
        <v>48</v>
      </c>
      <c r="R1773" s="20">
        <v>0.62360000000000004</v>
      </c>
      <c r="S1773" s="32">
        <v>29.9328</v>
      </c>
      <c r="T1773" s="35">
        <v>2.41</v>
      </c>
      <c r="U1773" s="35">
        <v>1.89</v>
      </c>
      <c r="V1773" s="35">
        <v>5.0208333333333334E-2</v>
      </c>
      <c r="W1773" s="9" t="s">
        <v>154</v>
      </c>
      <c r="X1773" s="15">
        <v>1772</v>
      </c>
      <c r="Y1773" s="39">
        <v>0.47676957904581302</v>
      </c>
      <c r="Z1773" s="39">
        <v>0.49321881620218866</v>
      </c>
      <c r="AA1773" s="39">
        <v>0.48883991260971499</v>
      </c>
      <c r="AB1773" s="39">
        <v>0.46867830840159758</v>
      </c>
      <c r="AC1773" s="39">
        <v>0.46750263630928551</v>
      </c>
      <c r="AD1773" s="39">
        <v>0.48573996415901072</v>
      </c>
      <c r="AE1773" s="39">
        <v>0.48263484516064509</v>
      </c>
      <c r="AF1773" s="40">
        <v>0.46441281324158695</v>
      </c>
    </row>
    <row r="1774" spans="1:32">
      <c r="A1774" s="15">
        <v>1772</v>
      </c>
      <c r="B1774" s="16">
        <v>0</v>
      </c>
      <c r="C1774" s="20">
        <v>0.02</v>
      </c>
      <c r="D1774" s="20">
        <v>0.99756714174924133</v>
      </c>
      <c r="E1774" s="20">
        <v>1</v>
      </c>
      <c r="F1774" s="8" t="s">
        <v>436</v>
      </c>
      <c r="G1774" s="24">
        <v>1.0021370097429472</v>
      </c>
      <c r="H1774" s="24">
        <v>1.0079391272267746</v>
      </c>
      <c r="I1774" s="25">
        <v>1.0255666068872604</v>
      </c>
      <c r="L1774" s="15">
        <v>1772</v>
      </c>
      <c r="M1774" s="16">
        <v>1</v>
      </c>
      <c r="N1774" s="16">
        <v>2</v>
      </c>
      <c r="O1774" s="16">
        <v>12</v>
      </c>
      <c r="P1774" s="16">
        <v>216</v>
      </c>
      <c r="Q1774" s="29">
        <v>45</v>
      </c>
      <c r="R1774" s="20">
        <v>0.62360000000000004</v>
      </c>
      <c r="S1774" s="32">
        <v>28.062000000000001</v>
      </c>
      <c r="T1774" s="35">
        <v>1.4100000000000001</v>
      </c>
      <c r="U1774" s="35">
        <v>0.78</v>
      </c>
      <c r="V1774" s="35">
        <v>3.1333333333333338E-2</v>
      </c>
      <c r="W1774" s="9" t="s">
        <v>153</v>
      </c>
      <c r="X1774" s="15">
        <v>1773</v>
      </c>
      <c r="Y1774" s="39">
        <v>0.49232820710841213</v>
      </c>
      <c r="Z1774" s="39">
        <v>0.48509629139457339</v>
      </c>
      <c r="AA1774" s="39">
        <v>0.48985797458843899</v>
      </c>
      <c r="AB1774" s="39">
        <v>0.48596682053911633</v>
      </c>
      <c r="AC1774" s="39">
        <v>0.48448124704552731</v>
      </c>
      <c r="AD1774" s="39">
        <v>0.47719074987579368</v>
      </c>
      <c r="AE1774" s="39">
        <v>0.48011363866082157</v>
      </c>
      <c r="AF1774" s="40">
        <v>0.482962104432823</v>
      </c>
    </row>
    <row r="1775" spans="1:32">
      <c r="A1775" s="15">
        <v>1773</v>
      </c>
      <c r="B1775" s="16">
        <v>0</v>
      </c>
      <c r="C1775" s="20">
        <v>0.6</v>
      </c>
      <c r="D1775" s="20">
        <v>0.45146125670744386</v>
      </c>
      <c r="E1775" s="20">
        <v>0.08</v>
      </c>
      <c r="F1775" s="8" t="s">
        <v>438</v>
      </c>
      <c r="G1775" s="24">
        <v>0.77102762755289855</v>
      </c>
      <c r="H1775" s="24">
        <v>0.77549168070615571</v>
      </c>
      <c r="I1775" s="25">
        <v>0.78905397178035475</v>
      </c>
      <c r="L1775" s="15">
        <v>1773</v>
      </c>
      <c r="M1775" s="16">
        <v>1</v>
      </c>
      <c r="N1775" s="16">
        <v>2</v>
      </c>
      <c r="O1775" s="16">
        <v>12</v>
      </c>
      <c r="P1775" s="16">
        <v>217</v>
      </c>
      <c r="Q1775" s="29">
        <v>30</v>
      </c>
      <c r="R1775" s="20">
        <v>0.62360000000000004</v>
      </c>
      <c r="S1775" s="32">
        <v>18.708000000000002</v>
      </c>
      <c r="T1775" s="35">
        <v>1.1400000000000001</v>
      </c>
      <c r="U1775" s="35">
        <v>0.74</v>
      </c>
      <c r="V1775" s="35">
        <v>3.8000000000000006E-2</v>
      </c>
      <c r="W1775" s="9" t="s">
        <v>153</v>
      </c>
      <c r="X1775" s="15">
        <v>1774</v>
      </c>
      <c r="Y1775" s="39">
        <v>0.48759362909506271</v>
      </c>
      <c r="Z1775" s="39">
        <v>0.49536942327474354</v>
      </c>
      <c r="AA1775" s="39">
        <v>0.48628196158533304</v>
      </c>
      <c r="AB1775" s="39">
        <v>0.49087889252020755</v>
      </c>
      <c r="AC1775" s="39">
        <v>0.48193215465635147</v>
      </c>
      <c r="AD1775" s="39">
        <v>0.48664827157006901</v>
      </c>
      <c r="AE1775" s="39">
        <v>0.47672094576759444</v>
      </c>
      <c r="AF1775" s="40">
        <v>0.48710413535557223</v>
      </c>
    </row>
    <row r="1776" spans="1:32">
      <c r="A1776" s="15">
        <v>1774</v>
      </c>
      <c r="B1776" s="16">
        <v>1</v>
      </c>
      <c r="C1776" s="20">
        <v>0.92</v>
      </c>
      <c r="D1776" s="20">
        <v>0.20258497911151899</v>
      </c>
      <c r="E1776" s="20">
        <v>0.09</v>
      </c>
      <c r="F1776" s="8" t="s">
        <v>434</v>
      </c>
      <c r="G1776" s="24">
        <v>0.3515442466891287</v>
      </c>
      <c r="H1776" s="24">
        <v>0.35357959814329476</v>
      </c>
      <c r="I1776" s="25">
        <v>0.35976322273556777</v>
      </c>
      <c r="L1776" s="15">
        <v>1774</v>
      </c>
      <c r="M1776" s="16">
        <v>1</v>
      </c>
      <c r="N1776" s="16">
        <v>2</v>
      </c>
      <c r="O1776" s="16">
        <v>12</v>
      </c>
      <c r="P1776" s="16">
        <v>218</v>
      </c>
      <c r="Q1776" s="29">
        <v>44</v>
      </c>
      <c r="R1776" s="20">
        <v>0.62360000000000004</v>
      </c>
      <c r="S1776" s="32">
        <v>27.438400000000001</v>
      </c>
      <c r="T1776" s="35">
        <v>1.1000000000000001</v>
      </c>
      <c r="U1776" s="35">
        <v>0.52</v>
      </c>
      <c r="V1776" s="35">
        <v>2.5000000000000001E-2</v>
      </c>
      <c r="W1776" s="9" t="s">
        <v>153</v>
      </c>
      <c r="X1776" s="15">
        <v>1775</v>
      </c>
      <c r="Y1776" s="39">
        <v>0.48546544781701712</v>
      </c>
      <c r="Z1776" s="39">
        <v>0.50068523497264616</v>
      </c>
      <c r="AA1776" s="39">
        <v>0.49534731648268954</v>
      </c>
      <c r="AB1776" s="39">
        <v>0.47236216347768445</v>
      </c>
      <c r="AC1776" s="39">
        <v>0.48221358515231644</v>
      </c>
      <c r="AD1776" s="39">
        <v>0.49499358737055882</v>
      </c>
      <c r="AE1776" s="39">
        <v>0.48861635501808276</v>
      </c>
      <c r="AF1776" s="40">
        <v>0.46916465218165615</v>
      </c>
    </row>
    <row r="1777" spans="1:32">
      <c r="A1777" s="15">
        <v>1775</v>
      </c>
      <c r="B1777" s="16">
        <v>1</v>
      </c>
      <c r="C1777" s="20">
        <v>0.08</v>
      </c>
      <c r="D1777" s="20">
        <v>0.92940835080240414</v>
      </c>
      <c r="E1777" s="20">
        <v>0.38</v>
      </c>
      <c r="F1777" s="8" t="s">
        <v>436</v>
      </c>
      <c r="G1777" s="24">
        <v>0.90329677468521274</v>
      </c>
      <c r="H1777" s="24">
        <v>0.90852663243772747</v>
      </c>
      <c r="I1777" s="25">
        <v>0.92441552324641063</v>
      </c>
      <c r="L1777" s="15">
        <v>1775</v>
      </c>
      <c r="M1777" s="16">
        <v>1</v>
      </c>
      <c r="N1777" s="16">
        <v>2</v>
      </c>
      <c r="O1777" s="16">
        <v>12</v>
      </c>
      <c r="P1777" s="16">
        <v>219</v>
      </c>
      <c r="Q1777" s="29">
        <v>49</v>
      </c>
      <c r="R1777" s="20">
        <v>0.62360000000000004</v>
      </c>
      <c r="S1777" s="32">
        <v>30.556400000000004</v>
      </c>
      <c r="T1777" s="35">
        <v>2.06</v>
      </c>
      <c r="U1777" s="35">
        <v>1.43</v>
      </c>
      <c r="V1777" s="35">
        <v>4.2040816326530617E-2</v>
      </c>
      <c r="W1777" s="9" t="s">
        <v>154</v>
      </c>
      <c r="X1777" s="15">
        <v>1776</v>
      </c>
      <c r="Y1777" s="39">
        <v>0.48345327549633721</v>
      </c>
      <c r="Z1777" s="39">
        <v>0.46719547534277012</v>
      </c>
      <c r="AA1777" s="39">
        <v>0.49570159323839957</v>
      </c>
      <c r="AB1777" s="39">
        <v>0.48267484000180166</v>
      </c>
      <c r="AC1777" s="39">
        <v>0.47638743720297189</v>
      </c>
      <c r="AD1777" s="39">
        <v>0.45863826574892258</v>
      </c>
      <c r="AE1777" s="39">
        <v>0.48946944944780507</v>
      </c>
      <c r="AF1777" s="40">
        <v>0.48034153510926897</v>
      </c>
    </row>
    <row r="1778" spans="1:32">
      <c r="A1778" s="15">
        <v>1776</v>
      </c>
      <c r="B1778" s="16">
        <v>1</v>
      </c>
      <c r="C1778" s="20">
        <v>0.17</v>
      </c>
      <c r="D1778" s="20">
        <v>0.86589753732145158</v>
      </c>
      <c r="E1778" s="20">
        <v>0.09</v>
      </c>
      <c r="F1778" s="8" t="s">
        <v>436</v>
      </c>
      <c r="G1778" s="24">
        <v>1.4887658094877025</v>
      </c>
      <c r="H1778" s="24">
        <v>1.4973853835065973</v>
      </c>
      <c r="I1778" s="25">
        <v>1.5235726101740392</v>
      </c>
      <c r="L1778" s="15">
        <v>1776</v>
      </c>
      <c r="M1778" s="16">
        <v>1</v>
      </c>
      <c r="N1778" s="16">
        <v>2</v>
      </c>
      <c r="O1778" s="16">
        <v>12</v>
      </c>
      <c r="P1778" s="16">
        <v>220</v>
      </c>
      <c r="Q1778" s="29">
        <v>37</v>
      </c>
      <c r="R1778" s="20">
        <v>0.62360000000000004</v>
      </c>
      <c r="S1778" s="32">
        <v>23.0732</v>
      </c>
      <c r="T1778" s="35">
        <v>1.3800000000000001</v>
      </c>
      <c r="U1778" s="35">
        <v>0.71</v>
      </c>
      <c r="V1778" s="35">
        <v>3.7297297297297298E-2</v>
      </c>
      <c r="W1778" s="9" t="s">
        <v>153</v>
      </c>
      <c r="X1778" s="15">
        <v>1777</v>
      </c>
      <c r="Y1778" s="39">
        <v>0.48880792497446957</v>
      </c>
      <c r="Z1778" s="39">
        <v>0.47827651165452012</v>
      </c>
      <c r="AA1778" s="39">
        <v>0.4748467342081209</v>
      </c>
      <c r="AB1778" s="39">
        <v>0.49384126881919549</v>
      </c>
      <c r="AC1778" s="39">
        <v>0.48012643593438453</v>
      </c>
      <c r="AD1778" s="39">
        <v>0.47196164149552194</v>
      </c>
      <c r="AE1778" s="39">
        <v>0.469135796626519</v>
      </c>
      <c r="AF1778" s="40">
        <v>0.4916705491713565</v>
      </c>
    </row>
    <row r="1779" spans="1:32">
      <c r="A1779" s="15">
        <v>1777</v>
      </c>
      <c r="B1779" s="16">
        <v>1</v>
      </c>
      <c r="C1779" s="20">
        <v>0.02</v>
      </c>
      <c r="D1779" s="20">
        <v>0.99604261948721451</v>
      </c>
      <c r="E1779" s="20">
        <v>1</v>
      </c>
      <c r="F1779" s="8" t="s">
        <v>436</v>
      </c>
      <c r="G1779" s="24">
        <v>1.0955476763238903</v>
      </c>
      <c r="H1779" s="24">
        <v>1.1018906177234857</v>
      </c>
      <c r="I1779" s="25">
        <v>1.1211611807240933</v>
      </c>
      <c r="L1779" s="15">
        <v>1777</v>
      </c>
      <c r="M1779" s="16">
        <v>1</v>
      </c>
      <c r="N1779" s="16">
        <v>2</v>
      </c>
      <c r="O1779" s="16">
        <v>13</v>
      </c>
      <c r="P1779" s="16">
        <v>221</v>
      </c>
      <c r="Q1779" s="29">
        <v>35</v>
      </c>
      <c r="R1779" s="20">
        <v>0.62360000000000004</v>
      </c>
      <c r="S1779" s="32">
        <v>21.826000000000001</v>
      </c>
      <c r="T1779" s="35">
        <v>5.01</v>
      </c>
      <c r="U1779" s="35">
        <v>4.42</v>
      </c>
      <c r="V1779" s="35">
        <v>0.14314285714285713</v>
      </c>
      <c r="W1779" s="9" t="s">
        <v>156</v>
      </c>
      <c r="X1779" s="15">
        <v>1778</v>
      </c>
      <c r="Y1779" s="39">
        <v>0.4870673264644298</v>
      </c>
      <c r="Z1779" s="39">
        <v>0.48520220956009869</v>
      </c>
      <c r="AA1779" s="39">
        <v>0.46067345027261419</v>
      </c>
      <c r="AB1779" s="39">
        <v>0.47991199737443496</v>
      </c>
      <c r="AC1779" s="39">
        <v>0.47892228648147944</v>
      </c>
      <c r="AD1779" s="39">
        <v>0.48148904380135255</v>
      </c>
      <c r="AE1779" s="39">
        <v>0.45237885967842795</v>
      </c>
      <c r="AF1779" s="40">
        <v>0.47524392962316286</v>
      </c>
    </row>
    <row r="1780" spans="1:32">
      <c r="A1780" s="15">
        <v>1778</v>
      </c>
      <c r="B1780" s="16">
        <v>0</v>
      </c>
      <c r="C1780" s="20">
        <v>0.92</v>
      </c>
      <c r="D1780" s="20">
        <v>0.20258497911151899</v>
      </c>
      <c r="E1780" s="20">
        <v>0.08</v>
      </c>
      <c r="F1780" s="8" t="s">
        <v>434</v>
      </c>
      <c r="G1780" s="24">
        <v>1.508719142679037</v>
      </c>
      <c r="H1780" s="24">
        <v>1.5174542414038796</v>
      </c>
      <c r="I1780" s="25">
        <v>1.5439924450051836</v>
      </c>
      <c r="L1780" s="15">
        <v>1778</v>
      </c>
      <c r="M1780" s="16">
        <v>1</v>
      </c>
      <c r="N1780" s="16">
        <v>2</v>
      </c>
      <c r="O1780" s="16">
        <v>13</v>
      </c>
      <c r="P1780" s="16">
        <v>222</v>
      </c>
      <c r="Q1780" s="29">
        <v>46</v>
      </c>
      <c r="R1780" s="20">
        <v>0.62360000000000004</v>
      </c>
      <c r="S1780" s="32">
        <v>28.685600000000001</v>
      </c>
      <c r="T1780" s="35">
        <v>2.12</v>
      </c>
      <c r="U1780" s="35">
        <v>1.39</v>
      </c>
      <c r="V1780" s="35">
        <v>4.6086956521739129E-2</v>
      </c>
      <c r="W1780" s="9" t="s">
        <v>154</v>
      </c>
      <c r="X1780" s="15">
        <v>1779</v>
      </c>
      <c r="Y1780" s="39">
        <v>0.49629638722806019</v>
      </c>
      <c r="Z1780" s="39">
        <v>0.51548329965279704</v>
      </c>
      <c r="AA1780" s="39">
        <v>0.50227311079225534</v>
      </c>
      <c r="AB1780" s="39">
        <v>0.49544954336506736</v>
      </c>
      <c r="AC1780" s="39">
        <v>0.48613546394952906</v>
      </c>
      <c r="AD1780" s="39">
        <v>0.5079862356476369</v>
      </c>
      <c r="AE1780" s="39">
        <v>0.49715813322427699</v>
      </c>
      <c r="AF1780" s="40">
        <v>0.49253851496509582</v>
      </c>
    </row>
    <row r="1781" spans="1:32">
      <c r="A1781" s="15">
        <v>1779</v>
      </c>
      <c r="B1781" s="16">
        <v>1</v>
      </c>
      <c r="C1781" s="20">
        <v>0.18</v>
      </c>
      <c r="D1781" s="20">
        <v>0.83887412208338918</v>
      </c>
      <c r="E1781" s="20">
        <v>0.1</v>
      </c>
      <c r="F1781" s="8" t="s">
        <v>436</v>
      </c>
      <c r="G1781" s="24">
        <v>0.74650449608806557</v>
      </c>
      <c r="H1781" s="24">
        <v>0.7508265665698447</v>
      </c>
      <c r="I1781" s="25">
        <v>0.76395749846171135</v>
      </c>
      <c r="L1781" s="15">
        <v>1779</v>
      </c>
      <c r="M1781" s="16">
        <v>1</v>
      </c>
      <c r="N1781" s="16">
        <v>2</v>
      </c>
      <c r="O1781" s="16">
        <v>13</v>
      </c>
      <c r="P1781" s="16">
        <v>223</v>
      </c>
      <c r="Q1781" s="29">
        <v>37</v>
      </c>
      <c r="R1781" s="20">
        <v>0.62360000000000004</v>
      </c>
      <c r="S1781" s="32">
        <v>23.0732</v>
      </c>
      <c r="T1781" s="35">
        <v>2.4300000000000002</v>
      </c>
      <c r="U1781" s="35">
        <v>1.82</v>
      </c>
      <c r="V1781" s="35">
        <v>6.5675675675675685E-2</v>
      </c>
      <c r="W1781" s="9" t="s">
        <v>154</v>
      </c>
      <c r="X1781" s="15">
        <v>1780</v>
      </c>
      <c r="Y1781" s="39">
        <v>0.48933022832417</v>
      </c>
      <c r="Z1781" s="39">
        <v>0.48564355064726783</v>
      </c>
      <c r="AA1781" s="39">
        <v>0.48150974771768085</v>
      </c>
      <c r="AB1781" s="39">
        <v>0.49113188826059317</v>
      </c>
      <c r="AC1781" s="39">
        <v>0.48281524264321685</v>
      </c>
      <c r="AD1781" s="39">
        <v>0.48140227085737752</v>
      </c>
      <c r="AE1781" s="39">
        <v>0.47272920284846931</v>
      </c>
      <c r="AF1781" s="40">
        <v>0.4863186874734034</v>
      </c>
    </row>
    <row r="1782" spans="1:32">
      <c r="A1782" s="15">
        <v>1780</v>
      </c>
      <c r="B1782" s="16">
        <v>1</v>
      </c>
      <c r="C1782" s="20">
        <v>0.92</v>
      </c>
      <c r="D1782" s="20">
        <v>0.20258497911151899</v>
      </c>
      <c r="E1782" s="20">
        <v>0.08</v>
      </c>
      <c r="F1782" s="8" t="s">
        <v>434</v>
      </c>
      <c r="G1782" s="24">
        <v>2.0051324335929666</v>
      </c>
      <c r="H1782" s="24">
        <v>2.0167416385591852</v>
      </c>
      <c r="I1782" s="25">
        <v>1.6578926537592125</v>
      </c>
      <c r="L1782" s="15">
        <v>1780</v>
      </c>
      <c r="M1782" s="16">
        <v>1</v>
      </c>
      <c r="N1782" s="16">
        <v>2</v>
      </c>
      <c r="O1782" s="16">
        <v>13</v>
      </c>
      <c r="P1782" s="16">
        <v>224</v>
      </c>
      <c r="Q1782" s="29">
        <v>42</v>
      </c>
      <c r="R1782" s="20">
        <v>0.62360000000000004</v>
      </c>
      <c r="S1782" s="32">
        <v>26.191200000000002</v>
      </c>
      <c r="T1782" s="35">
        <v>1.37</v>
      </c>
      <c r="U1782" s="35">
        <v>0.8</v>
      </c>
      <c r="V1782" s="35">
        <v>3.2619047619047624E-2</v>
      </c>
      <c r="W1782" s="9" t="s">
        <v>153</v>
      </c>
      <c r="X1782" s="15">
        <v>1781</v>
      </c>
      <c r="Y1782" s="39">
        <v>0.48479627067962733</v>
      </c>
      <c r="Z1782" s="39">
        <v>0.49358347138259911</v>
      </c>
      <c r="AA1782" s="39">
        <v>0.48177479750845381</v>
      </c>
      <c r="AB1782" s="39">
        <v>0.48700158277021172</v>
      </c>
      <c r="AC1782" s="39">
        <v>0.47909699661379473</v>
      </c>
      <c r="AD1782" s="39">
        <v>0.4871196026066999</v>
      </c>
      <c r="AE1782" s="39">
        <v>0.47441067292153166</v>
      </c>
      <c r="AF1782" s="40">
        <v>0.48194195513651278</v>
      </c>
    </row>
    <row r="1783" spans="1:32">
      <c r="A1783" s="15">
        <v>1781</v>
      </c>
      <c r="B1783" s="16">
        <v>0</v>
      </c>
      <c r="C1783" s="20">
        <v>0.93</v>
      </c>
      <c r="D1783" s="20">
        <v>0.18747949848141848</v>
      </c>
      <c r="E1783" s="20">
        <v>7.0000000000000007E-2</v>
      </c>
      <c r="F1783" s="8" t="s">
        <v>434</v>
      </c>
      <c r="G1783" s="24">
        <v>1.077470686092179</v>
      </c>
      <c r="H1783" s="24">
        <v>1.0837089663326129</v>
      </c>
      <c r="I1783" s="25">
        <v>1.1026615570654223</v>
      </c>
      <c r="L1783" s="15">
        <v>1781</v>
      </c>
      <c r="M1783" s="16">
        <v>1</v>
      </c>
      <c r="N1783" s="16">
        <v>2</v>
      </c>
      <c r="O1783" s="16">
        <v>13</v>
      </c>
      <c r="P1783" s="16">
        <v>225</v>
      </c>
      <c r="Q1783" s="29">
        <v>39</v>
      </c>
      <c r="R1783" s="20">
        <v>0.62360000000000004</v>
      </c>
      <c r="S1783" s="32">
        <v>24.320400000000003</v>
      </c>
      <c r="T1783" s="35">
        <v>1.71</v>
      </c>
      <c r="U1783" s="35">
        <v>1.1200000000000001</v>
      </c>
      <c r="V1783" s="35">
        <v>4.3846153846153847E-2</v>
      </c>
      <c r="W1783" s="9" t="s">
        <v>153</v>
      </c>
      <c r="X1783" s="15">
        <v>1782</v>
      </c>
      <c r="Y1783" s="39">
        <v>0.48717095221032991</v>
      </c>
      <c r="Z1783" s="39">
        <v>0.49573443347603496</v>
      </c>
      <c r="AA1783" s="39">
        <v>0.49677190790232278</v>
      </c>
      <c r="AB1783" s="39">
        <v>0.51173080602687981</v>
      </c>
      <c r="AC1783" s="39">
        <v>0.47967579788675185</v>
      </c>
      <c r="AD1783" s="39">
        <v>0.48671345915000325</v>
      </c>
      <c r="AE1783" s="39">
        <v>0.4890476439221228</v>
      </c>
      <c r="AF1783" s="40">
        <v>0.50729305898217125</v>
      </c>
    </row>
    <row r="1784" spans="1:32">
      <c r="A1784" s="15">
        <v>1782</v>
      </c>
      <c r="B1784" s="16">
        <v>1</v>
      </c>
      <c r="C1784" s="20">
        <v>0.93</v>
      </c>
      <c r="D1784" s="20">
        <v>0.18747949848141848</v>
      </c>
      <c r="E1784" s="20">
        <v>7.0000000000000007E-2</v>
      </c>
      <c r="F1784" s="8" t="s">
        <v>434</v>
      </c>
      <c r="G1784" s="24">
        <v>2.1162985059514923</v>
      </c>
      <c r="H1784" s="24">
        <v>2.1285513341007376</v>
      </c>
      <c r="I1784" s="25">
        <v>1.6578926537592125</v>
      </c>
      <c r="L1784" s="15">
        <v>1782</v>
      </c>
      <c r="M1784" s="16">
        <v>1</v>
      </c>
      <c r="N1784" s="16">
        <v>2</v>
      </c>
      <c r="O1784" s="16">
        <v>13</v>
      </c>
      <c r="P1784" s="16">
        <v>226</v>
      </c>
      <c r="Q1784" s="29">
        <v>52</v>
      </c>
      <c r="R1784" s="20">
        <v>0.62360000000000004</v>
      </c>
      <c r="S1784" s="32">
        <v>32.427199999999999</v>
      </c>
      <c r="T1784" s="35">
        <v>1.22</v>
      </c>
      <c r="U1784" s="35">
        <v>0.71</v>
      </c>
      <c r="V1784" s="35">
        <v>2.3461538461538461E-2</v>
      </c>
      <c r="W1784" s="9" t="s">
        <v>153</v>
      </c>
      <c r="X1784" s="15">
        <v>1783</v>
      </c>
      <c r="Y1784" s="39">
        <v>0.48142125041638251</v>
      </c>
      <c r="Z1784" s="39">
        <v>0.4866561416311328</v>
      </c>
      <c r="AA1784" s="39">
        <v>0.49267342779719114</v>
      </c>
      <c r="AB1784" s="39">
        <v>0.49162111077663273</v>
      </c>
      <c r="AC1784" s="39">
        <v>0.47440885155178847</v>
      </c>
      <c r="AD1784" s="39">
        <v>0.47930316099017622</v>
      </c>
      <c r="AE1784" s="39">
        <v>0.48543110626944186</v>
      </c>
      <c r="AF1784" s="40">
        <v>0.48733621872764304</v>
      </c>
    </row>
    <row r="1785" spans="1:32">
      <c r="A1785" s="15">
        <v>1783</v>
      </c>
      <c r="B1785" s="16">
        <v>1</v>
      </c>
      <c r="C1785" s="20">
        <v>0.31</v>
      </c>
      <c r="D1785" s="20">
        <v>0.67123313461649992</v>
      </c>
      <c r="E1785" s="20">
        <v>0.38</v>
      </c>
      <c r="F1785" s="8" t="s">
        <v>436</v>
      </c>
      <c r="G1785" s="24">
        <v>1.3420810031808736</v>
      </c>
      <c r="H1785" s="24">
        <v>1.3498513096135898</v>
      </c>
      <c r="I1785" s="25">
        <v>1.3734583666889126</v>
      </c>
      <c r="L1785" s="15">
        <v>1783</v>
      </c>
      <c r="M1785" s="16">
        <v>1</v>
      </c>
      <c r="N1785" s="16">
        <v>2</v>
      </c>
      <c r="O1785" s="16">
        <v>13</v>
      </c>
      <c r="P1785" s="16">
        <v>227</v>
      </c>
      <c r="Q1785" s="29">
        <v>35</v>
      </c>
      <c r="R1785" s="20">
        <v>0.62360000000000004</v>
      </c>
      <c r="S1785" s="32">
        <v>21.826000000000001</v>
      </c>
      <c r="T1785" s="35">
        <v>0.7</v>
      </c>
      <c r="U1785" s="35">
        <v>0.2</v>
      </c>
      <c r="V1785" s="35">
        <v>0.02</v>
      </c>
      <c r="W1785" s="9" t="s">
        <v>152</v>
      </c>
      <c r="X1785" s="15">
        <v>1784</v>
      </c>
      <c r="Y1785" s="39">
        <v>0.48861514630959274</v>
      </c>
      <c r="Z1785" s="39">
        <v>0.47133404392510181</v>
      </c>
      <c r="AA1785" s="39">
        <v>0.48190816975827733</v>
      </c>
      <c r="AB1785" s="39">
        <v>0.49155556471287121</v>
      </c>
      <c r="AC1785" s="39">
        <v>0.48242200588246403</v>
      </c>
      <c r="AD1785" s="39">
        <v>0.46502478840835987</v>
      </c>
      <c r="AE1785" s="39">
        <v>0.47514375417083177</v>
      </c>
      <c r="AF1785" s="40">
        <v>0.4864335628274718</v>
      </c>
    </row>
    <row r="1786" spans="1:32">
      <c r="A1786" s="15">
        <v>1784</v>
      </c>
      <c r="B1786" s="16">
        <v>0</v>
      </c>
      <c r="C1786" s="20">
        <v>0.91</v>
      </c>
      <c r="D1786" s="20">
        <v>0.21727233298780477</v>
      </c>
      <c r="E1786" s="20">
        <v>0.09</v>
      </c>
      <c r="F1786" s="8" t="s">
        <v>434</v>
      </c>
      <c r="G1786" s="24">
        <v>0.49174455336493228</v>
      </c>
      <c r="H1786" s="24">
        <v>0.49459162880762797</v>
      </c>
      <c r="I1786" s="25">
        <v>0.50324136135748998</v>
      </c>
      <c r="L1786" s="15">
        <v>1784</v>
      </c>
      <c r="M1786" s="16">
        <v>1</v>
      </c>
      <c r="N1786" s="16">
        <v>2</v>
      </c>
      <c r="O1786" s="16">
        <v>13</v>
      </c>
      <c r="P1786" s="16">
        <v>228</v>
      </c>
      <c r="Q1786" s="29">
        <v>43</v>
      </c>
      <c r="R1786" s="20">
        <v>0.62360000000000004</v>
      </c>
      <c r="S1786" s="32">
        <v>26.814800000000002</v>
      </c>
      <c r="T1786" s="35">
        <v>2.4699999999999998</v>
      </c>
      <c r="U1786" s="35">
        <v>1.8</v>
      </c>
      <c r="V1786" s="35">
        <v>5.7441860465116276E-2</v>
      </c>
      <c r="W1786" s="9" t="s">
        <v>154</v>
      </c>
      <c r="X1786" s="15">
        <v>1785</v>
      </c>
      <c r="Y1786" s="39">
        <v>0.48668827138227355</v>
      </c>
      <c r="Z1786" s="39">
        <v>0.47806788994793253</v>
      </c>
      <c r="AA1786" s="39">
        <v>0.48074936124034512</v>
      </c>
      <c r="AB1786" s="39">
        <v>0.50172227192115226</v>
      </c>
      <c r="AC1786" s="39">
        <v>0.48150193684673737</v>
      </c>
      <c r="AD1786" s="39">
        <v>0.47011536365728307</v>
      </c>
      <c r="AE1786" s="39">
        <v>0.47393986754901274</v>
      </c>
      <c r="AF1786" s="40">
        <v>0.50062233708471104</v>
      </c>
    </row>
    <row r="1787" spans="1:32">
      <c r="A1787" s="15">
        <v>1785</v>
      </c>
      <c r="B1787" s="16">
        <v>0</v>
      </c>
      <c r="C1787" s="20">
        <v>0.48</v>
      </c>
      <c r="D1787" s="20">
        <v>0.4698850284057956</v>
      </c>
      <c r="E1787" s="20">
        <v>0.08</v>
      </c>
      <c r="F1787" s="8" t="s">
        <v>436</v>
      </c>
      <c r="G1787" s="24">
        <v>1.5903851617902074</v>
      </c>
      <c r="H1787" s="24">
        <v>1.5995930859198728</v>
      </c>
      <c r="I1787" s="25">
        <v>1.6275677858054565</v>
      </c>
      <c r="L1787" s="15">
        <v>1785</v>
      </c>
      <c r="M1787" s="16">
        <v>1</v>
      </c>
      <c r="N1787" s="16">
        <v>2</v>
      </c>
      <c r="O1787" s="16">
        <v>13</v>
      </c>
      <c r="P1787" s="16">
        <v>229</v>
      </c>
      <c r="Q1787" s="29">
        <v>45</v>
      </c>
      <c r="R1787" s="20">
        <v>0.62360000000000004</v>
      </c>
      <c r="S1787" s="32">
        <v>28.062000000000001</v>
      </c>
      <c r="T1787" s="35">
        <v>5.26</v>
      </c>
      <c r="U1787" s="35">
        <v>4.67</v>
      </c>
      <c r="V1787" s="35">
        <v>0.11688888888888889</v>
      </c>
      <c r="W1787" s="9" t="s">
        <v>156</v>
      </c>
      <c r="X1787" s="15">
        <v>1786</v>
      </c>
      <c r="Y1787" s="39">
        <v>0.48714692042126256</v>
      </c>
      <c r="Z1787" s="39">
        <v>0.50074055860318112</v>
      </c>
      <c r="AA1787" s="39">
        <v>0.48679356007042252</v>
      </c>
      <c r="AB1787" s="39">
        <v>0.49631871174564768</v>
      </c>
      <c r="AC1787" s="39">
        <v>0.47786261082482556</v>
      </c>
      <c r="AD1787" s="39">
        <v>0.49235180541926515</v>
      </c>
      <c r="AE1787" s="39">
        <v>0.48159532253680409</v>
      </c>
      <c r="AF1787" s="40">
        <v>0.49414813006723246</v>
      </c>
    </row>
    <row r="1788" spans="1:32">
      <c r="A1788" s="15">
        <v>1786</v>
      </c>
      <c r="B1788" s="16">
        <v>0</v>
      </c>
      <c r="C1788" s="20">
        <v>0.9</v>
      </c>
      <c r="D1788" s="20">
        <v>0.231595386583653</v>
      </c>
      <c r="E1788" s="20">
        <v>0.1</v>
      </c>
      <c r="F1788" s="8" t="s">
        <v>434</v>
      </c>
      <c r="G1788" s="24">
        <v>0.84192310365400769</v>
      </c>
      <c r="H1788" s="24">
        <v>0.8467976235173168</v>
      </c>
      <c r="I1788" s="25">
        <v>0.86160695821014577</v>
      </c>
      <c r="L1788" s="15">
        <v>1786</v>
      </c>
      <c r="M1788" s="16">
        <v>1</v>
      </c>
      <c r="N1788" s="16">
        <v>2</v>
      </c>
      <c r="O1788" s="16">
        <v>13</v>
      </c>
      <c r="P1788" s="16">
        <v>230</v>
      </c>
      <c r="Q1788" s="29">
        <v>40</v>
      </c>
      <c r="R1788" s="20">
        <v>0.62360000000000004</v>
      </c>
      <c r="S1788" s="32">
        <v>24.944000000000003</v>
      </c>
      <c r="T1788" s="35">
        <v>2.6</v>
      </c>
      <c r="U1788" s="35">
        <v>2.0099999999999998</v>
      </c>
      <c r="V1788" s="35">
        <v>6.5000000000000002E-2</v>
      </c>
      <c r="W1788" s="9" t="s">
        <v>154</v>
      </c>
      <c r="X1788" s="15">
        <v>1787</v>
      </c>
      <c r="Y1788" s="39">
        <v>0.48470909068013274</v>
      </c>
      <c r="Z1788" s="39">
        <v>0.48183602461831965</v>
      </c>
      <c r="AA1788" s="39">
        <v>0.49002358451840994</v>
      </c>
      <c r="AB1788" s="39">
        <v>0.49094626700925253</v>
      </c>
      <c r="AC1788" s="39">
        <v>0.47785616850267187</v>
      </c>
      <c r="AD1788" s="39">
        <v>0.47421346370550782</v>
      </c>
      <c r="AE1788" s="39">
        <v>0.48195316403527211</v>
      </c>
      <c r="AF1788" s="40">
        <v>0.48662259002748248</v>
      </c>
    </row>
    <row r="1789" spans="1:32">
      <c r="A1789" s="15">
        <v>1787</v>
      </c>
      <c r="B1789" s="16">
        <v>1</v>
      </c>
      <c r="C1789" s="20">
        <v>0.02</v>
      </c>
      <c r="D1789" s="20">
        <v>0.99917029198757767</v>
      </c>
      <c r="E1789" s="20">
        <v>1</v>
      </c>
      <c r="F1789" s="8" t="s">
        <v>436</v>
      </c>
      <c r="G1789" s="24">
        <v>1.0120275159725147</v>
      </c>
      <c r="H1789" s="24">
        <v>1.0178868969627894</v>
      </c>
      <c r="I1789" s="25">
        <v>1.0356883495388534</v>
      </c>
      <c r="L1789" s="15">
        <v>1787</v>
      </c>
      <c r="M1789" s="16">
        <v>1</v>
      </c>
      <c r="N1789" s="16">
        <v>2</v>
      </c>
      <c r="O1789" s="16">
        <v>13</v>
      </c>
      <c r="P1789" s="16">
        <v>231</v>
      </c>
      <c r="Q1789" s="29">
        <v>44</v>
      </c>
      <c r="R1789" s="20">
        <v>0.62360000000000004</v>
      </c>
      <c r="S1789" s="32">
        <v>27.438400000000001</v>
      </c>
      <c r="T1789" s="35">
        <v>1.62</v>
      </c>
      <c r="U1789" s="35">
        <v>0.86</v>
      </c>
      <c r="V1789" s="35">
        <v>3.6818181818181819E-2</v>
      </c>
      <c r="W1789" s="9" t="s">
        <v>153</v>
      </c>
      <c r="X1789" s="15">
        <v>1788</v>
      </c>
      <c r="Y1789" s="39">
        <v>0.48713575207384946</v>
      </c>
      <c r="Z1789" s="39">
        <v>0.47649045515918548</v>
      </c>
      <c r="AA1789" s="39">
        <v>0.47594364998578137</v>
      </c>
      <c r="AB1789" s="39">
        <v>0.47939150872154601</v>
      </c>
      <c r="AC1789" s="39">
        <v>0.48039489225859333</v>
      </c>
      <c r="AD1789" s="39">
        <v>0.47287438611719762</v>
      </c>
      <c r="AE1789" s="39">
        <v>0.47103722534375619</v>
      </c>
      <c r="AF1789" s="40">
        <v>0.473974542692918</v>
      </c>
    </row>
    <row r="1790" spans="1:32">
      <c r="A1790" s="15">
        <v>1788</v>
      </c>
      <c r="B1790" s="16">
        <v>0</v>
      </c>
      <c r="C1790" s="20">
        <v>0.93</v>
      </c>
      <c r="D1790" s="20">
        <v>0.18747949848141848</v>
      </c>
      <c r="E1790" s="20">
        <v>7.0000000000000007E-2</v>
      </c>
      <c r="F1790" s="8" t="s">
        <v>434</v>
      </c>
      <c r="G1790" s="24">
        <v>2.4122370743520882</v>
      </c>
      <c r="H1790" s="24">
        <v>2.3557193791407478</v>
      </c>
      <c r="I1790" s="25">
        <v>1.6578926537592125</v>
      </c>
      <c r="L1790" s="15">
        <v>1788</v>
      </c>
      <c r="M1790" s="16">
        <v>1</v>
      </c>
      <c r="N1790" s="16">
        <v>2</v>
      </c>
      <c r="O1790" s="16">
        <v>13</v>
      </c>
      <c r="P1790" s="16">
        <v>232</v>
      </c>
      <c r="Q1790" s="29">
        <v>42</v>
      </c>
      <c r="R1790" s="20">
        <v>0.62360000000000004</v>
      </c>
      <c r="S1790" s="32">
        <v>26.191200000000002</v>
      </c>
      <c r="T1790" s="35">
        <v>2.37</v>
      </c>
      <c r="U1790" s="35">
        <v>1.73</v>
      </c>
      <c r="V1790" s="35">
        <v>5.6428571428571432E-2</v>
      </c>
      <c r="W1790" s="9" t="s">
        <v>154</v>
      </c>
      <c r="X1790" s="15">
        <v>1789</v>
      </c>
      <c r="Y1790" s="39">
        <v>0.48101054861440018</v>
      </c>
      <c r="Z1790" s="39">
        <v>0.47986348804546591</v>
      </c>
      <c r="AA1790" s="39">
        <v>0.48647800539949204</v>
      </c>
      <c r="AB1790" s="39">
        <v>0.49044522817870734</v>
      </c>
      <c r="AC1790" s="39">
        <v>0.47607676027539292</v>
      </c>
      <c r="AD1790" s="39">
        <v>0.47305580711969669</v>
      </c>
      <c r="AE1790" s="39">
        <v>0.48231360799044593</v>
      </c>
      <c r="AF1790" s="40">
        <v>0.48670168862271268</v>
      </c>
    </row>
    <row r="1791" spans="1:32">
      <c r="A1791" s="15">
        <v>1789</v>
      </c>
      <c r="B1791" s="16">
        <v>1</v>
      </c>
      <c r="C1791" s="20">
        <v>0.35</v>
      </c>
      <c r="D1791" s="20">
        <v>0.59673661838765257</v>
      </c>
      <c r="E1791" s="20">
        <v>0.1</v>
      </c>
      <c r="F1791" s="8" t="s">
        <v>436</v>
      </c>
      <c r="G1791" s="24">
        <v>1.2360831645938775</v>
      </c>
      <c r="H1791" s="24">
        <v>1.2432397705978755</v>
      </c>
      <c r="I1791" s="25">
        <v>1.2649823373634081</v>
      </c>
      <c r="L1791" s="15">
        <v>1789</v>
      </c>
      <c r="M1791" s="16">
        <v>1</v>
      </c>
      <c r="N1791" s="16">
        <v>2</v>
      </c>
      <c r="O1791" s="16">
        <v>13</v>
      </c>
      <c r="P1791" s="16">
        <v>233</v>
      </c>
      <c r="Q1791" s="29">
        <v>36</v>
      </c>
      <c r="R1791" s="20">
        <v>0.62360000000000004</v>
      </c>
      <c r="S1791" s="32">
        <v>22.4496</v>
      </c>
      <c r="T1791" s="35">
        <v>1.55</v>
      </c>
      <c r="U1791" s="35">
        <v>0.91</v>
      </c>
      <c r="V1791" s="35">
        <v>4.3055555555555555E-2</v>
      </c>
      <c r="W1791" s="9" t="s">
        <v>153</v>
      </c>
      <c r="X1791" s="15">
        <v>1790</v>
      </c>
      <c r="Y1791" s="39">
        <v>0.48655104717103925</v>
      </c>
      <c r="Z1791" s="39">
        <v>0.49503115937632314</v>
      </c>
      <c r="AA1791" s="39">
        <v>0.48932475924959135</v>
      </c>
      <c r="AB1791" s="39">
        <v>0.4849715340659842</v>
      </c>
      <c r="AC1791" s="39">
        <v>0.4813961377307116</v>
      </c>
      <c r="AD1791" s="39">
        <v>0.4894911269729037</v>
      </c>
      <c r="AE1791" s="39">
        <v>0.47981514720051244</v>
      </c>
      <c r="AF1791" s="40">
        <v>0.4802956545313764</v>
      </c>
    </row>
    <row r="1792" spans="1:32">
      <c r="A1792" s="15">
        <v>1790</v>
      </c>
      <c r="B1792" s="16">
        <v>1</v>
      </c>
      <c r="C1792" s="20">
        <v>0.1</v>
      </c>
      <c r="D1792" s="20">
        <v>0.94179412434968079</v>
      </c>
      <c r="E1792" s="20">
        <v>0.42</v>
      </c>
      <c r="F1792" s="8" t="s">
        <v>436</v>
      </c>
      <c r="G1792" s="24">
        <v>1.3072665670208325</v>
      </c>
      <c r="H1792" s="24">
        <v>1.314835306754814</v>
      </c>
      <c r="I1792" s="25">
        <v>1.3378299817313459</v>
      </c>
      <c r="L1792" s="15">
        <v>1790</v>
      </c>
      <c r="M1792" s="16">
        <v>1</v>
      </c>
      <c r="N1792" s="16">
        <v>2</v>
      </c>
      <c r="O1792" s="16">
        <v>13</v>
      </c>
      <c r="P1792" s="16">
        <v>234</v>
      </c>
      <c r="Q1792" s="29">
        <v>28</v>
      </c>
      <c r="R1792" s="20">
        <v>0.62360000000000004</v>
      </c>
      <c r="S1792" s="32">
        <v>17.460800000000003</v>
      </c>
      <c r="T1792" s="35">
        <v>1.02</v>
      </c>
      <c r="U1792" s="35">
        <v>0.62</v>
      </c>
      <c r="V1792" s="35">
        <v>3.6428571428571428E-2</v>
      </c>
      <c r="W1792" s="9" t="s">
        <v>153</v>
      </c>
      <c r="X1792" s="15">
        <v>1791</v>
      </c>
      <c r="Y1792" s="39">
        <v>0.48969822165507382</v>
      </c>
      <c r="Z1792" s="39">
        <v>0.48872571726948455</v>
      </c>
      <c r="AA1792" s="39">
        <v>0.47662605327955765</v>
      </c>
      <c r="AB1792" s="39">
        <v>0.49875102854518527</v>
      </c>
      <c r="AC1792" s="39">
        <v>0.48337610120493024</v>
      </c>
      <c r="AD1792" s="39">
        <v>0.48445883046448529</v>
      </c>
      <c r="AE1792" s="39">
        <v>0.47179167017664497</v>
      </c>
      <c r="AF1792" s="40">
        <v>0.49366153596461593</v>
      </c>
    </row>
    <row r="1793" spans="1:32">
      <c r="A1793" s="15">
        <v>1791</v>
      </c>
      <c r="B1793" s="16">
        <v>1</v>
      </c>
      <c r="C1793" s="20">
        <v>0.02</v>
      </c>
      <c r="D1793" s="20">
        <v>0.99917029198757767</v>
      </c>
      <c r="E1793" s="20">
        <v>1</v>
      </c>
      <c r="F1793" s="8" t="s">
        <v>436</v>
      </c>
      <c r="G1793" s="24">
        <v>1.1326815790297422</v>
      </c>
      <c r="H1793" s="24">
        <v>1.1392395162473123</v>
      </c>
      <c r="I1793" s="25">
        <v>1.1591632605078652</v>
      </c>
      <c r="L1793" s="15">
        <v>1791</v>
      </c>
      <c r="M1793" s="16">
        <v>1</v>
      </c>
      <c r="N1793" s="16">
        <v>2</v>
      </c>
      <c r="O1793" s="16">
        <v>13</v>
      </c>
      <c r="P1793" s="16">
        <v>235</v>
      </c>
      <c r="Q1793" s="29">
        <v>38</v>
      </c>
      <c r="R1793" s="20">
        <v>0.62360000000000004</v>
      </c>
      <c r="S1793" s="32">
        <v>23.696800000000003</v>
      </c>
      <c r="T1793" s="35">
        <v>0.6</v>
      </c>
      <c r="U1793" s="35">
        <v>0.05</v>
      </c>
      <c r="V1793" s="35">
        <v>1.5789473684210527E-2</v>
      </c>
      <c r="W1793" s="9" t="s">
        <v>152</v>
      </c>
      <c r="X1793" s="15">
        <v>1792</v>
      </c>
      <c r="Y1793" s="39">
        <v>0.47653187556521015</v>
      </c>
      <c r="Z1793" s="39">
        <v>0.50269375390821969</v>
      </c>
      <c r="AA1793" s="39">
        <v>0.49141286419708696</v>
      </c>
      <c r="AB1793" s="39">
        <v>0.48278449595916756</v>
      </c>
      <c r="AC1793" s="39">
        <v>0.47278265051259699</v>
      </c>
      <c r="AD1793" s="39">
        <v>0.49441424596670058</v>
      </c>
      <c r="AE1793" s="39">
        <v>0.48573334474883306</v>
      </c>
      <c r="AF1793" s="40">
        <v>0.47734060512048193</v>
      </c>
    </row>
    <row r="1794" spans="1:32">
      <c r="A1794" s="15">
        <v>1792</v>
      </c>
      <c r="B1794" s="16">
        <v>0</v>
      </c>
      <c r="C1794" s="20">
        <v>0.97</v>
      </c>
      <c r="D1794" s="20">
        <v>0.12097036642660543</v>
      </c>
      <c r="E1794" s="20">
        <v>0.03</v>
      </c>
      <c r="F1794" s="8" t="s">
        <v>434</v>
      </c>
      <c r="G1794" s="24">
        <v>0.78305447565420583</v>
      </c>
      <c r="H1794" s="24">
        <v>0.78758816118803121</v>
      </c>
      <c r="I1794" s="25">
        <v>0.80136200319610895</v>
      </c>
      <c r="L1794" s="15">
        <v>1792</v>
      </c>
      <c r="M1794" s="16">
        <v>1</v>
      </c>
      <c r="N1794" s="16">
        <v>2</v>
      </c>
      <c r="O1794" s="16">
        <v>13</v>
      </c>
      <c r="P1794" s="16">
        <v>236</v>
      </c>
      <c r="Q1794" s="29">
        <v>43</v>
      </c>
      <c r="R1794" s="20">
        <v>0.62360000000000004</v>
      </c>
      <c r="S1794" s="32">
        <v>26.814800000000002</v>
      </c>
      <c r="T1794" s="35">
        <v>2.1</v>
      </c>
      <c r="U1794" s="35">
        <v>1.57</v>
      </c>
      <c r="V1794" s="35">
        <v>4.8837209302325581E-2</v>
      </c>
      <c r="W1794" s="9" t="s">
        <v>154</v>
      </c>
      <c r="X1794" s="15">
        <v>1793</v>
      </c>
      <c r="Y1794" s="39">
        <v>0.49320858009847923</v>
      </c>
      <c r="Z1794" s="39">
        <v>0.47955467691602022</v>
      </c>
      <c r="AA1794" s="39">
        <v>0.49820326422662681</v>
      </c>
      <c r="AB1794" s="39">
        <v>0.49032119739819391</v>
      </c>
      <c r="AC1794" s="39">
        <v>0.48633682730521804</v>
      </c>
      <c r="AD1794" s="39">
        <v>0.47225233632670088</v>
      </c>
      <c r="AE1794" s="39">
        <v>0.49141452828382121</v>
      </c>
      <c r="AF1794" s="40">
        <v>0.48689739229377516</v>
      </c>
    </row>
    <row r="1795" spans="1:32">
      <c r="A1795" s="15">
        <v>1793</v>
      </c>
      <c r="B1795" s="16">
        <v>1</v>
      </c>
      <c r="C1795" s="20">
        <v>0.02</v>
      </c>
      <c r="D1795" s="20">
        <v>0.99679477127711513</v>
      </c>
      <c r="E1795" s="20">
        <v>1</v>
      </c>
      <c r="F1795" s="8" t="s">
        <v>436</v>
      </c>
      <c r="G1795" s="24">
        <v>0.99495909834066021</v>
      </c>
      <c r="H1795" s="24">
        <v>1.0007196575496813</v>
      </c>
      <c r="I1795" s="25">
        <v>1.0182208785389291</v>
      </c>
      <c r="L1795" s="15">
        <v>1793</v>
      </c>
      <c r="M1795" s="16">
        <v>1</v>
      </c>
      <c r="N1795" s="16">
        <v>2</v>
      </c>
      <c r="O1795" s="16">
        <v>13</v>
      </c>
      <c r="P1795" s="16">
        <v>237</v>
      </c>
      <c r="Q1795" s="29">
        <v>38</v>
      </c>
      <c r="R1795" s="20">
        <v>0.62360000000000004</v>
      </c>
      <c r="S1795" s="32">
        <v>23.696800000000003</v>
      </c>
      <c r="T1795" s="35">
        <v>3.0799999999999996</v>
      </c>
      <c r="U1795" s="35">
        <v>2.44</v>
      </c>
      <c r="V1795" s="35">
        <v>8.1052631578947362E-2</v>
      </c>
      <c r="W1795" s="9" t="s">
        <v>155</v>
      </c>
      <c r="X1795" s="15">
        <v>1794</v>
      </c>
      <c r="Y1795" s="39">
        <v>0.48714530051757787</v>
      </c>
      <c r="Z1795" s="39">
        <v>0.49309657727816425</v>
      </c>
      <c r="AA1795" s="39">
        <v>0.50261481621151227</v>
      </c>
      <c r="AB1795" s="39">
        <v>0.49990746090822996</v>
      </c>
      <c r="AC1795" s="39">
        <v>0.48119657147215467</v>
      </c>
      <c r="AD1795" s="39">
        <v>0.48637779454646135</v>
      </c>
      <c r="AE1795" s="39">
        <v>0.49588363266897062</v>
      </c>
      <c r="AF1795" s="40">
        <v>0.49787466388523272</v>
      </c>
    </row>
    <row r="1796" spans="1:32">
      <c r="A1796" s="15">
        <v>1794</v>
      </c>
      <c r="B1796" s="16">
        <v>0</v>
      </c>
      <c r="C1796" s="20">
        <v>0.91</v>
      </c>
      <c r="D1796" s="20">
        <v>0.21727233298780477</v>
      </c>
      <c r="E1796" s="20">
        <v>0.09</v>
      </c>
      <c r="F1796" s="8" t="s">
        <v>434</v>
      </c>
      <c r="G1796" s="24">
        <v>0.68026948132947007</v>
      </c>
      <c r="H1796" s="24">
        <v>0.68420806798275458</v>
      </c>
      <c r="I1796" s="25">
        <v>0.69617393325786325</v>
      </c>
      <c r="L1796" s="15">
        <v>1794</v>
      </c>
      <c r="M1796" s="16">
        <v>1</v>
      </c>
      <c r="N1796" s="16">
        <v>2</v>
      </c>
      <c r="O1796" s="16">
        <v>13</v>
      </c>
      <c r="P1796" s="16">
        <v>238</v>
      </c>
      <c r="Q1796" s="29">
        <v>46</v>
      </c>
      <c r="R1796" s="20">
        <v>0.62360000000000004</v>
      </c>
      <c r="S1796" s="32">
        <v>28.685600000000001</v>
      </c>
      <c r="T1796" s="35">
        <v>2.2200000000000002</v>
      </c>
      <c r="U1796" s="35">
        <v>1.54</v>
      </c>
      <c r="V1796" s="35">
        <v>4.8260869565217399E-2</v>
      </c>
      <c r="W1796" s="9" t="s">
        <v>154</v>
      </c>
      <c r="X1796" s="15">
        <v>1795</v>
      </c>
      <c r="Y1796" s="39">
        <v>0.48685452702483661</v>
      </c>
      <c r="Z1796" s="39">
        <v>0.49091235856734106</v>
      </c>
      <c r="AA1796" s="39">
        <v>0.50465874285674883</v>
      </c>
      <c r="AB1796" s="39">
        <v>0.48362816910882755</v>
      </c>
      <c r="AC1796" s="39">
        <v>0.48007419210801794</v>
      </c>
      <c r="AD1796" s="39">
        <v>0.48495904261025441</v>
      </c>
      <c r="AE1796" s="39">
        <v>0.49770142797124134</v>
      </c>
      <c r="AF1796" s="40">
        <v>0.48230065624732044</v>
      </c>
    </row>
    <row r="1797" spans="1:32">
      <c r="A1797" s="15">
        <v>1795</v>
      </c>
      <c r="B1797" s="16">
        <v>1</v>
      </c>
      <c r="C1797" s="20">
        <v>0.02</v>
      </c>
      <c r="D1797" s="20">
        <v>0.99756714174924133</v>
      </c>
      <c r="E1797" s="20">
        <v>1</v>
      </c>
      <c r="F1797" s="8" t="s">
        <v>436</v>
      </c>
      <c r="G1797" s="24">
        <v>0.90592330607140392</v>
      </c>
      <c r="H1797" s="24">
        <v>0.91116837077020385</v>
      </c>
      <c r="I1797" s="25">
        <v>0.9271034619767744</v>
      </c>
      <c r="L1797" s="15">
        <v>1795</v>
      </c>
      <c r="M1797" s="16">
        <v>1</v>
      </c>
      <c r="N1797" s="16">
        <v>2</v>
      </c>
      <c r="O1797" s="16">
        <v>13</v>
      </c>
      <c r="P1797" s="16">
        <v>239</v>
      </c>
      <c r="Q1797" s="29">
        <v>48</v>
      </c>
      <c r="R1797" s="20">
        <v>0.62360000000000004</v>
      </c>
      <c r="S1797" s="32">
        <v>29.9328</v>
      </c>
      <c r="T1797" s="35">
        <v>0.85</v>
      </c>
      <c r="U1797" s="35">
        <v>0.18</v>
      </c>
      <c r="V1797" s="35">
        <v>1.7708333333333333E-2</v>
      </c>
      <c r="W1797" s="9" t="s">
        <v>152</v>
      </c>
      <c r="X1797" s="15">
        <v>1796</v>
      </c>
      <c r="Y1797" s="39">
        <v>0.49053670726996307</v>
      </c>
      <c r="Z1797" s="39">
        <v>0.4818883484019908</v>
      </c>
      <c r="AA1797" s="39">
        <v>0.47836140062251392</v>
      </c>
      <c r="AB1797" s="39">
        <v>0.48569244164874009</v>
      </c>
      <c r="AC1797" s="39">
        <v>0.48086842674703406</v>
      </c>
      <c r="AD1797" s="39">
        <v>0.47764678752652995</v>
      </c>
      <c r="AE1797" s="39">
        <v>0.47373732148158137</v>
      </c>
      <c r="AF1797" s="40">
        <v>0.48222189917923025</v>
      </c>
    </row>
    <row r="1798" spans="1:32">
      <c r="A1798" s="15">
        <v>1796</v>
      </c>
      <c r="B1798" s="16">
        <v>1</v>
      </c>
      <c r="C1798" s="20">
        <v>0.02</v>
      </c>
      <c r="D1798" s="20">
        <v>0.99756714174924133</v>
      </c>
      <c r="E1798" s="20">
        <v>1</v>
      </c>
      <c r="F1798" s="8" t="s">
        <v>436</v>
      </c>
      <c r="G1798" s="24">
        <v>1.0989691812463371</v>
      </c>
      <c r="H1798" s="24">
        <v>1.1053319322860702</v>
      </c>
      <c r="I1798" s="25">
        <v>1.1246626791815366</v>
      </c>
      <c r="L1798" s="15">
        <v>1796</v>
      </c>
      <c r="M1798" s="16">
        <v>1</v>
      </c>
      <c r="N1798" s="16">
        <v>2</v>
      </c>
      <c r="O1798" s="16">
        <v>13</v>
      </c>
      <c r="P1798" s="16">
        <v>240</v>
      </c>
      <c r="Q1798" s="29">
        <v>44</v>
      </c>
      <c r="R1798" s="20">
        <v>0.62360000000000004</v>
      </c>
      <c r="S1798" s="32">
        <v>27.438400000000001</v>
      </c>
      <c r="T1798" s="35">
        <v>4</v>
      </c>
      <c r="U1798" s="35">
        <v>3.27</v>
      </c>
      <c r="V1798" s="35">
        <v>9.0909090909090912E-2</v>
      </c>
      <c r="W1798" s="9" t="s">
        <v>155</v>
      </c>
      <c r="X1798" s="15">
        <v>1797</v>
      </c>
      <c r="Y1798" s="39">
        <v>0.47725031058263845</v>
      </c>
      <c r="Z1798" s="39">
        <v>0.50526886255452508</v>
      </c>
      <c r="AA1798" s="39">
        <v>0.48430199168163374</v>
      </c>
      <c r="AB1798" s="39">
        <v>0.46871408372560036</v>
      </c>
      <c r="AC1798" s="39">
        <v>0.47080486562167034</v>
      </c>
      <c r="AD1798" s="39">
        <v>0.49840343753606081</v>
      </c>
      <c r="AE1798" s="39">
        <v>0.47549488294514142</v>
      </c>
      <c r="AF1798" s="40">
        <v>0.46395126681189619</v>
      </c>
    </row>
    <row r="1799" spans="1:32">
      <c r="A1799" s="15">
        <v>1797</v>
      </c>
      <c r="B1799" s="16">
        <v>1</v>
      </c>
      <c r="C1799" s="20">
        <v>0.02</v>
      </c>
      <c r="D1799" s="20">
        <v>0.99604261948721451</v>
      </c>
      <c r="E1799" s="20">
        <v>1</v>
      </c>
      <c r="F1799" s="8" t="s">
        <v>436</v>
      </c>
      <c r="G1799" s="24">
        <v>1.0101752099996881</v>
      </c>
      <c r="H1799" s="24">
        <v>1.0160238666111945</v>
      </c>
      <c r="I1799" s="25">
        <v>1.0337927373291456</v>
      </c>
      <c r="L1799" s="15">
        <v>1797</v>
      </c>
      <c r="M1799" s="16">
        <v>1</v>
      </c>
      <c r="N1799" s="16">
        <v>2</v>
      </c>
      <c r="O1799" s="16">
        <v>13</v>
      </c>
      <c r="P1799" s="16">
        <v>241</v>
      </c>
      <c r="Q1799" s="29">
        <v>38</v>
      </c>
      <c r="R1799" s="20">
        <v>0.62360000000000004</v>
      </c>
      <c r="S1799" s="32">
        <v>23.696800000000003</v>
      </c>
      <c r="T1799" s="35">
        <v>2.36</v>
      </c>
      <c r="U1799" s="35">
        <v>1.83</v>
      </c>
      <c r="V1799" s="35">
        <v>6.2105263157894733E-2</v>
      </c>
      <c r="W1799" s="9" t="s">
        <v>154</v>
      </c>
      <c r="X1799" s="15">
        <v>1798</v>
      </c>
      <c r="Y1799" s="39">
        <v>0.48652549077945528</v>
      </c>
      <c r="Z1799" s="39">
        <v>0.47457195969772686</v>
      </c>
      <c r="AA1799" s="39">
        <v>0.48708560014816199</v>
      </c>
      <c r="AB1799" s="39">
        <v>0.49421936681805911</v>
      </c>
      <c r="AC1799" s="39">
        <v>0.48024060923959727</v>
      </c>
      <c r="AD1799" s="39">
        <v>0.46789089973016107</v>
      </c>
      <c r="AE1799" s="39">
        <v>0.48126181026849785</v>
      </c>
      <c r="AF1799" s="40">
        <v>0.49132741050761486</v>
      </c>
    </row>
    <row r="1800" spans="1:32">
      <c r="A1800" s="15">
        <v>1798</v>
      </c>
      <c r="B1800" s="16">
        <v>1</v>
      </c>
      <c r="C1800" s="20">
        <v>0.49</v>
      </c>
      <c r="D1800" s="20">
        <v>0.46941248488680609</v>
      </c>
      <c r="E1800" s="20">
        <v>0.08</v>
      </c>
      <c r="F1800" s="8" t="s">
        <v>436</v>
      </c>
      <c r="G1800" s="24">
        <v>1.2083391710410585</v>
      </c>
      <c r="H1800" s="24">
        <v>1.2153351464042368</v>
      </c>
      <c r="I1800" s="25">
        <v>1.2365896993779446</v>
      </c>
      <c r="L1800" s="15">
        <v>1798</v>
      </c>
      <c r="M1800" s="16">
        <v>1</v>
      </c>
      <c r="N1800" s="16">
        <v>2</v>
      </c>
      <c r="O1800" s="16">
        <v>13</v>
      </c>
      <c r="P1800" s="16">
        <v>242</v>
      </c>
      <c r="Q1800" s="29">
        <v>35</v>
      </c>
      <c r="R1800" s="20">
        <v>0.62360000000000004</v>
      </c>
      <c r="S1800" s="32">
        <v>21.826000000000001</v>
      </c>
      <c r="T1800" s="35">
        <v>1.9700000000000002</v>
      </c>
      <c r="U1800" s="35">
        <v>1.48</v>
      </c>
      <c r="V1800" s="35">
        <v>5.6285714285714293E-2</v>
      </c>
      <c r="W1800" s="9" t="s">
        <v>153</v>
      </c>
      <c r="X1800" s="15">
        <v>1799</v>
      </c>
      <c r="Y1800" s="39">
        <v>0.48788022280980547</v>
      </c>
      <c r="Z1800" s="39">
        <v>0.48577260520310117</v>
      </c>
      <c r="AA1800" s="39">
        <v>0.49541508069356693</v>
      </c>
      <c r="AB1800" s="39">
        <v>0.47358766971685357</v>
      </c>
      <c r="AC1800" s="39">
        <v>0.48014358030920357</v>
      </c>
      <c r="AD1800" s="39">
        <v>0.47756206423591147</v>
      </c>
      <c r="AE1800" s="39">
        <v>0.48778220870463662</v>
      </c>
      <c r="AF1800" s="40">
        <v>0.46927559457743612</v>
      </c>
    </row>
    <row r="1801" spans="1:32">
      <c r="A1801" s="15">
        <v>1799</v>
      </c>
      <c r="B1801" s="16">
        <v>1</v>
      </c>
      <c r="C1801" s="20">
        <v>0.94</v>
      </c>
      <c r="D1801" s="20">
        <v>0.17188516685452584</v>
      </c>
      <c r="E1801" s="20">
        <v>0.06</v>
      </c>
      <c r="F1801" s="8" t="s">
        <v>434</v>
      </c>
      <c r="G1801" s="24">
        <v>0.53334219175340658</v>
      </c>
      <c r="H1801" s="24">
        <v>0.53643010690427906</v>
      </c>
      <c r="I1801" s="25">
        <v>0.5458115373332616</v>
      </c>
      <c r="L1801" s="15">
        <v>1799</v>
      </c>
      <c r="M1801" s="16">
        <v>1</v>
      </c>
      <c r="N1801" s="16">
        <v>2</v>
      </c>
      <c r="O1801" s="16">
        <v>13</v>
      </c>
      <c r="P1801" s="16">
        <v>243</v>
      </c>
      <c r="Q1801" s="29">
        <v>34</v>
      </c>
      <c r="R1801" s="20">
        <v>0.62360000000000004</v>
      </c>
      <c r="S1801" s="32">
        <v>21.202400000000001</v>
      </c>
      <c r="T1801" s="35">
        <v>1.5799999999999998</v>
      </c>
      <c r="U1801" s="35">
        <v>1.1499999999999999</v>
      </c>
      <c r="V1801" s="35">
        <v>4.6470588235294111E-2</v>
      </c>
      <c r="W1801" s="9" t="s">
        <v>153</v>
      </c>
      <c r="X1801" s="15">
        <v>1800</v>
      </c>
      <c r="Y1801" s="39">
        <v>0.47276800380481548</v>
      </c>
      <c r="Z1801" s="39">
        <v>0.48127093093417761</v>
      </c>
      <c r="AA1801" s="39">
        <v>0.49014289325748589</v>
      </c>
      <c r="AB1801" s="39">
        <v>0.48739625050698077</v>
      </c>
      <c r="AC1801" s="39">
        <v>0.46598940379121623</v>
      </c>
      <c r="AD1801" s="39">
        <v>0.47446203600508907</v>
      </c>
      <c r="AE1801" s="39">
        <v>0.48381242604491015</v>
      </c>
      <c r="AF1801" s="40">
        <v>0.48086082276086939</v>
      </c>
    </row>
    <row r="1802" spans="1:32">
      <c r="A1802" s="15">
        <v>1800</v>
      </c>
      <c r="B1802" s="16">
        <v>1</v>
      </c>
      <c r="C1802" s="20">
        <v>0.9</v>
      </c>
      <c r="D1802" s="20">
        <v>0.231595386583653</v>
      </c>
      <c r="E1802" s="20">
        <v>0.1</v>
      </c>
      <c r="F1802" s="8" t="s">
        <v>434</v>
      </c>
      <c r="G1802" s="24">
        <v>0.8546859286301236</v>
      </c>
      <c r="H1802" s="24">
        <v>0.85963434199224276</v>
      </c>
      <c r="I1802" s="25">
        <v>0.87466817337114311</v>
      </c>
      <c r="L1802" s="15">
        <v>1800</v>
      </c>
      <c r="M1802" s="16">
        <v>1</v>
      </c>
      <c r="N1802" s="16">
        <v>2</v>
      </c>
      <c r="O1802" s="16">
        <v>13</v>
      </c>
      <c r="P1802" s="16">
        <v>244</v>
      </c>
      <c r="Q1802" s="29">
        <v>31</v>
      </c>
      <c r="R1802" s="20">
        <v>0.62360000000000004</v>
      </c>
      <c r="S1802" s="32">
        <v>19.331600000000002</v>
      </c>
      <c r="T1802" s="35">
        <v>0.56000000000000005</v>
      </c>
      <c r="U1802" s="35">
        <v>0.11</v>
      </c>
      <c r="V1802" s="35">
        <v>1.806451612903226E-2</v>
      </c>
      <c r="W1802" s="9" t="s">
        <v>152</v>
      </c>
      <c r="X1802" s="15">
        <v>1801</v>
      </c>
      <c r="Y1802" s="39">
        <v>0.49041689818606399</v>
      </c>
      <c r="Z1802" s="39">
        <v>0.49881817775241305</v>
      </c>
      <c r="AA1802" s="39">
        <v>0.49635955881753469</v>
      </c>
      <c r="AB1802" s="39">
        <v>0.47613744770606553</v>
      </c>
      <c r="AC1802" s="39">
        <v>0.48262243133946992</v>
      </c>
      <c r="AD1802" s="39">
        <v>0.49273764508467061</v>
      </c>
      <c r="AE1802" s="39">
        <v>0.48729448910749162</v>
      </c>
      <c r="AF1802" s="40">
        <v>0.47146507592601633</v>
      </c>
    </row>
    <row r="1803" spans="1:32">
      <c r="A1803" s="15">
        <v>1801</v>
      </c>
      <c r="B1803" s="16">
        <v>0</v>
      </c>
      <c r="C1803" s="20">
        <v>7.0000000000000007E-2</v>
      </c>
      <c r="D1803" s="20">
        <v>0.95769742327175278</v>
      </c>
      <c r="E1803" s="20">
        <v>0.54</v>
      </c>
      <c r="F1803" s="8" t="s">
        <v>436</v>
      </c>
      <c r="G1803" s="24">
        <v>1.0854198359003517</v>
      </c>
      <c r="H1803" s="24">
        <v>1.0917041396890981</v>
      </c>
      <c r="I1803" s="25">
        <v>1.1107965550917875</v>
      </c>
      <c r="L1803" s="15">
        <v>1801</v>
      </c>
      <c r="M1803" s="16">
        <v>1</v>
      </c>
      <c r="N1803" s="16">
        <v>2</v>
      </c>
      <c r="O1803" s="16">
        <v>13</v>
      </c>
      <c r="P1803" s="16">
        <v>245</v>
      </c>
      <c r="Q1803" s="29">
        <v>41</v>
      </c>
      <c r="R1803" s="20">
        <v>0.62360000000000004</v>
      </c>
      <c r="S1803" s="32">
        <v>25.567600000000002</v>
      </c>
      <c r="T1803" s="35">
        <v>2.7800000000000002</v>
      </c>
      <c r="U1803" s="35">
        <v>2.16</v>
      </c>
      <c r="V1803" s="35">
        <v>6.7804878048780493E-2</v>
      </c>
      <c r="W1803" s="9" t="s">
        <v>154</v>
      </c>
      <c r="X1803" s="15">
        <v>1802</v>
      </c>
      <c r="Y1803" s="39">
        <v>0.49113012822559626</v>
      </c>
      <c r="Z1803" s="39">
        <v>0.48295457933269792</v>
      </c>
      <c r="AA1803" s="39">
        <v>0.4961475937761371</v>
      </c>
      <c r="AB1803" s="39">
        <v>0.48876405449422394</v>
      </c>
      <c r="AC1803" s="39">
        <v>0.4843111062001047</v>
      </c>
      <c r="AD1803" s="39">
        <v>0.47641613171274982</v>
      </c>
      <c r="AE1803" s="39">
        <v>0.49151427479250265</v>
      </c>
      <c r="AF1803" s="40">
        <v>0.4836330531006991</v>
      </c>
    </row>
    <row r="1804" spans="1:32">
      <c r="A1804" s="15">
        <v>1802</v>
      </c>
      <c r="B1804" s="16">
        <v>0</v>
      </c>
      <c r="C1804" s="20">
        <v>0.95</v>
      </c>
      <c r="D1804" s="20">
        <v>0.15570568692893463</v>
      </c>
      <c r="E1804" s="20">
        <v>0.05</v>
      </c>
      <c r="F1804" s="8" t="s">
        <v>434</v>
      </c>
      <c r="G1804" s="24">
        <v>0.59804296581773042</v>
      </c>
      <c r="H1804" s="24">
        <v>0.60150548193510356</v>
      </c>
      <c r="I1804" s="25">
        <v>0.61202499185596027</v>
      </c>
      <c r="L1804" s="15">
        <v>1802</v>
      </c>
      <c r="M1804" s="16">
        <v>1</v>
      </c>
      <c r="N1804" s="16">
        <v>2</v>
      </c>
      <c r="O1804" s="16">
        <v>13</v>
      </c>
      <c r="P1804" s="16">
        <v>246</v>
      </c>
      <c r="Q1804" s="29">
        <v>34</v>
      </c>
      <c r="R1804" s="20">
        <v>0.62360000000000004</v>
      </c>
      <c r="S1804" s="32">
        <v>21.202400000000001</v>
      </c>
      <c r="T1804" s="35">
        <v>1.36</v>
      </c>
      <c r="U1804" s="35">
        <v>0.97</v>
      </c>
      <c r="V1804" s="35">
        <v>0.04</v>
      </c>
      <c r="W1804" s="9" t="s">
        <v>153</v>
      </c>
      <c r="X1804" s="15">
        <v>1803</v>
      </c>
      <c r="Y1804" s="39">
        <v>0.49115603780223227</v>
      </c>
      <c r="Z1804" s="39">
        <v>0.48556582798681974</v>
      </c>
      <c r="AA1804" s="39">
        <v>0.49223083755318214</v>
      </c>
      <c r="AB1804" s="39">
        <v>0.48519568268674029</v>
      </c>
      <c r="AC1804" s="39">
        <v>0.48486591569090592</v>
      </c>
      <c r="AD1804" s="39">
        <v>0.47942752212105555</v>
      </c>
      <c r="AE1804" s="39">
        <v>0.48578264878918198</v>
      </c>
      <c r="AF1804" s="40">
        <v>0.48080982664277938</v>
      </c>
    </row>
    <row r="1805" spans="1:32">
      <c r="A1805" s="15">
        <v>1803</v>
      </c>
      <c r="B1805" s="16">
        <v>0</v>
      </c>
      <c r="C1805" s="20">
        <v>0.02</v>
      </c>
      <c r="D1805" s="20">
        <v>0.99756714174924133</v>
      </c>
      <c r="E1805" s="20">
        <v>1</v>
      </c>
      <c r="F1805" s="8" t="s">
        <v>436</v>
      </c>
      <c r="G1805" s="24">
        <v>1.1010235359791585</v>
      </c>
      <c r="H1805" s="24">
        <v>1.1073981812084059</v>
      </c>
      <c r="I1805" s="25">
        <v>1.1267650639774267</v>
      </c>
      <c r="L1805" s="15">
        <v>1803</v>
      </c>
      <c r="M1805" s="16">
        <v>1</v>
      </c>
      <c r="N1805" s="16">
        <v>2</v>
      </c>
      <c r="O1805" s="16">
        <v>14</v>
      </c>
      <c r="P1805" s="16">
        <v>247</v>
      </c>
      <c r="Q1805" s="29">
        <v>44</v>
      </c>
      <c r="R1805" s="20">
        <v>0.62360000000000004</v>
      </c>
      <c r="S1805" s="32">
        <v>27.438400000000001</v>
      </c>
      <c r="T1805" s="35">
        <v>1.08</v>
      </c>
      <c r="U1805" s="35">
        <v>0.41</v>
      </c>
      <c r="V1805" s="35">
        <v>2.4545454545454547E-2</v>
      </c>
      <c r="W1805" s="9" t="s">
        <v>153</v>
      </c>
      <c r="X1805" s="15">
        <v>1804</v>
      </c>
      <c r="Y1805" s="39">
        <v>0.48462699404224041</v>
      </c>
      <c r="Z1805" s="39">
        <v>0.49712683697719556</v>
      </c>
      <c r="AA1805" s="39">
        <v>0.48534830217707781</v>
      </c>
      <c r="AB1805" s="39">
        <v>0.47691248776665252</v>
      </c>
      <c r="AC1805" s="39">
        <v>0.47803381123917321</v>
      </c>
      <c r="AD1805" s="39">
        <v>0.48913652303687366</v>
      </c>
      <c r="AE1805" s="39">
        <v>0.47829619718664546</v>
      </c>
      <c r="AF1805" s="40">
        <v>0.47301581763543088</v>
      </c>
    </row>
    <row r="1806" spans="1:32">
      <c r="A1806" s="15">
        <v>1804</v>
      </c>
      <c r="B1806" s="16">
        <v>0</v>
      </c>
      <c r="C1806" s="20">
        <v>0.02</v>
      </c>
      <c r="D1806" s="20">
        <v>0.99679477127711513</v>
      </c>
      <c r="E1806" s="20">
        <v>1</v>
      </c>
      <c r="F1806" s="8" t="s">
        <v>436</v>
      </c>
      <c r="G1806" s="24">
        <v>1.0253591337152781</v>
      </c>
      <c r="H1806" s="24">
        <v>1.0312957013692934</v>
      </c>
      <c r="I1806" s="25">
        <v>1.0493316556335668</v>
      </c>
      <c r="L1806" s="15">
        <v>1804</v>
      </c>
      <c r="M1806" s="16">
        <v>1</v>
      </c>
      <c r="N1806" s="16">
        <v>2</v>
      </c>
      <c r="O1806" s="16">
        <v>14</v>
      </c>
      <c r="P1806" s="16">
        <v>248</v>
      </c>
      <c r="Q1806" s="29">
        <v>47</v>
      </c>
      <c r="R1806" s="20">
        <v>0.62360000000000004</v>
      </c>
      <c r="S1806" s="32">
        <v>29.309200000000001</v>
      </c>
      <c r="T1806" s="35">
        <v>1</v>
      </c>
      <c r="U1806" s="35">
        <v>0.28000000000000003</v>
      </c>
      <c r="V1806" s="35">
        <v>2.1276595744680851E-2</v>
      </c>
      <c r="W1806" s="9" t="s">
        <v>153</v>
      </c>
      <c r="X1806" s="15">
        <v>1805</v>
      </c>
      <c r="Y1806" s="39">
        <v>0.47430159234697278</v>
      </c>
      <c r="Z1806" s="39">
        <v>0.47675346226696441</v>
      </c>
      <c r="AA1806" s="39">
        <v>0.48832226475892454</v>
      </c>
      <c r="AB1806" s="39">
        <v>0.49065369871643982</v>
      </c>
      <c r="AC1806" s="39">
        <v>0.46698161477095201</v>
      </c>
      <c r="AD1806" s="39">
        <v>0.47199696955032389</v>
      </c>
      <c r="AE1806" s="39">
        <v>0.4819298788499391</v>
      </c>
      <c r="AF1806" s="40">
        <v>0.48885533543173593</v>
      </c>
    </row>
    <row r="1807" spans="1:32">
      <c r="A1807" s="15">
        <v>1805</v>
      </c>
      <c r="B1807" s="16">
        <v>1</v>
      </c>
      <c r="C1807" s="20">
        <v>0.9</v>
      </c>
      <c r="D1807" s="20">
        <v>0.231595386583653</v>
      </c>
      <c r="E1807" s="20">
        <v>0.1</v>
      </c>
      <c r="F1807" s="8" t="s">
        <v>434</v>
      </c>
      <c r="G1807" s="24">
        <v>1.7149829769566638</v>
      </c>
      <c r="H1807" s="24">
        <v>1.7249122906316663</v>
      </c>
      <c r="I1807" s="25">
        <v>1.6578926537592125</v>
      </c>
      <c r="L1807" s="15">
        <v>1805</v>
      </c>
      <c r="M1807" s="16">
        <v>1</v>
      </c>
      <c r="N1807" s="16">
        <v>2</v>
      </c>
      <c r="O1807" s="16">
        <v>14</v>
      </c>
      <c r="P1807" s="16">
        <v>249</v>
      </c>
      <c r="Q1807" s="29">
        <v>37</v>
      </c>
      <c r="R1807" s="20">
        <v>0.62360000000000004</v>
      </c>
      <c r="S1807" s="32">
        <v>23.0732</v>
      </c>
      <c r="T1807" s="35">
        <v>1.78</v>
      </c>
      <c r="U1807" s="35">
        <v>1.27</v>
      </c>
      <c r="V1807" s="35">
        <v>4.8108108108108109E-2</v>
      </c>
      <c r="W1807" s="9" t="s">
        <v>153</v>
      </c>
      <c r="X1807" s="15">
        <v>1806</v>
      </c>
      <c r="Y1807" s="39">
        <v>0.47714301466992981</v>
      </c>
      <c r="Z1807" s="39">
        <v>0.49903307584305673</v>
      </c>
      <c r="AA1807" s="39">
        <v>0.49180451384188634</v>
      </c>
      <c r="AB1807" s="39">
        <v>0.50102921512596521</v>
      </c>
      <c r="AC1807" s="39">
        <v>0.47116630284445671</v>
      </c>
      <c r="AD1807" s="39">
        <v>0.49086120603055738</v>
      </c>
      <c r="AE1807" s="39">
        <v>0.48488930238170841</v>
      </c>
      <c r="AF1807" s="40">
        <v>0.49525563938119382</v>
      </c>
    </row>
    <row r="1808" spans="1:32">
      <c r="A1808" s="15">
        <v>1806</v>
      </c>
      <c r="B1808" s="16">
        <v>0</v>
      </c>
      <c r="C1808" s="20">
        <v>0.02</v>
      </c>
      <c r="D1808" s="20">
        <v>0.99835916395484214</v>
      </c>
      <c r="E1808" s="20">
        <v>1</v>
      </c>
      <c r="F1808" s="8" t="s">
        <v>436</v>
      </c>
      <c r="G1808" s="24">
        <v>1.0613354348256485</v>
      </c>
      <c r="H1808" s="24">
        <v>1.0674802960798866</v>
      </c>
      <c r="I1808" s="25">
        <v>1.0861490695194993</v>
      </c>
      <c r="L1808" s="15">
        <v>1806</v>
      </c>
      <c r="M1808" s="16">
        <v>1</v>
      </c>
      <c r="N1808" s="16">
        <v>2</v>
      </c>
      <c r="O1808" s="16">
        <v>14</v>
      </c>
      <c r="P1808" s="16">
        <v>250</v>
      </c>
      <c r="Q1808" s="29">
        <v>45</v>
      </c>
      <c r="R1808" s="20">
        <v>0.62360000000000004</v>
      </c>
      <c r="S1808" s="32">
        <v>28.062000000000001</v>
      </c>
      <c r="T1808" s="35">
        <v>2.9099999999999997</v>
      </c>
      <c r="U1808" s="35">
        <v>2.17</v>
      </c>
      <c r="V1808" s="35">
        <v>6.4666666666666664E-2</v>
      </c>
      <c r="W1808" s="9" t="s">
        <v>154</v>
      </c>
      <c r="X1808" s="15">
        <v>1807</v>
      </c>
      <c r="Y1808" s="39">
        <v>0.4994507184176471</v>
      </c>
      <c r="Z1808" s="39">
        <v>0.49073627290554916</v>
      </c>
      <c r="AA1808" s="39">
        <v>0.47992078771321184</v>
      </c>
      <c r="AB1808" s="39">
        <v>0.4995929119088412</v>
      </c>
      <c r="AC1808" s="39">
        <v>0.49079735760786453</v>
      </c>
      <c r="AD1808" s="39">
        <v>0.48486139699340275</v>
      </c>
      <c r="AE1808" s="39">
        <v>0.47285492838950999</v>
      </c>
      <c r="AF1808" s="40">
        <v>0.49658438514507702</v>
      </c>
    </row>
    <row r="1809" spans="1:32">
      <c r="A1809" s="15">
        <v>1807</v>
      </c>
      <c r="B1809" s="16">
        <v>0</v>
      </c>
      <c r="C1809" s="20">
        <v>0.93</v>
      </c>
      <c r="D1809" s="20">
        <v>0.18747949848141848</v>
      </c>
      <c r="E1809" s="20">
        <v>7.0000000000000007E-2</v>
      </c>
      <c r="F1809" s="8" t="s">
        <v>434</v>
      </c>
      <c r="G1809" s="24">
        <v>1.0372051244476339</v>
      </c>
      <c r="H1809" s="24">
        <v>1.0432102773642165</v>
      </c>
      <c r="I1809" s="25">
        <v>1.0614546013011619</v>
      </c>
      <c r="L1809" s="15">
        <v>1807</v>
      </c>
      <c r="M1809" s="16">
        <v>1</v>
      </c>
      <c r="N1809" s="16">
        <v>2</v>
      </c>
      <c r="O1809" s="16">
        <v>14</v>
      </c>
      <c r="P1809" s="16">
        <v>251</v>
      </c>
      <c r="Q1809" s="29">
        <v>36</v>
      </c>
      <c r="R1809" s="20">
        <v>0.62360000000000004</v>
      </c>
      <c r="S1809" s="32">
        <v>22.4496</v>
      </c>
      <c r="T1809" s="35">
        <v>0.70000000000000007</v>
      </c>
      <c r="U1809" s="35">
        <v>0.12</v>
      </c>
      <c r="V1809" s="35">
        <v>1.9444444444444445E-2</v>
      </c>
      <c r="W1809" s="9" t="s">
        <v>152</v>
      </c>
      <c r="X1809" s="15">
        <v>1808</v>
      </c>
      <c r="Y1809" s="39">
        <v>0.48247745178652351</v>
      </c>
      <c r="Z1809" s="39">
        <v>0.51150098210313133</v>
      </c>
      <c r="AA1809" s="39">
        <v>0.49056374376220474</v>
      </c>
      <c r="AB1809" s="39">
        <v>0.48373729843481905</v>
      </c>
      <c r="AC1809" s="39">
        <v>0.47626199592399776</v>
      </c>
      <c r="AD1809" s="39">
        <v>0.50379616009365247</v>
      </c>
      <c r="AE1809" s="39">
        <v>0.48461544430215014</v>
      </c>
      <c r="AF1809" s="40">
        <v>0.47746680723504975</v>
      </c>
    </row>
    <row r="1810" spans="1:32">
      <c r="A1810" s="15">
        <v>1808</v>
      </c>
      <c r="B1810" s="16">
        <v>0</v>
      </c>
      <c r="C1810" s="20">
        <v>0.93</v>
      </c>
      <c r="D1810" s="20">
        <v>0.18747949848141848</v>
      </c>
      <c r="E1810" s="20">
        <v>7.0000000000000007E-2</v>
      </c>
      <c r="F1810" s="8" t="s">
        <v>434</v>
      </c>
      <c r="G1810" s="24">
        <v>0.492644605790656</v>
      </c>
      <c r="H1810" s="24">
        <v>0.49549689230715183</v>
      </c>
      <c r="I1810" s="25">
        <v>0.50416245668008153</v>
      </c>
      <c r="L1810" s="15">
        <v>1808</v>
      </c>
      <c r="M1810" s="16">
        <v>1</v>
      </c>
      <c r="N1810" s="16">
        <v>2</v>
      </c>
      <c r="O1810" s="16">
        <v>14</v>
      </c>
      <c r="P1810" s="16">
        <v>252</v>
      </c>
      <c r="Q1810" s="29">
        <v>42</v>
      </c>
      <c r="R1810" s="20">
        <v>0.62360000000000004</v>
      </c>
      <c r="S1810" s="32">
        <v>26.191200000000002</v>
      </c>
      <c r="T1810" s="35">
        <v>1.1200000000000001</v>
      </c>
      <c r="U1810" s="35">
        <v>0.55000000000000004</v>
      </c>
      <c r="V1810" s="35">
        <v>2.6666666666666668E-2</v>
      </c>
      <c r="W1810" s="9" t="s">
        <v>153</v>
      </c>
      <c r="X1810" s="15">
        <v>1809</v>
      </c>
      <c r="Y1810" s="39">
        <v>0.49139411413604389</v>
      </c>
      <c r="Z1810" s="39">
        <v>0.48827044700348493</v>
      </c>
      <c r="AA1810" s="39">
        <v>0.48942166103772289</v>
      </c>
      <c r="AB1810" s="39">
        <v>0.48418052146623153</v>
      </c>
      <c r="AC1810" s="39">
        <v>0.48274606834746409</v>
      </c>
      <c r="AD1810" s="39">
        <v>0.4822662911424257</v>
      </c>
      <c r="AE1810" s="39">
        <v>0.48082144786776682</v>
      </c>
      <c r="AF1810" s="40">
        <v>0.47857245985619684</v>
      </c>
    </row>
    <row r="1811" spans="1:32">
      <c r="A1811" s="15">
        <v>1809</v>
      </c>
      <c r="B1811" s="16">
        <v>1</v>
      </c>
      <c r="C1811" s="20">
        <v>0.06</v>
      </c>
      <c r="D1811" s="20">
        <v>0.94691131336657497</v>
      </c>
      <c r="E1811" s="20">
        <v>0.45</v>
      </c>
      <c r="F1811" s="8" t="s">
        <v>436</v>
      </c>
      <c r="G1811" s="24">
        <v>0.83745857488611974</v>
      </c>
      <c r="H1811" s="24">
        <v>0.84230724626746545</v>
      </c>
      <c r="I1811" s="25">
        <v>0.8570380503908368</v>
      </c>
      <c r="L1811" s="15">
        <v>1809</v>
      </c>
      <c r="M1811" s="16">
        <v>1</v>
      </c>
      <c r="N1811" s="16">
        <v>2</v>
      </c>
      <c r="O1811" s="16">
        <v>14</v>
      </c>
      <c r="P1811" s="16">
        <v>253</v>
      </c>
      <c r="Q1811" s="29">
        <v>37</v>
      </c>
      <c r="R1811" s="20">
        <v>0.62360000000000004</v>
      </c>
      <c r="S1811" s="32">
        <v>23.0732</v>
      </c>
      <c r="T1811" s="35">
        <v>2.0499999999999998</v>
      </c>
      <c r="U1811" s="35">
        <v>1.41</v>
      </c>
      <c r="V1811" s="35">
        <v>5.5405405405405402E-2</v>
      </c>
      <c r="W1811" s="9" t="s">
        <v>154</v>
      </c>
      <c r="X1811" s="15">
        <v>1810</v>
      </c>
      <c r="Y1811" s="39">
        <v>0.49232557553447859</v>
      </c>
      <c r="Z1811" s="39">
        <v>0.47885063208196493</v>
      </c>
      <c r="AA1811" s="39">
        <v>0.46852480336273156</v>
      </c>
      <c r="AB1811" s="39">
        <v>0.47497045908424507</v>
      </c>
      <c r="AC1811" s="39">
        <v>0.48734762271545218</v>
      </c>
      <c r="AD1811" s="39">
        <v>0.47484841648624937</v>
      </c>
      <c r="AE1811" s="39">
        <v>0.46140492791748866</v>
      </c>
      <c r="AF1811" s="40">
        <v>0.46947274194840571</v>
      </c>
    </row>
    <row r="1812" spans="1:32">
      <c r="A1812" s="15">
        <v>1810</v>
      </c>
      <c r="B1812" s="16">
        <v>0</v>
      </c>
      <c r="C1812" s="20">
        <v>0.87</v>
      </c>
      <c r="D1812" s="20">
        <v>0.27276032039195819</v>
      </c>
      <c r="E1812" s="20">
        <v>0.13</v>
      </c>
      <c r="F1812" s="8" t="s">
        <v>434</v>
      </c>
      <c r="G1812" s="24">
        <v>0.85033830725786586</v>
      </c>
      <c r="H1812" s="24">
        <v>0.85526154900200091</v>
      </c>
      <c r="I1812" s="25">
        <v>0.87021890619966069</v>
      </c>
      <c r="L1812" s="15">
        <v>1810</v>
      </c>
      <c r="M1812" s="16">
        <v>1</v>
      </c>
      <c r="N1812" s="16">
        <v>2</v>
      </c>
      <c r="O1812" s="16">
        <v>14</v>
      </c>
      <c r="P1812" s="16">
        <v>254</v>
      </c>
      <c r="Q1812" s="29">
        <v>45</v>
      </c>
      <c r="R1812" s="20">
        <v>0.62360000000000004</v>
      </c>
      <c r="S1812" s="32">
        <v>28.062000000000001</v>
      </c>
      <c r="T1812" s="35">
        <v>1.24</v>
      </c>
      <c r="U1812" s="35">
        <v>0.69</v>
      </c>
      <c r="V1812" s="35">
        <v>2.7555555555555555E-2</v>
      </c>
      <c r="W1812" s="9" t="s">
        <v>153</v>
      </c>
      <c r="X1812" s="15">
        <v>1811</v>
      </c>
      <c r="Y1812" s="39">
        <v>0.48565692173389446</v>
      </c>
      <c r="Z1812" s="39">
        <v>0.48438336445309138</v>
      </c>
      <c r="AA1812" s="39">
        <v>0.49978840560905358</v>
      </c>
      <c r="AB1812" s="39">
        <v>0.49171465348898125</v>
      </c>
      <c r="AC1812" s="39">
        <v>0.4779880276875102</v>
      </c>
      <c r="AD1812" s="39">
        <v>0.47576690382005316</v>
      </c>
      <c r="AE1812" s="39">
        <v>0.49272680114589507</v>
      </c>
      <c r="AF1812" s="40">
        <v>0.48865145908312269</v>
      </c>
    </row>
    <row r="1813" spans="1:32">
      <c r="A1813" s="15">
        <v>1811</v>
      </c>
      <c r="B1813" s="16">
        <v>0</v>
      </c>
      <c r="C1813" s="20">
        <v>0.3</v>
      </c>
      <c r="D1813" s="20">
        <v>0.81741394142080703</v>
      </c>
      <c r="E1813" s="20">
        <v>0.05</v>
      </c>
      <c r="F1813" s="8" t="s">
        <v>436</v>
      </c>
      <c r="G1813" s="24">
        <v>0.90096213826869287</v>
      </c>
      <c r="H1813" s="24">
        <v>0.90617847907228843</v>
      </c>
      <c r="I1813" s="25">
        <v>0.92202630388346163</v>
      </c>
      <c r="L1813" s="15">
        <v>1811</v>
      </c>
      <c r="M1813" s="16">
        <v>1</v>
      </c>
      <c r="N1813" s="16">
        <v>2</v>
      </c>
      <c r="O1813" s="16">
        <v>14</v>
      </c>
      <c r="P1813" s="16">
        <v>255</v>
      </c>
      <c r="Q1813" s="29">
        <v>20</v>
      </c>
      <c r="R1813" s="20">
        <v>0.62360000000000004</v>
      </c>
      <c r="S1813" s="32">
        <v>12.472000000000001</v>
      </c>
      <c r="T1813" s="35">
        <v>0.45</v>
      </c>
      <c r="U1813" s="35">
        <v>0.21</v>
      </c>
      <c r="V1813" s="35">
        <v>2.2499999999999999E-2</v>
      </c>
      <c r="W1813" s="9" t="s">
        <v>152</v>
      </c>
      <c r="X1813" s="15">
        <v>1812</v>
      </c>
      <c r="Y1813" s="39">
        <v>0.48861212071821458</v>
      </c>
      <c r="Z1813" s="39">
        <v>0.48823657647542146</v>
      </c>
      <c r="AA1813" s="39">
        <v>0.49960397517577126</v>
      </c>
      <c r="AB1813" s="39">
        <v>0.48121437168714865</v>
      </c>
      <c r="AC1813" s="39">
        <v>0.4845104653570444</v>
      </c>
      <c r="AD1813" s="39">
        <v>0.48279613575068708</v>
      </c>
      <c r="AE1813" s="39">
        <v>0.49638090675926</v>
      </c>
      <c r="AF1813" s="40">
        <v>0.47698521971368485</v>
      </c>
    </row>
    <row r="1814" spans="1:32">
      <c r="A1814" s="15">
        <v>1812</v>
      </c>
      <c r="B1814" s="16">
        <v>0</v>
      </c>
      <c r="C1814" s="20">
        <v>0.54</v>
      </c>
      <c r="D1814" s="20">
        <v>0.4691485668838356</v>
      </c>
      <c r="E1814" s="20">
        <v>0.06</v>
      </c>
      <c r="F1814" s="8" t="s">
        <v>438</v>
      </c>
      <c r="G1814" s="24">
        <v>0.57931270410077074</v>
      </c>
      <c r="H1814" s="24">
        <v>0.58266677678383494</v>
      </c>
      <c r="I1814" s="25">
        <v>0.59285682346339696</v>
      </c>
      <c r="L1814" s="15">
        <v>1812</v>
      </c>
      <c r="M1814" s="16">
        <v>1</v>
      </c>
      <c r="N1814" s="16">
        <v>2</v>
      </c>
      <c r="O1814" s="16">
        <v>15</v>
      </c>
      <c r="P1814" s="16">
        <v>256</v>
      </c>
      <c r="Q1814" s="29">
        <v>1</v>
      </c>
      <c r="R1814" s="20">
        <v>0.62360000000000004</v>
      </c>
      <c r="S1814" s="32">
        <v>0.62360000000000004</v>
      </c>
      <c r="T1814" s="35">
        <v>0.01</v>
      </c>
      <c r="U1814" s="35">
        <v>0</v>
      </c>
      <c r="V1814" s="35">
        <v>0.01</v>
      </c>
      <c r="W1814" s="9" t="s">
        <v>152</v>
      </c>
      <c r="X1814" s="15">
        <v>1813</v>
      </c>
      <c r="Y1814" s="39">
        <v>0.47814209324064499</v>
      </c>
      <c r="Z1814" s="39">
        <v>0.48646943663140385</v>
      </c>
      <c r="AA1814" s="39">
        <v>0.4866131275462186</v>
      </c>
      <c r="AB1814" s="39">
        <v>0.48922007070817741</v>
      </c>
      <c r="AC1814" s="39">
        <v>0.47352059585294815</v>
      </c>
      <c r="AD1814" s="39">
        <v>0.47739621706672797</v>
      </c>
      <c r="AE1814" s="39">
        <v>0.47689861976403325</v>
      </c>
      <c r="AF1814" s="40">
        <v>0.48314891233469065</v>
      </c>
    </row>
    <row r="1815" spans="1:32">
      <c r="A1815" s="15">
        <v>1813</v>
      </c>
      <c r="B1815" s="16">
        <v>1</v>
      </c>
      <c r="C1815" s="20">
        <v>0.95</v>
      </c>
      <c r="D1815" s="20">
        <v>0.15570568692893463</v>
      </c>
      <c r="E1815" s="20">
        <v>0.05</v>
      </c>
      <c r="F1815" s="8" t="s">
        <v>434</v>
      </c>
      <c r="G1815" s="24">
        <v>0.92067439236373338</v>
      </c>
      <c r="H1815" s="24">
        <v>0.92600486208684651</v>
      </c>
      <c r="I1815" s="25">
        <v>0.94219942327712192</v>
      </c>
      <c r="L1815" s="15">
        <v>1813</v>
      </c>
      <c r="M1815" s="16">
        <v>1</v>
      </c>
      <c r="N1815" s="16">
        <v>2</v>
      </c>
      <c r="O1815" s="16">
        <v>16</v>
      </c>
      <c r="P1815" s="16">
        <v>257</v>
      </c>
      <c r="Q1815" s="29">
        <v>49</v>
      </c>
      <c r="R1815" s="20">
        <v>0.62360000000000004</v>
      </c>
      <c r="S1815" s="32">
        <v>30.556400000000004</v>
      </c>
      <c r="T1815" s="35">
        <v>2.5299999999999998</v>
      </c>
      <c r="U1815" s="35">
        <v>1.8</v>
      </c>
      <c r="V1815" s="35">
        <v>5.1632653061224484E-2</v>
      </c>
      <c r="W1815" s="9" t="s">
        <v>154</v>
      </c>
      <c r="X1815" s="15">
        <v>1814</v>
      </c>
      <c r="Y1815" s="39">
        <v>0.49360304622404427</v>
      </c>
      <c r="Z1815" s="39">
        <v>0.47749559914989598</v>
      </c>
      <c r="AA1815" s="39">
        <v>0.48065467932078909</v>
      </c>
      <c r="AB1815" s="39">
        <v>0.48227325627350459</v>
      </c>
      <c r="AC1815" s="39">
        <v>0.48714368922640666</v>
      </c>
      <c r="AD1815" s="39">
        <v>0.46979015291727771</v>
      </c>
      <c r="AE1815" s="39">
        <v>0.47470882079497112</v>
      </c>
      <c r="AF1815" s="40">
        <v>0.47757115362062363</v>
      </c>
    </row>
    <row r="1816" spans="1:32">
      <c r="A1816" s="15">
        <v>1814</v>
      </c>
      <c r="B1816" s="16">
        <v>1</v>
      </c>
      <c r="C1816" s="20">
        <v>0.34</v>
      </c>
      <c r="D1816" s="20">
        <v>0.66303539882389206</v>
      </c>
      <c r="E1816" s="20">
        <v>0.12</v>
      </c>
      <c r="F1816" s="8" t="s">
        <v>436</v>
      </c>
      <c r="G1816" s="24">
        <v>0.68209425797750489</v>
      </c>
      <c r="H1816" s="24">
        <v>0.68604340962179433</v>
      </c>
      <c r="I1816" s="25">
        <v>0.69804137251722387</v>
      </c>
      <c r="L1816" s="15">
        <v>1814</v>
      </c>
      <c r="M1816" s="16">
        <v>1</v>
      </c>
      <c r="N1816" s="16">
        <v>2</v>
      </c>
      <c r="O1816" s="16">
        <v>16</v>
      </c>
      <c r="P1816" s="16">
        <v>258</v>
      </c>
      <c r="Q1816" s="29">
        <v>39</v>
      </c>
      <c r="R1816" s="20">
        <v>0.62360000000000004</v>
      </c>
      <c r="S1816" s="32">
        <v>24.320400000000003</v>
      </c>
      <c r="T1816" s="35">
        <v>1.71</v>
      </c>
      <c r="U1816" s="35">
        <v>1.1299999999999999</v>
      </c>
      <c r="V1816" s="35">
        <v>4.3846153846153847E-2</v>
      </c>
      <c r="W1816" s="9" t="s">
        <v>153</v>
      </c>
      <c r="X1816" s="15">
        <v>1815</v>
      </c>
      <c r="Y1816" s="39">
        <v>0.48424789458330492</v>
      </c>
      <c r="Z1816" s="39">
        <v>0.47476096838599902</v>
      </c>
      <c r="AA1816" s="39">
        <v>0.49347433214457764</v>
      </c>
      <c r="AB1816" s="39">
        <v>0.4961746241583353</v>
      </c>
      <c r="AC1816" s="39">
        <v>0.47854244147856734</v>
      </c>
      <c r="AD1816" s="39">
        <v>0.46915730273780382</v>
      </c>
      <c r="AE1816" s="39">
        <v>0.48485923232619743</v>
      </c>
      <c r="AF1816" s="40">
        <v>0.4923753752924766</v>
      </c>
    </row>
    <row r="1817" spans="1:32">
      <c r="A1817" s="15">
        <v>1815</v>
      </c>
      <c r="B1817" s="16">
        <v>1</v>
      </c>
      <c r="C1817" s="20">
        <v>0.02</v>
      </c>
      <c r="D1817" s="20">
        <v>0.99835916395484214</v>
      </c>
      <c r="E1817" s="20">
        <v>1</v>
      </c>
      <c r="F1817" s="8" t="s">
        <v>436</v>
      </c>
      <c r="G1817" s="24">
        <v>1.0444304431363078</v>
      </c>
      <c r="H1817" s="24">
        <v>1.0504774288037839</v>
      </c>
      <c r="I1817" s="25">
        <v>1.0688488453009151</v>
      </c>
      <c r="L1817" s="15">
        <v>1815</v>
      </c>
      <c r="M1817" s="16">
        <v>1</v>
      </c>
      <c r="N1817" s="16">
        <v>2</v>
      </c>
      <c r="O1817" s="16">
        <v>16</v>
      </c>
      <c r="P1817" s="16">
        <v>259</v>
      </c>
      <c r="Q1817" s="29">
        <v>20</v>
      </c>
      <c r="R1817" s="20">
        <v>0.62360000000000004</v>
      </c>
      <c r="S1817" s="32">
        <v>12.472000000000001</v>
      </c>
      <c r="T1817" s="35">
        <v>0.99</v>
      </c>
      <c r="U1817" s="35">
        <v>0.68</v>
      </c>
      <c r="V1817" s="35">
        <v>4.9500000000000002E-2</v>
      </c>
      <c r="W1817" s="9" t="s">
        <v>152</v>
      </c>
      <c r="X1817" s="15">
        <v>1816</v>
      </c>
      <c r="Y1817" s="39">
        <v>0.47184739607105941</v>
      </c>
      <c r="Z1817" s="39">
        <v>0.4868232802541585</v>
      </c>
      <c r="AA1817" s="39">
        <v>0.4752754290344659</v>
      </c>
      <c r="AB1817" s="39">
        <v>0.50156594856440495</v>
      </c>
      <c r="AC1817" s="39">
        <v>0.46748422539831441</v>
      </c>
      <c r="AD1817" s="39">
        <v>0.4810177849695626</v>
      </c>
      <c r="AE1817" s="39">
        <v>0.47054611992818418</v>
      </c>
      <c r="AF1817" s="40">
        <v>0.49720667016529296</v>
      </c>
    </row>
    <row r="1818" spans="1:32">
      <c r="A1818" s="15">
        <v>1816</v>
      </c>
      <c r="B1818" s="16">
        <v>0</v>
      </c>
      <c r="C1818" s="20">
        <v>0.02</v>
      </c>
      <c r="D1818" s="20">
        <v>0.99756714174924133</v>
      </c>
      <c r="E1818" s="20">
        <v>1</v>
      </c>
      <c r="F1818" s="8" t="s">
        <v>436</v>
      </c>
      <c r="G1818" s="24">
        <v>1.0750640103457376</v>
      </c>
      <c r="H1818" s="24">
        <v>1.0812883565479208</v>
      </c>
      <c r="I1818" s="25">
        <v>1.1001986141193387</v>
      </c>
      <c r="L1818" s="15">
        <v>1816</v>
      </c>
      <c r="M1818" s="16">
        <v>1</v>
      </c>
      <c r="N1818" s="16">
        <v>3</v>
      </c>
      <c r="O1818" s="16">
        <v>0</v>
      </c>
      <c r="P1818" s="16">
        <v>56</v>
      </c>
      <c r="Q1818" s="29">
        <v>22</v>
      </c>
      <c r="R1818" s="20">
        <v>0.49930000000000002</v>
      </c>
      <c r="S1818" s="32">
        <v>10.9846</v>
      </c>
      <c r="T1818" s="35">
        <v>0.28000000000000003</v>
      </c>
      <c r="U1818" s="35">
        <v>0</v>
      </c>
      <c r="V1818" s="35">
        <v>1.2727272727272728E-2</v>
      </c>
      <c r="W1818" s="9" t="s">
        <v>152</v>
      </c>
      <c r="X1818" s="15">
        <v>1817</v>
      </c>
      <c r="Y1818" s="39">
        <v>0.48311119563102595</v>
      </c>
      <c r="Z1818" s="39">
        <v>0.48748466056441719</v>
      </c>
      <c r="AA1818" s="39">
        <v>0.49145026134455672</v>
      </c>
      <c r="AB1818" s="39">
        <v>0.48218756219509412</v>
      </c>
      <c r="AC1818" s="39">
        <v>0.47625153961767813</v>
      </c>
      <c r="AD1818" s="39">
        <v>0.48232288654654221</v>
      </c>
      <c r="AE1818" s="39">
        <v>0.48445002984788943</v>
      </c>
      <c r="AF1818" s="40">
        <v>0.47910067476302054</v>
      </c>
    </row>
    <row r="1819" spans="1:32">
      <c r="A1819" s="15">
        <v>1817</v>
      </c>
      <c r="B1819" s="16">
        <v>1</v>
      </c>
      <c r="C1819" s="20">
        <v>0.27</v>
      </c>
      <c r="D1819" s="20">
        <v>0.78103591030327335</v>
      </c>
      <c r="E1819" s="20">
        <v>7.0000000000000007E-2</v>
      </c>
      <c r="F1819" s="8" t="s">
        <v>436</v>
      </c>
      <c r="G1819" s="24">
        <v>0.64452908328024161</v>
      </c>
      <c r="H1819" s="24">
        <v>0.64826074215181129</v>
      </c>
      <c r="I1819" s="25">
        <v>0.65959793776045195</v>
      </c>
      <c r="L1819" s="15">
        <v>1817</v>
      </c>
      <c r="M1819" s="16">
        <v>1</v>
      </c>
      <c r="N1819" s="16">
        <v>3</v>
      </c>
      <c r="O1819" s="16">
        <v>0</v>
      </c>
      <c r="P1819" s="16">
        <v>57</v>
      </c>
      <c r="Q1819" s="29">
        <v>18</v>
      </c>
      <c r="R1819" s="20">
        <v>0.49930000000000002</v>
      </c>
      <c r="S1819" s="32">
        <v>8.9874000000000009</v>
      </c>
      <c r="T1819" s="35">
        <v>0.36</v>
      </c>
      <c r="U1819" s="35">
        <v>0.1</v>
      </c>
      <c r="V1819" s="35">
        <v>0.02</v>
      </c>
      <c r="W1819" s="9" t="s">
        <v>152</v>
      </c>
      <c r="X1819" s="15">
        <v>1818</v>
      </c>
      <c r="Y1819" s="39">
        <v>0.47627953426352421</v>
      </c>
      <c r="Z1819" s="39">
        <v>0.47735214228919876</v>
      </c>
      <c r="AA1819" s="39">
        <v>0.4799766902381653</v>
      </c>
      <c r="AB1819" s="39">
        <v>0.47962556133089135</v>
      </c>
      <c r="AC1819" s="39">
        <v>0.46925551426639578</v>
      </c>
      <c r="AD1819" s="39">
        <v>0.47090385063382795</v>
      </c>
      <c r="AE1819" s="39">
        <v>0.47328117521203639</v>
      </c>
      <c r="AF1819" s="40">
        <v>0.47456758171584096</v>
      </c>
    </row>
    <row r="1820" spans="1:32">
      <c r="A1820" s="15">
        <v>1818</v>
      </c>
      <c r="B1820" s="16">
        <v>0</v>
      </c>
      <c r="C1820" s="20">
        <v>0.46</v>
      </c>
      <c r="D1820" s="20">
        <v>0.4702627948529518</v>
      </c>
      <c r="E1820" s="20">
        <v>0.08</v>
      </c>
      <c r="F1820" s="8" t="s">
        <v>436</v>
      </c>
      <c r="G1820" s="24">
        <v>1.3596494602220415</v>
      </c>
      <c r="H1820" s="24">
        <v>1.3675214835365526</v>
      </c>
      <c r="I1820" s="25">
        <v>1.3914375678368442</v>
      </c>
      <c r="L1820" s="15">
        <v>1818</v>
      </c>
      <c r="M1820" s="16">
        <v>1</v>
      </c>
      <c r="N1820" s="16">
        <v>3</v>
      </c>
      <c r="O1820" s="16">
        <v>0</v>
      </c>
      <c r="P1820" s="16">
        <v>58</v>
      </c>
      <c r="Q1820" s="29">
        <v>26</v>
      </c>
      <c r="R1820" s="20">
        <v>0.49930000000000002</v>
      </c>
      <c r="S1820" s="32">
        <v>12.9818</v>
      </c>
      <c r="T1820" s="35">
        <v>0.73</v>
      </c>
      <c r="U1820" s="35">
        <v>0.32</v>
      </c>
      <c r="V1820" s="35">
        <v>2.8076923076923076E-2</v>
      </c>
      <c r="W1820" s="9" t="s">
        <v>152</v>
      </c>
      <c r="X1820" s="15">
        <v>1819</v>
      </c>
      <c r="Y1820" s="39">
        <v>0.48978237411190712</v>
      </c>
      <c r="Z1820" s="39">
        <v>0.5031886111835161</v>
      </c>
      <c r="AA1820" s="39">
        <v>0.49286695079713122</v>
      </c>
      <c r="AB1820" s="39">
        <v>0.48589099872872094</v>
      </c>
      <c r="AC1820" s="39">
        <v>0.4833318594150926</v>
      </c>
      <c r="AD1820" s="39">
        <v>0.4972416713696125</v>
      </c>
      <c r="AE1820" s="39">
        <v>0.48516815096285265</v>
      </c>
      <c r="AF1820" s="40">
        <v>0.48056734449982091</v>
      </c>
    </row>
    <row r="1821" spans="1:32">
      <c r="A1821" s="15">
        <v>1819</v>
      </c>
      <c r="B1821" s="16">
        <v>0</v>
      </c>
      <c r="C1821" s="20">
        <v>0.76</v>
      </c>
      <c r="D1821" s="20">
        <v>0.40815890977225716</v>
      </c>
      <c r="E1821" s="20">
        <v>0.24</v>
      </c>
      <c r="F1821" s="8" t="s">
        <v>438</v>
      </c>
      <c r="G1821" s="24">
        <v>0.6877555751599369</v>
      </c>
      <c r="H1821" s="24">
        <v>0.6917375043856212</v>
      </c>
      <c r="I1821" s="25">
        <v>0.70383504922694706</v>
      </c>
      <c r="L1821" s="15">
        <v>1819</v>
      </c>
      <c r="M1821" s="16">
        <v>1</v>
      </c>
      <c r="N1821" s="16">
        <v>3</v>
      </c>
      <c r="O1821" s="16">
        <v>0</v>
      </c>
      <c r="P1821" s="16">
        <v>59</v>
      </c>
      <c r="Q1821" s="29">
        <v>19</v>
      </c>
      <c r="R1821" s="20">
        <v>0.49930000000000002</v>
      </c>
      <c r="S1821" s="32">
        <v>9.4867000000000008</v>
      </c>
      <c r="T1821" s="35">
        <v>1.6</v>
      </c>
      <c r="U1821" s="35">
        <v>1.32</v>
      </c>
      <c r="V1821" s="35">
        <v>8.4210526315789472E-2</v>
      </c>
      <c r="W1821" s="9" t="s">
        <v>153</v>
      </c>
      <c r="X1821" s="15">
        <v>1820</v>
      </c>
      <c r="Y1821" s="39">
        <v>0.49545063333856088</v>
      </c>
      <c r="Z1821" s="39">
        <v>0.47949404717869265</v>
      </c>
      <c r="AA1821" s="39">
        <v>0.49279422803979656</v>
      </c>
      <c r="AB1821" s="39">
        <v>0.49124930851933851</v>
      </c>
      <c r="AC1821" s="39">
        <v>0.48476422024979815</v>
      </c>
      <c r="AD1821" s="39">
        <v>0.47283157971950179</v>
      </c>
      <c r="AE1821" s="39">
        <v>0.48685763697891321</v>
      </c>
      <c r="AF1821" s="40">
        <v>0.48895941819135452</v>
      </c>
    </row>
    <row r="1822" spans="1:32">
      <c r="A1822" s="15">
        <v>1820</v>
      </c>
      <c r="B1822" s="16">
        <v>0</v>
      </c>
      <c r="C1822" s="20">
        <v>0.86</v>
      </c>
      <c r="D1822" s="20">
        <v>0.28597383862931031</v>
      </c>
      <c r="E1822" s="20">
        <v>0.14000000000000001</v>
      </c>
      <c r="F1822" s="8" t="s">
        <v>434</v>
      </c>
      <c r="G1822" s="24">
        <v>0.72311485032510714</v>
      </c>
      <c r="H1822" s="24">
        <v>0.72730150072829181</v>
      </c>
      <c r="I1822" s="25">
        <v>0.74002101132651887</v>
      </c>
      <c r="L1822" s="15">
        <v>1820</v>
      </c>
      <c r="M1822" s="16">
        <v>1</v>
      </c>
      <c r="N1822" s="16">
        <v>3</v>
      </c>
      <c r="O1822" s="16">
        <v>0</v>
      </c>
      <c r="P1822" s="16">
        <v>60</v>
      </c>
      <c r="Q1822" s="29">
        <v>25</v>
      </c>
      <c r="R1822" s="20">
        <v>0.49930000000000002</v>
      </c>
      <c r="S1822" s="32">
        <v>12.4825</v>
      </c>
      <c r="T1822" s="35">
        <v>0.7</v>
      </c>
      <c r="U1822" s="35">
        <v>0.34</v>
      </c>
      <c r="V1822" s="35">
        <v>2.7999999999999997E-2</v>
      </c>
      <c r="W1822" s="9" t="s">
        <v>152</v>
      </c>
      <c r="X1822" s="15">
        <v>1821</v>
      </c>
      <c r="Y1822" s="39">
        <v>0.49281262019046668</v>
      </c>
      <c r="Z1822" s="39">
        <v>0.48256675981573227</v>
      </c>
      <c r="AA1822" s="39">
        <v>0.48043283522634744</v>
      </c>
      <c r="AB1822" s="39">
        <v>0.47978554626884606</v>
      </c>
      <c r="AC1822" s="39">
        <v>0.48730760842023346</v>
      </c>
      <c r="AD1822" s="39">
        <v>0.47687815677638079</v>
      </c>
      <c r="AE1822" s="39">
        <v>0.47475432361316044</v>
      </c>
      <c r="AF1822" s="40">
        <v>0.47326442527033635</v>
      </c>
    </row>
    <row r="1823" spans="1:32">
      <c r="A1823" s="15">
        <v>1821</v>
      </c>
      <c r="B1823" s="16">
        <v>1</v>
      </c>
      <c r="C1823" s="20">
        <v>0.23</v>
      </c>
      <c r="D1823" s="20">
        <v>0.79025196225495042</v>
      </c>
      <c r="E1823" s="20">
        <v>0.13</v>
      </c>
      <c r="F1823" s="8" t="s">
        <v>436</v>
      </c>
      <c r="G1823" s="24">
        <v>0.96481441369590915</v>
      </c>
      <c r="H1823" s="24">
        <v>0.97040044287548177</v>
      </c>
      <c r="I1823" s="25">
        <v>0.98737142218092688</v>
      </c>
      <c r="L1823" s="15">
        <v>1821</v>
      </c>
      <c r="M1823" s="16">
        <v>1</v>
      </c>
      <c r="N1823" s="16">
        <v>3</v>
      </c>
      <c r="O1823" s="16">
        <v>0</v>
      </c>
      <c r="P1823" s="16">
        <v>61</v>
      </c>
      <c r="Q1823" s="29">
        <v>20</v>
      </c>
      <c r="R1823" s="20">
        <v>0.49930000000000002</v>
      </c>
      <c r="S1823" s="32">
        <v>9.9860000000000007</v>
      </c>
      <c r="T1823" s="35">
        <v>0.33</v>
      </c>
      <c r="U1823" s="35">
        <v>0.1</v>
      </c>
      <c r="V1823" s="35">
        <v>1.6500000000000001E-2</v>
      </c>
      <c r="W1823" s="9" t="s">
        <v>152</v>
      </c>
      <c r="X1823" s="15">
        <v>1822</v>
      </c>
      <c r="Y1823" s="39">
        <v>0.50031103176776937</v>
      </c>
      <c r="Z1823" s="39">
        <v>0.49357662588139328</v>
      </c>
      <c r="AA1823" s="39">
        <v>0.48505828262394496</v>
      </c>
      <c r="AB1823" s="39">
        <v>0.49393981799666264</v>
      </c>
      <c r="AC1823" s="39">
        <v>0.49338181147040833</v>
      </c>
      <c r="AD1823" s="39">
        <v>0.486598265210683</v>
      </c>
      <c r="AE1823" s="39">
        <v>0.47976197017017824</v>
      </c>
      <c r="AF1823" s="40">
        <v>0.48956816754095306</v>
      </c>
    </row>
    <row r="1824" spans="1:32">
      <c r="A1824" s="15">
        <v>1822</v>
      </c>
      <c r="B1824" s="16">
        <v>0</v>
      </c>
      <c r="C1824" s="20">
        <v>0.94</v>
      </c>
      <c r="D1824" s="20">
        <v>0.17188516685452584</v>
      </c>
      <c r="E1824" s="20">
        <v>0.06</v>
      </c>
      <c r="F1824" s="8" t="s">
        <v>434</v>
      </c>
      <c r="G1824" s="24">
        <v>0.66998698245181265</v>
      </c>
      <c r="H1824" s="24">
        <v>0.67386603606127626</v>
      </c>
      <c r="I1824" s="25">
        <v>0.68565103331328769</v>
      </c>
      <c r="L1824" s="15">
        <v>1822</v>
      </c>
      <c r="M1824" s="16">
        <v>1</v>
      </c>
      <c r="N1824" s="16">
        <v>3</v>
      </c>
      <c r="O1824" s="16">
        <v>0</v>
      </c>
      <c r="P1824" s="16">
        <v>62</v>
      </c>
      <c r="Q1824" s="29">
        <v>24</v>
      </c>
      <c r="R1824" s="20">
        <v>0.49930000000000002</v>
      </c>
      <c r="S1824" s="32">
        <v>11.9832</v>
      </c>
      <c r="T1824" s="35">
        <v>1.33</v>
      </c>
      <c r="U1824" s="35">
        <v>1.04</v>
      </c>
      <c r="V1824" s="35">
        <v>5.541666666666667E-2</v>
      </c>
      <c r="W1824" s="9" t="s">
        <v>153</v>
      </c>
      <c r="X1824" s="15">
        <v>1823</v>
      </c>
      <c r="Y1824" s="39">
        <v>0.49166665045090502</v>
      </c>
      <c r="Z1824" s="39">
        <v>0.47740049640953941</v>
      </c>
      <c r="AA1824" s="39">
        <v>0.48595582170787927</v>
      </c>
      <c r="AB1824" s="39">
        <v>0.48650802820718891</v>
      </c>
      <c r="AC1824" s="39">
        <v>0.48610951622618465</v>
      </c>
      <c r="AD1824" s="39">
        <v>0.46778481831634622</v>
      </c>
      <c r="AE1824" s="39">
        <v>0.48017054752784477</v>
      </c>
      <c r="AF1824" s="40">
        <v>0.48582656758371262</v>
      </c>
    </row>
    <row r="1825" spans="1:32">
      <c r="A1825" s="15">
        <v>1823</v>
      </c>
      <c r="B1825" s="16">
        <v>1</v>
      </c>
      <c r="C1825" s="20">
        <v>0.26</v>
      </c>
      <c r="D1825" s="20">
        <v>0.72829741901646905</v>
      </c>
      <c r="E1825" s="20">
        <v>0.09</v>
      </c>
      <c r="F1825" s="8" t="s">
        <v>436</v>
      </c>
      <c r="G1825" s="24">
        <v>0.94912462019493871</v>
      </c>
      <c r="H1825" s="24">
        <v>0.95461980947507186</v>
      </c>
      <c r="I1825" s="25">
        <v>0.97131480704036899</v>
      </c>
      <c r="L1825" s="15">
        <v>1823</v>
      </c>
      <c r="M1825" s="16">
        <v>1</v>
      </c>
      <c r="N1825" s="16">
        <v>3</v>
      </c>
      <c r="O1825" s="16">
        <v>0</v>
      </c>
      <c r="P1825" s="16">
        <v>63</v>
      </c>
      <c r="Q1825" s="29">
        <v>27</v>
      </c>
      <c r="R1825" s="20">
        <v>0.49930000000000002</v>
      </c>
      <c r="S1825" s="32">
        <v>13.481100000000001</v>
      </c>
      <c r="T1825" s="35">
        <v>0.78</v>
      </c>
      <c r="U1825" s="35">
        <v>0.34</v>
      </c>
      <c r="V1825" s="35">
        <v>2.8888888888888891E-2</v>
      </c>
      <c r="W1825" s="9" t="s">
        <v>152</v>
      </c>
      <c r="X1825" s="15">
        <v>1824</v>
      </c>
      <c r="Y1825" s="39">
        <v>0.4841728451259934</v>
      </c>
      <c r="Z1825" s="39">
        <v>0.48410854305870016</v>
      </c>
      <c r="AA1825" s="39">
        <v>0.48458380773745374</v>
      </c>
      <c r="AB1825" s="39">
        <v>0.47193907133703861</v>
      </c>
      <c r="AC1825" s="39">
        <v>0.477303453679845</v>
      </c>
      <c r="AD1825" s="39">
        <v>0.4766409661566387</v>
      </c>
      <c r="AE1825" s="39">
        <v>0.47577379619450855</v>
      </c>
      <c r="AF1825" s="40">
        <v>0.46575062204315881</v>
      </c>
    </row>
    <row r="1826" spans="1:32">
      <c r="A1826" s="15">
        <v>1824</v>
      </c>
      <c r="B1826" s="16">
        <v>1</v>
      </c>
      <c r="C1826" s="20">
        <v>0.5</v>
      </c>
      <c r="D1826" s="20">
        <v>0.48489465042457458</v>
      </c>
      <c r="E1826" s="20">
        <v>0.13</v>
      </c>
      <c r="F1826" s="8" t="s">
        <v>438</v>
      </c>
      <c r="G1826" s="24">
        <v>1.160165735734741</v>
      </c>
      <c r="H1826" s="24">
        <v>1.1668827992041071</v>
      </c>
      <c r="I1826" s="25">
        <v>1.1872899867549416</v>
      </c>
      <c r="L1826" s="15">
        <v>1824</v>
      </c>
      <c r="M1826" s="16">
        <v>1</v>
      </c>
      <c r="N1826" s="16">
        <v>3</v>
      </c>
      <c r="O1826" s="16">
        <v>0</v>
      </c>
      <c r="P1826" s="16">
        <v>64</v>
      </c>
      <c r="Q1826" s="29">
        <v>17</v>
      </c>
      <c r="R1826" s="20">
        <v>0.49930000000000002</v>
      </c>
      <c r="S1826" s="32">
        <v>8.4881000000000011</v>
      </c>
      <c r="T1826" s="35">
        <v>0.4</v>
      </c>
      <c r="U1826" s="35">
        <v>0.23</v>
      </c>
      <c r="V1826" s="35">
        <v>2.3529411764705882E-2</v>
      </c>
      <c r="W1826" s="9" t="s">
        <v>152</v>
      </c>
      <c r="X1826" s="15">
        <v>1825</v>
      </c>
      <c r="Y1826" s="39">
        <v>0.49753624049969614</v>
      </c>
      <c r="Z1826" s="39">
        <v>0.48422234398895364</v>
      </c>
      <c r="AA1826" s="39">
        <v>0.470639862737669</v>
      </c>
      <c r="AB1826" s="39">
        <v>0.4857984014318032</v>
      </c>
      <c r="AC1826" s="39">
        <v>0.48964769653580759</v>
      </c>
      <c r="AD1826" s="39">
        <v>0.47346010545519424</v>
      </c>
      <c r="AE1826" s="39">
        <v>0.46145284213944665</v>
      </c>
      <c r="AF1826" s="40">
        <v>0.48295091991033529</v>
      </c>
    </row>
    <row r="1827" spans="1:32">
      <c r="A1827" s="15">
        <v>1825</v>
      </c>
      <c r="B1827" s="16">
        <v>1</v>
      </c>
      <c r="C1827" s="20">
        <v>0.03</v>
      </c>
      <c r="D1827" s="20">
        <v>0.9948936026028764</v>
      </c>
      <c r="E1827" s="20">
        <v>1</v>
      </c>
      <c r="F1827" s="8" t="s">
        <v>436</v>
      </c>
      <c r="G1827" s="24">
        <v>1.0483588154504517</v>
      </c>
      <c r="H1827" s="24">
        <v>1.0544285453908817</v>
      </c>
      <c r="I1827" s="25">
        <v>1.0728690615244829</v>
      </c>
      <c r="L1827" s="15">
        <v>1825</v>
      </c>
      <c r="M1827" s="16">
        <v>1</v>
      </c>
      <c r="N1827" s="16">
        <v>3</v>
      </c>
      <c r="O1827" s="16">
        <v>0</v>
      </c>
      <c r="P1827" s="16">
        <v>65</v>
      </c>
      <c r="Q1827" s="29">
        <v>24</v>
      </c>
      <c r="R1827" s="20">
        <v>0.49930000000000002</v>
      </c>
      <c r="S1827" s="32">
        <v>11.9832</v>
      </c>
      <c r="T1827" s="35">
        <v>1.57</v>
      </c>
      <c r="U1827" s="35">
        <v>1.25</v>
      </c>
      <c r="V1827" s="35">
        <v>6.5416666666666665E-2</v>
      </c>
      <c r="W1827" s="9" t="s">
        <v>153</v>
      </c>
      <c r="X1827" s="15">
        <v>1826</v>
      </c>
      <c r="Y1827" s="39">
        <v>0.48123806658821872</v>
      </c>
      <c r="Z1827" s="39">
        <v>0.478026034971262</v>
      </c>
      <c r="AA1827" s="39">
        <v>0.48930238211181848</v>
      </c>
      <c r="AB1827" s="39">
        <v>0.48735099501795159</v>
      </c>
      <c r="AC1827" s="39">
        <v>0.47579121263026986</v>
      </c>
      <c r="AD1827" s="39">
        <v>0.46854076952475676</v>
      </c>
      <c r="AE1827" s="39">
        <v>0.48009993817060559</v>
      </c>
      <c r="AF1827" s="40">
        <v>0.48206331635729638</v>
      </c>
    </row>
    <row r="1828" spans="1:32">
      <c r="A1828" s="15">
        <v>1826</v>
      </c>
      <c r="B1828" s="16">
        <v>0</v>
      </c>
      <c r="C1828" s="20">
        <v>0.28000000000000003</v>
      </c>
      <c r="D1828" s="20">
        <v>0.73667386553393188</v>
      </c>
      <c r="E1828" s="20">
        <v>0.08</v>
      </c>
      <c r="F1828" s="8" t="s">
        <v>436</v>
      </c>
      <c r="G1828" s="24">
        <v>0.87524334668663761</v>
      </c>
      <c r="H1828" s="24">
        <v>0.8803107822518772</v>
      </c>
      <c r="I1828" s="25">
        <v>0.89570621635090486</v>
      </c>
      <c r="L1828" s="15">
        <v>1826</v>
      </c>
      <c r="M1828" s="16">
        <v>1</v>
      </c>
      <c r="N1828" s="16">
        <v>3</v>
      </c>
      <c r="O1828" s="16">
        <v>0</v>
      </c>
      <c r="P1828" s="16">
        <v>66</v>
      </c>
      <c r="Q1828" s="29">
        <v>9</v>
      </c>
      <c r="R1828" s="20">
        <v>0.49930000000000002</v>
      </c>
      <c r="S1828" s="32">
        <v>4.4937000000000005</v>
      </c>
      <c r="T1828" s="35">
        <v>0.23</v>
      </c>
      <c r="U1828" s="35">
        <v>0.09</v>
      </c>
      <c r="V1828" s="35">
        <v>2.5555555555555557E-2</v>
      </c>
      <c r="W1828" s="9" t="s">
        <v>152</v>
      </c>
      <c r="X1828" s="15">
        <v>1827</v>
      </c>
      <c r="Y1828" s="39">
        <v>0.4938558308028777</v>
      </c>
      <c r="Z1828" s="39">
        <v>0.47855547561865425</v>
      </c>
      <c r="AA1828" s="39">
        <v>0.48333927424366979</v>
      </c>
      <c r="AB1828" s="39">
        <v>0.50781902753358898</v>
      </c>
      <c r="AC1828" s="39">
        <v>0.48647635347166357</v>
      </c>
      <c r="AD1828" s="39">
        <v>0.47159387170125233</v>
      </c>
      <c r="AE1828" s="39">
        <v>0.47667192319336454</v>
      </c>
      <c r="AF1828" s="40">
        <v>0.50510734959539216</v>
      </c>
    </row>
    <row r="1829" spans="1:32">
      <c r="A1829" s="15">
        <v>1827</v>
      </c>
      <c r="B1829" s="16">
        <v>0</v>
      </c>
      <c r="C1829" s="20">
        <v>0.22</v>
      </c>
      <c r="D1829" s="20">
        <v>0.80208569080605929</v>
      </c>
      <c r="E1829" s="20">
        <v>0.09</v>
      </c>
      <c r="F1829" s="8" t="s">
        <v>436</v>
      </c>
      <c r="G1829" s="24">
        <v>1.4336739820746869</v>
      </c>
      <c r="H1829" s="24">
        <v>1.4419745884754402</v>
      </c>
      <c r="I1829" s="25">
        <v>1.4671927559646059</v>
      </c>
      <c r="L1829" s="15">
        <v>1827</v>
      </c>
      <c r="M1829" s="16">
        <v>1</v>
      </c>
      <c r="N1829" s="16">
        <v>3</v>
      </c>
      <c r="O1829" s="16">
        <v>0</v>
      </c>
      <c r="P1829" s="16">
        <v>67</v>
      </c>
      <c r="Q1829" s="29">
        <v>19</v>
      </c>
      <c r="R1829" s="20">
        <v>0.49930000000000002</v>
      </c>
      <c r="S1829" s="32">
        <v>9.4867000000000008</v>
      </c>
      <c r="T1829" s="35">
        <v>0.75</v>
      </c>
      <c r="U1829" s="35">
        <v>0.5</v>
      </c>
      <c r="V1829" s="35">
        <v>3.9473684210526314E-2</v>
      </c>
      <c r="W1829" s="9" t="s">
        <v>152</v>
      </c>
      <c r="X1829" s="15">
        <v>1828</v>
      </c>
      <c r="Y1829" s="39">
        <v>0.48058324235337535</v>
      </c>
      <c r="Z1829" s="39">
        <v>0.48141629863645563</v>
      </c>
      <c r="AA1829" s="39">
        <v>0.49503624227496534</v>
      </c>
      <c r="AB1829" s="39">
        <v>0.48296295683902341</v>
      </c>
      <c r="AC1829" s="39">
        <v>0.4759547592605326</v>
      </c>
      <c r="AD1829" s="39">
        <v>0.47258808310115902</v>
      </c>
      <c r="AE1829" s="39">
        <v>0.48547497922366484</v>
      </c>
      <c r="AF1829" s="40">
        <v>0.47811288443898819</v>
      </c>
    </row>
    <row r="1830" spans="1:32">
      <c r="A1830" s="15">
        <v>1828</v>
      </c>
      <c r="B1830" s="16">
        <v>0</v>
      </c>
      <c r="C1830" s="20">
        <v>0.24</v>
      </c>
      <c r="D1830" s="20">
        <v>0.73455572206031905</v>
      </c>
      <c r="E1830" s="20">
        <v>0.38</v>
      </c>
      <c r="F1830" s="8" t="s">
        <v>436</v>
      </c>
      <c r="G1830" s="24">
        <v>0.91557100863764929</v>
      </c>
      <c r="H1830" s="24">
        <v>0.92087193107166321</v>
      </c>
      <c r="I1830" s="25">
        <v>0.93697672430410794</v>
      </c>
      <c r="L1830" s="15">
        <v>1828</v>
      </c>
      <c r="M1830" s="16">
        <v>1</v>
      </c>
      <c r="N1830" s="16">
        <v>3</v>
      </c>
      <c r="O1830" s="16">
        <v>0</v>
      </c>
      <c r="P1830" s="16">
        <v>68</v>
      </c>
      <c r="Q1830" s="29">
        <v>15</v>
      </c>
      <c r="R1830" s="20">
        <v>0.49930000000000002</v>
      </c>
      <c r="S1830" s="32">
        <v>7.4895000000000005</v>
      </c>
      <c r="T1830" s="35">
        <v>1.47</v>
      </c>
      <c r="U1830" s="35">
        <v>1.33</v>
      </c>
      <c r="V1830" s="35">
        <v>9.8000000000000004E-2</v>
      </c>
      <c r="W1830" s="9" t="s">
        <v>153</v>
      </c>
      <c r="X1830" s="15">
        <v>1829</v>
      </c>
      <c r="Y1830" s="39">
        <v>0.49601317149176083</v>
      </c>
      <c r="Z1830" s="39">
        <v>0.49724152672608268</v>
      </c>
      <c r="AA1830" s="39">
        <v>0.4789724393621827</v>
      </c>
      <c r="AB1830" s="39">
        <v>0.4888464651591084</v>
      </c>
      <c r="AC1830" s="39">
        <v>0.48737981896485022</v>
      </c>
      <c r="AD1830" s="39">
        <v>0.4902379942866571</v>
      </c>
      <c r="AE1830" s="39">
        <v>0.47480891554306431</v>
      </c>
      <c r="AF1830" s="40">
        <v>0.48695626697943856</v>
      </c>
    </row>
    <row r="1831" spans="1:32">
      <c r="A1831" s="15">
        <v>1829</v>
      </c>
      <c r="B1831" s="16">
        <v>1</v>
      </c>
      <c r="C1831" s="20">
        <v>0.95</v>
      </c>
      <c r="D1831" s="20">
        <v>0.15570568692893463</v>
      </c>
      <c r="E1831" s="20">
        <v>0.05</v>
      </c>
      <c r="F1831" s="8" t="s">
        <v>434</v>
      </c>
      <c r="G1831" s="24">
        <v>1.4349264288141879</v>
      </c>
      <c r="H1831" s="24">
        <v>1.443234286561867</v>
      </c>
      <c r="I1831" s="25">
        <v>1.4684744844512789</v>
      </c>
      <c r="L1831" s="15">
        <v>1829</v>
      </c>
      <c r="M1831" s="16">
        <v>1</v>
      </c>
      <c r="N1831" s="16">
        <v>3</v>
      </c>
      <c r="O1831" s="16">
        <v>0</v>
      </c>
      <c r="P1831" s="16">
        <v>69</v>
      </c>
      <c r="Q1831" s="29">
        <v>27</v>
      </c>
      <c r="R1831" s="20">
        <v>0.49930000000000002</v>
      </c>
      <c r="S1831" s="32">
        <v>13.481100000000001</v>
      </c>
      <c r="T1831" s="35">
        <v>0.42</v>
      </c>
      <c r="U1831" s="35">
        <v>0.04</v>
      </c>
      <c r="V1831" s="35">
        <v>1.5555555555555555E-2</v>
      </c>
      <c r="W1831" s="9" t="s">
        <v>152</v>
      </c>
      <c r="X1831" s="15">
        <v>1830</v>
      </c>
      <c r="Y1831" s="39">
        <v>0.47882850350506567</v>
      </c>
      <c r="Z1831" s="39">
        <v>0.4891495564708242</v>
      </c>
      <c r="AA1831" s="39">
        <v>0.48807453581534344</v>
      </c>
      <c r="AB1831" s="39">
        <v>0.50860537831835007</v>
      </c>
      <c r="AC1831" s="39">
        <v>0.47132344317778013</v>
      </c>
      <c r="AD1831" s="39">
        <v>0.48092896519206635</v>
      </c>
      <c r="AE1831" s="39">
        <v>0.48197268882527095</v>
      </c>
      <c r="AF1831" s="40">
        <v>0.50439817648330032</v>
      </c>
    </row>
    <row r="1832" spans="1:32">
      <c r="A1832" s="15">
        <v>1830</v>
      </c>
      <c r="B1832" s="16">
        <v>0</v>
      </c>
      <c r="C1832" s="20">
        <v>0.92</v>
      </c>
      <c r="D1832" s="20">
        <v>0.20258497911151899</v>
      </c>
      <c r="E1832" s="20">
        <v>0.08</v>
      </c>
      <c r="F1832" s="8" t="s">
        <v>434</v>
      </c>
      <c r="G1832" s="24">
        <v>1.5081555450449802</v>
      </c>
      <c r="H1832" s="24">
        <v>1.516887380683384</v>
      </c>
      <c r="I1832" s="25">
        <v>1.54341567066436</v>
      </c>
      <c r="L1832" s="15">
        <v>1830</v>
      </c>
      <c r="M1832" s="16">
        <v>1</v>
      </c>
      <c r="N1832" s="16">
        <v>3</v>
      </c>
      <c r="O1832" s="16">
        <v>0</v>
      </c>
      <c r="P1832" s="16">
        <v>70</v>
      </c>
      <c r="Q1832" s="29">
        <v>21</v>
      </c>
      <c r="R1832" s="20">
        <v>0.49930000000000002</v>
      </c>
      <c r="S1832" s="32">
        <v>10.485300000000001</v>
      </c>
      <c r="T1832" s="35">
        <v>0.96000000000000008</v>
      </c>
      <c r="U1832" s="35">
        <v>0.52</v>
      </c>
      <c r="V1832" s="35">
        <v>4.5714285714285721E-2</v>
      </c>
      <c r="W1832" s="9" t="s">
        <v>152</v>
      </c>
      <c r="X1832" s="15">
        <v>1831</v>
      </c>
      <c r="Y1832" s="39">
        <v>0.48847183718346882</v>
      </c>
      <c r="Z1832" s="39">
        <v>0.47820364614007421</v>
      </c>
      <c r="AA1832" s="39">
        <v>0.47840931718275015</v>
      </c>
      <c r="AB1832" s="39">
        <v>0.49917620882877245</v>
      </c>
      <c r="AC1832" s="39">
        <v>0.47956246431509336</v>
      </c>
      <c r="AD1832" s="39">
        <v>0.47144826076693003</v>
      </c>
      <c r="AE1832" s="39">
        <v>0.47166583555973401</v>
      </c>
      <c r="AF1832" s="40">
        <v>0.49597386257260762</v>
      </c>
    </row>
    <row r="1833" spans="1:32">
      <c r="A1833" s="15">
        <v>1831</v>
      </c>
      <c r="B1833" s="16">
        <v>1</v>
      </c>
      <c r="C1833" s="20">
        <v>0.88</v>
      </c>
      <c r="D1833" s="20">
        <v>0.2620826201626657</v>
      </c>
      <c r="E1833" s="20">
        <v>0.12</v>
      </c>
      <c r="F1833" s="8" t="s">
        <v>434</v>
      </c>
      <c r="G1833" s="24">
        <v>1.3973213796402415</v>
      </c>
      <c r="H1833" s="24">
        <v>1.4054115137521592</v>
      </c>
      <c r="I1833" s="25">
        <v>1.4299902429671278</v>
      </c>
      <c r="L1833" s="15">
        <v>1831</v>
      </c>
      <c r="M1833" s="16">
        <v>1</v>
      </c>
      <c r="N1833" s="16">
        <v>3</v>
      </c>
      <c r="O1833" s="16">
        <v>0</v>
      </c>
      <c r="P1833" s="16">
        <v>71</v>
      </c>
      <c r="Q1833" s="29">
        <v>18</v>
      </c>
      <c r="R1833" s="20">
        <v>0.49930000000000002</v>
      </c>
      <c r="S1833" s="32">
        <v>8.9874000000000009</v>
      </c>
      <c r="T1833" s="35">
        <v>0.45</v>
      </c>
      <c r="U1833" s="35">
        <v>0.25</v>
      </c>
      <c r="V1833" s="35">
        <v>2.5000000000000001E-2</v>
      </c>
      <c r="W1833" s="9" t="s">
        <v>152</v>
      </c>
      <c r="X1833" s="15">
        <v>1832</v>
      </c>
      <c r="Y1833" s="39">
        <v>0.49765283022067158</v>
      </c>
      <c r="Z1833" s="39">
        <v>0.4846080160374911</v>
      </c>
      <c r="AA1833" s="39">
        <v>0.48150750674844872</v>
      </c>
      <c r="AB1833" s="39">
        <v>0.50320530205266167</v>
      </c>
      <c r="AC1833" s="39">
        <v>0.49080194626882195</v>
      </c>
      <c r="AD1833" s="39">
        <v>0.47557024762774003</v>
      </c>
      <c r="AE1833" s="39">
        <v>0.47536082706439325</v>
      </c>
      <c r="AF1833" s="40">
        <v>0.50108158206387854</v>
      </c>
    </row>
    <row r="1834" spans="1:32">
      <c r="A1834" s="15">
        <v>1832</v>
      </c>
      <c r="B1834" s="16">
        <v>0</v>
      </c>
      <c r="C1834" s="20">
        <v>0.91</v>
      </c>
      <c r="D1834" s="20">
        <v>0.21727233298780477</v>
      </c>
      <c r="E1834" s="20">
        <v>0.09</v>
      </c>
      <c r="F1834" s="8" t="s">
        <v>434</v>
      </c>
      <c r="G1834" s="24">
        <v>0.45120145705406578</v>
      </c>
      <c r="H1834" s="24">
        <v>0.45381379831803459</v>
      </c>
      <c r="I1834" s="25">
        <v>0.46175038226781029</v>
      </c>
      <c r="L1834" s="15">
        <v>1832</v>
      </c>
      <c r="M1834" s="16">
        <v>1</v>
      </c>
      <c r="N1834" s="16">
        <v>3</v>
      </c>
      <c r="O1834" s="16">
        <v>0</v>
      </c>
      <c r="P1834" s="16">
        <v>72</v>
      </c>
      <c r="Q1834" s="29">
        <v>12</v>
      </c>
      <c r="R1834" s="20">
        <v>0.49930000000000002</v>
      </c>
      <c r="S1834" s="32">
        <v>5.9916</v>
      </c>
      <c r="T1834" s="35">
        <v>0.24</v>
      </c>
      <c r="U1834" s="35">
        <v>0.1</v>
      </c>
      <c r="V1834" s="35">
        <v>0.02</v>
      </c>
      <c r="W1834" s="9" t="s">
        <v>152</v>
      </c>
      <c r="X1834" s="15">
        <v>1833</v>
      </c>
      <c r="Y1834" s="39">
        <v>0.4966840349740258</v>
      </c>
      <c r="Z1834" s="39">
        <v>0.49141880672721766</v>
      </c>
      <c r="AA1834" s="39">
        <v>0.48713990055854084</v>
      </c>
      <c r="AB1834" s="39">
        <v>0.48301562638321305</v>
      </c>
      <c r="AC1834" s="39">
        <v>0.4892334065151297</v>
      </c>
      <c r="AD1834" s="39">
        <v>0.48629047126142638</v>
      </c>
      <c r="AE1834" s="39">
        <v>0.47853824987077243</v>
      </c>
      <c r="AF1834" s="40">
        <v>0.48011566090344099</v>
      </c>
    </row>
    <row r="1835" spans="1:32">
      <c r="A1835" s="15">
        <v>1833</v>
      </c>
      <c r="B1835" s="16">
        <v>1</v>
      </c>
      <c r="C1835" s="20">
        <v>0.18</v>
      </c>
      <c r="D1835" s="20">
        <v>0.83913501172624783</v>
      </c>
      <c r="E1835" s="20">
        <v>7.0000000000000007E-2</v>
      </c>
      <c r="F1835" s="8" t="s">
        <v>436</v>
      </c>
      <c r="G1835" s="24">
        <v>1.1903331768934131</v>
      </c>
      <c r="H1835" s="24">
        <v>1.1972249021466344</v>
      </c>
      <c r="I1835" s="25">
        <v>1.2181627316658459</v>
      </c>
      <c r="L1835" s="15">
        <v>1833</v>
      </c>
      <c r="M1835" s="16">
        <v>1</v>
      </c>
      <c r="N1835" s="16">
        <v>3</v>
      </c>
      <c r="O1835" s="16">
        <v>0</v>
      </c>
      <c r="P1835" s="16">
        <v>73</v>
      </c>
      <c r="Q1835" s="29">
        <v>16</v>
      </c>
      <c r="R1835" s="20">
        <v>0.49930000000000002</v>
      </c>
      <c r="S1835" s="32">
        <v>7.9888000000000003</v>
      </c>
      <c r="T1835" s="35">
        <v>0.71</v>
      </c>
      <c r="U1835" s="35">
        <v>0.47</v>
      </c>
      <c r="V1835" s="35">
        <v>4.4374999999999998E-2</v>
      </c>
      <c r="W1835" s="9" t="s">
        <v>152</v>
      </c>
      <c r="X1835" s="15">
        <v>1834</v>
      </c>
      <c r="Y1835" s="39">
        <v>0.48771431449577712</v>
      </c>
      <c r="Z1835" s="39">
        <v>0.49648805849597688</v>
      </c>
      <c r="AA1835" s="39">
        <v>0.48556736813574697</v>
      </c>
      <c r="AB1835" s="39">
        <v>0.47436255436281566</v>
      </c>
      <c r="AC1835" s="39">
        <v>0.48119088022154405</v>
      </c>
      <c r="AD1835" s="39">
        <v>0.4871116166698034</v>
      </c>
      <c r="AE1835" s="39">
        <v>0.48063942072380716</v>
      </c>
      <c r="AF1835" s="40">
        <v>0.4674093275472565</v>
      </c>
    </row>
    <row r="1836" spans="1:32">
      <c r="A1836" s="15">
        <v>1834</v>
      </c>
      <c r="B1836" s="16">
        <v>0</v>
      </c>
      <c r="C1836" s="20">
        <v>0.89</v>
      </c>
      <c r="D1836" s="20">
        <v>0.24559627500636821</v>
      </c>
      <c r="E1836" s="20">
        <v>0.11</v>
      </c>
      <c r="F1836" s="8" t="s">
        <v>434</v>
      </c>
      <c r="G1836" s="24">
        <v>2.0165136273317912</v>
      </c>
      <c r="H1836" s="24">
        <v>2.0281887265046272</v>
      </c>
      <c r="I1836" s="25">
        <v>1.6578926537592125</v>
      </c>
      <c r="L1836" s="15">
        <v>1834</v>
      </c>
      <c r="M1836" s="16">
        <v>1</v>
      </c>
      <c r="N1836" s="16">
        <v>3</v>
      </c>
      <c r="O1836" s="16">
        <v>0</v>
      </c>
      <c r="P1836" s="16">
        <v>74</v>
      </c>
      <c r="Q1836" s="29">
        <v>16</v>
      </c>
      <c r="R1836" s="20">
        <v>0.49930000000000002</v>
      </c>
      <c r="S1836" s="32">
        <v>7.9888000000000003</v>
      </c>
      <c r="T1836" s="35">
        <v>1</v>
      </c>
      <c r="U1836" s="35">
        <v>0.81</v>
      </c>
      <c r="V1836" s="35">
        <v>6.25E-2</v>
      </c>
      <c r="W1836" s="9" t="s">
        <v>153</v>
      </c>
      <c r="X1836" s="15">
        <v>1835</v>
      </c>
      <c r="Y1836" s="39">
        <v>0.4824365692767042</v>
      </c>
      <c r="Z1836" s="39">
        <v>0.49434736315393124</v>
      </c>
      <c r="AA1836" s="39">
        <v>0.49727479039674577</v>
      </c>
      <c r="AB1836" s="39">
        <v>0.48794374158752157</v>
      </c>
      <c r="AC1836" s="39">
        <v>0.47266360027177068</v>
      </c>
      <c r="AD1836" s="39">
        <v>0.48801908804786187</v>
      </c>
      <c r="AE1836" s="39">
        <v>0.49276282138672201</v>
      </c>
      <c r="AF1836" s="40">
        <v>0.48212697150479206</v>
      </c>
    </row>
    <row r="1837" spans="1:32">
      <c r="A1837" s="15">
        <v>1835</v>
      </c>
      <c r="B1837" s="16">
        <v>0</v>
      </c>
      <c r="C1837" s="20">
        <v>0.91</v>
      </c>
      <c r="D1837" s="20">
        <v>0.21727233298780477</v>
      </c>
      <c r="E1837" s="20">
        <v>0.09</v>
      </c>
      <c r="F1837" s="8" t="s">
        <v>434</v>
      </c>
      <c r="G1837" s="24">
        <v>1.4328356813012451</v>
      </c>
      <c r="H1837" s="24">
        <v>1.4411314341545023</v>
      </c>
      <c r="I1837" s="25">
        <v>1.4663348560253646</v>
      </c>
      <c r="L1837" s="15">
        <v>1835</v>
      </c>
      <c r="M1837" s="16">
        <v>1</v>
      </c>
      <c r="N1837" s="16">
        <v>3</v>
      </c>
      <c r="O1837" s="16">
        <v>0</v>
      </c>
      <c r="P1837" s="16">
        <v>75</v>
      </c>
      <c r="Q1837" s="29">
        <v>19</v>
      </c>
      <c r="R1837" s="20">
        <v>0.49930000000000002</v>
      </c>
      <c r="S1837" s="32">
        <v>9.4867000000000008</v>
      </c>
      <c r="T1837" s="35">
        <v>0.43</v>
      </c>
      <c r="U1837" s="35">
        <v>0.13</v>
      </c>
      <c r="V1837" s="35">
        <v>2.2631578947368419E-2</v>
      </c>
      <c r="W1837" s="9" t="s">
        <v>152</v>
      </c>
      <c r="X1837" s="15">
        <v>1836</v>
      </c>
      <c r="Y1837" s="39">
        <v>0.48190179159278701</v>
      </c>
      <c r="Z1837" s="39">
        <v>0.48976111368062736</v>
      </c>
      <c r="AA1837" s="39">
        <v>0.49363380123377193</v>
      </c>
      <c r="AB1837" s="39">
        <v>0.48002070963299981</v>
      </c>
      <c r="AC1837" s="39">
        <v>0.47358202690538442</v>
      </c>
      <c r="AD1837" s="39">
        <v>0.48245331498525956</v>
      </c>
      <c r="AE1837" s="39">
        <v>0.48824238547162274</v>
      </c>
      <c r="AF1837" s="40">
        <v>0.47419811790740252</v>
      </c>
    </row>
    <row r="1838" spans="1:32">
      <c r="A1838" s="15">
        <v>1836</v>
      </c>
      <c r="B1838" s="16">
        <v>1</v>
      </c>
      <c r="C1838" s="20">
        <v>0.67</v>
      </c>
      <c r="D1838" s="20">
        <v>0.42704488002243685</v>
      </c>
      <c r="E1838" s="20">
        <v>0.08</v>
      </c>
      <c r="F1838" s="8" t="s">
        <v>438</v>
      </c>
      <c r="G1838" s="24">
        <v>1.66335853681741</v>
      </c>
      <c r="H1838" s="24">
        <v>1.6729889581615109</v>
      </c>
      <c r="I1838" s="25">
        <v>1.6578926537592125</v>
      </c>
      <c r="L1838" s="15">
        <v>1836</v>
      </c>
      <c r="M1838" s="16">
        <v>1</v>
      </c>
      <c r="N1838" s="16">
        <v>3</v>
      </c>
      <c r="O1838" s="16">
        <v>0</v>
      </c>
      <c r="P1838" s="16">
        <v>76</v>
      </c>
      <c r="Q1838" s="29">
        <v>18</v>
      </c>
      <c r="R1838" s="20">
        <v>0.49930000000000002</v>
      </c>
      <c r="S1838" s="32">
        <v>8.9874000000000009</v>
      </c>
      <c r="T1838" s="35">
        <v>0.51</v>
      </c>
      <c r="U1838" s="35">
        <v>0.24</v>
      </c>
      <c r="V1838" s="35">
        <v>2.8333333333333335E-2</v>
      </c>
      <c r="W1838" s="9" t="s">
        <v>152</v>
      </c>
      <c r="X1838" s="15">
        <v>1837</v>
      </c>
      <c r="Y1838" s="39">
        <v>0.50041057736100591</v>
      </c>
      <c r="Z1838" s="39">
        <v>0.48570993354582448</v>
      </c>
      <c r="AA1838" s="39">
        <v>0.47441138944046296</v>
      </c>
      <c r="AB1838" s="39">
        <v>0.48545034171520368</v>
      </c>
      <c r="AC1838" s="39">
        <v>0.49190998940251029</v>
      </c>
      <c r="AD1838" s="39">
        <v>0.47856352887911724</v>
      </c>
      <c r="AE1838" s="39">
        <v>0.46844623323089507</v>
      </c>
      <c r="AF1838" s="40">
        <v>0.47832978142867333</v>
      </c>
    </row>
    <row r="1839" spans="1:32">
      <c r="A1839" s="15">
        <v>1837</v>
      </c>
      <c r="B1839" s="16">
        <v>1</v>
      </c>
      <c r="C1839" s="20">
        <v>0.02</v>
      </c>
      <c r="D1839" s="20">
        <v>0.99917029198757767</v>
      </c>
      <c r="E1839" s="20">
        <v>1</v>
      </c>
      <c r="F1839" s="8" t="s">
        <v>436</v>
      </c>
      <c r="G1839" s="24">
        <v>1.1659646937344215</v>
      </c>
      <c r="H1839" s="24">
        <v>1.1727153316903804</v>
      </c>
      <c r="I1839" s="25">
        <v>1.1932245222739315</v>
      </c>
      <c r="L1839" s="15">
        <v>1837</v>
      </c>
      <c r="M1839" s="16">
        <v>1</v>
      </c>
      <c r="N1839" s="16">
        <v>3</v>
      </c>
      <c r="O1839" s="16">
        <v>0</v>
      </c>
      <c r="P1839" s="16">
        <v>77</v>
      </c>
      <c r="Q1839" s="29">
        <v>22</v>
      </c>
      <c r="R1839" s="20">
        <v>0.49930000000000002</v>
      </c>
      <c r="S1839" s="32">
        <v>10.9846</v>
      </c>
      <c r="T1839" s="35">
        <v>0.5</v>
      </c>
      <c r="U1839" s="35">
        <v>0.12</v>
      </c>
      <c r="V1839" s="35">
        <v>2.2727272727272728E-2</v>
      </c>
      <c r="W1839" s="9" t="s">
        <v>152</v>
      </c>
      <c r="X1839" s="15">
        <v>1838</v>
      </c>
      <c r="Y1839" s="39">
        <v>0.48070756968177641</v>
      </c>
      <c r="Z1839" s="39">
        <v>0.4837760422518898</v>
      </c>
      <c r="AA1839" s="39">
        <v>0.47665244976227039</v>
      </c>
      <c r="AB1839" s="39">
        <v>0.49023372121406567</v>
      </c>
      <c r="AC1839" s="39">
        <v>0.47309926749612818</v>
      </c>
      <c r="AD1839" s="39">
        <v>0.47796522194115654</v>
      </c>
      <c r="AE1839" s="39">
        <v>0.46877949829428328</v>
      </c>
      <c r="AF1839" s="40">
        <v>0.4843790388737837</v>
      </c>
    </row>
    <row r="1840" spans="1:32">
      <c r="A1840" s="15">
        <v>1838</v>
      </c>
      <c r="B1840" s="16">
        <v>1</v>
      </c>
      <c r="C1840" s="20">
        <v>0.95</v>
      </c>
      <c r="D1840" s="20">
        <v>0.15570568692893463</v>
      </c>
      <c r="E1840" s="20">
        <v>0.05</v>
      </c>
      <c r="F1840" s="8" t="s">
        <v>434</v>
      </c>
      <c r="G1840" s="24">
        <v>0.84976917939435836</v>
      </c>
      <c r="H1840" s="24">
        <v>0.85468912603343761</v>
      </c>
      <c r="I1840" s="25">
        <v>0.86963647233464247</v>
      </c>
      <c r="L1840" s="15">
        <v>1838</v>
      </c>
      <c r="M1840" s="16">
        <v>1</v>
      </c>
      <c r="N1840" s="16">
        <v>3</v>
      </c>
      <c r="O1840" s="16">
        <v>0</v>
      </c>
      <c r="P1840" s="16">
        <v>78</v>
      </c>
      <c r="Q1840" s="29">
        <v>20</v>
      </c>
      <c r="R1840" s="20">
        <v>0.49930000000000002</v>
      </c>
      <c r="S1840" s="32">
        <v>9.9860000000000007</v>
      </c>
      <c r="T1840" s="35">
        <v>0.67</v>
      </c>
      <c r="U1840" s="35">
        <v>0.33</v>
      </c>
      <c r="V1840" s="35">
        <v>3.3500000000000002E-2</v>
      </c>
      <c r="W1840" s="9" t="s">
        <v>152</v>
      </c>
      <c r="X1840" s="15">
        <v>1839</v>
      </c>
      <c r="Y1840" s="39">
        <v>0.49719391422986853</v>
      </c>
      <c r="Z1840" s="39">
        <v>0.49696868319014881</v>
      </c>
      <c r="AA1840" s="39">
        <v>0.49147515656511742</v>
      </c>
      <c r="AB1840" s="39">
        <v>0.50045859770743462</v>
      </c>
      <c r="AC1840" s="39">
        <v>0.49180777548366267</v>
      </c>
      <c r="AD1840" s="39">
        <v>0.4934362535147977</v>
      </c>
      <c r="AE1840" s="39">
        <v>0.48480260228809785</v>
      </c>
      <c r="AF1840" s="40">
        <v>0.49772780461276972</v>
      </c>
    </row>
    <row r="1841" spans="1:32">
      <c r="A1841" s="15">
        <v>1839</v>
      </c>
      <c r="B1841" s="16">
        <v>0</v>
      </c>
      <c r="C1841" s="20">
        <v>0.64</v>
      </c>
      <c r="D1841" s="20">
        <v>0.49562434667475824</v>
      </c>
      <c r="E1841" s="20">
        <v>0.09</v>
      </c>
      <c r="F1841" s="8" t="s">
        <v>438</v>
      </c>
      <c r="G1841" s="24">
        <v>1.460509438070219</v>
      </c>
      <c r="H1841" s="24">
        <v>1.4689654149112459</v>
      </c>
      <c r="I1841" s="25">
        <v>1.494655615116639</v>
      </c>
      <c r="L1841" s="15">
        <v>1839</v>
      </c>
      <c r="M1841" s="16">
        <v>1</v>
      </c>
      <c r="N1841" s="16">
        <v>3</v>
      </c>
      <c r="O1841" s="16">
        <v>0</v>
      </c>
      <c r="P1841" s="16">
        <v>79</v>
      </c>
      <c r="Q1841" s="29">
        <v>23</v>
      </c>
      <c r="R1841" s="20">
        <v>0.49930000000000002</v>
      </c>
      <c r="S1841" s="32">
        <v>11.4839</v>
      </c>
      <c r="T1841" s="35">
        <v>0.94</v>
      </c>
      <c r="U1841" s="35">
        <v>0.71</v>
      </c>
      <c r="V1841" s="35">
        <v>4.0869565217391303E-2</v>
      </c>
      <c r="W1841" s="9" t="s">
        <v>152</v>
      </c>
      <c r="X1841" s="15">
        <v>1840</v>
      </c>
      <c r="Y1841" s="39">
        <v>0.4814516658175606</v>
      </c>
      <c r="Z1841" s="39">
        <v>0.50154030671934502</v>
      </c>
      <c r="AA1841" s="39">
        <v>0.49333554291913739</v>
      </c>
      <c r="AB1841" s="39">
        <v>0.48434495830079449</v>
      </c>
      <c r="AC1841" s="39">
        <v>0.47340348632196888</v>
      </c>
      <c r="AD1841" s="39">
        <v>0.4928907104953687</v>
      </c>
      <c r="AE1841" s="39">
        <v>0.48627627648785843</v>
      </c>
      <c r="AF1841" s="40">
        <v>0.47775409065385832</v>
      </c>
    </row>
    <row r="1842" spans="1:32">
      <c r="A1842" s="15">
        <v>1840</v>
      </c>
      <c r="B1842" s="16">
        <v>0</v>
      </c>
      <c r="C1842" s="20">
        <v>0.09</v>
      </c>
      <c r="D1842" s="20">
        <v>0.92555712017628311</v>
      </c>
      <c r="E1842" s="20">
        <v>0.49</v>
      </c>
      <c r="F1842" s="8" t="s">
        <v>436</v>
      </c>
      <c r="G1842" s="24">
        <v>1.1593659274389598</v>
      </c>
      <c r="H1842" s="24">
        <v>1.16607836022245</v>
      </c>
      <c r="I1842" s="25">
        <v>1.186471479233425</v>
      </c>
      <c r="L1842" s="15">
        <v>1840</v>
      </c>
      <c r="M1842" s="16">
        <v>1</v>
      </c>
      <c r="N1842" s="16">
        <v>3</v>
      </c>
      <c r="O1842" s="16">
        <v>0</v>
      </c>
      <c r="P1842" s="16">
        <v>80</v>
      </c>
      <c r="Q1842" s="29">
        <v>22</v>
      </c>
      <c r="R1842" s="20">
        <v>0.49930000000000002</v>
      </c>
      <c r="S1842" s="32">
        <v>10.9846</v>
      </c>
      <c r="T1842" s="35">
        <v>0.82000000000000006</v>
      </c>
      <c r="U1842" s="35">
        <v>0.49</v>
      </c>
      <c r="V1842" s="35">
        <v>3.7272727272727277E-2</v>
      </c>
      <c r="W1842" s="9" t="s">
        <v>152</v>
      </c>
      <c r="X1842" s="15">
        <v>1841</v>
      </c>
      <c r="Y1842" s="39">
        <v>0.4821111024965542</v>
      </c>
      <c r="Z1842" s="39">
        <v>0.49769606703887759</v>
      </c>
      <c r="AA1842" s="39">
        <v>0.4771890175688569</v>
      </c>
      <c r="AB1842" s="39">
        <v>0.48231292676269422</v>
      </c>
      <c r="AC1842" s="39">
        <v>0.4764431376303484</v>
      </c>
      <c r="AD1842" s="39">
        <v>0.4895119454365342</v>
      </c>
      <c r="AE1842" s="39">
        <v>0.47087029322912505</v>
      </c>
      <c r="AF1842" s="40">
        <v>0.47787452056315066</v>
      </c>
    </row>
    <row r="1843" spans="1:32">
      <c r="A1843" s="15">
        <v>1841</v>
      </c>
      <c r="B1843" s="16">
        <v>0</v>
      </c>
      <c r="C1843" s="20">
        <v>0.93</v>
      </c>
      <c r="D1843" s="20">
        <v>0.19322049064130595</v>
      </c>
      <c r="E1843" s="20">
        <v>7.0000000000000007E-2</v>
      </c>
      <c r="F1843" s="8" t="s">
        <v>434</v>
      </c>
      <c r="G1843" s="24">
        <v>0.56032750734728465</v>
      </c>
      <c r="H1843" s="24">
        <v>0.56357166058725239</v>
      </c>
      <c r="I1843" s="25">
        <v>0.57342775974629701</v>
      </c>
      <c r="L1843" s="15">
        <v>1841</v>
      </c>
      <c r="M1843" s="16">
        <v>1</v>
      </c>
      <c r="N1843" s="16">
        <v>3</v>
      </c>
      <c r="O1843" s="16">
        <v>0</v>
      </c>
      <c r="P1843" s="16">
        <v>81</v>
      </c>
      <c r="Q1843" s="29">
        <v>16</v>
      </c>
      <c r="R1843" s="20">
        <v>0.49930000000000002</v>
      </c>
      <c r="S1843" s="32">
        <v>7.9888000000000003</v>
      </c>
      <c r="T1843" s="35">
        <v>0.2</v>
      </c>
      <c r="U1843" s="35">
        <v>0.05</v>
      </c>
      <c r="V1843" s="35">
        <v>1.2500000000000001E-2</v>
      </c>
      <c r="W1843" s="9" t="s">
        <v>152</v>
      </c>
      <c r="X1843" s="15">
        <v>1842</v>
      </c>
      <c r="Y1843" s="39">
        <v>0.488166195013221</v>
      </c>
      <c r="Z1843" s="39">
        <v>0.48695672494451875</v>
      </c>
      <c r="AA1843" s="39">
        <v>0.47847405848150282</v>
      </c>
      <c r="AB1843" s="39">
        <v>0.48960044853144791</v>
      </c>
      <c r="AC1843" s="39">
        <v>0.48006901302094751</v>
      </c>
      <c r="AD1843" s="39">
        <v>0.48238368338793042</v>
      </c>
      <c r="AE1843" s="39">
        <v>0.47224381301121937</v>
      </c>
      <c r="AF1843" s="40">
        <v>0.48536567025646954</v>
      </c>
    </row>
    <row r="1844" spans="1:32">
      <c r="A1844" s="15">
        <v>1842</v>
      </c>
      <c r="B1844" s="16">
        <v>0</v>
      </c>
      <c r="C1844" s="20">
        <v>0.95</v>
      </c>
      <c r="D1844" s="20">
        <v>0.15570568692893463</v>
      </c>
      <c r="E1844" s="20">
        <v>0.05</v>
      </c>
      <c r="F1844" s="8" t="s">
        <v>434</v>
      </c>
      <c r="G1844" s="24">
        <v>0.72711455856693241</v>
      </c>
      <c r="H1844" s="24">
        <v>0.7313243662598834</v>
      </c>
      <c r="I1844" s="25">
        <v>0.74411423128569387</v>
      </c>
      <c r="L1844" s="15">
        <v>1842</v>
      </c>
      <c r="M1844" s="16">
        <v>1</v>
      </c>
      <c r="N1844" s="16">
        <v>3</v>
      </c>
      <c r="O1844" s="16">
        <v>0</v>
      </c>
      <c r="P1844" s="16">
        <v>82</v>
      </c>
      <c r="Q1844" s="29">
        <v>16</v>
      </c>
      <c r="R1844" s="20">
        <v>0.49930000000000002</v>
      </c>
      <c r="S1844" s="32">
        <v>7.9888000000000003</v>
      </c>
      <c r="T1844" s="35">
        <v>0.48</v>
      </c>
      <c r="U1844" s="35">
        <v>0.36</v>
      </c>
      <c r="V1844" s="35">
        <v>0.03</v>
      </c>
      <c r="W1844" s="9" t="s">
        <v>152</v>
      </c>
      <c r="X1844" s="15">
        <v>1843</v>
      </c>
      <c r="Y1844" s="39">
        <v>0.49279446981323544</v>
      </c>
      <c r="Z1844" s="39">
        <v>0.48535870989200919</v>
      </c>
      <c r="AA1844" s="39">
        <v>0.50103186750477546</v>
      </c>
      <c r="AB1844" s="39">
        <v>0.4799659833148755</v>
      </c>
      <c r="AC1844" s="39">
        <v>0.48344869819907238</v>
      </c>
      <c r="AD1844" s="39">
        <v>0.47914057526185505</v>
      </c>
      <c r="AE1844" s="39">
        <v>0.49361797277617558</v>
      </c>
      <c r="AF1844" s="40">
        <v>0.47482492800331799</v>
      </c>
    </row>
    <row r="1845" spans="1:32">
      <c r="A1845" s="15">
        <v>1843</v>
      </c>
      <c r="B1845" s="16">
        <v>0</v>
      </c>
      <c r="C1845" s="20">
        <v>0.2</v>
      </c>
      <c r="D1845" s="20">
        <v>0.82349532031197326</v>
      </c>
      <c r="E1845" s="20">
        <v>0.12</v>
      </c>
      <c r="F1845" s="8" t="s">
        <v>436</v>
      </c>
      <c r="G1845" s="24">
        <v>1.0485679138527637</v>
      </c>
      <c r="H1845" s="24">
        <v>1.0546388544195693</v>
      </c>
      <c r="I1845" s="25">
        <v>1.0730830485710443</v>
      </c>
      <c r="L1845" s="15">
        <v>1843</v>
      </c>
      <c r="M1845" s="16">
        <v>1</v>
      </c>
      <c r="N1845" s="16">
        <v>3</v>
      </c>
      <c r="O1845" s="16">
        <v>0</v>
      </c>
      <c r="P1845" s="16">
        <v>83</v>
      </c>
      <c r="Q1845" s="29">
        <v>22</v>
      </c>
      <c r="R1845" s="20">
        <v>0.49930000000000002</v>
      </c>
      <c r="S1845" s="32">
        <v>10.9846</v>
      </c>
      <c r="T1845" s="35">
        <v>0.76</v>
      </c>
      <c r="U1845" s="35">
        <v>0.42</v>
      </c>
      <c r="V1845" s="35">
        <v>3.4545454545454546E-2</v>
      </c>
      <c r="W1845" s="9" t="s">
        <v>152</v>
      </c>
      <c r="X1845" s="15">
        <v>1844</v>
      </c>
      <c r="Y1845" s="39">
        <v>0.49994159607912675</v>
      </c>
      <c r="Z1845" s="39">
        <v>0.48584650815987446</v>
      </c>
      <c r="AA1845" s="39">
        <v>0.46859455867607142</v>
      </c>
      <c r="AB1845" s="39">
        <v>0.49573250290294257</v>
      </c>
      <c r="AC1845" s="39">
        <v>0.49425702986137215</v>
      </c>
      <c r="AD1845" s="39">
        <v>0.47595911763098525</v>
      </c>
      <c r="AE1845" s="39">
        <v>0.46225973782247703</v>
      </c>
      <c r="AF1845" s="40">
        <v>0.49378014834277367</v>
      </c>
    </row>
    <row r="1846" spans="1:32">
      <c r="A1846" s="15">
        <v>1844</v>
      </c>
      <c r="B1846" s="16">
        <v>1</v>
      </c>
      <c r="C1846" s="20">
        <v>0.93</v>
      </c>
      <c r="D1846" s="20">
        <v>0.18747949848141848</v>
      </c>
      <c r="E1846" s="20">
        <v>7.0000000000000007E-2</v>
      </c>
      <c r="F1846" s="8" t="s">
        <v>434</v>
      </c>
      <c r="G1846" s="24">
        <v>1.67664266035325</v>
      </c>
      <c r="H1846" s="24">
        <v>1.6863499933817567</v>
      </c>
      <c r="I1846" s="25">
        <v>1.6578926537592125</v>
      </c>
      <c r="L1846" s="15">
        <v>1844</v>
      </c>
      <c r="M1846" s="16">
        <v>1</v>
      </c>
      <c r="N1846" s="16">
        <v>3</v>
      </c>
      <c r="O1846" s="16">
        <v>1</v>
      </c>
      <c r="P1846" s="16">
        <v>0</v>
      </c>
      <c r="Q1846" s="29">
        <v>16</v>
      </c>
      <c r="R1846" s="20">
        <v>0.49930000000000002</v>
      </c>
      <c r="S1846" s="32">
        <v>7.9888000000000003</v>
      </c>
      <c r="T1846" s="35">
        <v>0.33</v>
      </c>
      <c r="U1846" s="35">
        <v>0.11</v>
      </c>
      <c r="V1846" s="35">
        <v>2.0625000000000001E-2</v>
      </c>
      <c r="W1846" s="9" t="s">
        <v>152</v>
      </c>
      <c r="X1846" s="15">
        <v>1845</v>
      </c>
      <c r="Y1846" s="39">
        <v>0.49504689827429826</v>
      </c>
      <c r="Z1846" s="39">
        <v>0.48572603842035283</v>
      </c>
      <c r="AA1846" s="39">
        <v>0.48319115283198455</v>
      </c>
      <c r="AB1846" s="39">
        <v>0.4850948281328184</v>
      </c>
      <c r="AC1846" s="39">
        <v>0.4880920747476426</v>
      </c>
      <c r="AD1846" s="39">
        <v>0.47653290865590764</v>
      </c>
      <c r="AE1846" s="39">
        <v>0.4765780393313202</v>
      </c>
      <c r="AF1846" s="40">
        <v>0.48253316259514922</v>
      </c>
    </row>
    <row r="1847" spans="1:32">
      <c r="A1847" s="15">
        <v>1845</v>
      </c>
      <c r="B1847" s="16">
        <v>1</v>
      </c>
      <c r="C1847" s="20">
        <v>0.02</v>
      </c>
      <c r="D1847" s="20">
        <v>0.99679477127711513</v>
      </c>
      <c r="E1847" s="20">
        <v>1</v>
      </c>
      <c r="F1847" s="8" t="s">
        <v>436</v>
      </c>
      <c r="G1847" s="24">
        <v>1.0914960757347008</v>
      </c>
      <c r="H1847" s="24">
        <v>1.0978155594010848</v>
      </c>
      <c r="I1847" s="25">
        <v>1.1170148551934322</v>
      </c>
      <c r="L1847" s="15">
        <v>1845</v>
      </c>
      <c r="M1847" s="16">
        <v>1</v>
      </c>
      <c r="N1847" s="16">
        <v>3</v>
      </c>
      <c r="O1847" s="16">
        <v>1</v>
      </c>
      <c r="P1847" s="16">
        <v>1</v>
      </c>
      <c r="Q1847" s="29">
        <v>18</v>
      </c>
      <c r="R1847" s="20">
        <v>0.49930000000000002</v>
      </c>
      <c r="S1847" s="32">
        <v>8.9874000000000009</v>
      </c>
      <c r="T1847" s="35">
        <v>0.39</v>
      </c>
      <c r="U1847" s="35">
        <v>0.12</v>
      </c>
      <c r="V1847" s="35">
        <v>2.1666666666666667E-2</v>
      </c>
      <c r="W1847" s="9" t="s">
        <v>152</v>
      </c>
      <c r="X1847" s="15">
        <v>1846</v>
      </c>
      <c r="Y1847" s="39">
        <v>0.48332953802590928</v>
      </c>
      <c r="Z1847" s="39">
        <v>0.50171968147855106</v>
      </c>
      <c r="AA1847" s="39">
        <v>0.47460539956620823</v>
      </c>
      <c r="AB1847" s="39">
        <v>0.49584796186970753</v>
      </c>
      <c r="AC1847" s="39">
        <v>0.47608467951746392</v>
      </c>
      <c r="AD1847" s="39">
        <v>0.49141850304847068</v>
      </c>
      <c r="AE1847" s="39">
        <v>0.46798561893570634</v>
      </c>
      <c r="AF1847" s="40">
        <v>0.48940210560917008</v>
      </c>
    </row>
    <row r="1848" spans="1:32">
      <c r="A1848" s="15">
        <v>1846</v>
      </c>
      <c r="B1848" s="16">
        <v>0</v>
      </c>
      <c r="C1848" s="20">
        <v>0.93</v>
      </c>
      <c r="D1848" s="20">
        <v>0.18747949848141848</v>
      </c>
      <c r="E1848" s="20">
        <v>7.0000000000000007E-2</v>
      </c>
      <c r="F1848" s="8" t="s">
        <v>434</v>
      </c>
      <c r="G1848" s="24">
        <v>0.56081416020565522</v>
      </c>
      <c r="H1848" s="24">
        <v>0.56406113104145128</v>
      </c>
      <c r="I1848" s="25">
        <v>0.57392579037069147</v>
      </c>
      <c r="L1848" s="15">
        <v>1846</v>
      </c>
      <c r="M1848" s="16">
        <v>1</v>
      </c>
      <c r="N1848" s="16">
        <v>3</v>
      </c>
      <c r="O1848" s="16">
        <v>1</v>
      </c>
      <c r="P1848" s="16">
        <v>2</v>
      </c>
      <c r="Q1848" s="29">
        <v>13</v>
      </c>
      <c r="R1848" s="20">
        <v>0.49930000000000002</v>
      </c>
      <c r="S1848" s="32">
        <v>6.4908999999999999</v>
      </c>
      <c r="T1848" s="35">
        <v>0.27</v>
      </c>
      <c r="U1848" s="35">
        <v>0.13</v>
      </c>
      <c r="V1848" s="35">
        <v>2.0769230769230769E-2</v>
      </c>
      <c r="W1848" s="9" t="s">
        <v>152</v>
      </c>
      <c r="X1848" s="15">
        <v>1847</v>
      </c>
      <c r="Y1848" s="39">
        <v>0.47354473928509699</v>
      </c>
      <c r="Z1848" s="39">
        <v>0.49189065049234959</v>
      </c>
      <c r="AA1848" s="39">
        <v>0.49470372504847832</v>
      </c>
      <c r="AB1848" s="39">
        <v>0.49182814751859899</v>
      </c>
      <c r="AC1848" s="39">
        <v>0.47050895730791142</v>
      </c>
      <c r="AD1848" s="39">
        <v>0.48474020892030351</v>
      </c>
      <c r="AE1848" s="39">
        <v>0.4863427744989241</v>
      </c>
      <c r="AF1848" s="40">
        <v>0.48785479567845236</v>
      </c>
    </row>
    <row r="1849" spans="1:32">
      <c r="A1849" s="15">
        <v>1847</v>
      </c>
      <c r="B1849" s="16">
        <v>1</v>
      </c>
      <c r="C1849" s="20">
        <v>0.95</v>
      </c>
      <c r="D1849" s="20">
        <v>0.15570568692893463</v>
      </c>
      <c r="E1849" s="20">
        <v>0.05</v>
      </c>
      <c r="F1849" s="8" t="s">
        <v>434</v>
      </c>
      <c r="G1849" s="24">
        <v>0.47549209021730798</v>
      </c>
      <c r="H1849" s="24">
        <v>0.47824506804693545</v>
      </c>
      <c r="I1849" s="25">
        <v>0.48660892155951796</v>
      </c>
      <c r="L1849" s="15">
        <v>1847</v>
      </c>
      <c r="M1849" s="16">
        <v>1</v>
      </c>
      <c r="N1849" s="16">
        <v>3</v>
      </c>
      <c r="O1849" s="16">
        <v>1</v>
      </c>
      <c r="P1849" s="16">
        <v>3</v>
      </c>
      <c r="Q1849" s="29">
        <v>21</v>
      </c>
      <c r="R1849" s="20">
        <v>0.49930000000000002</v>
      </c>
      <c r="S1849" s="32">
        <v>10.485300000000001</v>
      </c>
      <c r="T1849" s="35">
        <v>1.3099999999999998</v>
      </c>
      <c r="U1849" s="35">
        <v>0.97</v>
      </c>
      <c r="V1849" s="35">
        <v>6.238095238095237E-2</v>
      </c>
      <c r="W1849" s="9" t="s">
        <v>153</v>
      </c>
      <c r="X1849" s="15">
        <v>1848</v>
      </c>
      <c r="Y1849" s="39">
        <v>0.48799672347353296</v>
      </c>
      <c r="Z1849" s="39">
        <v>0.47991197206067837</v>
      </c>
      <c r="AA1849" s="39">
        <v>0.49091171158772862</v>
      </c>
      <c r="AB1849" s="39">
        <v>0.49613570261279361</v>
      </c>
      <c r="AC1849" s="39">
        <v>0.48203813510138765</v>
      </c>
      <c r="AD1849" s="39">
        <v>0.47249735404699095</v>
      </c>
      <c r="AE1849" s="39">
        <v>0.48540214764945838</v>
      </c>
      <c r="AF1849" s="40">
        <v>0.49084613434714913</v>
      </c>
    </row>
    <row r="1850" spans="1:32">
      <c r="A1850" s="15">
        <v>1848</v>
      </c>
      <c r="B1850" s="16">
        <v>0</v>
      </c>
      <c r="C1850" s="20">
        <v>0.02</v>
      </c>
      <c r="D1850" s="20">
        <v>0.99756714174924133</v>
      </c>
      <c r="E1850" s="20">
        <v>1</v>
      </c>
      <c r="F1850" s="8" t="s">
        <v>436</v>
      </c>
      <c r="G1850" s="24">
        <v>1.0261213588515432</v>
      </c>
      <c r="H1850" s="24">
        <v>1.0320623395945341</v>
      </c>
      <c r="I1850" s="25">
        <v>1.050111701315029</v>
      </c>
      <c r="L1850" s="15">
        <v>1848</v>
      </c>
      <c r="M1850" s="16">
        <v>1</v>
      </c>
      <c r="N1850" s="16">
        <v>3</v>
      </c>
      <c r="O1850" s="16">
        <v>1</v>
      </c>
      <c r="P1850" s="16">
        <v>4</v>
      </c>
      <c r="Q1850" s="29">
        <v>20</v>
      </c>
      <c r="R1850" s="20">
        <v>0.49930000000000002</v>
      </c>
      <c r="S1850" s="32">
        <v>9.9860000000000007</v>
      </c>
      <c r="T1850" s="35">
        <v>0.31</v>
      </c>
      <c r="U1850" s="35">
        <v>0.06</v>
      </c>
      <c r="V1850" s="35">
        <v>1.55E-2</v>
      </c>
      <c r="W1850" s="9" t="s">
        <v>152</v>
      </c>
      <c r="X1850" s="15">
        <v>1849</v>
      </c>
      <c r="Y1850" s="39">
        <v>0.49476456703398053</v>
      </c>
      <c r="Z1850" s="39">
        <v>0.48111140397787577</v>
      </c>
      <c r="AA1850" s="39">
        <v>0.49222663119208776</v>
      </c>
      <c r="AB1850" s="39">
        <v>0.47877713397725463</v>
      </c>
      <c r="AC1850" s="39">
        <v>0.48775556208845872</v>
      </c>
      <c r="AD1850" s="39">
        <v>0.47313671755609527</v>
      </c>
      <c r="AE1850" s="39">
        <v>0.48767615577245388</v>
      </c>
      <c r="AF1850" s="40">
        <v>0.47197198035813032</v>
      </c>
    </row>
    <row r="1851" spans="1:32">
      <c r="A1851" s="15">
        <v>1849</v>
      </c>
      <c r="B1851" s="16">
        <v>1</v>
      </c>
      <c r="C1851" s="20">
        <v>0.92</v>
      </c>
      <c r="D1851" s="20">
        <v>0.20258497911151899</v>
      </c>
      <c r="E1851" s="20">
        <v>0.08</v>
      </c>
      <c r="F1851" s="8" t="s">
        <v>434</v>
      </c>
      <c r="G1851" s="24">
        <v>0.78394514158330308</v>
      </c>
      <c r="H1851" s="24">
        <v>0.78848398384550911</v>
      </c>
      <c r="I1851" s="25">
        <v>0.80227349256921243</v>
      </c>
      <c r="L1851" s="15">
        <v>1849</v>
      </c>
      <c r="M1851" s="16">
        <v>1</v>
      </c>
      <c r="N1851" s="16">
        <v>3</v>
      </c>
      <c r="O1851" s="16">
        <v>1</v>
      </c>
      <c r="P1851" s="16">
        <v>5</v>
      </c>
      <c r="Q1851" s="29">
        <v>18</v>
      </c>
      <c r="R1851" s="20">
        <v>0.49930000000000002</v>
      </c>
      <c r="S1851" s="32">
        <v>8.9874000000000009</v>
      </c>
      <c r="T1851" s="35">
        <v>0.62</v>
      </c>
      <c r="U1851" s="35">
        <v>0.35</v>
      </c>
      <c r="V1851" s="35">
        <v>3.4444444444444444E-2</v>
      </c>
      <c r="W1851" s="9" t="s">
        <v>152</v>
      </c>
      <c r="X1851" s="15">
        <v>1850</v>
      </c>
      <c r="Y1851" s="39">
        <v>0.48851257773530998</v>
      </c>
      <c r="Z1851" s="39">
        <v>0.48753047361734853</v>
      </c>
      <c r="AA1851" s="39">
        <v>0.49532425277714176</v>
      </c>
      <c r="AB1851" s="39">
        <v>0.48922302657575306</v>
      </c>
      <c r="AC1851" s="39">
        <v>0.48003641315792916</v>
      </c>
      <c r="AD1851" s="39">
        <v>0.4788613916828286</v>
      </c>
      <c r="AE1851" s="39">
        <v>0.48680324803095804</v>
      </c>
      <c r="AF1851" s="40">
        <v>0.48703165591709763</v>
      </c>
    </row>
    <row r="1852" spans="1:32">
      <c r="A1852" s="15">
        <v>1850</v>
      </c>
      <c r="B1852" s="16">
        <v>0</v>
      </c>
      <c r="C1852" s="20">
        <v>0.92</v>
      </c>
      <c r="D1852" s="20">
        <v>0.20258497911151899</v>
      </c>
      <c r="E1852" s="20">
        <v>0.08</v>
      </c>
      <c r="F1852" s="8" t="s">
        <v>434</v>
      </c>
      <c r="G1852" s="24">
        <v>0.53771077329242567</v>
      </c>
      <c r="H1852" s="24">
        <v>0.54082398141529764</v>
      </c>
      <c r="I1852" s="25">
        <v>0.55028225471254633</v>
      </c>
      <c r="L1852" s="15">
        <v>1850</v>
      </c>
      <c r="M1852" s="16">
        <v>1</v>
      </c>
      <c r="N1852" s="16">
        <v>3</v>
      </c>
      <c r="O1852" s="16">
        <v>1</v>
      </c>
      <c r="P1852" s="16">
        <v>6</v>
      </c>
      <c r="Q1852" s="29">
        <v>17</v>
      </c>
      <c r="R1852" s="20">
        <v>0.49930000000000002</v>
      </c>
      <c r="S1852" s="32">
        <v>8.4881000000000011</v>
      </c>
      <c r="T1852" s="35">
        <v>0.62</v>
      </c>
      <c r="U1852" s="35">
        <v>0.32</v>
      </c>
      <c r="V1852" s="35">
        <v>3.6470588235294116E-2</v>
      </c>
      <c r="W1852" s="9" t="s">
        <v>152</v>
      </c>
      <c r="X1852" s="15">
        <v>1851</v>
      </c>
      <c r="Y1852" s="39">
        <v>0.49402853396441437</v>
      </c>
      <c r="Z1852" s="39">
        <v>0.47816814767384025</v>
      </c>
      <c r="AA1852" s="39">
        <v>0.48999036557300291</v>
      </c>
      <c r="AB1852" s="39">
        <v>0.49642313304936686</v>
      </c>
      <c r="AC1852" s="39">
        <v>0.48848132701597924</v>
      </c>
      <c r="AD1852" s="39">
        <v>0.47152015944464604</v>
      </c>
      <c r="AE1852" s="39">
        <v>0.48274463405902823</v>
      </c>
      <c r="AF1852" s="40">
        <v>0.49035956851574658</v>
      </c>
    </row>
    <row r="1853" spans="1:32">
      <c r="A1853" s="15">
        <v>1851</v>
      </c>
      <c r="B1853" s="16">
        <v>0</v>
      </c>
      <c r="C1853" s="20">
        <v>0.91</v>
      </c>
      <c r="D1853" s="20">
        <v>0.21727233298780477</v>
      </c>
      <c r="E1853" s="20">
        <v>0.09</v>
      </c>
      <c r="F1853" s="8" t="s">
        <v>434</v>
      </c>
      <c r="G1853" s="24">
        <v>0.68703015146443913</v>
      </c>
      <c r="H1853" s="24">
        <v>0.69100788067209606</v>
      </c>
      <c r="I1853" s="25">
        <v>0.7030926653904912</v>
      </c>
      <c r="L1853" s="15">
        <v>1851</v>
      </c>
      <c r="M1853" s="16">
        <v>1</v>
      </c>
      <c r="N1853" s="16">
        <v>3</v>
      </c>
      <c r="O1853" s="16">
        <v>1</v>
      </c>
      <c r="P1853" s="16">
        <v>7</v>
      </c>
      <c r="Q1853" s="29">
        <v>17</v>
      </c>
      <c r="R1853" s="20">
        <v>0.49930000000000002</v>
      </c>
      <c r="S1853" s="32">
        <v>8.4881000000000011</v>
      </c>
      <c r="T1853" s="35">
        <v>0.26</v>
      </c>
      <c r="U1853" s="35">
        <v>0</v>
      </c>
      <c r="V1853" s="35">
        <v>1.5294117647058824E-2</v>
      </c>
      <c r="W1853" s="9" t="s">
        <v>152</v>
      </c>
      <c r="X1853" s="15">
        <v>1852</v>
      </c>
      <c r="Y1853" s="39">
        <v>0.49176560453460516</v>
      </c>
      <c r="Z1853" s="39">
        <v>0.48537070911118829</v>
      </c>
      <c r="AA1853" s="39">
        <v>0.4956144470876031</v>
      </c>
      <c r="AB1853" s="39">
        <v>0.48991514099508598</v>
      </c>
      <c r="AC1853" s="39">
        <v>0.48394341834444482</v>
      </c>
      <c r="AD1853" s="39">
        <v>0.47976449539327948</v>
      </c>
      <c r="AE1853" s="39">
        <v>0.48709957060539444</v>
      </c>
      <c r="AF1853" s="40">
        <v>0.48343375821281193</v>
      </c>
    </row>
    <row r="1854" spans="1:32">
      <c r="A1854" s="15">
        <v>1852</v>
      </c>
      <c r="B1854" s="16">
        <v>1</v>
      </c>
      <c r="C1854" s="20">
        <v>0.65</v>
      </c>
      <c r="D1854" s="20">
        <v>0.44358823802546554</v>
      </c>
      <c r="E1854" s="20">
        <v>0.12</v>
      </c>
      <c r="F1854" s="8" t="s">
        <v>438</v>
      </c>
      <c r="G1854" s="24">
        <v>1.2613737986413467</v>
      </c>
      <c r="H1854" s="24">
        <v>1.2686768309608656</v>
      </c>
      <c r="I1854" s="25">
        <v>1.2908642571946531</v>
      </c>
      <c r="L1854" s="15">
        <v>1852</v>
      </c>
      <c r="M1854" s="16">
        <v>1</v>
      </c>
      <c r="N1854" s="16">
        <v>3</v>
      </c>
      <c r="O1854" s="16">
        <v>1</v>
      </c>
      <c r="P1854" s="16">
        <v>8</v>
      </c>
      <c r="Q1854" s="29">
        <v>15</v>
      </c>
      <c r="R1854" s="20">
        <v>0.49930000000000002</v>
      </c>
      <c r="S1854" s="32">
        <v>7.4895000000000005</v>
      </c>
      <c r="T1854" s="35">
        <v>0.64</v>
      </c>
      <c r="U1854" s="35">
        <v>0.41</v>
      </c>
      <c r="V1854" s="35">
        <v>4.2666666666666665E-2</v>
      </c>
      <c r="W1854" s="9" t="s">
        <v>152</v>
      </c>
      <c r="X1854" s="15">
        <v>1853</v>
      </c>
      <c r="Y1854" s="39">
        <v>0.48277640790722759</v>
      </c>
      <c r="Z1854" s="39">
        <v>0.4886527726598508</v>
      </c>
      <c r="AA1854" s="39">
        <v>0.47009367938460195</v>
      </c>
      <c r="AB1854" s="39">
        <v>0.48474511460807834</v>
      </c>
      <c r="AC1854" s="39">
        <v>0.47550369495899603</v>
      </c>
      <c r="AD1854" s="39">
        <v>0.4806647036182275</v>
      </c>
      <c r="AE1854" s="39">
        <v>0.4645947726286741</v>
      </c>
      <c r="AF1854" s="40">
        <v>0.48113392178822317</v>
      </c>
    </row>
    <row r="1855" spans="1:32">
      <c r="A1855" s="15">
        <v>1853</v>
      </c>
      <c r="B1855" s="16">
        <v>1</v>
      </c>
      <c r="C1855" s="20">
        <v>0.41</v>
      </c>
      <c r="D1855" s="20">
        <v>0.62206163726036845</v>
      </c>
      <c r="E1855" s="20">
        <v>0.05</v>
      </c>
      <c r="F1855" s="8" t="s">
        <v>436</v>
      </c>
      <c r="G1855" s="24">
        <v>1.5590603915844978</v>
      </c>
      <c r="H1855" s="24">
        <v>1.5680869532905419</v>
      </c>
      <c r="I1855" s="25">
        <v>1.5955106539172399</v>
      </c>
      <c r="L1855" s="15">
        <v>1853</v>
      </c>
      <c r="M1855" s="16">
        <v>1</v>
      </c>
      <c r="N1855" s="16">
        <v>3</v>
      </c>
      <c r="O1855" s="16">
        <v>1</v>
      </c>
      <c r="P1855" s="16">
        <v>9</v>
      </c>
      <c r="Q1855" s="29">
        <v>11</v>
      </c>
      <c r="R1855" s="20">
        <v>0.49930000000000002</v>
      </c>
      <c r="S1855" s="32">
        <v>5.4923000000000002</v>
      </c>
      <c r="T1855" s="35">
        <v>0.36</v>
      </c>
      <c r="U1855" s="35">
        <v>0.18</v>
      </c>
      <c r="V1855" s="35">
        <v>3.2727272727272723E-2</v>
      </c>
      <c r="W1855" s="9" t="s">
        <v>152</v>
      </c>
      <c r="X1855" s="15">
        <v>1854</v>
      </c>
      <c r="Y1855" s="39">
        <v>0.48658396335163906</v>
      </c>
      <c r="Z1855" s="39">
        <v>0.47799853254810509</v>
      </c>
      <c r="AA1855" s="39">
        <v>0.49559175539029116</v>
      </c>
      <c r="AB1855" s="39">
        <v>0.48513412828163383</v>
      </c>
      <c r="AC1855" s="39">
        <v>0.48038500498972175</v>
      </c>
      <c r="AD1855" s="39">
        <v>0.46954987276841292</v>
      </c>
      <c r="AE1855" s="39">
        <v>0.48948845315833833</v>
      </c>
      <c r="AF1855" s="40">
        <v>0.48171403704079163</v>
      </c>
    </row>
    <row r="1856" spans="1:32">
      <c r="A1856" s="15">
        <v>1854</v>
      </c>
      <c r="B1856" s="16">
        <v>0</v>
      </c>
      <c r="C1856" s="20">
        <v>0.9</v>
      </c>
      <c r="D1856" s="20">
        <v>0.23159538658365303</v>
      </c>
      <c r="E1856" s="20">
        <v>0.1</v>
      </c>
      <c r="F1856" s="8" t="s">
        <v>434</v>
      </c>
      <c r="G1856" s="24">
        <v>0.45981921109463392</v>
      </c>
      <c r="H1856" s="24">
        <v>0.46248144695475474</v>
      </c>
      <c r="I1856" s="25">
        <v>0.4705696162492411</v>
      </c>
      <c r="L1856" s="15">
        <v>1854</v>
      </c>
      <c r="M1856" s="16">
        <v>1</v>
      </c>
      <c r="N1856" s="16">
        <v>3</v>
      </c>
      <c r="O1856" s="16">
        <v>1</v>
      </c>
      <c r="P1856" s="16">
        <v>10</v>
      </c>
      <c r="Q1856" s="29">
        <v>21</v>
      </c>
      <c r="R1856" s="20">
        <v>0.49930000000000002</v>
      </c>
      <c r="S1856" s="32">
        <v>10.485300000000001</v>
      </c>
      <c r="T1856" s="35">
        <v>1.01</v>
      </c>
      <c r="U1856" s="35">
        <v>0.65</v>
      </c>
      <c r="V1856" s="35">
        <v>4.8095238095238094E-2</v>
      </c>
      <c r="W1856" s="9" t="s">
        <v>153</v>
      </c>
      <c r="X1856" s="15">
        <v>1855</v>
      </c>
      <c r="Y1856" s="39">
        <v>0.47699287457413109</v>
      </c>
      <c r="Z1856" s="39">
        <v>0.48309471768707463</v>
      </c>
      <c r="AA1856" s="39">
        <v>0.49025545178341712</v>
      </c>
      <c r="AB1856" s="39">
        <v>0.47794490403765133</v>
      </c>
      <c r="AC1856" s="39">
        <v>0.4709511895406156</v>
      </c>
      <c r="AD1856" s="39">
        <v>0.47974761516449171</v>
      </c>
      <c r="AE1856" s="39">
        <v>0.48125953560259083</v>
      </c>
      <c r="AF1856" s="40">
        <v>0.47552246613085136</v>
      </c>
    </row>
    <row r="1857" spans="1:32">
      <c r="A1857" s="15">
        <v>1855</v>
      </c>
      <c r="B1857" s="16">
        <v>1</v>
      </c>
      <c r="C1857" s="20">
        <v>0.11</v>
      </c>
      <c r="D1857" s="20">
        <v>0.8945977379382154</v>
      </c>
      <c r="E1857" s="20">
        <v>0.44</v>
      </c>
      <c r="F1857" s="8" t="s">
        <v>436</v>
      </c>
      <c r="G1857" s="24">
        <v>1.186012174117137</v>
      </c>
      <c r="H1857" s="24">
        <v>1.1928788818672502</v>
      </c>
      <c r="I1857" s="25">
        <v>1.2137407054233935</v>
      </c>
      <c r="L1857" s="15">
        <v>1855</v>
      </c>
      <c r="M1857" s="16">
        <v>1</v>
      </c>
      <c r="N1857" s="16">
        <v>3</v>
      </c>
      <c r="O1857" s="16">
        <v>2</v>
      </c>
      <c r="P1857" s="16">
        <v>11</v>
      </c>
      <c r="Q1857" s="29">
        <v>20</v>
      </c>
      <c r="R1857" s="20">
        <v>0.49930000000000002</v>
      </c>
      <c r="S1857" s="32">
        <v>9.9860000000000007</v>
      </c>
      <c r="T1857" s="35">
        <v>0.72</v>
      </c>
      <c r="U1857" s="35">
        <v>0.47</v>
      </c>
      <c r="V1857" s="35">
        <v>3.5999999999999997E-2</v>
      </c>
      <c r="W1857" s="9" t="s">
        <v>152</v>
      </c>
      <c r="X1857" s="15">
        <v>1856</v>
      </c>
      <c r="Y1857" s="39">
        <v>0.49979599266711028</v>
      </c>
      <c r="Z1857" s="39">
        <v>0.49087307273204034</v>
      </c>
      <c r="AA1857" s="39">
        <v>0.48623489647795698</v>
      </c>
      <c r="AB1857" s="39">
        <v>0.48716587980039971</v>
      </c>
      <c r="AC1857" s="39">
        <v>0.49251996949893867</v>
      </c>
      <c r="AD1857" s="39">
        <v>0.48217520099180011</v>
      </c>
      <c r="AE1857" s="39">
        <v>0.48400150257814695</v>
      </c>
      <c r="AF1857" s="40">
        <v>0.48414634785835475</v>
      </c>
    </row>
    <row r="1858" spans="1:32">
      <c r="A1858" s="15">
        <v>1856</v>
      </c>
      <c r="B1858" s="16">
        <v>0</v>
      </c>
      <c r="C1858" s="20">
        <v>0.47</v>
      </c>
      <c r="D1858" s="20">
        <v>0.474176671198758</v>
      </c>
      <c r="E1858" s="20">
        <v>0.1</v>
      </c>
      <c r="F1858" s="8" t="s">
        <v>436</v>
      </c>
      <c r="G1858" s="24">
        <v>0.74442764149809149</v>
      </c>
      <c r="H1858" s="24">
        <v>0.74873768752192649</v>
      </c>
      <c r="I1858" s="25">
        <v>0.76183208777022882</v>
      </c>
      <c r="L1858" s="15">
        <v>1856</v>
      </c>
      <c r="M1858" s="16">
        <v>1</v>
      </c>
      <c r="N1858" s="16">
        <v>3</v>
      </c>
      <c r="O1858" s="16">
        <v>2</v>
      </c>
      <c r="P1858" s="16">
        <v>12</v>
      </c>
      <c r="Q1858" s="29">
        <v>16</v>
      </c>
      <c r="R1858" s="20">
        <v>0.49930000000000002</v>
      </c>
      <c r="S1858" s="32">
        <v>7.9888000000000003</v>
      </c>
      <c r="T1858" s="35">
        <v>0.43</v>
      </c>
      <c r="U1858" s="35">
        <v>0.23</v>
      </c>
      <c r="V1858" s="35">
        <v>2.6875E-2</v>
      </c>
      <c r="W1858" s="9" t="s">
        <v>152</v>
      </c>
      <c r="X1858" s="15">
        <v>1857</v>
      </c>
      <c r="Y1858" s="39">
        <v>0.49854674780995784</v>
      </c>
      <c r="Z1858" s="39">
        <v>0.4885125304531957</v>
      </c>
      <c r="AA1858" s="39">
        <v>0.48378151841806111</v>
      </c>
      <c r="AB1858" s="39">
        <v>0.49890037059672226</v>
      </c>
      <c r="AC1858" s="39">
        <v>0.48843067188485328</v>
      </c>
      <c r="AD1858" s="39">
        <v>0.48314163975420243</v>
      </c>
      <c r="AE1858" s="39">
        <v>0.47623178019199369</v>
      </c>
      <c r="AF1858" s="40">
        <v>0.49194144834476666</v>
      </c>
    </row>
    <row r="1859" spans="1:32">
      <c r="A1859" s="15">
        <v>1857</v>
      </c>
      <c r="B1859" s="16">
        <v>0</v>
      </c>
      <c r="C1859" s="20">
        <v>0.92</v>
      </c>
      <c r="D1859" s="20">
        <v>0.20258497911151899</v>
      </c>
      <c r="E1859" s="20">
        <v>0.08</v>
      </c>
      <c r="F1859" s="8" t="s">
        <v>434</v>
      </c>
      <c r="G1859" s="24">
        <v>0.73180478247610081</v>
      </c>
      <c r="H1859" s="24">
        <v>0.73604174536827294</v>
      </c>
      <c r="I1859" s="25">
        <v>0.74891411091622584</v>
      </c>
      <c r="L1859" s="15">
        <v>1857</v>
      </c>
      <c r="M1859" s="16">
        <v>1</v>
      </c>
      <c r="N1859" s="16">
        <v>3</v>
      </c>
      <c r="O1859" s="16">
        <v>2</v>
      </c>
      <c r="P1859" s="16">
        <v>13</v>
      </c>
      <c r="Q1859" s="29">
        <v>17</v>
      </c>
      <c r="R1859" s="20">
        <v>0.49930000000000002</v>
      </c>
      <c r="S1859" s="32">
        <v>8.4881000000000011</v>
      </c>
      <c r="T1859" s="35">
        <v>0.77</v>
      </c>
      <c r="U1859" s="35">
        <v>0.51</v>
      </c>
      <c r="V1859" s="35">
        <v>4.5294117647058825E-2</v>
      </c>
      <c r="W1859" s="9" t="s">
        <v>152</v>
      </c>
      <c r="X1859" s="15">
        <v>1858</v>
      </c>
      <c r="Y1859" s="39">
        <v>0.47727725421457562</v>
      </c>
      <c r="Z1859" s="39">
        <v>0.48218054589344117</v>
      </c>
      <c r="AA1859" s="39">
        <v>0.49287995532668194</v>
      </c>
      <c r="AB1859" s="39">
        <v>0.48042222350607339</v>
      </c>
      <c r="AC1859" s="39">
        <v>0.47160186423764211</v>
      </c>
      <c r="AD1859" s="39">
        <v>0.47509597675430537</v>
      </c>
      <c r="AE1859" s="39">
        <v>0.48376639037706698</v>
      </c>
      <c r="AF1859" s="40">
        <v>0.47687275192854839</v>
      </c>
    </row>
    <row r="1860" spans="1:32">
      <c r="A1860" s="15">
        <v>1858</v>
      </c>
      <c r="B1860" s="16">
        <v>0</v>
      </c>
      <c r="C1860" s="20">
        <v>0.02</v>
      </c>
      <c r="D1860" s="20">
        <v>0.99531127541355291</v>
      </c>
      <c r="E1860" s="20">
        <v>1</v>
      </c>
      <c r="F1860" s="8" t="s">
        <v>436</v>
      </c>
      <c r="G1860" s="24">
        <v>1.4946793963534291</v>
      </c>
      <c r="H1860" s="24">
        <v>1.5033332085307913</v>
      </c>
      <c r="I1860" s="25">
        <v>1.5296244545400826</v>
      </c>
      <c r="L1860" s="15">
        <v>1858</v>
      </c>
      <c r="M1860" s="16">
        <v>1</v>
      </c>
      <c r="N1860" s="16">
        <v>3</v>
      </c>
      <c r="O1860" s="16">
        <v>2</v>
      </c>
      <c r="P1860" s="16">
        <v>14</v>
      </c>
      <c r="Q1860" s="29">
        <v>19</v>
      </c>
      <c r="R1860" s="20">
        <v>0.49930000000000002</v>
      </c>
      <c r="S1860" s="32">
        <v>9.4867000000000008</v>
      </c>
      <c r="T1860" s="35">
        <v>1.29</v>
      </c>
      <c r="U1860" s="35">
        <v>0.99</v>
      </c>
      <c r="V1860" s="35">
        <v>6.7894736842105272E-2</v>
      </c>
      <c r="W1860" s="9" t="s">
        <v>153</v>
      </c>
      <c r="X1860" s="15">
        <v>1859</v>
      </c>
      <c r="Y1860" s="39">
        <v>0.47292959783016403</v>
      </c>
      <c r="Z1860" s="39">
        <v>0.48561038845469628</v>
      </c>
      <c r="AA1860" s="39">
        <v>0.48337577486926786</v>
      </c>
      <c r="AB1860" s="39">
        <v>0.50132574401702912</v>
      </c>
      <c r="AC1860" s="39">
        <v>0.46334569683528087</v>
      </c>
      <c r="AD1860" s="39">
        <v>0.47921815890537039</v>
      </c>
      <c r="AE1860" s="39">
        <v>0.47623401499849827</v>
      </c>
      <c r="AF1860" s="40">
        <v>0.49824057898888713</v>
      </c>
    </row>
    <row r="1861" spans="1:32">
      <c r="A1861" s="15">
        <v>1859</v>
      </c>
      <c r="B1861" s="16">
        <v>0</v>
      </c>
      <c r="C1861" s="20">
        <v>0.39</v>
      </c>
      <c r="D1861" s="20">
        <v>0.60027646187023798</v>
      </c>
      <c r="E1861" s="20">
        <v>0.08</v>
      </c>
      <c r="F1861" s="8" t="s">
        <v>436</v>
      </c>
      <c r="G1861" s="24">
        <v>0.56051501179800489</v>
      </c>
      <c r="H1861" s="24">
        <v>0.56376025064088042</v>
      </c>
      <c r="I1861" s="25">
        <v>0.57361964798256793</v>
      </c>
      <c r="L1861" s="15">
        <v>1859</v>
      </c>
      <c r="M1861" s="16">
        <v>1</v>
      </c>
      <c r="N1861" s="16">
        <v>3</v>
      </c>
      <c r="O1861" s="16">
        <v>2</v>
      </c>
      <c r="P1861" s="16">
        <v>15</v>
      </c>
      <c r="Q1861" s="29">
        <v>16</v>
      </c>
      <c r="R1861" s="20">
        <v>0.49930000000000002</v>
      </c>
      <c r="S1861" s="32">
        <v>7.9888000000000003</v>
      </c>
      <c r="T1861" s="35">
        <v>0.85000000000000009</v>
      </c>
      <c r="U1861" s="35">
        <v>0.64</v>
      </c>
      <c r="V1861" s="35">
        <v>5.3125000000000006E-2</v>
      </c>
      <c r="W1861" s="9" t="s">
        <v>152</v>
      </c>
      <c r="X1861" s="15">
        <v>1860</v>
      </c>
      <c r="Y1861" s="39">
        <v>0.47794197534389582</v>
      </c>
      <c r="Z1861" s="39">
        <v>0.4842146613673351</v>
      </c>
      <c r="AA1861" s="39">
        <v>0.48129399971005454</v>
      </c>
      <c r="AB1861" s="39">
        <v>0.49956118218258755</v>
      </c>
      <c r="AC1861" s="39">
        <v>0.46953507504464359</v>
      </c>
      <c r="AD1861" s="39">
        <v>0.47608620318080375</v>
      </c>
      <c r="AE1861" s="39">
        <v>0.47508354541238901</v>
      </c>
      <c r="AF1861" s="40">
        <v>0.4968679562401862</v>
      </c>
    </row>
    <row r="1862" spans="1:32">
      <c r="A1862" s="15">
        <v>1860</v>
      </c>
      <c r="B1862" s="16">
        <v>0</v>
      </c>
      <c r="C1862" s="20">
        <v>0.12</v>
      </c>
      <c r="D1862" s="20">
        <v>0.92057710088208966</v>
      </c>
      <c r="E1862" s="20">
        <v>0.05</v>
      </c>
      <c r="F1862" s="8" t="s">
        <v>436</v>
      </c>
      <c r="G1862" s="24">
        <v>0.82624328299043115</v>
      </c>
      <c r="H1862" s="24">
        <v>0.83102702069448364</v>
      </c>
      <c r="I1862" s="25">
        <v>0.84556054906827627</v>
      </c>
      <c r="L1862" s="15">
        <v>1860</v>
      </c>
      <c r="M1862" s="16">
        <v>1</v>
      </c>
      <c r="N1862" s="16">
        <v>3</v>
      </c>
      <c r="O1862" s="16">
        <v>2</v>
      </c>
      <c r="P1862" s="16">
        <v>16</v>
      </c>
      <c r="Q1862" s="29">
        <v>13</v>
      </c>
      <c r="R1862" s="20">
        <v>0.49930000000000002</v>
      </c>
      <c r="S1862" s="32">
        <v>6.4908999999999999</v>
      </c>
      <c r="T1862" s="35">
        <v>1.01</v>
      </c>
      <c r="U1862" s="35">
        <v>0.84</v>
      </c>
      <c r="V1862" s="35">
        <v>7.7692307692307699E-2</v>
      </c>
      <c r="W1862" s="9" t="s">
        <v>153</v>
      </c>
      <c r="X1862" s="15">
        <v>1861</v>
      </c>
      <c r="Y1862" s="39">
        <v>0.50292433398158942</v>
      </c>
      <c r="Z1862" s="39">
        <v>0.49358000783834005</v>
      </c>
      <c r="AA1862" s="39">
        <v>0.48912953530583198</v>
      </c>
      <c r="AB1862" s="39">
        <v>0.46959004567469542</v>
      </c>
      <c r="AC1862" s="39">
        <v>0.49647533308829528</v>
      </c>
      <c r="AD1862" s="39">
        <v>0.48644874423670809</v>
      </c>
      <c r="AE1862" s="39">
        <v>0.48402364048523522</v>
      </c>
      <c r="AF1862" s="40">
        <v>0.46391893814592122</v>
      </c>
    </row>
    <row r="1863" spans="1:32">
      <c r="A1863" s="15">
        <v>1861</v>
      </c>
      <c r="B1863" s="16">
        <v>1</v>
      </c>
      <c r="C1863" s="20">
        <v>0.03</v>
      </c>
      <c r="D1863" s="20">
        <v>0.9956483904099791</v>
      </c>
      <c r="E1863" s="20">
        <v>1</v>
      </c>
      <c r="F1863" s="8" t="s">
        <v>436</v>
      </c>
      <c r="G1863" s="24">
        <v>1.0049154652205994</v>
      </c>
      <c r="H1863" s="24">
        <v>1.010733669252422</v>
      </c>
      <c r="I1863" s="25">
        <v>1.0284100216388361</v>
      </c>
      <c r="L1863" s="15">
        <v>1861</v>
      </c>
      <c r="M1863" s="16">
        <v>1</v>
      </c>
      <c r="N1863" s="16">
        <v>3</v>
      </c>
      <c r="O1863" s="16">
        <v>2</v>
      </c>
      <c r="P1863" s="16">
        <v>17</v>
      </c>
      <c r="Q1863" s="29">
        <v>15</v>
      </c>
      <c r="R1863" s="20">
        <v>0.49930000000000002</v>
      </c>
      <c r="S1863" s="32">
        <v>7.4895000000000005</v>
      </c>
      <c r="T1863" s="35">
        <v>0.21</v>
      </c>
      <c r="U1863" s="35">
        <v>0</v>
      </c>
      <c r="V1863" s="35">
        <v>1.4E-2</v>
      </c>
      <c r="W1863" s="9" t="s">
        <v>152</v>
      </c>
      <c r="X1863" s="15">
        <v>1862</v>
      </c>
      <c r="Y1863" s="39">
        <v>0.48654661715913444</v>
      </c>
      <c r="Z1863" s="39">
        <v>0.47945917129804361</v>
      </c>
      <c r="AA1863" s="39">
        <v>0.49967130816772787</v>
      </c>
      <c r="AB1863" s="39">
        <v>0.48984820896174047</v>
      </c>
      <c r="AC1863" s="39">
        <v>0.47953826357890234</v>
      </c>
      <c r="AD1863" s="39">
        <v>0.47229249181326449</v>
      </c>
      <c r="AE1863" s="39">
        <v>0.49355423519973624</v>
      </c>
      <c r="AF1863" s="40">
        <v>0.48556202119938024</v>
      </c>
    </row>
    <row r="1864" spans="1:32">
      <c r="A1864" s="15">
        <v>1862</v>
      </c>
      <c r="B1864" s="16">
        <v>0</v>
      </c>
      <c r="C1864" s="20">
        <v>0.88</v>
      </c>
      <c r="D1864" s="20">
        <v>0.25930874124763043</v>
      </c>
      <c r="E1864" s="20">
        <v>0.12</v>
      </c>
      <c r="F1864" s="8" t="s">
        <v>434</v>
      </c>
      <c r="G1864" s="24">
        <v>1.731660924336019</v>
      </c>
      <c r="H1864" s="24">
        <v>1.7416867990691836</v>
      </c>
      <c r="I1864" s="25">
        <v>1.6578926537592125</v>
      </c>
      <c r="L1864" s="15">
        <v>1862</v>
      </c>
      <c r="M1864" s="16">
        <v>1</v>
      </c>
      <c r="N1864" s="16">
        <v>3</v>
      </c>
      <c r="O1864" s="16">
        <v>2</v>
      </c>
      <c r="P1864" s="16">
        <v>18</v>
      </c>
      <c r="Q1864" s="29">
        <v>8</v>
      </c>
      <c r="R1864" s="20">
        <v>0.49930000000000002</v>
      </c>
      <c r="S1864" s="32">
        <v>3.9944000000000002</v>
      </c>
      <c r="T1864" s="35">
        <v>0.26</v>
      </c>
      <c r="U1864" s="35">
        <v>0.08</v>
      </c>
      <c r="V1864" s="35">
        <v>3.2500000000000001E-2</v>
      </c>
      <c r="W1864" s="9" t="s">
        <v>152</v>
      </c>
      <c r="X1864" s="15">
        <v>1863</v>
      </c>
      <c r="Y1864" s="39">
        <v>0.47114247890000416</v>
      </c>
      <c r="Z1864" s="39">
        <v>0.48915861370347447</v>
      </c>
      <c r="AA1864" s="39">
        <v>0.495066143420063</v>
      </c>
      <c r="AB1864" s="39">
        <v>0.48633291160561054</v>
      </c>
      <c r="AC1864" s="39">
        <v>0.46454483501413474</v>
      </c>
      <c r="AD1864" s="39">
        <v>0.48295752495342348</v>
      </c>
      <c r="AE1864" s="39">
        <v>0.48635360387167614</v>
      </c>
      <c r="AF1864" s="40">
        <v>0.48396547241973498</v>
      </c>
    </row>
    <row r="1865" spans="1:32">
      <c r="A1865" s="15">
        <v>1863</v>
      </c>
      <c r="B1865" s="16">
        <v>1</v>
      </c>
      <c r="C1865" s="20">
        <v>0.92</v>
      </c>
      <c r="D1865" s="20">
        <v>0.20258497911151899</v>
      </c>
      <c r="E1865" s="20">
        <v>0.08</v>
      </c>
      <c r="F1865" s="8" t="s">
        <v>434</v>
      </c>
      <c r="G1865" s="24">
        <v>0.39366818993233116</v>
      </c>
      <c r="H1865" s="24">
        <v>0.39594742826543988</v>
      </c>
      <c r="I1865" s="25">
        <v>0.40287200838127896</v>
      </c>
      <c r="L1865" s="15">
        <v>1863</v>
      </c>
      <c r="M1865" s="16">
        <v>1</v>
      </c>
      <c r="N1865" s="16">
        <v>3</v>
      </c>
      <c r="O1865" s="16">
        <v>2</v>
      </c>
      <c r="P1865" s="16">
        <v>19</v>
      </c>
      <c r="Q1865" s="29">
        <v>23</v>
      </c>
      <c r="R1865" s="20">
        <v>0.49930000000000002</v>
      </c>
      <c r="S1865" s="32">
        <v>11.4839</v>
      </c>
      <c r="T1865" s="35">
        <v>0.98</v>
      </c>
      <c r="U1865" s="35">
        <v>0.56999999999999995</v>
      </c>
      <c r="V1865" s="35">
        <v>4.2608695652173914E-2</v>
      </c>
      <c r="W1865" s="9" t="s">
        <v>152</v>
      </c>
      <c r="X1865" s="15">
        <v>1864</v>
      </c>
      <c r="Y1865" s="39">
        <v>0.4833291847133494</v>
      </c>
      <c r="Z1865" s="39">
        <v>0.48097056666352095</v>
      </c>
      <c r="AA1865" s="39">
        <v>0.49306291901756066</v>
      </c>
      <c r="AB1865" s="39">
        <v>0.49445954158544514</v>
      </c>
      <c r="AC1865" s="39">
        <v>0.47404476188989392</v>
      </c>
      <c r="AD1865" s="39">
        <v>0.47490782844938423</v>
      </c>
      <c r="AE1865" s="39">
        <v>0.4869636872909564</v>
      </c>
      <c r="AF1865" s="40">
        <v>0.49374190500328485</v>
      </c>
    </row>
    <row r="1866" spans="1:32">
      <c r="A1866" s="15">
        <v>1864</v>
      </c>
      <c r="B1866" s="16">
        <v>0</v>
      </c>
      <c r="C1866" s="20">
        <v>0.94</v>
      </c>
      <c r="D1866" s="20">
        <v>0.17188516685452584</v>
      </c>
      <c r="E1866" s="20">
        <v>0.06</v>
      </c>
      <c r="F1866" s="8" t="s">
        <v>434</v>
      </c>
      <c r="G1866" s="24">
        <v>0.55447679878985645</v>
      </c>
      <c r="H1866" s="24">
        <v>0.55768707792071159</v>
      </c>
      <c r="I1866" s="25">
        <v>0.56744026376042678</v>
      </c>
      <c r="L1866" s="15">
        <v>1864</v>
      </c>
      <c r="M1866" s="16">
        <v>1</v>
      </c>
      <c r="N1866" s="16">
        <v>3</v>
      </c>
      <c r="O1866" s="16">
        <v>2</v>
      </c>
      <c r="P1866" s="16">
        <v>20</v>
      </c>
      <c r="Q1866" s="29">
        <v>16</v>
      </c>
      <c r="R1866" s="20">
        <v>0.49930000000000002</v>
      </c>
      <c r="S1866" s="32">
        <v>7.9888000000000003</v>
      </c>
      <c r="T1866" s="35">
        <v>0.35</v>
      </c>
      <c r="U1866" s="35">
        <v>0.11</v>
      </c>
      <c r="V1866" s="35">
        <v>2.1874999999999999E-2</v>
      </c>
      <c r="W1866" s="9" t="s">
        <v>152</v>
      </c>
      <c r="X1866" s="15">
        <v>1865</v>
      </c>
      <c r="Y1866" s="39">
        <v>0.49448319532851676</v>
      </c>
      <c r="Z1866" s="39">
        <v>0.48366817121985745</v>
      </c>
      <c r="AA1866" s="39">
        <v>0.49003658837532715</v>
      </c>
      <c r="AB1866" s="39">
        <v>0.48620272783983681</v>
      </c>
      <c r="AC1866" s="39">
        <v>0.48883551230031047</v>
      </c>
      <c r="AD1866" s="39">
        <v>0.47653628198319531</v>
      </c>
      <c r="AE1866" s="39">
        <v>0.48379819116361183</v>
      </c>
      <c r="AF1866" s="40">
        <v>0.48186731812670447</v>
      </c>
    </row>
    <row r="1867" spans="1:32">
      <c r="A1867" s="15">
        <v>1865</v>
      </c>
      <c r="B1867" s="16">
        <v>1</v>
      </c>
      <c r="C1867" s="20">
        <v>0.28000000000000003</v>
      </c>
      <c r="D1867" s="20">
        <v>0.81122393879605248</v>
      </c>
      <c r="E1867" s="20">
        <v>0.08</v>
      </c>
      <c r="F1867" s="8" t="s">
        <v>436</v>
      </c>
      <c r="G1867" s="24">
        <v>1.3291782650659034</v>
      </c>
      <c r="H1867" s="24">
        <v>1.3368738679384493</v>
      </c>
      <c r="I1867" s="25">
        <v>1.3602539672709935</v>
      </c>
      <c r="L1867" s="15">
        <v>1865</v>
      </c>
      <c r="M1867" s="16">
        <v>1</v>
      </c>
      <c r="N1867" s="16">
        <v>3</v>
      </c>
      <c r="O1867" s="16">
        <v>2</v>
      </c>
      <c r="P1867" s="16">
        <v>21</v>
      </c>
      <c r="Q1867" s="29">
        <v>26</v>
      </c>
      <c r="R1867" s="20">
        <v>0.49930000000000002</v>
      </c>
      <c r="S1867" s="32">
        <v>12.9818</v>
      </c>
      <c r="T1867" s="35">
        <v>0.37</v>
      </c>
      <c r="U1867" s="35">
        <v>0.03</v>
      </c>
      <c r="V1867" s="35">
        <v>1.4230769230769231E-2</v>
      </c>
      <c r="W1867" s="9" t="s">
        <v>152</v>
      </c>
      <c r="X1867" s="15">
        <v>1866</v>
      </c>
      <c r="Y1867" s="39">
        <v>0.49029331475651383</v>
      </c>
      <c r="Z1867" s="39">
        <v>0.49230690172745867</v>
      </c>
      <c r="AA1867" s="39">
        <v>0.4955140653371426</v>
      </c>
      <c r="AB1867" s="39">
        <v>0.47828725539841238</v>
      </c>
      <c r="AC1867" s="39">
        <v>0.48411024229966909</v>
      </c>
      <c r="AD1867" s="39">
        <v>0.48817138246680891</v>
      </c>
      <c r="AE1867" s="39">
        <v>0.48854406943686457</v>
      </c>
      <c r="AF1867" s="40">
        <v>0.47190277204802072</v>
      </c>
    </row>
    <row r="1868" spans="1:32">
      <c r="A1868" s="15">
        <v>1866</v>
      </c>
      <c r="B1868" s="16">
        <v>0</v>
      </c>
      <c r="C1868" s="20">
        <v>0.53</v>
      </c>
      <c r="D1868" s="20">
        <v>0.46561859237124709</v>
      </c>
      <c r="E1868" s="20">
        <v>0.08</v>
      </c>
      <c r="F1868" s="8" t="s">
        <v>438</v>
      </c>
      <c r="G1868" s="24">
        <v>0.56938422658447263</v>
      </c>
      <c r="H1868" s="24">
        <v>0.57268081591703179</v>
      </c>
      <c r="I1868" s="25">
        <v>0.58269622177026315</v>
      </c>
      <c r="L1868" s="15">
        <v>1866</v>
      </c>
      <c r="M1868" s="16">
        <v>1</v>
      </c>
      <c r="N1868" s="16">
        <v>3</v>
      </c>
      <c r="O1868" s="16">
        <v>2</v>
      </c>
      <c r="P1868" s="16">
        <v>22</v>
      </c>
      <c r="Q1868" s="29">
        <v>16</v>
      </c>
      <c r="R1868" s="20">
        <v>0.49930000000000002</v>
      </c>
      <c r="S1868" s="32">
        <v>7.9888000000000003</v>
      </c>
      <c r="T1868" s="35">
        <v>0.39</v>
      </c>
      <c r="U1868" s="35">
        <v>0.19</v>
      </c>
      <c r="V1868" s="35">
        <v>2.4375000000000001E-2</v>
      </c>
      <c r="W1868" s="9" t="s">
        <v>152</v>
      </c>
      <c r="X1868" s="15">
        <v>1867</v>
      </c>
      <c r="Y1868" s="39">
        <v>0.48200906787350184</v>
      </c>
      <c r="Z1868" s="39">
        <v>0.48751499072918436</v>
      </c>
      <c r="AA1868" s="39">
        <v>0.49342703885788158</v>
      </c>
      <c r="AB1868" s="39">
        <v>0.48973009825371466</v>
      </c>
      <c r="AC1868" s="39">
        <v>0.47554371513612936</v>
      </c>
      <c r="AD1868" s="39">
        <v>0.4810359107591532</v>
      </c>
      <c r="AE1868" s="39">
        <v>0.48752010074931051</v>
      </c>
      <c r="AF1868" s="40">
        <v>0.48534943429317778</v>
      </c>
    </row>
    <row r="1869" spans="1:32">
      <c r="A1869" s="15">
        <v>1867</v>
      </c>
      <c r="B1869" s="16">
        <v>1</v>
      </c>
      <c r="C1869" s="20">
        <v>0.63</v>
      </c>
      <c r="D1869" s="20">
        <v>0.45503675987113262</v>
      </c>
      <c r="E1869" s="20">
        <v>0.13</v>
      </c>
      <c r="F1869" s="8" t="s">
        <v>438</v>
      </c>
      <c r="G1869" s="24">
        <v>0.74877775999230245</v>
      </c>
      <c r="H1869" s="24">
        <v>0.75311299209182037</v>
      </c>
      <c r="I1869" s="25">
        <v>0.76628391044546351</v>
      </c>
      <c r="L1869" s="15">
        <v>1867</v>
      </c>
      <c r="M1869" s="16">
        <v>1</v>
      </c>
      <c r="N1869" s="16">
        <v>3</v>
      </c>
      <c r="O1869" s="16">
        <v>2</v>
      </c>
      <c r="P1869" s="16">
        <v>23</v>
      </c>
      <c r="Q1869" s="29">
        <v>20</v>
      </c>
      <c r="R1869" s="20">
        <v>0.49930000000000002</v>
      </c>
      <c r="S1869" s="32">
        <v>9.9860000000000007</v>
      </c>
      <c r="T1869" s="35">
        <v>0.46</v>
      </c>
      <c r="U1869" s="35">
        <v>0.14000000000000001</v>
      </c>
      <c r="V1869" s="35">
        <v>2.3E-2</v>
      </c>
      <c r="W1869" s="9" t="s">
        <v>152</v>
      </c>
      <c r="X1869" s="15">
        <v>1868</v>
      </c>
      <c r="Y1869" s="39">
        <v>0.48423406420814691</v>
      </c>
      <c r="Z1869" s="39">
        <v>0.4840177361748001</v>
      </c>
      <c r="AA1869" s="39">
        <v>0.46867291654232274</v>
      </c>
      <c r="AB1869" s="39">
        <v>0.48047323575124651</v>
      </c>
      <c r="AC1869" s="39">
        <v>0.47575336523577821</v>
      </c>
      <c r="AD1869" s="39">
        <v>0.47649422444000666</v>
      </c>
      <c r="AE1869" s="39">
        <v>0.46385982726385416</v>
      </c>
      <c r="AF1869" s="40">
        <v>0.47572358997804481</v>
      </c>
    </row>
    <row r="1870" spans="1:32">
      <c r="A1870" s="15">
        <v>1868</v>
      </c>
      <c r="B1870" s="16">
        <v>1</v>
      </c>
      <c r="C1870" s="20">
        <v>0.55000000000000004</v>
      </c>
      <c r="D1870" s="20">
        <v>0.46370052652942834</v>
      </c>
      <c r="E1870" s="20">
        <v>7.0000000000000007E-2</v>
      </c>
      <c r="F1870" s="8" t="s">
        <v>438</v>
      </c>
      <c r="G1870" s="24">
        <v>0.67257754099498768</v>
      </c>
      <c r="H1870" s="24">
        <v>0.67647159327715789</v>
      </c>
      <c r="I1870" s="25">
        <v>0.68830215816870877</v>
      </c>
      <c r="L1870" s="15">
        <v>1868</v>
      </c>
      <c r="M1870" s="16">
        <v>1</v>
      </c>
      <c r="N1870" s="16">
        <v>3</v>
      </c>
      <c r="O1870" s="16">
        <v>2</v>
      </c>
      <c r="P1870" s="16">
        <v>24</v>
      </c>
      <c r="Q1870" s="29">
        <v>12</v>
      </c>
      <c r="R1870" s="20">
        <v>0.49930000000000002</v>
      </c>
      <c r="S1870" s="32">
        <v>5.9916</v>
      </c>
      <c r="T1870" s="35">
        <v>0.23</v>
      </c>
      <c r="U1870" s="35">
        <v>0</v>
      </c>
      <c r="V1870" s="35">
        <v>1.9166666666666669E-2</v>
      </c>
      <c r="W1870" s="9" t="s">
        <v>152</v>
      </c>
      <c r="X1870" s="15">
        <v>1869</v>
      </c>
      <c r="Y1870" s="39">
        <v>0.48780703084505006</v>
      </c>
      <c r="Z1870" s="39">
        <v>0.48268304052355193</v>
      </c>
      <c r="AA1870" s="39">
        <v>0.48891806612205335</v>
      </c>
      <c r="AB1870" s="39">
        <v>0.49774099046713899</v>
      </c>
      <c r="AC1870" s="39">
        <v>0.47996501415491366</v>
      </c>
      <c r="AD1870" s="39">
        <v>0.47889278550982939</v>
      </c>
      <c r="AE1870" s="39">
        <v>0.47922638384942035</v>
      </c>
      <c r="AF1870" s="40">
        <v>0.49370488423635417</v>
      </c>
    </row>
    <row r="1871" spans="1:32">
      <c r="A1871" s="15">
        <v>1869</v>
      </c>
      <c r="B1871" s="16">
        <v>1</v>
      </c>
      <c r="C1871" s="20">
        <v>0.08</v>
      </c>
      <c r="D1871" s="20">
        <v>0.9362016884493447</v>
      </c>
      <c r="E1871" s="20">
        <v>0.23</v>
      </c>
      <c r="F1871" s="8" t="s">
        <v>436</v>
      </c>
      <c r="G1871" s="24">
        <v>1.3024562799863855</v>
      </c>
      <c r="H1871" s="24">
        <v>1.3099971693862973</v>
      </c>
      <c r="I1871" s="25">
        <v>1.3329072319435329</v>
      </c>
      <c r="L1871" s="15">
        <v>1869</v>
      </c>
      <c r="M1871" s="16">
        <v>1</v>
      </c>
      <c r="N1871" s="16">
        <v>3</v>
      </c>
      <c r="O1871" s="16">
        <v>2</v>
      </c>
      <c r="P1871" s="16">
        <v>25</v>
      </c>
      <c r="Q1871" s="29">
        <v>15</v>
      </c>
      <c r="R1871" s="20">
        <v>0.49930000000000002</v>
      </c>
      <c r="S1871" s="32">
        <v>7.4895000000000005</v>
      </c>
      <c r="T1871" s="35">
        <v>0.22</v>
      </c>
      <c r="U1871" s="35">
        <v>0</v>
      </c>
      <c r="V1871" s="35">
        <v>1.4666666666666666E-2</v>
      </c>
      <c r="W1871" s="9" t="s">
        <v>152</v>
      </c>
      <c r="X1871" s="15">
        <v>1870</v>
      </c>
      <c r="Y1871" s="39">
        <v>0.46989635525170154</v>
      </c>
      <c r="Z1871" s="39">
        <v>0.48515551850796257</v>
      </c>
      <c r="AA1871" s="39">
        <v>0.47615855847490629</v>
      </c>
      <c r="AB1871" s="39">
        <v>0.48780904066200059</v>
      </c>
      <c r="AC1871" s="39">
        <v>0.46029513706390995</v>
      </c>
      <c r="AD1871" s="39">
        <v>0.47837213664440081</v>
      </c>
      <c r="AE1871" s="39">
        <v>0.46845915371354019</v>
      </c>
      <c r="AF1871" s="40">
        <v>0.48481129791475125</v>
      </c>
    </row>
    <row r="1872" spans="1:32">
      <c r="A1872" s="15">
        <v>1870</v>
      </c>
      <c r="B1872" s="16">
        <v>1</v>
      </c>
      <c r="C1872" s="20">
        <v>0.02</v>
      </c>
      <c r="D1872" s="20">
        <v>0.99679477127711513</v>
      </c>
      <c r="E1872" s="20">
        <v>1</v>
      </c>
      <c r="F1872" s="8" t="s">
        <v>436</v>
      </c>
      <c r="G1872" s="24">
        <v>0.90501470913705029</v>
      </c>
      <c r="H1872" s="24">
        <v>0.91025451329152618</v>
      </c>
      <c r="I1872" s="25">
        <v>0.926173622378063</v>
      </c>
      <c r="L1872" s="15">
        <v>1870</v>
      </c>
      <c r="M1872" s="16">
        <v>1</v>
      </c>
      <c r="N1872" s="16">
        <v>3</v>
      </c>
      <c r="O1872" s="16">
        <v>2</v>
      </c>
      <c r="P1872" s="16">
        <v>26</v>
      </c>
      <c r="Q1872" s="29">
        <v>20</v>
      </c>
      <c r="R1872" s="20">
        <v>0.49930000000000002</v>
      </c>
      <c r="S1872" s="32">
        <v>9.9860000000000007</v>
      </c>
      <c r="T1872" s="35">
        <v>1.53</v>
      </c>
      <c r="U1872" s="35">
        <v>1.17</v>
      </c>
      <c r="V1872" s="35">
        <v>7.6499999999999999E-2</v>
      </c>
      <c r="W1872" s="9" t="s">
        <v>153</v>
      </c>
      <c r="X1872" s="15">
        <v>1871</v>
      </c>
      <c r="Y1872" s="39">
        <v>0.47987529133175916</v>
      </c>
      <c r="Z1872" s="39">
        <v>0.49068659680835802</v>
      </c>
      <c r="AA1872" s="39">
        <v>0.47382157704961436</v>
      </c>
      <c r="AB1872" s="39">
        <v>0.50208623044009992</v>
      </c>
      <c r="AC1872" s="39">
        <v>0.47400992804207331</v>
      </c>
      <c r="AD1872" s="39">
        <v>0.48278639679011071</v>
      </c>
      <c r="AE1872" s="39">
        <v>0.46673429837797042</v>
      </c>
      <c r="AF1872" s="40">
        <v>0.49726122367800291</v>
      </c>
    </row>
    <row r="1873" spans="1:32">
      <c r="A1873" s="15">
        <v>1871</v>
      </c>
      <c r="B1873" s="16">
        <v>0</v>
      </c>
      <c r="C1873" s="20">
        <v>0.39</v>
      </c>
      <c r="D1873" s="20">
        <v>0.64740950657032292</v>
      </c>
      <c r="E1873" s="20">
        <v>0.04</v>
      </c>
      <c r="F1873" s="8" t="s">
        <v>436</v>
      </c>
      <c r="G1873" s="24">
        <v>1.9470704915613231</v>
      </c>
      <c r="H1873" s="24">
        <v>1.9583435327039012</v>
      </c>
      <c r="I1873" s="25">
        <v>1.6578926537592125</v>
      </c>
      <c r="L1873" s="15">
        <v>1871</v>
      </c>
      <c r="M1873" s="16">
        <v>1</v>
      </c>
      <c r="N1873" s="16">
        <v>3</v>
      </c>
      <c r="O1873" s="16">
        <v>2</v>
      </c>
      <c r="P1873" s="16">
        <v>27</v>
      </c>
      <c r="Q1873" s="29">
        <v>19</v>
      </c>
      <c r="R1873" s="20">
        <v>0.49930000000000002</v>
      </c>
      <c r="S1873" s="32">
        <v>9.4867000000000008</v>
      </c>
      <c r="T1873" s="35">
        <v>0.39</v>
      </c>
      <c r="U1873" s="35">
        <v>0.11</v>
      </c>
      <c r="V1873" s="35">
        <v>2.0526315789473684E-2</v>
      </c>
      <c r="W1873" s="9" t="s">
        <v>152</v>
      </c>
      <c r="X1873" s="15">
        <v>1872</v>
      </c>
      <c r="Y1873" s="39">
        <v>0.48823969672704576</v>
      </c>
      <c r="Z1873" s="39">
        <v>0.47451968048088472</v>
      </c>
      <c r="AA1873" s="39">
        <v>0.48624895378169747</v>
      </c>
      <c r="AB1873" s="39">
        <v>0.48296621224607561</v>
      </c>
      <c r="AC1873" s="39">
        <v>0.48239653361946033</v>
      </c>
      <c r="AD1873" s="39">
        <v>0.46939124746334099</v>
      </c>
      <c r="AE1873" s="39">
        <v>0.48106526950559925</v>
      </c>
      <c r="AF1873" s="40">
        <v>0.47690582862607922</v>
      </c>
    </row>
    <row r="1874" spans="1:32">
      <c r="A1874" s="15">
        <v>1872</v>
      </c>
      <c r="B1874" s="16">
        <v>1</v>
      </c>
      <c r="C1874" s="20">
        <v>0.02</v>
      </c>
      <c r="D1874" s="20">
        <v>0.99835916395484214</v>
      </c>
      <c r="E1874" s="20">
        <v>1</v>
      </c>
      <c r="F1874" s="8" t="s">
        <v>436</v>
      </c>
      <c r="G1874" s="24">
        <v>0.90657650841437309</v>
      </c>
      <c r="H1874" s="24">
        <v>0.91182535498800432</v>
      </c>
      <c r="I1874" s="25">
        <v>0.92777193595186647</v>
      </c>
      <c r="L1874" s="15">
        <v>1872</v>
      </c>
      <c r="M1874" s="16">
        <v>1</v>
      </c>
      <c r="N1874" s="16">
        <v>3</v>
      </c>
      <c r="O1874" s="16">
        <v>2</v>
      </c>
      <c r="P1874" s="16">
        <v>28</v>
      </c>
      <c r="Q1874" s="29">
        <v>16</v>
      </c>
      <c r="R1874" s="20">
        <v>0.49930000000000002</v>
      </c>
      <c r="S1874" s="32">
        <v>7.9888000000000003</v>
      </c>
      <c r="T1874" s="35">
        <v>1.1400000000000001</v>
      </c>
      <c r="U1874" s="35">
        <v>0.9</v>
      </c>
      <c r="V1874" s="35">
        <v>7.1250000000000008E-2</v>
      </c>
      <c r="W1874" s="9" t="s">
        <v>153</v>
      </c>
      <c r="X1874" s="15">
        <v>1873</v>
      </c>
      <c r="Y1874" s="39">
        <v>0.481549395018667</v>
      </c>
      <c r="Z1874" s="39">
        <v>0.47516931202763157</v>
      </c>
      <c r="AA1874" s="39">
        <v>0.46534220227106299</v>
      </c>
      <c r="AB1874" s="39">
        <v>0.50475369084228461</v>
      </c>
      <c r="AC1874" s="39">
        <v>0.47501140695378208</v>
      </c>
      <c r="AD1874" s="39">
        <v>0.46805124289135969</v>
      </c>
      <c r="AE1874" s="39">
        <v>0.46021449248724866</v>
      </c>
      <c r="AF1874" s="40">
        <v>0.49810870971676036</v>
      </c>
    </row>
    <row r="1875" spans="1:32">
      <c r="A1875" s="15">
        <v>1873</v>
      </c>
      <c r="B1875" s="16">
        <v>1</v>
      </c>
      <c r="C1875" s="20">
        <v>0.92</v>
      </c>
      <c r="D1875" s="20">
        <v>0.20258497911151899</v>
      </c>
      <c r="E1875" s="20">
        <v>0.08</v>
      </c>
      <c r="F1875" s="8" t="s">
        <v>434</v>
      </c>
      <c r="G1875" s="24">
        <v>1.0424445396680606</v>
      </c>
      <c r="H1875" s="24">
        <v>1.0484800274613715</v>
      </c>
      <c r="I1875" s="25">
        <v>1.0668165121351554</v>
      </c>
      <c r="L1875" s="15">
        <v>1873</v>
      </c>
      <c r="M1875" s="16">
        <v>1</v>
      </c>
      <c r="N1875" s="16">
        <v>3</v>
      </c>
      <c r="O1875" s="16">
        <v>2</v>
      </c>
      <c r="P1875" s="16">
        <v>29</v>
      </c>
      <c r="Q1875" s="29">
        <v>16</v>
      </c>
      <c r="R1875" s="20">
        <v>0.49930000000000002</v>
      </c>
      <c r="S1875" s="32">
        <v>7.9888000000000003</v>
      </c>
      <c r="T1875" s="35">
        <v>0.18</v>
      </c>
      <c r="U1875" s="35">
        <v>0</v>
      </c>
      <c r="V1875" s="35">
        <v>1.125E-2</v>
      </c>
      <c r="W1875" s="9" t="s">
        <v>152</v>
      </c>
      <c r="X1875" s="15">
        <v>1874</v>
      </c>
      <c r="Y1875" s="39">
        <v>0.48262640373421806</v>
      </c>
      <c r="Z1875" s="39">
        <v>0.48720669020673757</v>
      </c>
      <c r="AA1875" s="39">
        <v>0.47103807264138464</v>
      </c>
      <c r="AB1875" s="39">
        <v>0.48834445482848238</v>
      </c>
      <c r="AC1875" s="39">
        <v>0.47668997702275023</v>
      </c>
      <c r="AD1875" s="39">
        <v>0.48084141374129385</v>
      </c>
      <c r="AE1875" s="39">
        <v>0.46540329128405922</v>
      </c>
      <c r="AF1875" s="40">
        <v>0.48437191015916248</v>
      </c>
    </row>
    <row r="1876" spans="1:32">
      <c r="A1876" s="15">
        <v>1874</v>
      </c>
      <c r="B1876" s="16">
        <v>1</v>
      </c>
      <c r="C1876" s="20">
        <v>0.44</v>
      </c>
      <c r="D1876" s="20">
        <v>0.59078126174914114</v>
      </c>
      <c r="E1876" s="20">
        <v>7.0000000000000007E-2</v>
      </c>
      <c r="F1876" s="8" t="s">
        <v>436</v>
      </c>
      <c r="G1876" s="24">
        <v>1.2186182406168506</v>
      </c>
      <c r="H1876" s="24">
        <v>1.2256737291690674</v>
      </c>
      <c r="I1876" s="25">
        <v>1.2471090898448303</v>
      </c>
      <c r="L1876" s="15">
        <v>1874</v>
      </c>
      <c r="M1876" s="16">
        <v>1</v>
      </c>
      <c r="N1876" s="16">
        <v>3</v>
      </c>
      <c r="O1876" s="16">
        <v>2</v>
      </c>
      <c r="P1876" s="16">
        <v>30</v>
      </c>
      <c r="Q1876" s="29">
        <v>14</v>
      </c>
      <c r="R1876" s="20">
        <v>0.49930000000000002</v>
      </c>
      <c r="S1876" s="32">
        <v>6.9902000000000006</v>
      </c>
      <c r="T1876" s="35">
        <v>0.23</v>
      </c>
      <c r="U1876" s="35">
        <v>0.05</v>
      </c>
      <c r="V1876" s="35">
        <v>1.6428571428571428E-2</v>
      </c>
      <c r="W1876" s="9" t="s">
        <v>152</v>
      </c>
      <c r="X1876" s="15">
        <v>1875</v>
      </c>
      <c r="Y1876" s="39">
        <v>0.47808115516482297</v>
      </c>
      <c r="Z1876" s="39">
        <v>0.49758319599995193</v>
      </c>
      <c r="AA1876" s="39">
        <v>0.47938118749856851</v>
      </c>
      <c r="AB1876" s="39">
        <v>0.49020217707696101</v>
      </c>
      <c r="AC1876" s="39">
        <v>0.4746366260267692</v>
      </c>
      <c r="AD1876" s="39">
        <v>0.49036271613963145</v>
      </c>
      <c r="AE1876" s="39">
        <v>0.46803439484296316</v>
      </c>
      <c r="AF1876" s="40">
        <v>0.48556168935380456</v>
      </c>
    </row>
    <row r="1877" spans="1:32">
      <c r="A1877" s="15">
        <v>1875</v>
      </c>
      <c r="B1877" s="16">
        <v>1</v>
      </c>
      <c r="C1877" s="20">
        <v>0.38</v>
      </c>
      <c r="D1877" s="20">
        <v>0.70017133176695157</v>
      </c>
      <c r="E1877" s="20">
        <v>0.43</v>
      </c>
      <c r="F1877" s="8" t="s">
        <v>436</v>
      </c>
      <c r="G1877" s="24">
        <v>1.4952716369016528</v>
      </c>
      <c r="H1877" s="24">
        <v>1.5039288780006157</v>
      </c>
      <c r="I1877" s="25">
        <v>1.530230541455941</v>
      </c>
      <c r="L1877" s="15">
        <v>1875</v>
      </c>
      <c r="M1877" s="16">
        <v>1</v>
      </c>
      <c r="N1877" s="16">
        <v>3</v>
      </c>
      <c r="O1877" s="16">
        <v>2</v>
      </c>
      <c r="P1877" s="16">
        <v>31</v>
      </c>
      <c r="Q1877" s="29">
        <v>18</v>
      </c>
      <c r="R1877" s="20">
        <v>0.49930000000000002</v>
      </c>
      <c r="S1877" s="32">
        <v>8.9874000000000009</v>
      </c>
      <c r="T1877" s="35">
        <v>2.3000000000000003</v>
      </c>
      <c r="U1877" s="35">
        <v>2.0499999999999998</v>
      </c>
      <c r="V1877" s="35">
        <v>0.1277777777777778</v>
      </c>
      <c r="W1877" s="9" t="s">
        <v>154</v>
      </c>
      <c r="X1877" s="15">
        <v>1876</v>
      </c>
      <c r="Y1877" s="39">
        <v>0.49509131743831558</v>
      </c>
      <c r="Z1877" s="39">
        <v>0.48655757830411589</v>
      </c>
      <c r="AA1877" s="39">
        <v>0.48397307780013149</v>
      </c>
      <c r="AB1877" s="39">
        <v>0.4818514179222852</v>
      </c>
      <c r="AC1877" s="39">
        <v>0.48776522189175486</v>
      </c>
      <c r="AD1877" s="39">
        <v>0.48141584676579235</v>
      </c>
      <c r="AE1877" s="39">
        <v>0.47987357526603086</v>
      </c>
      <c r="AF1877" s="40">
        <v>0.4790406684866429</v>
      </c>
    </row>
    <row r="1878" spans="1:32">
      <c r="A1878" s="15">
        <v>1876</v>
      </c>
      <c r="B1878" s="16">
        <v>1</v>
      </c>
      <c r="C1878" s="20">
        <v>0.02</v>
      </c>
      <c r="D1878" s="20">
        <v>0.99756714174924133</v>
      </c>
      <c r="E1878" s="20">
        <v>1</v>
      </c>
      <c r="F1878" s="8" t="s">
        <v>436</v>
      </c>
      <c r="G1878" s="24">
        <v>1.1347348712129672</v>
      </c>
      <c r="H1878" s="24">
        <v>1.141304696468161</v>
      </c>
      <c r="I1878" s="25">
        <v>1.1612645579121377</v>
      </c>
      <c r="L1878" s="15">
        <v>1876</v>
      </c>
      <c r="M1878" s="16">
        <v>1</v>
      </c>
      <c r="N1878" s="16">
        <v>3</v>
      </c>
      <c r="O1878" s="16">
        <v>2</v>
      </c>
      <c r="P1878" s="16">
        <v>32</v>
      </c>
      <c r="Q1878" s="29">
        <v>16</v>
      </c>
      <c r="R1878" s="20">
        <v>0.49930000000000002</v>
      </c>
      <c r="S1878" s="32">
        <v>7.9888000000000003</v>
      </c>
      <c r="T1878" s="35">
        <v>0.28000000000000003</v>
      </c>
      <c r="U1878" s="35">
        <v>0</v>
      </c>
      <c r="V1878" s="35">
        <v>1.7500000000000002E-2</v>
      </c>
      <c r="W1878" s="9" t="s">
        <v>152</v>
      </c>
      <c r="X1878" s="15">
        <v>1877</v>
      </c>
      <c r="Y1878" s="39">
        <v>0.47469356965267812</v>
      </c>
      <c r="Z1878" s="39">
        <v>0.49020289602273603</v>
      </c>
      <c r="AA1878" s="39">
        <v>0.48272385967152326</v>
      </c>
      <c r="AB1878" s="39">
        <v>0.47365442850215345</v>
      </c>
      <c r="AC1878" s="39">
        <v>0.46811540463712803</v>
      </c>
      <c r="AD1878" s="39">
        <v>0.48340697355847734</v>
      </c>
      <c r="AE1878" s="39">
        <v>0.47688001619208581</v>
      </c>
      <c r="AF1878" s="40">
        <v>0.47332201900832149</v>
      </c>
    </row>
    <row r="1879" spans="1:32">
      <c r="A1879" s="15">
        <v>1877</v>
      </c>
      <c r="B1879" s="16">
        <v>1</v>
      </c>
      <c r="C1879" s="20">
        <v>0.9</v>
      </c>
      <c r="D1879" s="20">
        <v>0.231595386583653</v>
      </c>
      <c r="E1879" s="20">
        <v>0.1</v>
      </c>
      <c r="F1879" s="8" t="s">
        <v>434</v>
      </c>
      <c r="G1879" s="24">
        <v>0.55728442588642635</v>
      </c>
      <c r="H1879" s="24">
        <v>0.56051096046150384</v>
      </c>
      <c r="I1879" s="25">
        <v>0.5703135321527123</v>
      </c>
      <c r="L1879" s="15">
        <v>1877</v>
      </c>
      <c r="M1879" s="16">
        <v>1</v>
      </c>
      <c r="N1879" s="16">
        <v>3</v>
      </c>
      <c r="O1879" s="16">
        <v>2</v>
      </c>
      <c r="P1879" s="16">
        <v>33</v>
      </c>
      <c r="Q1879" s="29">
        <v>14</v>
      </c>
      <c r="R1879" s="20">
        <v>0.49930000000000002</v>
      </c>
      <c r="S1879" s="32">
        <v>6.9902000000000006</v>
      </c>
      <c r="T1879" s="35">
        <v>0.3</v>
      </c>
      <c r="U1879" s="35">
        <v>0.05</v>
      </c>
      <c r="V1879" s="35">
        <v>2.1428571428571429E-2</v>
      </c>
      <c r="W1879" s="9" t="s">
        <v>152</v>
      </c>
      <c r="X1879" s="15">
        <v>1878</v>
      </c>
      <c r="Y1879" s="39">
        <v>0.48760333433244141</v>
      </c>
      <c r="Z1879" s="39">
        <v>0.47168240246939031</v>
      </c>
      <c r="AA1879" s="39">
        <v>0.47697968619424669</v>
      </c>
      <c r="AB1879" s="39">
        <v>0.48058983971339525</v>
      </c>
      <c r="AC1879" s="39">
        <v>0.47741030684827307</v>
      </c>
      <c r="AD1879" s="39">
        <v>0.46295688989600708</v>
      </c>
      <c r="AE1879" s="39">
        <v>0.46983418222944917</v>
      </c>
      <c r="AF1879" s="40">
        <v>0.47439483355740064</v>
      </c>
    </row>
    <row r="1880" spans="1:32">
      <c r="A1880" s="15">
        <v>1878</v>
      </c>
      <c r="B1880" s="16">
        <v>1</v>
      </c>
      <c r="C1880" s="20">
        <v>0.51</v>
      </c>
      <c r="D1880" s="20">
        <v>0.47130545986829714</v>
      </c>
      <c r="E1880" s="20">
        <v>0.1</v>
      </c>
      <c r="F1880" s="8" t="s">
        <v>438</v>
      </c>
      <c r="G1880" s="24">
        <v>1.0949636976631816</v>
      </c>
      <c r="H1880" s="24">
        <v>1.1013032579753963</v>
      </c>
      <c r="I1880" s="25">
        <v>1.1205635488556611</v>
      </c>
      <c r="L1880" s="15">
        <v>1878</v>
      </c>
      <c r="M1880" s="16">
        <v>1</v>
      </c>
      <c r="N1880" s="16">
        <v>3</v>
      </c>
      <c r="O1880" s="16">
        <v>3</v>
      </c>
      <c r="P1880" s="16">
        <v>34</v>
      </c>
      <c r="Q1880" s="29">
        <v>16</v>
      </c>
      <c r="R1880" s="20">
        <v>0.49930000000000002</v>
      </c>
      <c r="S1880" s="32">
        <v>7.9888000000000003</v>
      </c>
      <c r="T1880" s="35">
        <v>0.35</v>
      </c>
      <c r="U1880" s="35">
        <v>0.15</v>
      </c>
      <c r="V1880" s="35">
        <v>2.1874999999999999E-2</v>
      </c>
      <c r="W1880" s="9" t="s">
        <v>152</v>
      </c>
      <c r="X1880" s="15">
        <v>1879</v>
      </c>
      <c r="Y1880" s="39">
        <v>0.498738044827155</v>
      </c>
      <c r="Z1880" s="39">
        <v>0.49317123520048051</v>
      </c>
      <c r="AA1880" s="39">
        <v>0.49008005826607137</v>
      </c>
      <c r="AB1880" s="39">
        <v>0.48508430389312757</v>
      </c>
      <c r="AC1880" s="39">
        <v>0.49089792739644356</v>
      </c>
      <c r="AD1880" s="39">
        <v>0.48648892310495223</v>
      </c>
      <c r="AE1880" s="39">
        <v>0.48506522747601621</v>
      </c>
      <c r="AF1880" s="40">
        <v>0.48175926040646549</v>
      </c>
    </row>
    <row r="1881" spans="1:32">
      <c r="A1881" s="15">
        <v>1879</v>
      </c>
      <c r="B1881" s="16">
        <v>0</v>
      </c>
      <c r="C1881" s="20">
        <v>0.4</v>
      </c>
      <c r="D1881" s="20">
        <v>0.64917008652148356</v>
      </c>
      <c r="E1881" s="20">
        <v>0.04</v>
      </c>
      <c r="F1881" s="8" t="s">
        <v>436</v>
      </c>
      <c r="G1881" s="24">
        <v>0.80700209853948224</v>
      </c>
      <c r="H1881" s="24">
        <v>0.81167443469701273</v>
      </c>
      <c r="I1881" s="25">
        <v>0.82586951275487519</v>
      </c>
      <c r="L1881" s="15">
        <v>1879</v>
      </c>
      <c r="M1881" s="16">
        <v>1</v>
      </c>
      <c r="N1881" s="16">
        <v>3</v>
      </c>
      <c r="O1881" s="16">
        <v>3</v>
      </c>
      <c r="P1881" s="16">
        <v>35</v>
      </c>
      <c r="Q1881" s="29">
        <v>9</v>
      </c>
      <c r="R1881" s="20">
        <v>0.49930000000000002</v>
      </c>
      <c r="S1881" s="32">
        <v>4.4937000000000005</v>
      </c>
      <c r="T1881" s="35">
        <v>0.23</v>
      </c>
      <c r="U1881" s="35">
        <v>0.11</v>
      </c>
      <c r="V1881" s="35">
        <v>2.5555555555555557E-2</v>
      </c>
      <c r="W1881" s="9" t="s">
        <v>152</v>
      </c>
      <c r="X1881" s="15">
        <v>1880</v>
      </c>
      <c r="Y1881" s="39">
        <v>0.48877116392580305</v>
      </c>
      <c r="Z1881" s="39">
        <v>0.49568734100242295</v>
      </c>
      <c r="AA1881" s="39">
        <v>0.48800079622139425</v>
      </c>
      <c r="AB1881" s="39">
        <v>0.47125482585913553</v>
      </c>
      <c r="AC1881" s="39">
        <v>0.48380454189764649</v>
      </c>
      <c r="AD1881" s="39">
        <v>0.48658484733176</v>
      </c>
      <c r="AE1881" s="39">
        <v>0.48048523366094958</v>
      </c>
      <c r="AF1881" s="40">
        <v>0.46558043572882951</v>
      </c>
    </row>
    <row r="1882" spans="1:32">
      <c r="A1882" s="15">
        <v>1880</v>
      </c>
      <c r="B1882" s="16">
        <v>0</v>
      </c>
      <c r="C1882" s="20">
        <v>0.9</v>
      </c>
      <c r="D1882" s="20">
        <v>0.231595386583653</v>
      </c>
      <c r="E1882" s="20">
        <v>0.1</v>
      </c>
      <c r="F1882" s="8" t="s">
        <v>434</v>
      </c>
      <c r="G1882" s="24">
        <v>0.48464184858626497</v>
      </c>
      <c r="H1882" s="24">
        <v>0.48744780118130793</v>
      </c>
      <c r="I1882" s="25">
        <v>0.49597259793616078</v>
      </c>
      <c r="L1882" s="15">
        <v>1880</v>
      </c>
      <c r="M1882" s="16">
        <v>1</v>
      </c>
      <c r="N1882" s="16">
        <v>3</v>
      </c>
      <c r="O1882" s="16">
        <v>3</v>
      </c>
      <c r="P1882" s="16">
        <v>36</v>
      </c>
      <c r="Q1882" s="29">
        <v>17</v>
      </c>
      <c r="R1882" s="20">
        <v>0.49930000000000002</v>
      </c>
      <c r="S1882" s="32">
        <v>8.4881000000000011</v>
      </c>
      <c r="T1882" s="35">
        <v>0.72</v>
      </c>
      <c r="U1882" s="35">
        <v>0.45</v>
      </c>
      <c r="V1882" s="35">
        <v>4.2352941176470586E-2</v>
      </c>
      <c r="W1882" s="9" t="s">
        <v>152</v>
      </c>
      <c r="X1882" s="15">
        <v>1881</v>
      </c>
      <c r="Y1882" s="39">
        <v>0.48495478797119457</v>
      </c>
      <c r="Z1882" s="39">
        <v>0.47939588959609736</v>
      </c>
      <c r="AA1882" s="39">
        <v>0.48194026000408702</v>
      </c>
      <c r="AB1882" s="39">
        <v>0.48995789165279313</v>
      </c>
      <c r="AC1882" s="39">
        <v>0.47830916648501337</v>
      </c>
      <c r="AD1882" s="39">
        <v>0.47151639458098915</v>
      </c>
      <c r="AE1882" s="39">
        <v>0.47561593549707398</v>
      </c>
      <c r="AF1882" s="40">
        <v>0.48855601954601185</v>
      </c>
    </row>
    <row r="1883" spans="1:32">
      <c r="A1883" s="15">
        <v>1881</v>
      </c>
      <c r="B1883" s="16">
        <v>0</v>
      </c>
      <c r="C1883" s="20">
        <v>0.27</v>
      </c>
      <c r="D1883" s="20">
        <v>0.81056914436374872</v>
      </c>
      <c r="E1883" s="20">
        <v>0.04</v>
      </c>
      <c r="F1883" s="8" t="s">
        <v>436</v>
      </c>
      <c r="G1883" s="24">
        <v>0.9578319646376332</v>
      </c>
      <c r="H1883" s="24">
        <v>0.96337756721947809</v>
      </c>
      <c r="I1883" s="25">
        <v>0.98022572601479485</v>
      </c>
      <c r="L1883" s="15">
        <v>1881</v>
      </c>
      <c r="M1883" s="16">
        <v>1</v>
      </c>
      <c r="N1883" s="16">
        <v>3</v>
      </c>
      <c r="O1883" s="16">
        <v>3</v>
      </c>
      <c r="P1883" s="16">
        <v>37</v>
      </c>
      <c r="Q1883" s="29">
        <v>15</v>
      </c>
      <c r="R1883" s="20">
        <v>0.49930000000000002</v>
      </c>
      <c r="S1883" s="32">
        <v>7.4895000000000005</v>
      </c>
      <c r="T1883" s="35">
        <v>0.25</v>
      </c>
      <c r="U1883" s="35">
        <v>0.05</v>
      </c>
      <c r="V1883" s="35">
        <v>1.6666666666666666E-2</v>
      </c>
      <c r="W1883" s="9" t="s">
        <v>152</v>
      </c>
      <c r="X1883" s="15">
        <v>1882</v>
      </c>
      <c r="Y1883" s="39">
        <v>0.49900743211178128</v>
      </c>
      <c r="Z1883" s="39">
        <v>0.47974671008117686</v>
      </c>
      <c r="AA1883" s="39">
        <v>0.51133739413754431</v>
      </c>
      <c r="AB1883" s="39">
        <v>0.49686169057668522</v>
      </c>
      <c r="AC1883" s="39">
        <v>0.4956657124754334</v>
      </c>
      <c r="AD1883" s="39">
        <v>0.47284149584211316</v>
      </c>
      <c r="AE1883" s="39">
        <v>0.5040145752476668</v>
      </c>
      <c r="AF1883" s="40">
        <v>0.49154513634324315</v>
      </c>
    </row>
    <row r="1884" spans="1:32">
      <c r="A1884" s="15">
        <v>1882</v>
      </c>
      <c r="B1884" s="16">
        <v>0</v>
      </c>
      <c r="C1884" s="20">
        <v>0.34</v>
      </c>
      <c r="D1884" s="20">
        <v>0.70587926418948355</v>
      </c>
      <c r="E1884" s="20">
        <v>0.43</v>
      </c>
      <c r="F1884" s="8" t="s">
        <v>436</v>
      </c>
      <c r="G1884" s="24">
        <v>0.74046465245024562</v>
      </c>
      <c r="H1884" s="24">
        <v>0.74475175377907477</v>
      </c>
      <c r="I1884" s="25">
        <v>0.75777644548637269</v>
      </c>
      <c r="L1884" s="15">
        <v>1882</v>
      </c>
      <c r="M1884" s="16">
        <v>1</v>
      </c>
      <c r="N1884" s="16">
        <v>3</v>
      </c>
      <c r="O1884" s="16">
        <v>3</v>
      </c>
      <c r="P1884" s="16">
        <v>38</v>
      </c>
      <c r="Q1884" s="29">
        <v>20</v>
      </c>
      <c r="R1884" s="20">
        <v>0.49930000000000002</v>
      </c>
      <c r="S1884" s="32">
        <v>9.9860000000000007</v>
      </c>
      <c r="T1884" s="35">
        <v>0.49</v>
      </c>
      <c r="U1884" s="35">
        <v>0.31</v>
      </c>
      <c r="V1884" s="35">
        <v>2.4500000000000001E-2</v>
      </c>
      <c r="W1884" s="9" t="s">
        <v>152</v>
      </c>
      <c r="X1884" s="15">
        <v>1883</v>
      </c>
      <c r="Y1884" s="39">
        <v>0.48689385284092468</v>
      </c>
      <c r="Z1884" s="39">
        <v>0.47693896417867238</v>
      </c>
      <c r="AA1884" s="39">
        <v>0.47131198904690058</v>
      </c>
      <c r="AB1884" s="39">
        <v>0.48716151220349801</v>
      </c>
      <c r="AC1884" s="39">
        <v>0.48117396821812214</v>
      </c>
      <c r="AD1884" s="39">
        <v>0.46867137220798072</v>
      </c>
      <c r="AE1884" s="39">
        <v>0.46454231851923805</v>
      </c>
      <c r="AF1884" s="40">
        <v>0.48077039478860883</v>
      </c>
    </row>
    <row r="1885" spans="1:32">
      <c r="A1885" s="15">
        <v>1883</v>
      </c>
      <c r="B1885" s="16">
        <v>0</v>
      </c>
      <c r="C1885" s="20">
        <v>0.96</v>
      </c>
      <c r="D1885" s="20">
        <v>0.13880369068795359</v>
      </c>
      <c r="E1885" s="20">
        <v>0.04</v>
      </c>
      <c r="F1885" s="8" t="s">
        <v>434</v>
      </c>
      <c r="G1885" s="24">
        <v>1.0173426912454373</v>
      </c>
      <c r="H1885" s="24">
        <v>1.023232845743806</v>
      </c>
      <c r="I1885" s="25">
        <v>1.04112779166769</v>
      </c>
      <c r="L1885" s="15">
        <v>1883</v>
      </c>
      <c r="M1885" s="16">
        <v>1</v>
      </c>
      <c r="N1885" s="16">
        <v>3</v>
      </c>
      <c r="O1885" s="16">
        <v>3</v>
      </c>
      <c r="P1885" s="16">
        <v>39</v>
      </c>
      <c r="Q1885" s="29">
        <v>14</v>
      </c>
      <c r="R1885" s="20">
        <v>0.49930000000000002</v>
      </c>
      <c r="S1885" s="32">
        <v>6.9902000000000006</v>
      </c>
      <c r="T1885" s="35">
        <v>0.45</v>
      </c>
      <c r="U1885" s="35">
        <v>0.28000000000000003</v>
      </c>
      <c r="V1885" s="35">
        <v>3.2142857142857147E-2</v>
      </c>
      <c r="W1885" s="9" t="s">
        <v>152</v>
      </c>
      <c r="X1885" s="15">
        <v>1884</v>
      </c>
      <c r="Y1885" s="39">
        <v>0.47628020939788229</v>
      </c>
      <c r="Z1885" s="39">
        <v>0.49730479278234502</v>
      </c>
      <c r="AA1885" s="39">
        <v>0.47420799548080017</v>
      </c>
      <c r="AB1885" s="39">
        <v>0.4845051727590447</v>
      </c>
      <c r="AC1885" s="39">
        <v>0.46757861626697678</v>
      </c>
      <c r="AD1885" s="39">
        <v>0.49117890586945562</v>
      </c>
      <c r="AE1885" s="39">
        <v>0.46757229698468167</v>
      </c>
      <c r="AF1885" s="40">
        <v>0.48103728932433609</v>
      </c>
    </row>
    <row r="1886" spans="1:32">
      <c r="A1886" s="15">
        <v>1884</v>
      </c>
      <c r="B1886" s="16">
        <v>0</v>
      </c>
      <c r="C1886" s="20">
        <v>0.02</v>
      </c>
      <c r="D1886" s="20">
        <v>0.99835916395484214</v>
      </c>
      <c r="E1886" s="20">
        <v>1</v>
      </c>
      <c r="F1886" s="8" t="s">
        <v>436</v>
      </c>
      <c r="G1886" s="24">
        <v>1.1166017071930903</v>
      </c>
      <c r="H1886" s="24">
        <v>1.1230665460572278</v>
      </c>
      <c r="I1886" s="25">
        <v>1.1427074471426577</v>
      </c>
      <c r="L1886" s="15">
        <v>1884</v>
      </c>
      <c r="M1886" s="16">
        <v>1</v>
      </c>
      <c r="N1886" s="16">
        <v>3</v>
      </c>
      <c r="O1886" s="16">
        <v>3</v>
      </c>
      <c r="P1886" s="16">
        <v>40</v>
      </c>
      <c r="Q1886" s="29">
        <v>15</v>
      </c>
      <c r="R1886" s="20">
        <v>0.49930000000000002</v>
      </c>
      <c r="S1886" s="32">
        <v>7.4895000000000005</v>
      </c>
      <c r="T1886" s="35">
        <v>0.22</v>
      </c>
      <c r="U1886" s="35">
        <v>0.01</v>
      </c>
      <c r="V1886" s="35">
        <v>1.4666666666666666E-2</v>
      </c>
      <c r="W1886" s="9" t="s">
        <v>152</v>
      </c>
      <c r="X1886" s="15">
        <v>1885</v>
      </c>
      <c r="Y1886" s="39">
        <v>0.47939785838714782</v>
      </c>
      <c r="Z1886" s="39">
        <v>0.50135741933686018</v>
      </c>
      <c r="AA1886" s="39">
        <v>0.49213190183456473</v>
      </c>
      <c r="AB1886" s="39">
        <v>0.48993158966077271</v>
      </c>
      <c r="AC1886" s="39">
        <v>0.47372112340740036</v>
      </c>
      <c r="AD1886" s="39">
        <v>0.49311249920613126</v>
      </c>
      <c r="AE1886" s="39">
        <v>0.48509025241532655</v>
      </c>
      <c r="AF1886" s="40">
        <v>0.48859022257245721</v>
      </c>
    </row>
    <row r="1887" spans="1:32">
      <c r="A1887" s="15">
        <v>1885</v>
      </c>
      <c r="B1887" s="16">
        <v>0</v>
      </c>
      <c r="C1887" s="20">
        <v>0.95</v>
      </c>
      <c r="D1887" s="20">
        <v>0.15570568692893463</v>
      </c>
      <c r="E1887" s="20">
        <v>0.05</v>
      </c>
      <c r="F1887" s="8" t="s">
        <v>434</v>
      </c>
      <c r="G1887" s="24">
        <v>1.0875656784657732</v>
      </c>
      <c r="H1887" s="24">
        <v>1.0938624061352318</v>
      </c>
      <c r="I1887" s="25">
        <v>1.1129925666723777</v>
      </c>
      <c r="L1887" s="15">
        <v>1885</v>
      </c>
      <c r="M1887" s="16">
        <v>1</v>
      </c>
      <c r="N1887" s="16">
        <v>3</v>
      </c>
      <c r="O1887" s="16">
        <v>3</v>
      </c>
      <c r="P1887" s="16">
        <v>41</v>
      </c>
      <c r="Q1887" s="29">
        <v>15</v>
      </c>
      <c r="R1887" s="20">
        <v>0.49930000000000002</v>
      </c>
      <c r="S1887" s="32">
        <v>7.4895000000000005</v>
      </c>
      <c r="T1887" s="35">
        <v>0.25</v>
      </c>
      <c r="U1887" s="35">
        <v>7.0000000000000007E-2</v>
      </c>
      <c r="V1887" s="35">
        <v>1.6666666666666666E-2</v>
      </c>
      <c r="W1887" s="9" t="s">
        <v>152</v>
      </c>
      <c r="X1887" s="15">
        <v>1886</v>
      </c>
      <c r="Y1887" s="39">
        <v>0.49124452290909282</v>
      </c>
      <c r="Z1887" s="39">
        <v>0.47362029312206438</v>
      </c>
      <c r="AA1887" s="39">
        <v>0.49249036282097208</v>
      </c>
      <c r="AB1887" s="39">
        <v>0.4859745481895989</v>
      </c>
      <c r="AC1887" s="39">
        <v>0.48560309403549073</v>
      </c>
      <c r="AD1887" s="39">
        <v>0.46668086272221226</v>
      </c>
      <c r="AE1887" s="39">
        <v>0.48531511294660024</v>
      </c>
      <c r="AF1887" s="40">
        <v>0.48176575084646273</v>
      </c>
    </row>
    <row r="1888" spans="1:32">
      <c r="A1888" s="15">
        <v>1886</v>
      </c>
      <c r="B1888" s="16">
        <v>0</v>
      </c>
      <c r="C1888" s="20">
        <v>0.52</v>
      </c>
      <c r="D1888" s="20">
        <v>0.46784425933520968</v>
      </c>
      <c r="E1888" s="20">
        <v>7.0000000000000007E-2</v>
      </c>
      <c r="F1888" s="8" t="s">
        <v>438</v>
      </c>
      <c r="G1888" s="24">
        <v>1.2269560996209385</v>
      </c>
      <c r="H1888" s="24">
        <v>1.2340598622484913</v>
      </c>
      <c r="I1888" s="25">
        <v>1.2556418849460911</v>
      </c>
      <c r="L1888" s="15">
        <v>1886</v>
      </c>
      <c r="M1888" s="16">
        <v>1</v>
      </c>
      <c r="N1888" s="16">
        <v>3</v>
      </c>
      <c r="O1888" s="16">
        <v>3</v>
      </c>
      <c r="P1888" s="16">
        <v>42</v>
      </c>
      <c r="Q1888" s="29">
        <v>10</v>
      </c>
      <c r="R1888" s="20">
        <v>0.49930000000000002</v>
      </c>
      <c r="S1888" s="32">
        <v>4.9930000000000003</v>
      </c>
      <c r="T1888" s="35">
        <v>0.22</v>
      </c>
      <c r="U1888" s="35">
        <v>7.0000000000000007E-2</v>
      </c>
      <c r="V1888" s="35">
        <v>2.1999999999999999E-2</v>
      </c>
      <c r="W1888" s="9" t="s">
        <v>152</v>
      </c>
      <c r="X1888" s="15">
        <v>1887</v>
      </c>
      <c r="Y1888" s="39">
        <v>0.47457680705738042</v>
      </c>
      <c r="Z1888" s="39">
        <v>0.48602766086504395</v>
      </c>
      <c r="AA1888" s="39">
        <v>0.47769025034912699</v>
      </c>
      <c r="AB1888" s="39">
        <v>0.49436083132176362</v>
      </c>
      <c r="AC1888" s="39">
        <v>0.46981218692607163</v>
      </c>
      <c r="AD1888" s="39">
        <v>0.4764790906119814</v>
      </c>
      <c r="AE1888" s="39">
        <v>0.47233987359865215</v>
      </c>
      <c r="AF1888" s="40">
        <v>0.48859148567346433</v>
      </c>
    </row>
    <row r="1889" spans="1:32">
      <c r="A1889" s="15">
        <v>1887</v>
      </c>
      <c r="B1889" s="16">
        <v>0</v>
      </c>
      <c r="C1889" s="20">
        <v>0.92</v>
      </c>
      <c r="D1889" s="20">
        <v>0.20258497911151899</v>
      </c>
      <c r="E1889" s="20">
        <v>0.08</v>
      </c>
      <c r="F1889" s="8" t="s">
        <v>434</v>
      </c>
      <c r="G1889" s="24">
        <v>0.86995711815714083</v>
      </c>
      <c r="H1889" s="24">
        <v>0.87499394780854189</v>
      </c>
      <c r="I1889" s="25">
        <v>0.89029639772977909</v>
      </c>
      <c r="L1889" s="15">
        <v>1887</v>
      </c>
      <c r="M1889" s="16">
        <v>1</v>
      </c>
      <c r="N1889" s="16">
        <v>3</v>
      </c>
      <c r="O1889" s="16">
        <v>3</v>
      </c>
      <c r="P1889" s="16">
        <v>43</v>
      </c>
      <c r="Q1889" s="29">
        <v>9</v>
      </c>
      <c r="R1889" s="20">
        <v>0.49930000000000002</v>
      </c>
      <c r="S1889" s="32">
        <v>4.4937000000000005</v>
      </c>
      <c r="T1889" s="35">
        <v>0.28000000000000003</v>
      </c>
      <c r="U1889" s="35">
        <v>0.1</v>
      </c>
      <c r="V1889" s="35">
        <v>3.1111111111111114E-2</v>
      </c>
      <c r="W1889" s="9" t="s">
        <v>152</v>
      </c>
      <c r="X1889" s="15">
        <v>1888</v>
      </c>
      <c r="Y1889" s="39">
        <v>0.47915421527688845</v>
      </c>
      <c r="Z1889" s="39">
        <v>0.48277653826546107</v>
      </c>
      <c r="AA1889" s="39">
        <v>0.48048488223374108</v>
      </c>
      <c r="AB1889" s="39">
        <v>0.49210213588120266</v>
      </c>
      <c r="AC1889" s="39">
        <v>0.47247404141922933</v>
      </c>
      <c r="AD1889" s="39">
        <v>0.47438782520602157</v>
      </c>
      <c r="AE1889" s="39">
        <v>0.47105139929301193</v>
      </c>
      <c r="AF1889" s="40">
        <v>0.48894845033022738</v>
      </c>
    </row>
    <row r="1890" spans="1:32">
      <c r="A1890" s="15">
        <v>1888</v>
      </c>
      <c r="B1890" s="16">
        <v>0</v>
      </c>
      <c r="C1890" s="20">
        <v>0.02</v>
      </c>
      <c r="D1890" s="20">
        <v>0.99917029198757767</v>
      </c>
      <c r="E1890" s="20">
        <v>1</v>
      </c>
      <c r="F1890" s="8" t="s">
        <v>436</v>
      </c>
      <c r="G1890" s="24">
        <v>1.0949515152496496</v>
      </c>
      <c r="H1890" s="24">
        <v>1.1012910050287996</v>
      </c>
      <c r="I1890" s="25">
        <v>1.1205510816217519</v>
      </c>
      <c r="L1890" s="15">
        <v>1888</v>
      </c>
      <c r="M1890" s="16">
        <v>1</v>
      </c>
      <c r="N1890" s="16">
        <v>3</v>
      </c>
      <c r="O1890" s="16">
        <v>3</v>
      </c>
      <c r="P1890" s="16">
        <v>44</v>
      </c>
      <c r="Q1890" s="29">
        <v>16</v>
      </c>
      <c r="R1890" s="20">
        <v>0.49930000000000002</v>
      </c>
      <c r="S1890" s="32">
        <v>7.9888000000000003</v>
      </c>
      <c r="T1890" s="35">
        <v>0.43</v>
      </c>
      <c r="U1890" s="35">
        <v>0.12</v>
      </c>
      <c r="V1890" s="35">
        <v>2.6875E-2</v>
      </c>
      <c r="W1890" s="9" t="s">
        <v>152</v>
      </c>
      <c r="X1890" s="15">
        <v>1889</v>
      </c>
      <c r="Y1890" s="39">
        <v>0.48392661704983042</v>
      </c>
      <c r="Z1890" s="39">
        <v>0.49238837046679784</v>
      </c>
      <c r="AA1890" s="39">
        <v>0.4927347268090112</v>
      </c>
      <c r="AB1890" s="39">
        <v>0.47343419048880431</v>
      </c>
      <c r="AC1890" s="39">
        <v>0.47699437661843486</v>
      </c>
      <c r="AD1890" s="39">
        <v>0.48386751818449414</v>
      </c>
      <c r="AE1890" s="39">
        <v>0.48765870638635178</v>
      </c>
      <c r="AF1890" s="40">
        <v>0.46928495195321157</v>
      </c>
    </row>
    <row r="1891" spans="1:32">
      <c r="A1891" s="15">
        <v>1889</v>
      </c>
      <c r="B1891" s="16">
        <v>1</v>
      </c>
      <c r="C1891" s="20">
        <v>0.02</v>
      </c>
      <c r="D1891" s="20">
        <v>0.99917029198757767</v>
      </c>
      <c r="E1891" s="20">
        <v>1</v>
      </c>
      <c r="F1891" s="8" t="s">
        <v>436</v>
      </c>
      <c r="G1891" s="24">
        <v>0.97991046960476413</v>
      </c>
      <c r="H1891" s="24">
        <v>0.98558390109467364</v>
      </c>
      <c r="I1891" s="25">
        <v>1.0028204183613951</v>
      </c>
      <c r="L1891" s="15">
        <v>1889</v>
      </c>
      <c r="M1891" s="16">
        <v>1</v>
      </c>
      <c r="N1891" s="16">
        <v>3</v>
      </c>
      <c r="O1891" s="16">
        <v>3</v>
      </c>
      <c r="P1891" s="16">
        <v>45</v>
      </c>
      <c r="Q1891" s="29">
        <v>15</v>
      </c>
      <c r="R1891" s="20">
        <v>0.49930000000000002</v>
      </c>
      <c r="S1891" s="32">
        <v>7.4895000000000005</v>
      </c>
      <c r="T1891" s="35">
        <v>0.71</v>
      </c>
      <c r="U1891" s="35">
        <v>0.47</v>
      </c>
      <c r="V1891" s="35">
        <v>4.7333333333333331E-2</v>
      </c>
      <c r="W1891" s="9" t="s">
        <v>152</v>
      </c>
      <c r="X1891" s="15">
        <v>1890</v>
      </c>
      <c r="Y1891" s="39">
        <v>0.48998722875276074</v>
      </c>
      <c r="Z1891" s="39">
        <v>0.4895943308969653</v>
      </c>
      <c r="AA1891" s="39">
        <v>0.47996650446003231</v>
      </c>
      <c r="AB1891" s="39">
        <v>0.49384147058412298</v>
      </c>
      <c r="AC1891" s="39">
        <v>0.48364828181012454</v>
      </c>
      <c r="AD1891" s="39">
        <v>0.48002066116387904</v>
      </c>
      <c r="AE1891" s="39">
        <v>0.47224237301596184</v>
      </c>
      <c r="AF1891" s="40">
        <v>0.48807245534692001</v>
      </c>
    </row>
    <row r="1892" spans="1:32">
      <c r="A1892" s="15">
        <v>1890</v>
      </c>
      <c r="B1892" s="16">
        <v>1</v>
      </c>
      <c r="C1892" s="20">
        <v>0.91</v>
      </c>
      <c r="D1892" s="20">
        <v>0.2213815995251022</v>
      </c>
      <c r="E1892" s="20">
        <v>0.09</v>
      </c>
      <c r="F1892" s="8" t="s">
        <v>434</v>
      </c>
      <c r="G1892" s="24">
        <v>0.64021784434584406</v>
      </c>
      <c r="H1892" s="24">
        <v>0.64392454224445794</v>
      </c>
      <c r="I1892" s="25">
        <v>0.65518590363493401</v>
      </c>
      <c r="L1892" s="15">
        <v>1890</v>
      </c>
      <c r="M1892" s="16">
        <v>1</v>
      </c>
      <c r="N1892" s="16">
        <v>3</v>
      </c>
      <c r="O1892" s="16">
        <v>3</v>
      </c>
      <c r="P1892" s="16">
        <v>46</v>
      </c>
      <c r="Q1892" s="29">
        <v>9</v>
      </c>
      <c r="R1892" s="20">
        <v>0.49930000000000002</v>
      </c>
      <c r="S1892" s="32">
        <v>4.4937000000000005</v>
      </c>
      <c r="T1892" s="35">
        <v>0.28999999999999998</v>
      </c>
      <c r="U1892" s="35">
        <v>0.18</v>
      </c>
      <c r="V1892" s="35">
        <v>3.2222222222222222E-2</v>
      </c>
      <c r="W1892" s="9" t="s">
        <v>152</v>
      </c>
      <c r="X1892" s="15">
        <v>1891</v>
      </c>
      <c r="Y1892" s="39">
        <v>0.47757304844867188</v>
      </c>
      <c r="Z1892" s="39">
        <v>0.49151920768890023</v>
      </c>
      <c r="AA1892" s="39">
        <v>0.49752820912643209</v>
      </c>
      <c r="AB1892" s="39">
        <v>0.49075881623240081</v>
      </c>
      <c r="AC1892" s="39">
        <v>0.47041196102970845</v>
      </c>
      <c r="AD1892" s="39">
        <v>0.48378893886980223</v>
      </c>
      <c r="AE1892" s="39">
        <v>0.49097007085881617</v>
      </c>
      <c r="AF1892" s="40">
        <v>0.48558755431949657</v>
      </c>
    </row>
    <row r="1893" spans="1:32">
      <c r="A1893" s="15">
        <v>1891</v>
      </c>
      <c r="B1893" s="16">
        <v>1</v>
      </c>
      <c r="C1893" s="20">
        <v>0.23</v>
      </c>
      <c r="D1893" s="20">
        <v>0.67887305313527624</v>
      </c>
      <c r="E1893" s="20">
        <v>0.12</v>
      </c>
      <c r="F1893" s="8" t="s">
        <v>436</v>
      </c>
      <c r="G1893" s="24">
        <v>0.81501069058015452</v>
      </c>
      <c r="H1893" s="24">
        <v>0.81972939444135051</v>
      </c>
      <c r="I1893" s="25">
        <v>0.83406534275141764</v>
      </c>
      <c r="L1893" s="15">
        <v>1891</v>
      </c>
      <c r="M1893" s="16">
        <v>1</v>
      </c>
      <c r="N1893" s="16">
        <v>3</v>
      </c>
      <c r="O1893" s="16">
        <v>3</v>
      </c>
      <c r="P1893" s="16">
        <v>47</v>
      </c>
      <c r="Q1893" s="29">
        <v>16</v>
      </c>
      <c r="R1893" s="20">
        <v>0.49930000000000002</v>
      </c>
      <c r="S1893" s="32">
        <v>7.9888000000000003</v>
      </c>
      <c r="T1893" s="35">
        <v>0.23</v>
      </c>
      <c r="U1893" s="35">
        <v>0.02</v>
      </c>
      <c r="V1893" s="35">
        <v>1.4375000000000001E-2</v>
      </c>
      <c r="W1893" s="9" t="s">
        <v>152</v>
      </c>
      <c r="X1893" s="15">
        <v>1892</v>
      </c>
      <c r="Y1893" s="39">
        <v>0.4889012379081682</v>
      </c>
      <c r="Z1893" s="39">
        <v>0.48644402856918589</v>
      </c>
      <c r="AA1893" s="39">
        <v>0.47585592158056478</v>
      </c>
      <c r="AB1893" s="39">
        <v>0.48801919891035922</v>
      </c>
      <c r="AC1893" s="39">
        <v>0.48117111209256153</v>
      </c>
      <c r="AD1893" s="39">
        <v>0.48071751677137287</v>
      </c>
      <c r="AE1893" s="39">
        <v>0.46963552541081949</v>
      </c>
      <c r="AF1893" s="40">
        <v>0.48168724680696551</v>
      </c>
    </row>
    <row r="1894" spans="1:32">
      <c r="A1894" s="15">
        <v>1892</v>
      </c>
      <c r="B1894" s="16">
        <v>0</v>
      </c>
      <c r="C1894" s="20">
        <v>0.02</v>
      </c>
      <c r="D1894" s="20">
        <v>0.99756714174924133</v>
      </c>
      <c r="E1894" s="20">
        <v>1</v>
      </c>
      <c r="F1894" s="8" t="s">
        <v>436</v>
      </c>
      <c r="G1894" s="24">
        <v>0.97961636901689675</v>
      </c>
      <c r="H1894" s="24">
        <v>0.98528809773947379</v>
      </c>
      <c r="I1894" s="25">
        <v>1.0025194418092369</v>
      </c>
      <c r="L1894" s="15">
        <v>1892</v>
      </c>
      <c r="M1894" s="16">
        <v>1</v>
      </c>
      <c r="N1894" s="16">
        <v>3</v>
      </c>
      <c r="O1894" s="16">
        <v>3</v>
      </c>
      <c r="P1894" s="16">
        <v>48</v>
      </c>
      <c r="Q1894" s="29">
        <v>10</v>
      </c>
      <c r="R1894" s="20">
        <v>0.49930000000000002</v>
      </c>
      <c r="S1894" s="32">
        <v>4.9930000000000003</v>
      </c>
      <c r="T1894" s="35">
        <v>0.83</v>
      </c>
      <c r="U1894" s="35">
        <v>0.62</v>
      </c>
      <c r="V1894" s="35">
        <v>8.299999999999999E-2</v>
      </c>
      <c r="W1894" s="9" t="s">
        <v>152</v>
      </c>
      <c r="X1894" s="15">
        <v>1893</v>
      </c>
      <c r="Y1894" s="39">
        <v>0.50203166256348497</v>
      </c>
      <c r="Z1894" s="39">
        <v>0.49391959683333569</v>
      </c>
      <c r="AA1894" s="39">
        <v>0.49387707858123442</v>
      </c>
      <c r="AB1894" s="39">
        <v>0.48449407389613003</v>
      </c>
      <c r="AC1894" s="39">
        <v>0.49468637940770338</v>
      </c>
      <c r="AD1894" s="39">
        <v>0.48545281875207053</v>
      </c>
      <c r="AE1894" s="39">
        <v>0.48915396653373044</v>
      </c>
      <c r="AF1894" s="40">
        <v>0.47962552469025138</v>
      </c>
    </row>
    <row r="1895" spans="1:32">
      <c r="A1895" s="15">
        <v>1893</v>
      </c>
      <c r="B1895" s="16">
        <v>0</v>
      </c>
      <c r="C1895" s="20">
        <v>0.02</v>
      </c>
      <c r="D1895" s="20">
        <v>0.99917029198757767</v>
      </c>
      <c r="E1895" s="20">
        <v>1</v>
      </c>
      <c r="F1895" s="8" t="s">
        <v>436</v>
      </c>
      <c r="G1895" s="24">
        <v>1.0882533308931452</v>
      </c>
      <c r="H1895" s="24">
        <v>1.0945540398946303</v>
      </c>
      <c r="I1895" s="25">
        <v>1.1136962961622592</v>
      </c>
      <c r="L1895" s="15">
        <v>1893</v>
      </c>
      <c r="M1895" s="16">
        <v>1</v>
      </c>
      <c r="N1895" s="16">
        <v>3</v>
      </c>
      <c r="O1895" s="16">
        <v>3</v>
      </c>
      <c r="P1895" s="16">
        <v>49</v>
      </c>
      <c r="Q1895" s="29">
        <v>20</v>
      </c>
      <c r="R1895" s="20">
        <v>0.49930000000000002</v>
      </c>
      <c r="S1895" s="32">
        <v>9.9860000000000007</v>
      </c>
      <c r="T1895" s="35">
        <v>0.76</v>
      </c>
      <c r="U1895" s="35">
        <v>0.51</v>
      </c>
      <c r="V1895" s="35">
        <v>3.7999999999999999E-2</v>
      </c>
      <c r="W1895" s="9" t="s">
        <v>152</v>
      </c>
      <c r="X1895" s="15">
        <v>1894</v>
      </c>
      <c r="Y1895" s="39">
        <v>0.47355508110242078</v>
      </c>
      <c r="Z1895" s="39">
        <v>0.47989393121628832</v>
      </c>
      <c r="AA1895" s="39">
        <v>0.48855388892718027</v>
      </c>
      <c r="AB1895" s="39">
        <v>0.489760460256698</v>
      </c>
      <c r="AC1895" s="39">
        <v>0.46674653960028484</v>
      </c>
      <c r="AD1895" s="39">
        <v>0.472141012912075</v>
      </c>
      <c r="AE1895" s="39">
        <v>0.47915947187827773</v>
      </c>
      <c r="AF1895" s="40">
        <v>0.48778766196631429</v>
      </c>
    </row>
    <row r="1896" spans="1:32">
      <c r="A1896" s="15">
        <v>1894</v>
      </c>
      <c r="B1896" s="16">
        <v>0</v>
      </c>
      <c r="C1896" s="20">
        <v>0.06</v>
      </c>
      <c r="D1896" s="20">
        <v>0.94995254122870276</v>
      </c>
      <c r="E1896" s="20">
        <v>0.43</v>
      </c>
      <c r="F1896" s="8" t="s">
        <v>436</v>
      </c>
      <c r="G1896" s="24">
        <v>1.1106512903392267</v>
      </c>
      <c r="H1896" s="24">
        <v>1.1170816778086663</v>
      </c>
      <c r="I1896" s="25">
        <v>1.1366179117168111</v>
      </c>
      <c r="L1896" s="15">
        <v>1894</v>
      </c>
      <c r="M1896" s="16">
        <v>1</v>
      </c>
      <c r="N1896" s="16">
        <v>3</v>
      </c>
      <c r="O1896" s="16">
        <v>3</v>
      </c>
      <c r="P1896" s="16">
        <v>50</v>
      </c>
      <c r="Q1896" s="29">
        <v>18</v>
      </c>
      <c r="R1896" s="20">
        <v>0.49930000000000002</v>
      </c>
      <c r="S1896" s="32">
        <v>8.9874000000000009</v>
      </c>
      <c r="T1896" s="35">
        <v>1.0900000000000001</v>
      </c>
      <c r="U1896" s="35">
        <v>0.89</v>
      </c>
      <c r="V1896" s="35">
        <v>6.0555555555555557E-2</v>
      </c>
      <c r="W1896" s="9" t="s">
        <v>153</v>
      </c>
      <c r="X1896" s="15">
        <v>1895</v>
      </c>
      <c r="Y1896" s="39">
        <v>0.47578582518344109</v>
      </c>
      <c r="Z1896" s="39">
        <v>0.48229934325133533</v>
      </c>
      <c r="AA1896" s="39">
        <v>0.48172013397366154</v>
      </c>
      <c r="AB1896" s="39">
        <v>0.50228680866243391</v>
      </c>
      <c r="AC1896" s="39">
        <v>0.46989921384911337</v>
      </c>
      <c r="AD1896" s="39">
        <v>0.4741341181363688</v>
      </c>
      <c r="AE1896" s="39">
        <v>0.47276428276613564</v>
      </c>
      <c r="AF1896" s="40">
        <v>0.49759200469015941</v>
      </c>
    </row>
    <row r="1897" spans="1:32">
      <c r="A1897" s="15">
        <v>1895</v>
      </c>
      <c r="B1897" s="16">
        <v>1</v>
      </c>
      <c r="C1897" s="20">
        <v>0.49</v>
      </c>
      <c r="D1897" s="20">
        <v>0.68271473535380256</v>
      </c>
      <c r="E1897" s="20">
        <v>0.51</v>
      </c>
      <c r="F1897" s="8" t="s">
        <v>436</v>
      </c>
      <c r="G1897" s="24">
        <v>0.81889728707478915</v>
      </c>
      <c r="H1897" s="24">
        <v>0.82363849333760775</v>
      </c>
      <c r="I1897" s="25">
        <v>0.8380428064520794</v>
      </c>
      <c r="L1897" s="15">
        <v>1895</v>
      </c>
      <c r="M1897" s="16">
        <v>1</v>
      </c>
      <c r="N1897" s="16">
        <v>3</v>
      </c>
      <c r="O1897" s="16">
        <v>3</v>
      </c>
      <c r="P1897" s="16">
        <v>51</v>
      </c>
      <c r="Q1897" s="29">
        <v>14</v>
      </c>
      <c r="R1897" s="20">
        <v>0.49930000000000002</v>
      </c>
      <c r="S1897" s="32">
        <v>6.9902000000000006</v>
      </c>
      <c r="T1897" s="35">
        <v>1.3599999999999999</v>
      </c>
      <c r="U1897" s="35">
        <v>1.1000000000000001</v>
      </c>
      <c r="V1897" s="35">
        <v>9.7142857142857128E-2</v>
      </c>
      <c r="W1897" s="9" t="s">
        <v>153</v>
      </c>
      <c r="X1897" s="15">
        <v>1896</v>
      </c>
      <c r="Y1897" s="39">
        <v>0.47130044824106959</v>
      </c>
      <c r="Z1897" s="39">
        <v>0.49458173864463234</v>
      </c>
      <c r="AA1897" s="39">
        <v>0.48100004809154606</v>
      </c>
      <c r="AB1897" s="39">
        <v>0.50136333436017644</v>
      </c>
      <c r="AC1897" s="39">
        <v>0.46559171305720781</v>
      </c>
      <c r="AD1897" s="39">
        <v>0.48440792707353603</v>
      </c>
      <c r="AE1897" s="39">
        <v>0.47199358579680345</v>
      </c>
      <c r="AF1897" s="40">
        <v>0.49608909537280277</v>
      </c>
    </row>
    <row r="1898" spans="1:32">
      <c r="A1898" s="15">
        <v>1896</v>
      </c>
      <c r="B1898" s="16">
        <v>0</v>
      </c>
      <c r="C1898" s="20">
        <v>0.24</v>
      </c>
      <c r="D1898" s="20">
        <v>0.73326624560192133</v>
      </c>
      <c r="E1898" s="20">
        <v>0.38</v>
      </c>
      <c r="F1898" s="8" t="s">
        <v>436</v>
      </c>
      <c r="G1898" s="24">
        <v>0.85615396796700427</v>
      </c>
      <c r="H1898" s="24">
        <v>0.86111088090215659</v>
      </c>
      <c r="I1898" s="25">
        <v>0.87617053493135333</v>
      </c>
      <c r="L1898" s="15">
        <v>1896</v>
      </c>
      <c r="M1898" s="16">
        <v>1</v>
      </c>
      <c r="N1898" s="16">
        <v>3</v>
      </c>
      <c r="O1898" s="16">
        <v>3</v>
      </c>
      <c r="P1898" s="16">
        <v>52</v>
      </c>
      <c r="Q1898" s="29">
        <v>17</v>
      </c>
      <c r="R1898" s="20">
        <v>0.49930000000000002</v>
      </c>
      <c r="S1898" s="32">
        <v>8.4881000000000011</v>
      </c>
      <c r="T1898" s="35">
        <v>0.3</v>
      </c>
      <c r="U1898" s="35">
        <v>0</v>
      </c>
      <c r="V1898" s="35">
        <v>1.7647058823529412E-2</v>
      </c>
      <c r="W1898" s="9" t="s">
        <v>152</v>
      </c>
      <c r="X1898" s="15">
        <v>1897</v>
      </c>
      <c r="Y1898" s="39">
        <v>0.47490206345909963</v>
      </c>
      <c r="Z1898" s="39">
        <v>0.48762635856076691</v>
      </c>
      <c r="AA1898" s="39">
        <v>0.47653670389997216</v>
      </c>
      <c r="AB1898" s="39">
        <v>0.4842682401401629</v>
      </c>
      <c r="AC1898" s="39">
        <v>0.46984344747593831</v>
      </c>
      <c r="AD1898" s="39">
        <v>0.48222061677437511</v>
      </c>
      <c r="AE1898" s="39">
        <v>0.46933986070432393</v>
      </c>
      <c r="AF1898" s="40">
        <v>0.48084675001177646</v>
      </c>
    </row>
    <row r="1899" spans="1:32">
      <c r="A1899" s="15">
        <v>1897</v>
      </c>
      <c r="B1899" s="16">
        <v>1</v>
      </c>
      <c r="C1899" s="20">
        <v>0.25</v>
      </c>
      <c r="D1899" s="20">
        <v>0.74346485113995597</v>
      </c>
      <c r="E1899" s="20">
        <v>0.11</v>
      </c>
      <c r="F1899" s="8" t="s">
        <v>436</v>
      </c>
      <c r="G1899" s="24">
        <v>1.2711235756751738</v>
      </c>
      <c r="H1899" s="24">
        <v>1.2784830567150187</v>
      </c>
      <c r="I1899" s="25">
        <v>1.3008419804533262</v>
      </c>
      <c r="L1899" s="15">
        <v>1897</v>
      </c>
      <c r="M1899" s="16">
        <v>1</v>
      </c>
      <c r="N1899" s="16">
        <v>3</v>
      </c>
      <c r="O1899" s="16">
        <v>3</v>
      </c>
      <c r="P1899" s="16">
        <v>53</v>
      </c>
      <c r="Q1899" s="29">
        <v>9</v>
      </c>
      <c r="R1899" s="20">
        <v>0.49930000000000002</v>
      </c>
      <c r="S1899" s="32">
        <v>4.4937000000000005</v>
      </c>
      <c r="T1899" s="35">
        <v>0.56999999999999995</v>
      </c>
      <c r="U1899" s="35">
        <v>0.47</v>
      </c>
      <c r="V1899" s="35">
        <v>6.3333333333333325E-2</v>
      </c>
      <c r="W1899" s="9" t="s">
        <v>152</v>
      </c>
      <c r="X1899" s="15">
        <v>1898</v>
      </c>
      <c r="Y1899" s="39">
        <v>0.48712839833597765</v>
      </c>
      <c r="Z1899" s="39">
        <v>0.49071052680899468</v>
      </c>
      <c r="AA1899" s="39">
        <v>0.48443255425072923</v>
      </c>
      <c r="AB1899" s="39">
        <v>0.47048648133577359</v>
      </c>
      <c r="AC1899" s="39">
        <v>0.47952074349716012</v>
      </c>
      <c r="AD1899" s="39">
        <v>0.48514664299241306</v>
      </c>
      <c r="AE1899" s="39">
        <v>0.47627924602308724</v>
      </c>
      <c r="AF1899" s="40">
        <v>0.46638697292577852</v>
      </c>
    </row>
    <row r="1900" spans="1:32">
      <c r="A1900" s="15">
        <v>1898</v>
      </c>
      <c r="B1900" s="16">
        <v>1</v>
      </c>
      <c r="C1900" s="20">
        <v>0.03</v>
      </c>
      <c r="D1900" s="20">
        <v>0.9956483904099791</v>
      </c>
      <c r="E1900" s="20">
        <v>1</v>
      </c>
      <c r="F1900" s="8" t="s">
        <v>436</v>
      </c>
      <c r="G1900" s="24">
        <v>1.0948742137202203</v>
      </c>
      <c r="H1900" s="24">
        <v>1.1012132559432468</v>
      </c>
      <c r="I1900" s="25">
        <v>1.1204719728108077</v>
      </c>
      <c r="L1900" s="15">
        <v>1898</v>
      </c>
      <c r="M1900" s="16">
        <v>1</v>
      </c>
      <c r="N1900" s="16">
        <v>3</v>
      </c>
      <c r="O1900" s="16">
        <v>3</v>
      </c>
      <c r="P1900" s="16">
        <v>54</v>
      </c>
      <c r="Q1900" s="29">
        <v>7</v>
      </c>
      <c r="R1900" s="20">
        <v>0.49930000000000002</v>
      </c>
      <c r="S1900" s="32">
        <v>3.4951000000000003</v>
      </c>
      <c r="T1900" s="35">
        <v>0.12</v>
      </c>
      <c r="U1900" s="35">
        <v>0</v>
      </c>
      <c r="V1900" s="35">
        <v>1.7142857142857144E-2</v>
      </c>
      <c r="W1900" s="9" t="s">
        <v>152</v>
      </c>
      <c r="X1900" s="15">
        <v>1899</v>
      </c>
      <c r="Y1900" s="39">
        <v>0.46336554434538052</v>
      </c>
      <c r="Z1900" s="39">
        <v>0.47932075748576103</v>
      </c>
      <c r="AA1900" s="39">
        <v>0.49123155292890275</v>
      </c>
      <c r="AB1900" s="39">
        <v>0.48421272940694826</v>
      </c>
      <c r="AC1900" s="39">
        <v>0.45726121589680691</v>
      </c>
      <c r="AD1900" s="39">
        <v>0.47158359499495978</v>
      </c>
      <c r="AE1900" s="39">
        <v>0.48438190482355459</v>
      </c>
      <c r="AF1900" s="40">
        <v>0.47940310930109942</v>
      </c>
    </row>
    <row r="1901" spans="1:32">
      <c r="A1901" s="15">
        <v>1899</v>
      </c>
      <c r="B1901" s="16">
        <v>0</v>
      </c>
      <c r="C1901" s="20">
        <v>0.92</v>
      </c>
      <c r="D1901" s="20">
        <v>0.20258497911151899</v>
      </c>
      <c r="E1901" s="20">
        <v>0.08</v>
      </c>
      <c r="F1901" s="8" t="s">
        <v>434</v>
      </c>
      <c r="G1901" s="24">
        <v>0.8831571550837839</v>
      </c>
      <c r="H1901" s="24">
        <v>0.88827040957958714</v>
      </c>
      <c r="I1901" s="25">
        <v>0.90380504669696604</v>
      </c>
      <c r="L1901" s="15">
        <v>1899</v>
      </c>
      <c r="M1901" s="16">
        <v>1</v>
      </c>
      <c r="N1901" s="16">
        <v>3</v>
      </c>
      <c r="O1901" s="16">
        <v>3</v>
      </c>
      <c r="P1901" s="16">
        <v>55</v>
      </c>
      <c r="Q1901" s="29">
        <v>16</v>
      </c>
      <c r="R1901" s="20">
        <v>0.49930000000000002</v>
      </c>
      <c r="S1901" s="32">
        <v>7.9888000000000003</v>
      </c>
      <c r="T1901" s="35">
        <v>0.95</v>
      </c>
      <c r="U1901" s="35">
        <v>0.72</v>
      </c>
      <c r="V1901" s="35">
        <v>5.9374999999999997E-2</v>
      </c>
      <c r="W1901" s="9" t="s">
        <v>152</v>
      </c>
      <c r="X1901" s="15">
        <v>1900</v>
      </c>
      <c r="Y1901" s="39">
        <v>0.50920468095883176</v>
      </c>
      <c r="Z1901" s="39">
        <v>0.48324986942930337</v>
      </c>
      <c r="AA1901" s="39">
        <v>0.4850727541114272</v>
      </c>
      <c r="AB1901" s="39">
        <v>0.48103981513150668</v>
      </c>
      <c r="AC1901" s="39">
        <v>0.50264875603632553</v>
      </c>
      <c r="AD1901" s="39">
        <v>0.47632271566515128</v>
      </c>
      <c r="AE1901" s="39">
        <v>0.47742739713028048</v>
      </c>
      <c r="AF1901" s="40">
        <v>0.4769840762413321</v>
      </c>
    </row>
    <row r="1902" spans="1:32">
      <c r="A1902" s="15">
        <v>1900</v>
      </c>
      <c r="B1902" s="16">
        <v>0</v>
      </c>
      <c r="C1902" s="20">
        <v>0.92</v>
      </c>
      <c r="D1902" s="20">
        <v>0.20258497911151899</v>
      </c>
      <c r="E1902" s="20">
        <v>0.08</v>
      </c>
      <c r="F1902" s="8" t="s">
        <v>434</v>
      </c>
      <c r="G1902" s="24">
        <v>1.4571956074427108</v>
      </c>
      <c r="H1902" s="24">
        <v>1.4656323980502832</v>
      </c>
      <c r="I1902" s="25">
        <v>1.4912643083398096</v>
      </c>
      <c r="L1902" s="15">
        <v>1900</v>
      </c>
      <c r="M1902" s="16">
        <v>1</v>
      </c>
      <c r="N1902" s="16">
        <v>3</v>
      </c>
      <c r="O1902" s="16">
        <v>4</v>
      </c>
      <c r="P1902" s="16">
        <v>84</v>
      </c>
      <c r="Q1902" s="29">
        <v>61</v>
      </c>
      <c r="R1902" s="20">
        <v>0.49930000000000002</v>
      </c>
      <c r="S1902" s="32">
        <v>30.4573</v>
      </c>
      <c r="T1902" s="35">
        <v>1.56</v>
      </c>
      <c r="U1902" s="35">
        <v>0.7</v>
      </c>
      <c r="V1902" s="35">
        <v>2.5573770491803281E-2</v>
      </c>
      <c r="W1902" s="9" t="s">
        <v>153</v>
      </c>
      <c r="X1902" s="15">
        <v>1901</v>
      </c>
      <c r="Y1902" s="39">
        <v>0.48568996296898487</v>
      </c>
      <c r="Z1902" s="39">
        <v>0.48458151218507006</v>
      </c>
      <c r="AA1902" s="39">
        <v>0.48070862618467314</v>
      </c>
      <c r="AB1902" s="39">
        <v>0.49110682440906733</v>
      </c>
      <c r="AC1902" s="39">
        <v>0.47715319652533972</v>
      </c>
      <c r="AD1902" s="39">
        <v>0.47597401832444969</v>
      </c>
      <c r="AE1902" s="39">
        <v>0.47423275778957547</v>
      </c>
      <c r="AF1902" s="40">
        <v>0.48506540022868783</v>
      </c>
    </row>
    <row r="1903" spans="1:32">
      <c r="A1903" s="15">
        <v>1901</v>
      </c>
      <c r="B1903" s="16">
        <v>1</v>
      </c>
      <c r="C1903" s="20">
        <v>0.53</v>
      </c>
      <c r="D1903" s="20">
        <v>0.64596290466620898</v>
      </c>
      <c r="E1903" s="20">
        <v>0.47</v>
      </c>
      <c r="F1903" s="8" t="s">
        <v>438</v>
      </c>
      <c r="G1903" s="24">
        <v>0.65692194938670223</v>
      </c>
      <c r="H1903" s="24">
        <v>0.66072535978966129</v>
      </c>
      <c r="I1903" s="25">
        <v>0.67228054454859065</v>
      </c>
      <c r="L1903" s="15">
        <v>1901</v>
      </c>
      <c r="M1903" s="16">
        <v>1</v>
      </c>
      <c r="N1903" s="16">
        <v>3</v>
      </c>
      <c r="O1903" s="16">
        <v>4</v>
      </c>
      <c r="P1903" s="16">
        <v>85</v>
      </c>
      <c r="Q1903" s="29">
        <v>47</v>
      </c>
      <c r="R1903" s="20">
        <v>0.49930000000000002</v>
      </c>
      <c r="S1903" s="32">
        <v>23.467100000000002</v>
      </c>
      <c r="T1903" s="35">
        <v>0.89</v>
      </c>
      <c r="U1903" s="35">
        <v>0</v>
      </c>
      <c r="V1903" s="35">
        <v>1.8936170212765956E-2</v>
      </c>
      <c r="W1903" s="9" t="s">
        <v>152</v>
      </c>
      <c r="X1903" s="15">
        <v>1902</v>
      </c>
      <c r="Y1903" s="39">
        <v>0.48428391494953454</v>
      </c>
      <c r="Z1903" s="39">
        <v>0.47478483773063768</v>
      </c>
      <c r="AA1903" s="39">
        <v>0.4778840756214876</v>
      </c>
      <c r="AB1903" s="39">
        <v>0.48069016890819111</v>
      </c>
      <c r="AC1903" s="39">
        <v>0.47670665940613732</v>
      </c>
      <c r="AD1903" s="39">
        <v>0.46778734875235423</v>
      </c>
      <c r="AE1903" s="39">
        <v>0.47124485181559739</v>
      </c>
      <c r="AF1903" s="40">
        <v>0.47621069614025874</v>
      </c>
    </row>
    <row r="1904" spans="1:32">
      <c r="A1904" s="15">
        <v>1902</v>
      </c>
      <c r="B1904" s="16">
        <v>1</v>
      </c>
      <c r="C1904" s="20">
        <v>0.02</v>
      </c>
      <c r="D1904" s="20">
        <v>0.99679477127711513</v>
      </c>
      <c r="E1904" s="20">
        <v>1</v>
      </c>
      <c r="F1904" s="8" t="s">
        <v>436</v>
      </c>
      <c r="G1904" s="24">
        <v>0.91200044785396683</v>
      </c>
      <c r="H1904" s="24">
        <v>0.91728069765245424</v>
      </c>
      <c r="I1904" s="25">
        <v>0.93332268511385275</v>
      </c>
      <c r="L1904" s="15">
        <v>1902</v>
      </c>
      <c r="M1904" s="16">
        <v>1</v>
      </c>
      <c r="N1904" s="16">
        <v>3</v>
      </c>
      <c r="O1904" s="16">
        <v>4</v>
      </c>
      <c r="P1904" s="16">
        <v>86</v>
      </c>
      <c r="Q1904" s="29">
        <v>43</v>
      </c>
      <c r="R1904" s="20">
        <v>0.49930000000000002</v>
      </c>
      <c r="S1904" s="32">
        <v>21.469900000000003</v>
      </c>
      <c r="T1904" s="35">
        <v>2.31</v>
      </c>
      <c r="U1904" s="35">
        <v>1.72</v>
      </c>
      <c r="V1904" s="35">
        <v>5.3720930232558139E-2</v>
      </c>
      <c r="W1904" s="9" t="s">
        <v>154</v>
      </c>
      <c r="X1904" s="15">
        <v>1903</v>
      </c>
      <c r="Y1904" s="39">
        <v>0.47979411189283394</v>
      </c>
      <c r="Z1904" s="39">
        <v>0.49182610235773516</v>
      </c>
      <c r="AA1904" s="39">
        <v>0.46741129742283438</v>
      </c>
      <c r="AB1904" s="39">
        <v>0.48760478164871141</v>
      </c>
      <c r="AC1904" s="39">
        <v>0.47117934686991086</v>
      </c>
      <c r="AD1904" s="39">
        <v>0.48421288975023857</v>
      </c>
      <c r="AE1904" s="39">
        <v>0.4616947786358323</v>
      </c>
      <c r="AF1904" s="40">
        <v>0.48048576877558602</v>
      </c>
    </row>
    <row r="1905" spans="1:32">
      <c r="A1905" s="15">
        <v>1903</v>
      </c>
      <c r="B1905" s="16">
        <v>0</v>
      </c>
      <c r="C1905" s="20">
        <v>0.02</v>
      </c>
      <c r="D1905" s="20">
        <v>0.99917029198757767</v>
      </c>
      <c r="E1905" s="20">
        <v>1</v>
      </c>
      <c r="F1905" s="8" t="s">
        <v>436</v>
      </c>
      <c r="G1905" s="24">
        <v>1.0394916673901768</v>
      </c>
      <c r="H1905" s="24">
        <v>1.0455100588067403</v>
      </c>
      <c r="I1905" s="25">
        <v>1.063794602782284</v>
      </c>
      <c r="L1905" s="15">
        <v>1903</v>
      </c>
      <c r="M1905" s="16">
        <v>1</v>
      </c>
      <c r="N1905" s="16">
        <v>3</v>
      </c>
      <c r="O1905" s="16">
        <v>4</v>
      </c>
      <c r="P1905" s="16">
        <v>87</v>
      </c>
      <c r="Q1905" s="29">
        <v>57</v>
      </c>
      <c r="R1905" s="20">
        <v>0.49930000000000002</v>
      </c>
      <c r="S1905" s="32">
        <v>28.460100000000001</v>
      </c>
      <c r="T1905" s="35">
        <v>1.99</v>
      </c>
      <c r="U1905" s="35">
        <v>1.1200000000000001</v>
      </c>
      <c r="V1905" s="35">
        <v>3.4912280701754388E-2</v>
      </c>
      <c r="W1905" s="9" t="s">
        <v>153</v>
      </c>
      <c r="X1905" s="15">
        <v>1904</v>
      </c>
      <c r="Y1905" s="39">
        <v>0.47986973952562201</v>
      </c>
      <c r="Z1905" s="39">
        <v>0.49341390438191512</v>
      </c>
      <c r="AA1905" s="39">
        <v>0.49454189449439839</v>
      </c>
      <c r="AB1905" s="39">
        <v>0.48183019307715197</v>
      </c>
      <c r="AC1905" s="39">
        <v>0.47204756367355905</v>
      </c>
      <c r="AD1905" s="39">
        <v>0.48540479018973359</v>
      </c>
      <c r="AE1905" s="39">
        <v>0.48985539404763678</v>
      </c>
      <c r="AF1905" s="40">
        <v>0.47881748744695524</v>
      </c>
    </row>
    <row r="1906" spans="1:32">
      <c r="A1906" s="15">
        <v>1904</v>
      </c>
      <c r="B1906" s="16">
        <v>1</v>
      </c>
      <c r="C1906" s="20">
        <v>0.02</v>
      </c>
      <c r="D1906" s="20">
        <v>0.99756714174924133</v>
      </c>
      <c r="E1906" s="20">
        <v>1</v>
      </c>
      <c r="F1906" s="8" t="s">
        <v>436</v>
      </c>
      <c r="G1906" s="24">
        <v>0.95749616712444974</v>
      </c>
      <c r="H1906" s="24">
        <v>0.96303982552440803</v>
      </c>
      <c r="I1906" s="25">
        <v>0.97988207767844104</v>
      </c>
      <c r="L1906" s="15">
        <v>1904</v>
      </c>
      <c r="M1906" s="16">
        <v>1</v>
      </c>
      <c r="N1906" s="16">
        <v>3</v>
      </c>
      <c r="O1906" s="16">
        <v>4</v>
      </c>
      <c r="P1906" s="16">
        <v>88</v>
      </c>
      <c r="Q1906" s="29">
        <v>47</v>
      </c>
      <c r="R1906" s="20">
        <v>0.49930000000000002</v>
      </c>
      <c r="S1906" s="32">
        <v>23.467100000000002</v>
      </c>
      <c r="T1906" s="35">
        <v>1.6600000000000001</v>
      </c>
      <c r="U1906" s="35">
        <v>1.03</v>
      </c>
      <c r="V1906" s="35">
        <v>3.5319148936170212E-2</v>
      </c>
      <c r="W1906" s="9" t="s">
        <v>153</v>
      </c>
      <c r="X1906" s="15">
        <v>1905</v>
      </c>
      <c r="Y1906" s="39">
        <v>0.48938295773391921</v>
      </c>
      <c r="Z1906" s="39">
        <v>0.47402673182398752</v>
      </c>
      <c r="AA1906" s="39">
        <v>0.49331640213134581</v>
      </c>
      <c r="AB1906" s="39">
        <v>0.49964379629535932</v>
      </c>
      <c r="AC1906" s="39">
        <v>0.48349182051401568</v>
      </c>
      <c r="AD1906" s="39">
        <v>0.46799378248436341</v>
      </c>
      <c r="AE1906" s="39">
        <v>0.48619255589629579</v>
      </c>
      <c r="AF1906" s="40">
        <v>0.49634828185821211</v>
      </c>
    </row>
    <row r="1907" spans="1:32">
      <c r="A1907" s="15">
        <v>1905</v>
      </c>
      <c r="B1907" s="16">
        <v>1</v>
      </c>
      <c r="C1907" s="20">
        <v>0.09</v>
      </c>
      <c r="D1907" s="20">
        <v>0.93167303167213289</v>
      </c>
      <c r="E1907" s="20">
        <v>7.0000000000000007E-2</v>
      </c>
      <c r="F1907" s="8" t="s">
        <v>436</v>
      </c>
      <c r="G1907" s="24">
        <v>0.9864256828810074</v>
      </c>
      <c r="H1907" s="24">
        <v>0.99213683579273193</v>
      </c>
      <c r="I1907" s="25">
        <v>1.0094879549436211</v>
      </c>
      <c r="L1907" s="15">
        <v>1905</v>
      </c>
      <c r="M1907" s="16">
        <v>1</v>
      </c>
      <c r="N1907" s="16">
        <v>3</v>
      </c>
      <c r="O1907" s="16">
        <v>4</v>
      </c>
      <c r="P1907" s="16">
        <v>89</v>
      </c>
      <c r="Q1907" s="29">
        <v>42</v>
      </c>
      <c r="R1907" s="20">
        <v>0.49930000000000002</v>
      </c>
      <c r="S1907" s="32">
        <v>20.970600000000001</v>
      </c>
      <c r="T1907" s="35">
        <v>0.79</v>
      </c>
      <c r="U1907" s="35">
        <v>0.21</v>
      </c>
      <c r="V1907" s="35">
        <v>1.8809523809523811E-2</v>
      </c>
      <c r="W1907" s="9" t="s">
        <v>152</v>
      </c>
      <c r="X1907" s="15">
        <v>1906</v>
      </c>
      <c r="Y1907" s="39">
        <v>0.48341891717826396</v>
      </c>
      <c r="Z1907" s="39">
        <v>0.50351757144879872</v>
      </c>
      <c r="AA1907" s="39">
        <v>0.47339362968014193</v>
      </c>
      <c r="AB1907" s="39">
        <v>0.48136520036291641</v>
      </c>
      <c r="AC1907" s="39">
        <v>0.47399871971384666</v>
      </c>
      <c r="AD1907" s="39">
        <v>0.49505484134783934</v>
      </c>
      <c r="AE1907" s="39">
        <v>0.46584693980320591</v>
      </c>
      <c r="AF1907" s="40">
        <v>0.47429649034631383</v>
      </c>
    </row>
    <row r="1908" spans="1:32">
      <c r="A1908" s="15">
        <v>1906</v>
      </c>
      <c r="B1908" s="16">
        <v>1</v>
      </c>
      <c r="C1908" s="20">
        <v>0.14000000000000001</v>
      </c>
      <c r="D1908" s="20">
        <v>0.92686379584178158</v>
      </c>
      <c r="E1908" s="20">
        <v>0.44</v>
      </c>
      <c r="F1908" s="8" t="s">
        <v>436</v>
      </c>
      <c r="G1908" s="24">
        <v>0.92833894492950386</v>
      </c>
      <c r="H1908" s="24">
        <v>0.93371379045554137</v>
      </c>
      <c r="I1908" s="25">
        <v>0.95004317028153851</v>
      </c>
      <c r="L1908" s="15">
        <v>1906</v>
      </c>
      <c r="M1908" s="16">
        <v>1</v>
      </c>
      <c r="N1908" s="16">
        <v>3</v>
      </c>
      <c r="O1908" s="16">
        <v>4</v>
      </c>
      <c r="P1908" s="16">
        <v>90</v>
      </c>
      <c r="Q1908" s="29">
        <v>49</v>
      </c>
      <c r="R1908" s="20">
        <v>0.49930000000000002</v>
      </c>
      <c r="S1908" s="32">
        <v>24.465700000000002</v>
      </c>
      <c r="T1908" s="35">
        <v>1.0900000000000001</v>
      </c>
      <c r="U1908" s="35">
        <v>0.52</v>
      </c>
      <c r="V1908" s="35">
        <v>2.2244897959183677E-2</v>
      </c>
      <c r="W1908" s="9" t="s">
        <v>153</v>
      </c>
      <c r="X1908" s="15">
        <v>1907</v>
      </c>
      <c r="Y1908" s="39">
        <v>0.50623915322986901</v>
      </c>
      <c r="Z1908" s="39">
        <v>0.48365299452385885</v>
      </c>
      <c r="AA1908" s="39">
        <v>0.48521070799932481</v>
      </c>
      <c r="AB1908" s="39">
        <v>0.48919105326273332</v>
      </c>
      <c r="AC1908" s="39">
        <v>0.49976761472914089</v>
      </c>
      <c r="AD1908" s="39">
        <v>0.47865247185042398</v>
      </c>
      <c r="AE1908" s="39">
        <v>0.47869078547956234</v>
      </c>
      <c r="AF1908" s="40">
        <v>0.48648287064258455</v>
      </c>
    </row>
    <row r="1909" spans="1:32">
      <c r="A1909" s="15">
        <v>1907</v>
      </c>
      <c r="B1909" s="16">
        <v>0</v>
      </c>
      <c r="C1909" s="20">
        <v>0.02</v>
      </c>
      <c r="D1909" s="20">
        <v>0.99835916395484214</v>
      </c>
      <c r="E1909" s="20">
        <v>1</v>
      </c>
      <c r="F1909" s="8" t="s">
        <v>436</v>
      </c>
      <c r="G1909" s="24">
        <v>1.1165807192036157</v>
      </c>
      <c r="H1909" s="24">
        <v>1.1230454365526514</v>
      </c>
      <c r="I1909" s="25">
        <v>1.1426859684616575</v>
      </c>
      <c r="L1909" s="15">
        <v>1907</v>
      </c>
      <c r="M1909" s="16">
        <v>1</v>
      </c>
      <c r="N1909" s="16">
        <v>3</v>
      </c>
      <c r="O1909" s="16">
        <v>4</v>
      </c>
      <c r="P1909" s="16">
        <v>91</v>
      </c>
      <c r="Q1909" s="29">
        <v>56</v>
      </c>
      <c r="R1909" s="20">
        <v>0.49930000000000002</v>
      </c>
      <c r="S1909" s="32">
        <v>27.960800000000003</v>
      </c>
      <c r="T1909" s="35">
        <v>1.55</v>
      </c>
      <c r="U1909" s="35">
        <v>0.8</v>
      </c>
      <c r="V1909" s="35">
        <v>2.7678571428571431E-2</v>
      </c>
      <c r="W1909" s="9" t="s">
        <v>153</v>
      </c>
      <c r="X1909" s="15">
        <v>1908</v>
      </c>
      <c r="Y1909" s="39">
        <v>0.47859777184071395</v>
      </c>
      <c r="Z1909" s="39">
        <v>0.49195430962472059</v>
      </c>
      <c r="AA1909" s="39">
        <v>0.49944166966997228</v>
      </c>
      <c r="AB1909" s="39">
        <v>0.48749108902392729</v>
      </c>
      <c r="AC1909" s="39">
        <v>0.47280750340867067</v>
      </c>
      <c r="AD1909" s="39">
        <v>0.48720238644096775</v>
      </c>
      <c r="AE1909" s="39">
        <v>0.49099372052268053</v>
      </c>
      <c r="AF1909" s="40">
        <v>0.48424273244023563</v>
      </c>
    </row>
    <row r="1910" spans="1:32">
      <c r="A1910" s="15">
        <v>1908</v>
      </c>
      <c r="B1910" s="16">
        <v>0</v>
      </c>
      <c r="C1910" s="20">
        <v>0.39</v>
      </c>
      <c r="D1910" s="20">
        <v>0.65007427584688193</v>
      </c>
      <c r="E1910" s="20">
        <v>7.0000000000000007E-2</v>
      </c>
      <c r="F1910" s="8" t="s">
        <v>436</v>
      </c>
      <c r="G1910" s="24">
        <v>0.8151241791920103</v>
      </c>
      <c r="H1910" s="24">
        <v>0.81984354012330019</v>
      </c>
      <c r="I1910" s="25">
        <v>0.83418148468555409</v>
      </c>
      <c r="L1910" s="15">
        <v>1908</v>
      </c>
      <c r="M1910" s="16">
        <v>1</v>
      </c>
      <c r="N1910" s="16">
        <v>3</v>
      </c>
      <c r="O1910" s="16">
        <v>4</v>
      </c>
      <c r="P1910" s="16">
        <v>92</v>
      </c>
      <c r="Q1910" s="29">
        <v>63</v>
      </c>
      <c r="R1910" s="20">
        <v>0.49930000000000002</v>
      </c>
      <c r="S1910" s="32">
        <v>31.4559</v>
      </c>
      <c r="T1910" s="35">
        <v>1.18</v>
      </c>
      <c r="U1910" s="35">
        <v>0.26</v>
      </c>
      <c r="V1910" s="35">
        <v>1.8730158730158729E-2</v>
      </c>
      <c r="W1910" s="9" t="s">
        <v>153</v>
      </c>
      <c r="X1910" s="15">
        <v>1909</v>
      </c>
      <c r="Y1910" s="39">
        <v>0.4796603188481976</v>
      </c>
      <c r="Z1910" s="39">
        <v>0.50666972358958151</v>
      </c>
      <c r="AA1910" s="39">
        <v>0.4810864612119366</v>
      </c>
      <c r="AB1910" s="39">
        <v>0.4818384399351785</v>
      </c>
      <c r="AC1910" s="39">
        <v>0.47242288641546615</v>
      </c>
      <c r="AD1910" s="39">
        <v>0.49986345583371605</v>
      </c>
      <c r="AE1910" s="39">
        <v>0.4746926682276999</v>
      </c>
      <c r="AF1910" s="40">
        <v>0.47909926523054763</v>
      </c>
    </row>
    <row r="1911" spans="1:32">
      <c r="A1911" s="15">
        <v>1909</v>
      </c>
      <c r="B1911" s="16">
        <v>0</v>
      </c>
      <c r="C1911" s="20">
        <v>0.2</v>
      </c>
      <c r="D1911" s="20">
        <v>0.80029369339769574</v>
      </c>
      <c r="E1911" s="20">
        <v>0.11</v>
      </c>
      <c r="F1911" s="8" t="s">
        <v>436</v>
      </c>
      <c r="G1911" s="24">
        <v>0.680624713875701</v>
      </c>
      <c r="H1911" s="24">
        <v>0.68456535723475254</v>
      </c>
      <c r="I1911" s="25">
        <v>0.69653747101123631</v>
      </c>
      <c r="L1911" s="15">
        <v>1909</v>
      </c>
      <c r="M1911" s="16">
        <v>1</v>
      </c>
      <c r="N1911" s="16">
        <v>3</v>
      </c>
      <c r="O1911" s="16">
        <v>4</v>
      </c>
      <c r="P1911" s="16">
        <v>93</v>
      </c>
      <c r="Q1911" s="29">
        <v>57</v>
      </c>
      <c r="R1911" s="20">
        <v>0.49930000000000002</v>
      </c>
      <c r="S1911" s="32">
        <v>28.460100000000001</v>
      </c>
      <c r="T1911" s="35">
        <v>0.84</v>
      </c>
      <c r="U1911" s="35">
        <v>0.19</v>
      </c>
      <c r="V1911" s="35">
        <v>1.4736842105263158E-2</v>
      </c>
      <c r="W1911" s="9" t="s">
        <v>152</v>
      </c>
      <c r="X1911" s="15">
        <v>1910</v>
      </c>
      <c r="Y1911" s="39">
        <v>0.50368904026187933</v>
      </c>
      <c r="Z1911" s="39">
        <v>0.47995335680595008</v>
      </c>
      <c r="AA1911" s="39">
        <v>0.46838642743758585</v>
      </c>
      <c r="AB1911" s="39">
        <v>0.4899410186377442</v>
      </c>
      <c r="AC1911" s="39">
        <v>0.49809771570164124</v>
      </c>
      <c r="AD1911" s="39">
        <v>0.47213422707881136</v>
      </c>
      <c r="AE1911" s="39">
        <v>0.46222389774804634</v>
      </c>
      <c r="AF1911" s="40">
        <v>0.48573751600245391</v>
      </c>
    </row>
    <row r="1912" spans="1:32">
      <c r="A1912" s="15">
        <v>1910</v>
      </c>
      <c r="B1912" s="16">
        <v>0</v>
      </c>
      <c r="C1912" s="20">
        <v>0.91</v>
      </c>
      <c r="D1912" s="20">
        <v>0.21727233298780477</v>
      </c>
      <c r="E1912" s="20">
        <v>0.09</v>
      </c>
      <c r="F1912" s="8" t="s">
        <v>434</v>
      </c>
      <c r="G1912" s="24">
        <v>0.69726899309789081</v>
      </c>
      <c r="H1912" s="24">
        <v>0.70130600258506837</v>
      </c>
      <c r="I1912" s="25">
        <v>0.71357088740044228</v>
      </c>
      <c r="L1912" s="15">
        <v>1910</v>
      </c>
      <c r="M1912" s="16">
        <v>1</v>
      </c>
      <c r="N1912" s="16">
        <v>3</v>
      </c>
      <c r="O1912" s="16">
        <v>4</v>
      </c>
      <c r="P1912" s="16">
        <v>94</v>
      </c>
      <c r="Q1912" s="29">
        <v>54</v>
      </c>
      <c r="R1912" s="20">
        <v>0.49930000000000002</v>
      </c>
      <c r="S1912" s="32">
        <v>26.962200000000003</v>
      </c>
      <c r="T1912" s="35">
        <v>0.98</v>
      </c>
      <c r="U1912" s="35">
        <v>0.22</v>
      </c>
      <c r="V1912" s="35">
        <v>1.8148148148148149E-2</v>
      </c>
      <c r="W1912" s="9" t="s">
        <v>152</v>
      </c>
      <c r="X1912" s="15">
        <v>1911</v>
      </c>
      <c r="Y1912" s="39">
        <v>0.48399057426412506</v>
      </c>
      <c r="Z1912" s="39">
        <v>0.48942868632694464</v>
      </c>
      <c r="AA1912" s="39">
        <v>0.48618794053860848</v>
      </c>
      <c r="AB1912" s="39">
        <v>0.48546545544005837</v>
      </c>
      <c r="AC1912" s="39">
        <v>0.47884605970363797</v>
      </c>
      <c r="AD1912" s="39">
        <v>0.48337252498707167</v>
      </c>
      <c r="AE1912" s="39">
        <v>0.47976602285314068</v>
      </c>
      <c r="AF1912" s="40">
        <v>0.48041399212464098</v>
      </c>
    </row>
    <row r="1913" spans="1:32">
      <c r="A1913" s="15">
        <v>1911</v>
      </c>
      <c r="B1913" s="16">
        <v>1</v>
      </c>
      <c r="C1913" s="20">
        <v>0.57999999999999996</v>
      </c>
      <c r="D1913" s="20">
        <v>0.46598230799018087</v>
      </c>
      <c r="E1913" s="20">
        <v>0.12</v>
      </c>
      <c r="F1913" s="8" t="s">
        <v>438</v>
      </c>
      <c r="G1913" s="24">
        <v>0.76198155909120502</v>
      </c>
      <c r="H1913" s="24">
        <v>0.76639323781714219</v>
      </c>
      <c r="I1913" s="25">
        <v>0.77979640954312279</v>
      </c>
      <c r="L1913" s="15">
        <v>1911</v>
      </c>
      <c r="M1913" s="16">
        <v>1</v>
      </c>
      <c r="N1913" s="16">
        <v>3</v>
      </c>
      <c r="O1913" s="16">
        <v>4</v>
      </c>
      <c r="P1913" s="16">
        <v>95</v>
      </c>
      <c r="Q1913" s="29">
        <v>58</v>
      </c>
      <c r="R1913" s="20">
        <v>0.49930000000000002</v>
      </c>
      <c r="S1913" s="32">
        <v>28.959400000000002</v>
      </c>
      <c r="T1913" s="35">
        <v>1.6300000000000001</v>
      </c>
      <c r="U1913" s="35">
        <v>0.62</v>
      </c>
      <c r="V1913" s="35">
        <v>2.8103448275862072E-2</v>
      </c>
      <c r="W1913" s="9" t="s">
        <v>153</v>
      </c>
      <c r="X1913" s="15">
        <v>1912</v>
      </c>
      <c r="Y1913" s="39">
        <v>0.49350037442444061</v>
      </c>
      <c r="Z1913" s="39">
        <v>0.50576559110516517</v>
      </c>
      <c r="AA1913" s="39">
        <v>0.49021774883469121</v>
      </c>
      <c r="AB1913" s="39">
        <v>0.49043633479523968</v>
      </c>
      <c r="AC1913" s="39">
        <v>0.48663975164754764</v>
      </c>
      <c r="AD1913" s="39">
        <v>0.49995585797550557</v>
      </c>
      <c r="AE1913" s="39">
        <v>0.48372823699846706</v>
      </c>
      <c r="AF1913" s="40">
        <v>0.48635968393822704</v>
      </c>
    </row>
    <row r="1914" spans="1:32">
      <c r="A1914" s="15">
        <v>1912</v>
      </c>
      <c r="B1914" s="16">
        <v>0</v>
      </c>
      <c r="C1914" s="20">
        <v>0.1</v>
      </c>
      <c r="D1914" s="20">
        <v>0.91493617752219347</v>
      </c>
      <c r="E1914" s="20">
        <v>0.08</v>
      </c>
      <c r="F1914" s="8" t="s">
        <v>436</v>
      </c>
      <c r="G1914" s="24">
        <v>1.0891849725669234</v>
      </c>
      <c r="H1914" s="24">
        <v>1.0954910755358913</v>
      </c>
      <c r="I1914" s="25">
        <v>1.114649719277983</v>
      </c>
      <c r="L1914" s="15">
        <v>1912</v>
      </c>
      <c r="M1914" s="16">
        <v>1</v>
      </c>
      <c r="N1914" s="16">
        <v>3</v>
      </c>
      <c r="O1914" s="16">
        <v>4</v>
      </c>
      <c r="P1914" s="16">
        <v>96</v>
      </c>
      <c r="Q1914" s="29">
        <v>54</v>
      </c>
      <c r="R1914" s="20">
        <v>0.49930000000000002</v>
      </c>
      <c r="S1914" s="32">
        <v>26.962200000000003</v>
      </c>
      <c r="T1914" s="35">
        <v>1.29</v>
      </c>
      <c r="U1914" s="35">
        <v>0.47</v>
      </c>
      <c r="V1914" s="35">
        <v>2.388888888888889E-2</v>
      </c>
      <c r="W1914" s="9" t="s">
        <v>153</v>
      </c>
      <c r="X1914" s="15">
        <v>1913</v>
      </c>
      <c r="Y1914" s="39">
        <v>0.50459483049368448</v>
      </c>
      <c r="Z1914" s="39">
        <v>0.48024634917773484</v>
      </c>
      <c r="AA1914" s="39">
        <v>0.48959751858378348</v>
      </c>
      <c r="AB1914" s="39">
        <v>0.47768627329272528</v>
      </c>
      <c r="AC1914" s="39">
        <v>0.49793005567505472</v>
      </c>
      <c r="AD1914" s="39">
        <v>0.47445989884676815</v>
      </c>
      <c r="AE1914" s="39">
        <v>0.48405711921681754</v>
      </c>
      <c r="AF1914" s="40">
        <v>0.47348973808102701</v>
      </c>
    </row>
    <row r="1915" spans="1:32">
      <c r="A1915" s="15">
        <v>1913</v>
      </c>
      <c r="B1915" s="16">
        <v>0</v>
      </c>
      <c r="C1915" s="20">
        <v>0.3</v>
      </c>
      <c r="D1915" s="20">
        <v>0.69008099848850912</v>
      </c>
      <c r="E1915" s="20">
        <v>7.0000000000000007E-2</v>
      </c>
      <c r="F1915" s="8" t="s">
        <v>436</v>
      </c>
      <c r="G1915" s="24">
        <v>0.93164949155428034</v>
      </c>
      <c r="H1915" s="24">
        <v>0.93704350430023475</v>
      </c>
      <c r="I1915" s="25">
        <v>0.95343111627685206</v>
      </c>
      <c r="L1915" s="15">
        <v>1913</v>
      </c>
      <c r="M1915" s="16">
        <v>1</v>
      </c>
      <c r="N1915" s="16">
        <v>3</v>
      </c>
      <c r="O1915" s="16">
        <v>4</v>
      </c>
      <c r="P1915" s="16">
        <v>97</v>
      </c>
      <c r="Q1915" s="29">
        <v>64</v>
      </c>
      <c r="R1915" s="20">
        <v>0.49930000000000002</v>
      </c>
      <c r="S1915" s="32">
        <v>31.955200000000001</v>
      </c>
      <c r="T1915" s="35">
        <v>2.4899999999999998</v>
      </c>
      <c r="U1915" s="35">
        <v>1.65</v>
      </c>
      <c r="V1915" s="35">
        <v>3.8906249999999996E-2</v>
      </c>
      <c r="W1915" s="9" t="s">
        <v>154</v>
      </c>
      <c r="X1915" s="15">
        <v>1914</v>
      </c>
      <c r="Y1915" s="39">
        <v>0.49910913892190417</v>
      </c>
      <c r="Z1915" s="39">
        <v>0.48959273208099968</v>
      </c>
      <c r="AA1915" s="39">
        <v>0.4819894501105535</v>
      </c>
      <c r="AB1915" s="39">
        <v>0.48234654124823001</v>
      </c>
      <c r="AC1915" s="39">
        <v>0.49211495335578131</v>
      </c>
      <c r="AD1915" s="39">
        <v>0.47994325157555634</v>
      </c>
      <c r="AE1915" s="39">
        <v>0.47282787983351521</v>
      </c>
      <c r="AF1915" s="40">
        <v>0.47571206974488922</v>
      </c>
    </row>
    <row r="1916" spans="1:32">
      <c r="A1916" s="15">
        <v>1914</v>
      </c>
      <c r="B1916" s="16">
        <v>1</v>
      </c>
      <c r="C1916" s="20">
        <v>0.02</v>
      </c>
      <c r="D1916" s="20">
        <v>0.99756714174924133</v>
      </c>
      <c r="E1916" s="20">
        <v>1</v>
      </c>
      <c r="F1916" s="8" t="s">
        <v>436</v>
      </c>
      <c r="G1916" s="24">
        <v>1.117261160211938</v>
      </c>
      <c r="H1916" s="24">
        <v>1.1237298171407244</v>
      </c>
      <c r="I1916" s="25">
        <v>1.1433823179321465</v>
      </c>
      <c r="L1916" s="15">
        <v>1914</v>
      </c>
      <c r="M1916" s="16">
        <v>1</v>
      </c>
      <c r="N1916" s="16">
        <v>3</v>
      </c>
      <c r="O1916" s="16">
        <v>5</v>
      </c>
      <c r="P1916" s="16">
        <v>98</v>
      </c>
      <c r="Q1916" s="29">
        <v>37</v>
      </c>
      <c r="R1916" s="20">
        <v>0.49930000000000002</v>
      </c>
      <c r="S1916" s="32">
        <v>18.4741</v>
      </c>
      <c r="T1916" s="35">
        <v>1.17</v>
      </c>
      <c r="U1916" s="35">
        <v>0.71</v>
      </c>
      <c r="V1916" s="35">
        <v>3.1621621621621618E-2</v>
      </c>
      <c r="W1916" s="9" t="s">
        <v>153</v>
      </c>
      <c r="X1916" s="15">
        <v>1915</v>
      </c>
      <c r="Y1916" s="39">
        <v>0.47644645025706089</v>
      </c>
      <c r="Z1916" s="39">
        <v>0.48087829906925583</v>
      </c>
      <c r="AA1916" s="39">
        <v>0.48854123011641581</v>
      </c>
      <c r="AB1916" s="39">
        <v>0.49018674636012749</v>
      </c>
      <c r="AC1916" s="39">
        <v>0.46890788539437056</v>
      </c>
      <c r="AD1916" s="39">
        <v>0.47615042179141853</v>
      </c>
      <c r="AE1916" s="39">
        <v>0.48402771046800869</v>
      </c>
      <c r="AF1916" s="40">
        <v>0.48671558603259857</v>
      </c>
    </row>
    <row r="1917" spans="1:32">
      <c r="A1917" s="15">
        <v>1915</v>
      </c>
      <c r="B1917" s="16">
        <v>1</v>
      </c>
      <c r="C1917" s="20">
        <v>0.2</v>
      </c>
      <c r="D1917" s="20">
        <v>0.89314050647523546</v>
      </c>
      <c r="E1917" s="20">
        <v>0.04</v>
      </c>
      <c r="F1917" s="8" t="s">
        <v>436</v>
      </c>
      <c r="G1917" s="24">
        <v>1.086799273921641</v>
      </c>
      <c r="H1917" s="24">
        <v>1.0930915643044192</v>
      </c>
      <c r="I1917" s="25">
        <v>1.1122082438700192</v>
      </c>
      <c r="L1917" s="15">
        <v>1915</v>
      </c>
      <c r="M1917" s="16">
        <v>1</v>
      </c>
      <c r="N1917" s="16">
        <v>3</v>
      </c>
      <c r="O1917" s="16">
        <v>5</v>
      </c>
      <c r="P1917" s="16">
        <v>99</v>
      </c>
      <c r="Q1917" s="29">
        <v>52</v>
      </c>
      <c r="R1917" s="20">
        <v>0.49930000000000002</v>
      </c>
      <c r="S1917" s="32">
        <v>25.9636</v>
      </c>
      <c r="T1917" s="35">
        <v>1.05</v>
      </c>
      <c r="U1917" s="35">
        <v>0.19</v>
      </c>
      <c r="V1917" s="35">
        <v>2.0192307692307693E-2</v>
      </c>
      <c r="W1917" s="9" t="s">
        <v>153</v>
      </c>
      <c r="X1917" s="15">
        <v>1916</v>
      </c>
      <c r="Y1917" s="39">
        <v>0.48569449024502298</v>
      </c>
      <c r="Z1917" s="39">
        <v>0.48768375496837663</v>
      </c>
      <c r="AA1917" s="39">
        <v>0.49995124294322885</v>
      </c>
      <c r="AB1917" s="39">
        <v>0.48886778491543775</v>
      </c>
      <c r="AC1917" s="39">
        <v>0.47904626504724634</v>
      </c>
      <c r="AD1917" s="39">
        <v>0.4819039638515295</v>
      </c>
      <c r="AE1917" s="39">
        <v>0.49484515026059134</v>
      </c>
      <c r="AF1917" s="40">
        <v>0.48511004374665573</v>
      </c>
    </row>
    <row r="1918" spans="1:32">
      <c r="A1918" s="15">
        <v>1916</v>
      </c>
      <c r="B1918" s="16">
        <v>1</v>
      </c>
      <c r="C1918" s="20">
        <v>0.97</v>
      </c>
      <c r="D1918" s="20">
        <v>0.12097036642660543</v>
      </c>
      <c r="E1918" s="20">
        <v>0.03</v>
      </c>
      <c r="F1918" s="8" t="s">
        <v>434</v>
      </c>
      <c r="G1918" s="24">
        <v>1.5482563536592076</v>
      </c>
      <c r="H1918" s="24">
        <v>1.5572203627434718</v>
      </c>
      <c r="I1918" s="25">
        <v>1.5844540215326486</v>
      </c>
      <c r="L1918" s="15">
        <v>1916</v>
      </c>
      <c r="M1918" s="16">
        <v>1</v>
      </c>
      <c r="N1918" s="16">
        <v>3</v>
      </c>
      <c r="O1918" s="16">
        <v>5</v>
      </c>
      <c r="P1918" s="16">
        <v>100</v>
      </c>
      <c r="Q1918" s="29">
        <v>48</v>
      </c>
      <c r="R1918" s="20">
        <v>0.49930000000000002</v>
      </c>
      <c r="S1918" s="32">
        <v>23.9664</v>
      </c>
      <c r="T1918" s="35">
        <v>1.22</v>
      </c>
      <c r="U1918" s="35">
        <v>0.5</v>
      </c>
      <c r="V1918" s="35">
        <v>2.5416666666666667E-2</v>
      </c>
      <c r="W1918" s="9" t="s">
        <v>153</v>
      </c>
      <c r="X1918" s="15">
        <v>1917</v>
      </c>
      <c r="Y1918" s="39">
        <v>0.49749498422810307</v>
      </c>
      <c r="Z1918" s="39">
        <v>0.49494743138627934</v>
      </c>
      <c r="AA1918" s="39">
        <v>0.48992675895521653</v>
      </c>
      <c r="AB1918" s="39">
        <v>0.4861837452936198</v>
      </c>
      <c r="AC1918" s="39">
        <v>0.49192435741832641</v>
      </c>
      <c r="AD1918" s="39">
        <v>0.48601007974790894</v>
      </c>
      <c r="AE1918" s="39">
        <v>0.48015464472898706</v>
      </c>
      <c r="AF1918" s="40">
        <v>0.48238638335533573</v>
      </c>
    </row>
    <row r="1919" spans="1:32">
      <c r="A1919" s="15">
        <v>1917</v>
      </c>
      <c r="B1919" s="16">
        <v>1</v>
      </c>
      <c r="C1919" s="20">
        <v>0.89</v>
      </c>
      <c r="D1919" s="20">
        <v>0.24559627500636821</v>
      </c>
      <c r="E1919" s="20">
        <v>0.11</v>
      </c>
      <c r="F1919" s="8" t="s">
        <v>434</v>
      </c>
      <c r="G1919" s="24">
        <v>0.56204849120303346</v>
      </c>
      <c r="H1919" s="24">
        <v>0.56530260850023262</v>
      </c>
      <c r="I1919" s="25">
        <v>0.57518897957580994</v>
      </c>
      <c r="L1919" s="15">
        <v>1917</v>
      </c>
      <c r="M1919" s="16">
        <v>1</v>
      </c>
      <c r="N1919" s="16">
        <v>3</v>
      </c>
      <c r="O1919" s="16">
        <v>5</v>
      </c>
      <c r="P1919" s="16">
        <v>101</v>
      </c>
      <c r="Q1919" s="29">
        <v>53</v>
      </c>
      <c r="R1919" s="20">
        <v>0.49930000000000002</v>
      </c>
      <c r="S1919" s="32">
        <v>26.462900000000001</v>
      </c>
      <c r="T1919" s="35">
        <v>2.4300000000000002</v>
      </c>
      <c r="U1919" s="35">
        <v>1.56</v>
      </c>
      <c r="V1919" s="35">
        <v>4.5849056603773586E-2</v>
      </c>
      <c r="W1919" s="9" t="s">
        <v>154</v>
      </c>
      <c r="X1919" s="15">
        <v>1918</v>
      </c>
      <c r="Y1919" s="39">
        <v>0.48954077478219232</v>
      </c>
      <c r="Z1919" s="39">
        <v>0.48582037506358744</v>
      </c>
      <c r="AA1919" s="39">
        <v>0.48899434102481315</v>
      </c>
      <c r="AB1919" s="39">
        <v>0.47689931526383056</v>
      </c>
      <c r="AC1919" s="39">
        <v>0.48135985246210028</v>
      </c>
      <c r="AD1919" s="39">
        <v>0.47682556148269734</v>
      </c>
      <c r="AE1919" s="39">
        <v>0.47904502445680952</v>
      </c>
      <c r="AF1919" s="40">
        <v>0.47207030861394894</v>
      </c>
    </row>
    <row r="1920" spans="1:32">
      <c r="A1920" s="15">
        <v>1918</v>
      </c>
      <c r="B1920" s="16">
        <v>1</v>
      </c>
      <c r="C1920" s="20">
        <v>0.02</v>
      </c>
      <c r="D1920" s="20">
        <v>0.99835916395484214</v>
      </c>
      <c r="E1920" s="20">
        <v>1</v>
      </c>
      <c r="F1920" s="8" t="s">
        <v>436</v>
      </c>
      <c r="G1920" s="24">
        <v>1.0852708434615603</v>
      </c>
      <c r="H1920" s="24">
        <v>1.0915542846221176</v>
      </c>
      <c r="I1920" s="25">
        <v>1.1106440792642134</v>
      </c>
      <c r="L1920" s="15">
        <v>1918</v>
      </c>
      <c r="M1920" s="16">
        <v>1</v>
      </c>
      <c r="N1920" s="16">
        <v>3</v>
      </c>
      <c r="O1920" s="16">
        <v>5</v>
      </c>
      <c r="P1920" s="16">
        <v>102</v>
      </c>
      <c r="Q1920" s="29">
        <v>19</v>
      </c>
      <c r="R1920" s="20">
        <v>0.49930000000000002</v>
      </c>
      <c r="S1920" s="32">
        <v>9.4867000000000008</v>
      </c>
      <c r="T1920" s="35">
        <v>0.4</v>
      </c>
      <c r="U1920" s="35">
        <v>0.18</v>
      </c>
      <c r="V1920" s="35">
        <v>2.1052631578947368E-2</v>
      </c>
      <c r="W1920" s="9" t="s">
        <v>152</v>
      </c>
      <c r="X1920" s="15">
        <v>1919</v>
      </c>
      <c r="Y1920" s="39">
        <v>0.48712290485853432</v>
      </c>
      <c r="Z1920" s="39">
        <v>0.48479875003444761</v>
      </c>
      <c r="AA1920" s="39">
        <v>0.48323692224821752</v>
      </c>
      <c r="AB1920" s="39">
        <v>0.49178524552619918</v>
      </c>
      <c r="AC1920" s="39">
        <v>0.4792985683492495</v>
      </c>
      <c r="AD1920" s="39">
        <v>0.47774770395412042</v>
      </c>
      <c r="AE1920" s="39">
        <v>0.47733581394524011</v>
      </c>
      <c r="AF1920" s="40">
        <v>0.49118955244273166</v>
      </c>
    </row>
    <row r="1921" spans="1:32">
      <c r="A1921" s="15">
        <v>1919</v>
      </c>
      <c r="B1921" s="16">
        <v>1</v>
      </c>
      <c r="C1921" s="20">
        <v>0.02</v>
      </c>
      <c r="D1921" s="20">
        <v>0.99604261948721451</v>
      </c>
      <c r="E1921" s="20">
        <v>1</v>
      </c>
      <c r="F1921" s="8" t="s">
        <v>436</v>
      </c>
      <c r="G1921" s="24">
        <v>1.0668327246300764</v>
      </c>
      <c r="H1921" s="24">
        <v>1.07300941378906</v>
      </c>
      <c r="I1921" s="25">
        <v>1.0917748839510502</v>
      </c>
      <c r="L1921" s="15">
        <v>1919</v>
      </c>
      <c r="M1921" s="16">
        <v>1</v>
      </c>
      <c r="N1921" s="16">
        <v>3</v>
      </c>
      <c r="O1921" s="16">
        <v>6</v>
      </c>
      <c r="P1921" s="16">
        <v>103</v>
      </c>
      <c r="Q1921" s="29">
        <v>52</v>
      </c>
      <c r="R1921" s="20">
        <v>0.49930000000000002</v>
      </c>
      <c r="S1921" s="32">
        <v>25.9636</v>
      </c>
      <c r="T1921" s="35">
        <v>2.23</v>
      </c>
      <c r="U1921" s="35">
        <v>1.49</v>
      </c>
      <c r="V1921" s="35">
        <v>4.2884615384615382E-2</v>
      </c>
      <c r="W1921" s="9" t="s">
        <v>154</v>
      </c>
      <c r="X1921" s="15">
        <v>1920</v>
      </c>
      <c r="Y1921" s="39">
        <v>0.47591610602576068</v>
      </c>
      <c r="Z1921" s="39">
        <v>0.47874853923228411</v>
      </c>
      <c r="AA1921" s="39">
        <v>0.48786953177741005</v>
      </c>
      <c r="AB1921" s="39">
        <v>0.49189200876732109</v>
      </c>
      <c r="AC1921" s="39">
        <v>0.47235713946109109</v>
      </c>
      <c r="AD1921" s="39">
        <v>0.47497379172305865</v>
      </c>
      <c r="AE1921" s="39">
        <v>0.48033506836775031</v>
      </c>
      <c r="AF1921" s="40">
        <v>0.48658978680532533</v>
      </c>
    </row>
    <row r="1922" spans="1:32">
      <c r="A1922" s="15">
        <v>1920</v>
      </c>
      <c r="B1922" s="16">
        <v>1</v>
      </c>
      <c r="C1922" s="20">
        <v>0.12</v>
      </c>
      <c r="D1922" s="20">
        <v>0.92831516003158721</v>
      </c>
      <c r="E1922" s="20">
        <v>0.05</v>
      </c>
      <c r="F1922" s="8" t="s">
        <v>436</v>
      </c>
      <c r="G1922" s="24">
        <v>1.3400941488394538</v>
      </c>
      <c r="H1922" s="24">
        <v>1.3478529518926916</v>
      </c>
      <c r="I1922" s="25">
        <v>1.3714250604189129</v>
      </c>
      <c r="L1922" s="15">
        <v>1920</v>
      </c>
      <c r="M1922" s="16">
        <v>1</v>
      </c>
      <c r="N1922" s="16">
        <v>3</v>
      </c>
      <c r="O1922" s="16">
        <v>6</v>
      </c>
      <c r="P1922" s="16">
        <v>104</v>
      </c>
      <c r="Q1922" s="29">
        <v>52</v>
      </c>
      <c r="R1922" s="20">
        <v>0.49930000000000002</v>
      </c>
      <c r="S1922" s="32">
        <v>25.9636</v>
      </c>
      <c r="T1922" s="35">
        <v>1.53</v>
      </c>
      <c r="U1922" s="35">
        <v>0.74</v>
      </c>
      <c r="V1922" s="35">
        <v>2.9423076923076923E-2</v>
      </c>
      <c r="W1922" s="9" t="s">
        <v>153</v>
      </c>
      <c r="X1922" s="15">
        <v>1921</v>
      </c>
      <c r="Y1922" s="39">
        <v>0.48440552825596761</v>
      </c>
      <c r="Z1922" s="39">
        <v>0.48159386111411379</v>
      </c>
      <c r="AA1922" s="39">
        <v>0.48819442884678338</v>
      </c>
      <c r="AB1922" s="39">
        <v>0.48165413193510026</v>
      </c>
      <c r="AC1922" s="39">
        <v>0.47839197431271335</v>
      </c>
      <c r="AD1922" s="39">
        <v>0.47429361398196179</v>
      </c>
      <c r="AE1922" s="39">
        <v>0.48179315041717313</v>
      </c>
      <c r="AF1922" s="40">
        <v>0.47767533108930205</v>
      </c>
    </row>
    <row r="1923" spans="1:32">
      <c r="A1923" s="15">
        <v>1921</v>
      </c>
      <c r="B1923" s="16">
        <v>0</v>
      </c>
      <c r="C1923" s="20">
        <v>0.89</v>
      </c>
      <c r="D1923" s="20">
        <v>0.24559627500636821</v>
      </c>
      <c r="E1923" s="20">
        <v>0.11</v>
      </c>
      <c r="F1923" s="8" t="s">
        <v>434</v>
      </c>
      <c r="G1923" s="24">
        <v>2.1361303327958132</v>
      </c>
      <c r="H1923" s="24">
        <v>2.148497982160273</v>
      </c>
      <c r="I1923" s="25">
        <v>1.6578926537592125</v>
      </c>
      <c r="L1923" s="15">
        <v>1921</v>
      </c>
      <c r="M1923" s="16">
        <v>1</v>
      </c>
      <c r="N1923" s="16">
        <v>3</v>
      </c>
      <c r="O1923" s="16">
        <v>6</v>
      </c>
      <c r="P1923" s="16">
        <v>105</v>
      </c>
      <c r="Q1923" s="29">
        <v>56</v>
      </c>
      <c r="R1923" s="20">
        <v>0.49930000000000002</v>
      </c>
      <c r="S1923" s="32">
        <v>27.960800000000003</v>
      </c>
      <c r="T1923" s="35">
        <v>1.27</v>
      </c>
      <c r="U1923" s="35">
        <v>0.34</v>
      </c>
      <c r="V1923" s="35">
        <v>2.267857142857143E-2</v>
      </c>
      <c r="W1923" s="9" t="s">
        <v>153</v>
      </c>
      <c r="X1923" s="15">
        <v>1922</v>
      </c>
      <c r="Y1923" s="39">
        <v>0.4804187044646519</v>
      </c>
      <c r="Z1923" s="39">
        <v>0.47986528851978028</v>
      </c>
      <c r="AA1923" s="39">
        <v>0.48614256166803782</v>
      </c>
      <c r="AB1923" s="39">
        <v>0.48629576817117393</v>
      </c>
      <c r="AC1923" s="39">
        <v>0.47378986555013092</v>
      </c>
      <c r="AD1923" s="39">
        <v>0.47342794769425145</v>
      </c>
      <c r="AE1923" s="39">
        <v>0.4788359080187008</v>
      </c>
      <c r="AF1923" s="40">
        <v>0.48098007758764777</v>
      </c>
    </row>
    <row r="1924" spans="1:32">
      <c r="A1924" s="15">
        <v>1922</v>
      </c>
      <c r="B1924" s="16">
        <v>0</v>
      </c>
      <c r="C1924" s="20">
        <v>0.02</v>
      </c>
      <c r="D1924" s="20">
        <v>0.99835916395484214</v>
      </c>
      <c r="E1924" s="20">
        <v>1</v>
      </c>
      <c r="F1924" s="8" t="s">
        <v>436</v>
      </c>
      <c r="G1924" s="24">
        <v>0.95178082042918266</v>
      </c>
      <c r="H1924" s="24">
        <v>0.9572913884306582</v>
      </c>
      <c r="I1924" s="25">
        <v>0.97403310826561307</v>
      </c>
      <c r="L1924" s="15">
        <v>1922</v>
      </c>
      <c r="M1924" s="16">
        <v>1</v>
      </c>
      <c r="N1924" s="16">
        <v>3</v>
      </c>
      <c r="O1924" s="16">
        <v>6</v>
      </c>
      <c r="P1924" s="16">
        <v>106</v>
      </c>
      <c r="Q1924" s="29">
        <v>39</v>
      </c>
      <c r="R1924" s="20">
        <v>0.49930000000000002</v>
      </c>
      <c r="S1924" s="32">
        <v>19.4727</v>
      </c>
      <c r="T1924" s="35">
        <v>1.98</v>
      </c>
      <c r="U1924" s="35">
        <v>1.47</v>
      </c>
      <c r="V1924" s="35">
        <v>5.0769230769230768E-2</v>
      </c>
      <c r="W1924" s="9" t="s">
        <v>153</v>
      </c>
      <c r="X1924" s="15">
        <v>1923</v>
      </c>
      <c r="Y1924" s="39">
        <v>0.4798346369994369</v>
      </c>
      <c r="Z1924" s="39">
        <v>0.4938822254409958</v>
      </c>
      <c r="AA1924" s="39">
        <v>0.48741119244397468</v>
      </c>
      <c r="AB1924" s="39">
        <v>0.48053155525573943</v>
      </c>
      <c r="AC1924" s="39">
        <v>0.47389620631329105</v>
      </c>
      <c r="AD1924" s="39">
        <v>0.48541337030557202</v>
      </c>
      <c r="AE1924" s="39">
        <v>0.48217486836914791</v>
      </c>
      <c r="AF1924" s="40">
        <v>0.47331647979944291</v>
      </c>
    </row>
    <row r="1925" spans="1:32">
      <c r="A1925" s="15">
        <v>1923</v>
      </c>
      <c r="B1925" s="16">
        <v>1</v>
      </c>
      <c r="C1925" s="20">
        <v>0.92</v>
      </c>
      <c r="D1925" s="20">
        <v>0.20258497911151899</v>
      </c>
      <c r="E1925" s="20">
        <v>0.08</v>
      </c>
      <c r="F1925" s="8" t="s">
        <v>434</v>
      </c>
      <c r="G1925" s="24">
        <v>0.35098030226132665</v>
      </c>
      <c r="H1925" s="24">
        <v>0.3530123886212066</v>
      </c>
      <c r="I1925" s="25">
        <v>0.35918609349308794</v>
      </c>
      <c r="L1925" s="15">
        <v>1923</v>
      </c>
      <c r="M1925" s="16">
        <v>1</v>
      </c>
      <c r="N1925" s="16">
        <v>3</v>
      </c>
      <c r="O1925" s="16">
        <v>6</v>
      </c>
      <c r="P1925" s="16">
        <v>107</v>
      </c>
      <c r="Q1925" s="29">
        <v>49</v>
      </c>
      <c r="R1925" s="20">
        <v>0.49930000000000002</v>
      </c>
      <c r="S1925" s="32">
        <v>24.465700000000002</v>
      </c>
      <c r="T1925" s="35">
        <v>1.78</v>
      </c>
      <c r="U1925" s="35">
        <v>1.1100000000000001</v>
      </c>
      <c r="V1925" s="35">
        <v>3.6326530612244896E-2</v>
      </c>
      <c r="W1925" s="9" t="s">
        <v>153</v>
      </c>
      <c r="X1925" s="15">
        <v>1924</v>
      </c>
      <c r="Y1925" s="39">
        <v>0.49389250713643573</v>
      </c>
      <c r="Z1925" s="39">
        <v>0.48568055460611848</v>
      </c>
      <c r="AA1925" s="39">
        <v>0.48445771837804824</v>
      </c>
      <c r="AB1925" s="39">
        <v>0.48562932673226145</v>
      </c>
      <c r="AC1925" s="39">
        <v>0.48526719085672299</v>
      </c>
      <c r="AD1925" s="39">
        <v>0.47705313056211063</v>
      </c>
      <c r="AE1925" s="39">
        <v>0.47589895490131601</v>
      </c>
      <c r="AF1925" s="40">
        <v>0.47980932793410686</v>
      </c>
    </row>
    <row r="1926" spans="1:32">
      <c r="A1926" s="15">
        <v>1924</v>
      </c>
      <c r="B1926" s="16">
        <v>0</v>
      </c>
      <c r="C1926" s="20">
        <v>0.1</v>
      </c>
      <c r="D1926" s="20">
        <v>0.92543539277654707</v>
      </c>
      <c r="E1926" s="20">
        <v>0.06</v>
      </c>
      <c r="F1926" s="8" t="s">
        <v>436</v>
      </c>
      <c r="G1926" s="24">
        <v>1.0939694726332378</v>
      </c>
      <c r="H1926" s="24">
        <v>1.1003032766363121</v>
      </c>
      <c r="I1926" s="25">
        <v>1.1195460792077701</v>
      </c>
      <c r="L1926" s="15">
        <v>1924</v>
      </c>
      <c r="M1926" s="16">
        <v>1</v>
      </c>
      <c r="N1926" s="16">
        <v>3</v>
      </c>
      <c r="O1926" s="16">
        <v>6</v>
      </c>
      <c r="P1926" s="16">
        <v>108</v>
      </c>
      <c r="Q1926" s="29">
        <v>51</v>
      </c>
      <c r="R1926" s="20">
        <v>0.49930000000000002</v>
      </c>
      <c r="S1926" s="32">
        <v>25.464300000000001</v>
      </c>
      <c r="T1926" s="35">
        <v>0.83000000000000007</v>
      </c>
      <c r="U1926" s="35">
        <v>0.06</v>
      </c>
      <c r="V1926" s="35">
        <v>1.6274509803921571E-2</v>
      </c>
      <c r="W1926" s="9" t="s">
        <v>152</v>
      </c>
      <c r="X1926" s="15">
        <v>1925</v>
      </c>
      <c r="Y1926" s="39">
        <v>0.48934089529743885</v>
      </c>
      <c r="Z1926" s="39">
        <v>0.48694572175750889</v>
      </c>
      <c r="AA1926" s="39">
        <v>0.48576241563928807</v>
      </c>
      <c r="AB1926" s="39">
        <v>0.49811555281929015</v>
      </c>
      <c r="AC1926" s="39">
        <v>0.48424586359147764</v>
      </c>
      <c r="AD1926" s="39">
        <v>0.47882278507162002</v>
      </c>
      <c r="AE1926" s="39">
        <v>0.47944182964660303</v>
      </c>
      <c r="AF1926" s="40">
        <v>0.49421146405961797</v>
      </c>
    </row>
    <row r="1927" spans="1:32">
      <c r="A1927" s="15">
        <v>1925</v>
      </c>
      <c r="B1927" s="16">
        <v>1</v>
      </c>
      <c r="C1927" s="20">
        <v>0.19</v>
      </c>
      <c r="D1927" s="20">
        <v>0.77987392869699967</v>
      </c>
      <c r="E1927" s="20">
        <v>0.12</v>
      </c>
      <c r="F1927" s="8" t="s">
        <v>436</v>
      </c>
      <c r="G1927" s="24">
        <v>0.73339353885966352</v>
      </c>
      <c r="H1927" s="24">
        <v>0.73763970024575509</v>
      </c>
      <c r="I1927" s="25">
        <v>0.75054001184356389</v>
      </c>
      <c r="L1927" s="15">
        <v>1925</v>
      </c>
      <c r="M1927" s="16">
        <v>1</v>
      </c>
      <c r="N1927" s="16">
        <v>3</v>
      </c>
      <c r="O1927" s="16">
        <v>6</v>
      </c>
      <c r="P1927" s="16">
        <v>109</v>
      </c>
      <c r="Q1927" s="29">
        <v>51</v>
      </c>
      <c r="R1927" s="20">
        <v>0.49930000000000002</v>
      </c>
      <c r="S1927" s="32">
        <v>25.464300000000001</v>
      </c>
      <c r="T1927" s="35">
        <v>1.29</v>
      </c>
      <c r="U1927" s="35">
        <v>0.4</v>
      </c>
      <c r="V1927" s="35">
        <v>2.5294117647058825E-2</v>
      </c>
      <c r="W1927" s="9" t="s">
        <v>153</v>
      </c>
      <c r="X1927" s="15">
        <v>1926</v>
      </c>
      <c r="Y1927" s="39">
        <v>0.48365711649663751</v>
      </c>
      <c r="Z1927" s="39">
        <v>0.47597085173689485</v>
      </c>
      <c r="AA1927" s="39">
        <v>0.47899293448577174</v>
      </c>
      <c r="AB1927" s="39">
        <v>0.49380194935253652</v>
      </c>
      <c r="AC1927" s="39">
        <v>0.47715982242678756</v>
      </c>
      <c r="AD1927" s="39">
        <v>0.46895863383433595</v>
      </c>
      <c r="AE1927" s="39">
        <v>0.47389010694159112</v>
      </c>
      <c r="AF1927" s="40">
        <v>0.48965602413639375</v>
      </c>
    </row>
    <row r="1928" spans="1:32">
      <c r="A1928" s="15">
        <v>1926</v>
      </c>
      <c r="B1928" s="16">
        <v>0</v>
      </c>
      <c r="C1928" s="20">
        <v>0.16</v>
      </c>
      <c r="D1928" s="20">
        <v>0.89925746169835574</v>
      </c>
      <c r="E1928" s="20">
        <v>0.06</v>
      </c>
      <c r="F1928" s="8" t="s">
        <v>436</v>
      </c>
      <c r="G1928" s="24">
        <v>0.72687988364431233</v>
      </c>
      <c r="H1928" s="24">
        <v>0.73108833262936368</v>
      </c>
      <c r="I1928" s="25">
        <v>0.7438740697491244</v>
      </c>
      <c r="L1928" s="15">
        <v>1926</v>
      </c>
      <c r="M1928" s="16">
        <v>1</v>
      </c>
      <c r="N1928" s="16">
        <v>3</v>
      </c>
      <c r="O1928" s="16">
        <v>6</v>
      </c>
      <c r="P1928" s="16">
        <v>110</v>
      </c>
      <c r="Q1928" s="29">
        <v>41</v>
      </c>
      <c r="R1928" s="20">
        <v>0.49930000000000002</v>
      </c>
      <c r="S1928" s="32">
        <v>20.471299999999999</v>
      </c>
      <c r="T1928" s="35">
        <v>2.65</v>
      </c>
      <c r="U1928" s="35">
        <v>1.97</v>
      </c>
      <c r="V1928" s="35">
        <v>6.4634146341463417E-2</v>
      </c>
      <c r="W1928" s="9" t="s">
        <v>154</v>
      </c>
      <c r="X1928" s="15">
        <v>1927</v>
      </c>
      <c r="Y1928" s="39">
        <v>0.49669999581291063</v>
      </c>
      <c r="Z1928" s="39">
        <v>0.47309914315117568</v>
      </c>
      <c r="AA1928" s="39">
        <v>0.48447437591154474</v>
      </c>
      <c r="AB1928" s="39">
        <v>0.4868452910174676</v>
      </c>
      <c r="AC1928" s="39">
        <v>0.49073495879139195</v>
      </c>
      <c r="AD1928" s="39">
        <v>0.47005128234959814</v>
      </c>
      <c r="AE1928" s="39">
        <v>0.47880878604663224</v>
      </c>
      <c r="AF1928" s="40">
        <v>0.48056327436783536</v>
      </c>
    </row>
    <row r="1929" spans="1:32">
      <c r="A1929" s="15">
        <v>1927</v>
      </c>
      <c r="B1929" s="16">
        <v>0</v>
      </c>
      <c r="C1929" s="20">
        <v>0.88</v>
      </c>
      <c r="D1929" s="20">
        <v>0.25930874124763043</v>
      </c>
      <c r="E1929" s="20">
        <v>0.12</v>
      </c>
      <c r="F1929" s="8" t="s">
        <v>434</v>
      </c>
      <c r="G1929" s="24">
        <v>0.97322397724278975</v>
      </c>
      <c r="H1929" s="24">
        <v>0.9788586956486981</v>
      </c>
      <c r="I1929" s="25">
        <v>0.99597759825099275</v>
      </c>
      <c r="L1929" s="15">
        <v>1927</v>
      </c>
      <c r="M1929" s="16">
        <v>1</v>
      </c>
      <c r="N1929" s="16">
        <v>3</v>
      </c>
      <c r="O1929" s="16">
        <v>6</v>
      </c>
      <c r="P1929" s="16">
        <v>111</v>
      </c>
      <c r="Q1929" s="29">
        <v>43</v>
      </c>
      <c r="R1929" s="20">
        <v>0.49930000000000002</v>
      </c>
      <c r="S1929" s="32">
        <v>21.469900000000003</v>
      </c>
      <c r="T1929" s="35">
        <v>1.78</v>
      </c>
      <c r="U1929" s="35">
        <v>1.1499999999999999</v>
      </c>
      <c r="V1929" s="35">
        <v>4.13953488372093E-2</v>
      </c>
      <c r="W1929" s="9" t="s">
        <v>153</v>
      </c>
      <c r="X1929" s="15">
        <v>1928</v>
      </c>
      <c r="Y1929" s="39">
        <v>0.48469426225653833</v>
      </c>
      <c r="Z1929" s="39">
        <v>0.48267984826450255</v>
      </c>
      <c r="AA1929" s="39">
        <v>0.49068781552163959</v>
      </c>
      <c r="AB1929" s="39">
        <v>0.4886851387533877</v>
      </c>
      <c r="AC1929" s="39">
        <v>0.47880312540433601</v>
      </c>
      <c r="AD1929" s="39">
        <v>0.47651398639173487</v>
      </c>
      <c r="AE1929" s="39">
        <v>0.48134632804450639</v>
      </c>
      <c r="AF1929" s="40">
        <v>0.48481767688227673</v>
      </c>
    </row>
    <row r="1930" spans="1:32">
      <c r="A1930" s="15">
        <v>1928</v>
      </c>
      <c r="B1930" s="16">
        <v>0</v>
      </c>
      <c r="C1930" s="20">
        <v>0.91</v>
      </c>
      <c r="D1930" s="20">
        <v>0.21727233298780477</v>
      </c>
      <c r="E1930" s="20">
        <v>0.09</v>
      </c>
      <c r="F1930" s="8" t="s">
        <v>434</v>
      </c>
      <c r="G1930" s="24">
        <v>1.8764050995642121</v>
      </c>
      <c r="H1930" s="24">
        <v>1.88726900612497</v>
      </c>
      <c r="I1930" s="25">
        <v>1.6578926537592125</v>
      </c>
      <c r="L1930" s="15">
        <v>1928</v>
      </c>
      <c r="M1930" s="16">
        <v>1</v>
      </c>
      <c r="N1930" s="16">
        <v>3</v>
      </c>
      <c r="O1930" s="16">
        <v>6</v>
      </c>
      <c r="P1930" s="16">
        <v>112</v>
      </c>
      <c r="Q1930" s="29">
        <v>53</v>
      </c>
      <c r="R1930" s="20">
        <v>0.49930000000000002</v>
      </c>
      <c r="S1930" s="32">
        <v>26.462900000000001</v>
      </c>
      <c r="T1930" s="35">
        <v>1.78</v>
      </c>
      <c r="U1930" s="35">
        <v>1.03</v>
      </c>
      <c r="V1930" s="35">
        <v>3.3584905660377362E-2</v>
      </c>
      <c r="W1930" s="9" t="s">
        <v>153</v>
      </c>
      <c r="X1930" s="15">
        <v>1929</v>
      </c>
      <c r="Y1930" s="39">
        <v>0.50166726277310403</v>
      </c>
      <c r="Z1930" s="39">
        <v>0.47695173368441368</v>
      </c>
      <c r="AA1930" s="39">
        <v>0.47756400206569249</v>
      </c>
      <c r="AB1930" s="39">
        <v>0.4850219587957752</v>
      </c>
      <c r="AC1930" s="39">
        <v>0.4932354894644666</v>
      </c>
      <c r="AD1930" s="39">
        <v>0.46976188522540968</v>
      </c>
      <c r="AE1930" s="39">
        <v>0.47307016637258487</v>
      </c>
      <c r="AF1930" s="40">
        <v>0.48177129322560169</v>
      </c>
    </row>
    <row r="1931" spans="1:32">
      <c r="A1931" s="15">
        <v>1929</v>
      </c>
      <c r="B1931" s="16">
        <v>1</v>
      </c>
      <c r="C1931" s="20">
        <v>0.28000000000000003</v>
      </c>
      <c r="D1931" s="20">
        <v>0.72095217753433927</v>
      </c>
      <c r="E1931" s="20">
        <v>7.0000000000000007E-2</v>
      </c>
      <c r="F1931" s="8" t="s">
        <v>436</v>
      </c>
      <c r="G1931" s="24">
        <v>0.72541613499268109</v>
      </c>
      <c r="H1931" s="24">
        <v>0.72961610924667175</v>
      </c>
      <c r="I1931" s="25">
        <v>0.7423760991888172</v>
      </c>
      <c r="L1931" s="15">
        <v>1929</v>
      </c>
      <c r="M1931" s="16">
        <v>1</v>
      </c>
      <c r="N1931" s="16">
        <v>3</v>
      </c>
      <c r="O1931" s="16">
        <v>6</v>
      </c>
      <c r="P1931" s="16">
        <v>113</v>
      </c>
      <c r="Q1931" s="29">
        <v>53</v>
      </c>
      <c r="R1931" s="20">
        <v>0.49930000000000002</v>
      </c>
      <c r="S1931" s="32">
        <v>26.462900000000001</v>
      </c>
      <c r="T1931" s="35">
        <v>1.1000000000000001</v>
      </c>
      <c r="U1931" s="35">
        <v>0.4</v>
      </c>
      <c r="V1931" s="35">
        <v>2.0754716981132078E-2</v>
      </c>
      <c r="W1931" s="9" t="s">
        <v>153</v>
      </c>
      <c r="X1931" s="15">
        <v>1930</v>
      </c>
      <c r="Y1931" s="39">
        <v>0.47575341602941795</v>
      </c>
      <c r="Z1931" s="39">
        <v>0.48677039169568698</v>
      </c>
      <c r="AA1931" s="39">
        <v>0.48987025158135233</v>
      </c>
      <c r="AB1931" s="39">
        <v>0.48369192397917077</v>
      </c>
      <c r="AC1931" s="39">
        <v>0.46801052524860837</v>
      </c>
      <c r="AD1931" s="39">
        <v>0.48179059205684949</v>
      </c>
      <c r="AE1931" s="39">
        <v>0.48160643843980538</v>
      </c>
      <c r="AF1931" s="40">
        <v>0.48083895643441005</v>
      </c>
    </row>
    <row r="1932" spans="1:32">
      <c r="A1932" s="15">
        <v>1930</v>
      </c>
      <c r="B1932" s="16">
        <v>0</v>
      </c>
      <c r="C1932" s="20">
        <v>0.09</v>
      </c>
      <c r="D1932" s="20">
        <v>0.92908341020758467</v>
      </c>
      <c r="E1932" s="20">
        <v>0.38</v>
      </c>
      <c r="F1932" s="8" t="s">
        <v>436</v>
      </c>
      <c r="G1932" s="24">
        <v>1.5732682095732813</v>
      </c>
      <c r="H1932" s="24">
        <v>1.5823770309188341</v>
      </c>
      <c r="I1932" s="25">
        <v>1.6100506454995944</v>
      </c>
      <c r="L1932" s="15">
        <v>1930</v>
      </c>
      <c r="M1932" s="16">
        <v>1</v>
      </c>
      <c r="N1932" s="16">
        <v>3</v>
      </c>
      <c r="O1932" s="16">
        <v>6</v>
      </c>
      <c r="P1932" s="16">
        <v>114</v>
      </c>
      <c r="Q1932" s="29">
        <v>62</v>
      </c>
      <c r="R1932" s="20">
        <v>0.49930000000000002</v>
      </c>
      <c r="S1932" s="32">
        <v>30.956600000000002</v>
      </c>
      <c r="T1932" s="35">
        <v>1.02</v>
      </c>
      <c r="U1932" s="35">
        <v>0.08</v>
      </c>
      <c r="V1932" s="35">
        <v>1.6451612903225808E-2</v>
      </c>
      <c r="W1932" s="9" t="s">
        <v>153</v>
      </c>
      <c r="X1932" s="15">
        <v>1931</v>
      </c>
      <c r="Y1932" s="39">
        <v>0.48408100304750484</v>
      </c>
      <c r="Z1932" s="39">
        <v>0.49362888629174145</v>
      </c>
      <c r="AA1932" s="39">
        <v>0.48239715160354835</v>
      </c>
      <c r="AB1932" s="39">
        <v>0.49328978926987671</v>
      </c>
      <c r="AC1932" s="39">
        <v>0.47785754476997183</v>
      </c>
      <c r="AD1932" s="39">
        <v>0.48654623933152852</v>
      </c>
      <c r="AE1932" s="39">
        <v>0.47658624826579943</v>
      </c>
      <c r="AF1932" s="40">
        <v>0.48749730258438151</v>
      </c>
    </row>
    <row r="1933" spans="1:32">
      <c r="A1933" s="15">
        <v>1931</v>
      </c>
      <c r="B1933" s="16">
        <v>0</v>
      </c>
      <c r="C1933" s="20">
        <v>0.53</v>
      </c>
      <c r="D1933" s="20">
        <v>0.46650608298000573</v>
      </c>
      <c r="E1933" s="20">
        <v>0.09</v>
      </c>
      <c r="F1933" s="8" t="s">
        <v>438</v>
      </c>
      <c r="G1933" s="24">
        <v>1.0581813936452289</v>
      </c>
      <c r="H1933" s="24">
        <v>1.0643079938061237</v>
      </c>
      <c r="I1933" s="25">
        <v>1.0829212880086505</v>
      </c>
      <c r="L1933" s="15">
        <v>1931</v>
      </c>
      <c r="M1933" s="16">
        <v>1</v>
      </c>
      <c r="N1933" s="16">
        <v>3</v>
      </c>
      <c r="O1933" s="16">
        <v>6</v>
      </c>
      <c r="P1933" s="16">
        <v>115</v>
      </c>
      <c r="Q1933" s="29">
        <v>56</v>
      </c>
      <c r="R1933" s="20">
        <v>0.49930000000000002</v>
      </c>
      <c r="S1933" s="32">
        <v>27.960800000000003</v>
      </c>
      <c r="T1933" s="35">
        <v>2.34</v>
      </c>
      <c r="U1933" s="35">
        <v>1.45</v>
      </c>
      <c r="V1933" s="35">
        <v>4.178571428571428E-2</v>
      </c>
      <c r="W1933" s="9" t="s">
        <v>154</v>
      </c>
      <c r="X1933" s="15">
        <v>1932</v>
      </c>
      <c r="Y1933" s="39">
        <v>0.48416800831428075</v>
      </c>
      <c r="Z1933" s="39">
        <v>0.48356316791339293</v>
      </c>
      <c r="AA1933" s="39">
        <v>0.49159191609420483</v>
      </c>
      <c r="AB1933" s="39">
        <v>0.49817230786969513</v>
      </c>
      <c r="AC1933" s="39">
        <v>0.47682125311643281</v>
      </c>
      <c r="AD1933" s="39">
        <v>0.47465515794094915</v>
      </c>
      <c r="AE1933" s="39">
        <v>0.4855258078219209</v>
      </c>
      <c r="AF1933" s="40">
        <v>0.49356953886554494</v>
      </c>
    </row>
    <row r="1934" spans="1:32">
      <c r="A1934" s="15">
        <v>1932</v>
      </c>
      <c r="B1934" s="16">
        <v>0</v>
      </c>
      <c r="C1934" s="20">
        <v>0.02</v>
      </c>
      <c r="D1934" s="20">
        <v>0.99679477127711513</v>
      </c>
      <c r="E1934" s="20">
        <v>1</v>
      </c>
      <c r="F1934" s="8" t="s">
        <v>436</v>
      </c>
      <c r="G1934" s="24">
        <v>1.0324949069256382</v>
      </c>
      <c r="H1934" s="24">
        <v>1.0384727888850847</v>
      </c>
      <c r="I1934" s="25">
        <v>1.0566342606144397</v>
      </c>
      <c r="L1934" s="15">
        <v>1932</v>
      </c>
      <c r="M1934" s="16">
        <v>1</v>
      </c>
      <c r="N1934" s="16">
        <v>3</v>
      </c>
      <c r="O1934" s="16">
        <v>6</v>
      </c>
      <c r="P1934" s="16">
        <v>116</v>
      </c>
      <c r="Q1934" s="29">
        <v>54</v>
      </c>
      <c r="R1934" s="20">
        <v>0.49930000000000002</v>
      </c>
      <c r="S1934" s="32">
        <v>26.962200000000003</v>
      </c>
      <c r="T1934" s="35">
        <v>1.53</v>
      </c>
      <c r="U1934" s="35">
        <v>0.81</v>
      </c>
      <c r="V1934" s="35">
        <v>2.8333333333333335E-2</v>
      </c>
      <c r="W1934" s="9" t="s">
        <v>153</v>
      </c>
      <c r="X1934" s="15">
        <v>1933</v>
      </c>
      <c r="Y1934" s="39">
        <v>0.48264502464092607</v>
      </c>
      <c r="Z1934" s="39">
        <v>0.47544417913869219</v>
      </c>
      <c r="AA1934" s="39">
        <v>0.48320418331054965</v>
      </c>
      <c r="AB1934" s="39">
        <v>0.48601139945158806</v>
      </c>
      <c r="AC1934" s="39">
        <v>0.4768927339115327</v>
      </c>
      <c r="AD1934" s="39">
        <v>0.46877728913579969</v>
      </c>
      <c r="AE1934" s="39">
        <v>0.47539433263217762</v>
      </c>
      <c r="AF1934" s="40">
        <v>0.48200506845360824</v>
      </c>
    </row>
    <row r="1935" spans="1:32">
      <c r="A1935" s="15">
        <v>1933</v>
      </c>
      <c r="B1935" s="16">
        <v>0</v>
      </c>
      <c r="C1935" s="20">
        <v>0.2</v>
      </c>
      <c r="D1935" s="20">
        <v>0.77290710921387928</v>
      </c>
      <c r="E1935" s="20">
        <v>0.09</v>
      </c>
      <c r="F1935" s="8" t="s">
        <v>436</v>
      </c>
      <c r="G1935" s="24">
        <v>1.0761486919941055</v>
      </c>
      <c r="H1935" s="24">
        <v>1.0823793182261601</v>
      </c>
      <c r="I1935" s="25">
        <v>1.1013086552283433</v>
      </c>
      <c r="L1935" s="15">
        <v>1933</v>
      </c>
      <c r="M1935" s="16">
        <v>1</v>
      </c>
      <c r="N1935" s="16">
        <v>3</v>
      </c>
      <c r="O1935" s="16">
        <v>6</v>
      </c>
      <c r="P1935" s="16">
        <v>117</v>
      </c>
      <c r="Q1935" s="29">
        <v>53</v>
      </c>
      <c r="R1935" s="20">
        <v>0.49930000000000002</v>
      </c>
      <c r="S1935" s="32">
        <v>26.462900000000001</v>
      </c>
      <c r="T1935" s="35">
        <v>0.91</v>
      </c>
      <c r="U1935" s="35">
        <v>0.08</v>
      </c>
      <c r="V1935" s="35">
        <v>1.7169811320754718E-2</v>
      </c>
      <c r="W1935" s="9" t="s">
        <v>152</v>
      </c>
      <c r="X1935" s="15">
        <v>1934</v>
      </c>
      <c r="Y1935" s="39">
        <v>0.4963231057446591</v>
      </c>
      <c r="Z1935" s="39">
        <v>0.48155234896678228</v>
      </c>
      <c r="AA1935" s="39">
        <v>0.48032436921504679</v>
      </c>
      <c r="AB1935" s="39">
        <v>0.49159490199794115</v>
      </c>
      <c r="AC1935" s="39">
        <v>0.48931557732174996</v>
      </c>
      <c r="AD1935" s="39">
        <v>0.47484629485118773</v>
      </c>
      <c r="AE1935" s="39">
        <v>0.47343028840408607</v>
      </c>
      <c r="AF1935" s="40">
        <v>0.48928667542529697</v>
      </c>
    </row>
    <row r="1936" spans="1:32">
      <c r="A1936" s="15">
        <v>1934</v>
      </c>
      <c r="B1936" s="16">
        <v>0</v>
      </c>
      <c r="C1936" s="20">
        <v>0.18</v>
      </c>
      <c r="D1936" s="20">
        <v>0.90038493896982807</v>
      </c>
      <c r="E1936" s="20">
        <v>0.06</v>
      </c>
      <c r="F1936" s="8" t="s">
        <v>436</v>
      </c>
      <c r="G1936" s="24">
        <v>0.99525273986331075</v>
      </c>
      <c r="H1936" s="24">
        <v>1.0010149991817938</v>
      </c>
      <c r="I1936" s="25">
        <v>1.0185213852930934</v>
      </c>
      <c r="L1936" s="15">
        <v>1934</v>
      </c>
      <c r="M1936" s="16">
        <v>1</v>
      </c>
      <c r="N1936" s="16">
        <v>3</v>
      </c>
      <c r="O1936" s="16">
        <v>6</v>
      </c>
      <c r="P1936" s="16">
        <v>118</v>
      </c>
      <c r="Q1936" s="29">
        <v>36</v>
      </c>
      <c r="R1936" s="20">
        <v>0.49930000000000002</v>
      </c>
      <c r="S1936" s="32">
        <v>17.974800000000002</v>
      </c>
      <c r="T1936" s="35">
        <v>0.71</v>
      </c>
      <c r="U1936" s="35">
        <v>0.19</v>
      </c>
      <c r="V1936" s="35">
        <v>1.9722222222222221E-2</v>
      </c>
      <c r="W1936" s="9" t="s">
        <v>152</v>
      </c>
      <c r="X1936" s="15">
        <v>1935</v>
      </c>
      <c r="Y1936" s="39">
        <v>0.48954385646380161</v>
      </c>
      <c r="Z1936" s="39">
        <v>0.4928292859163757</v>
      </c>
      <c r="AA1936" s="39">
        <v>0.47872405551272984</v>
      </c>
      <c r="AB1936" s="39">
        <v>0.49448217542095829</v>
      </c>
      <c r="AC1936" s="39">
        <v>0.4826424537420882</v>
      </c>
      <c r="AD1936" s="39">
        <v>0.48602738293193759</v>
      </c>
      <c r="AE1936" s="39">
        <v>0.47417425194027407</v>
      </c>
      <c r="AF1936" s="40">
        <v>0.48850444644316088</v>
      </c>
    </row>
    <row r="1937" spans="1:32">
      <c r="A1937" s="15">
        <v>1935</v>
      </c>
      <c r="B1937" s="16">
        <v>0</v>
      </c>
      <c r="C1937" s="20">
        <v>0.02</v>
      </c>
      <c r="D1937" s="20">
        <v>0.99460135128185911</v>
      </c>
      <c r="E1937" s="20">
        <v>1</v>
      </c>
      <c r="F1937" s="8" t="s">
        <v>436</v>
      </c>
      <c r="G1937" s="24">
        <v>0.98654233565143623</v>
      </c>
      <c r="H1937" s="24">
        <v>0.99225416395292509</v>
      </c>
      <c r="I1937" s="25">
        <v>1.009607335013202</v>
      </c>
      <c r="L1937" s="15">
        <v>1935</v>
      </c>
      <c r="M1937" s="16">
        <v>1</v>
      </c>
      <c r="N1937" s="16">
        <v>3</v>
      </c>
      <c r="O1937" s="16">
        <v>6</v>
      </c>
      <c r="P1937" s="16">
        <v>119</v>
      </c>
      <c r="Q1937" s="29">
        <v>58</v>
      </c>
      <c r="R1937" s="20">
        <v>0.49930000000000002</v>
      </c>
      <c r="S1937" s="32">
        <v>28.959400000000002</v>
      </c>
      <c r="T1937" s="35">
        <v>2.67</v>
      </c>
      <c r="U1937" s="35">
        <v>1.86</v>
      </c>
      <c r="V1937" s="35">
        <v>4.6034482758620689E-2</v>
      </c>
      <c r="W1937" s="9" t="s">
        <v>154</v>
      </c>
      <c r="X1937" s="15">
        <v>1936</v>
      </c>
      <c r="Y1937" s="39">
        <v>0.48628015792234136</v>
      </c>
      <c r="Z1937" s="39">
        <v>0.48083829491366836</v>
      </c>
      <c r="AA1937" s="39">
        <v>0.48748959445549289</v>
      </c>
      <c r="AB1937" s="39">
        <v>0.47875239074969367</v>
      </c>
      <c r="AC1937" s="39">
        <v>0.4800343723827985</v>
      </c>
      <c r="AD1937" s="39">
        <v>0.47532695318054513</v>
      </c>
      <c r="AE1937" s="39">
        <v>0.47882856148348868</v>
      </c>
      <c r="AF1937" s="40">
        <v>0.47523910712295314</v>
      </c>
    </row>
    <row r="1938" spans="1:32">
      <c r="A1938" s="15">
        <v>1936</v>
      </c>
      <c r="B1938" s="16">
        <v>0</v>
      </c>
      <c r="C1938" s="20">
        <v>0.94</v>
      </c>
      <c r="D1938" s="20">
        <v>0.17188516685452584</v>
      </c>
      <c r="E1938" s="20">
        <v>0.06</v>
      </c>
      <c r="F1938" s="8" t="s">
        <v>434</v>
      </c>
      <c r="G1938" s="24">
        <v>0.55071576405918643</v>
      </c>
      <c r="H1938" s="24">
        <v>0.55390426775898172</v>
      </c>
      <c r="I1938" s="25">
        <v>0.5635912974118954</v>
      </c>
      <c r="L1938" s="15">
        <v>1936</v>
      </c>
      <c r="M1938" s="16">
        <v>1</v>
      </c>
      <c r="N1938" s="16">
        <v>3</v>
      </c>
      <c r="O1938" s="16">
        <v>6</v>
      </c>
      <c r="P1938" s="16">
        <v>120</v>
      </c>
      <c r="Q1938" s="29">
        <v>48</v>
      </c>
      <c r="R1938" s="20">
        <v>0.49930000000000002</v>
      </c>
      <c r="S1938" s="32">
        <v>23.9664</v>
      </c>
      <c r="T1938" s="35">
        <v>1.99</v>
      </c>
      <c r="U1938" s="35">
        <v>1.29</v>
      </c>
      <c r="V1938" s="35">
        <v>4.1458333333333333E-2</v>
      </c>
      <c r="W1938" s="9" t="s">
        <v>153</v>
      </c>
      <c r="X1938" s="15">
        <v>1937</v>
      </c>
      <c r="Y1938" s="39">
        <v>0.47519743452713237</v>
      </c>
      <c r="Z1938" s="39">
        <v>0.48800982846474583</v>
      </c>
      <c r="AA1938" s="39">
        <v>0.49181505075443266</v>
      </c>
      <c r="AB1938" s="39">
        <v>0.48605282181920911</v>
      </c>
      <c r="AC1938" s="39">
        <v>0.46861681305708125</v>
      </c>
      <c r="AD1938" s="39">
        <v>0.48231319821324309</v>
      </c>
      <c r="AE1938" s="39">
        <v>0.48629395313524937</v>
      </c>
      <c r="AF1938" s="40">
        <v>0.48125983706193393</v>
      </c>
    </row>
    <row r="1939" spans="1:32">
      <c r="A1939" s="15">
        <v>1937</v>
      </c>
      <c r="B1939" s="16">
        <v>0</v>
      </c>
      <c r="C1939" s="20">
        <v>0.38</v>
      </c>
      <c r="D1939" s="20">
        <v>0.74878474739884127</v>
      </c>
      <c r="E1939" s="20">
        <v>0.44</v>
      </c>
      <c r="F1939" s="8" t="s">
        <v>436</v>
      </c>
      <c r="G1939" s="24">
        <v>1.3921893002006622</v>
      </c>
      <c r="H1939" s="24">
        <v>1.4002497208826243</v>
      </c>
      <c r="I1939" s="25">
        <v>1.4247381773853216</v>
      </c>
      <c r="L1939" s="15">
        <v>1937</v>
      </c>
      <c r="M1939" s="16">
        <v>1</v>
      </c>
      <c r="N1939" s="16">
        <v>3</v>
      </c>
      <c r="O1939" s="16">
        <v>6</v>
      </c>
      <c r="P1939" s="16">
        <v>121</v>
      </c>
      <c r="Q1939" s="29">
        <v>51</v>
      </c>
      <c r="R1939" s="20">
        <v>0.49930000000000002</v>
      </c>
      <c r="S1939" s="32">
        <v>25.464300000000001</v>
      </c>
      <c r="T1939" s="35">
        <v>1.97</v>
      </c>
      <c r="U1939" s="35">
        <v>1.23</v>
      </c>
      <c r="V1939" s="35">
        <v>3.8627450980392157E-2</v>
      </c>
      <c r="W1939" s="9" t="s">
        <v>153</v>
      </c>
      <c r="X1939" s="15">
        <v>1938</v>
      </c>
      <c r="Y1939" s="39">
        <v>0.48326173651420101</v>
      </c>
      <c r="Z1939" s="39">
        <v>0.48170077435400721</v>
      </c>
      <c r="AA1939" s="39">
        <v>0.4881285717038617</v>
      </c>
      <c r="AB1939" s="39">
        <v>0.48219849917888252</v>
      </c>
      <c r="AC1939" s="39">
        <v>0.47660324473331678</v>
      </c>
      <c r="AD1939" s="39">
        <v>0.47359989714804845</v>
      </c>
      <c r="AE1939" s="39">
        <v>0.48231297336479712</v>
      </c>
      <c r="AF1939" s="40">
        <v>0.47630039593681411</v>
      </c>
    </row>
    <row r="1940" spans="1:32">
      <c r="A1940" s="15">
        <v>1938</v>
      </c>
      <c r="B1940" s="16">
        <v>0</v>
      </c>
      <c r="C1940" s="20">
        <v>0.91</v>
      </c>
      <c r="D1940" s="20">
        <v>0.21727233298780477</v>
      </c>
      <c r="E1940" s="20">
        <v>0.09</v>
      </c>
      <c r="F1940" s="8" t="s">
        <v>434</v>
      </c>
      <c r="G1940" s="24">
        <v>2.5517642625458761</v>
      </c>
      <c r="H1940" s="24">
        <v>2.3557193791407478</v>
      </c>
      <c r="I1940" s="25">
        <v>1.6578926537592125</v>
      </c>
      <c r="L1940" s="15">
        <v>1938</v>
      </c>
      <c r="M1940" s="16">
        <v>1</v>
      </c>
      <c r="N1940" s="16">
        <v>3</v>
      </c>
      <c r="O1940" s="16">
        <v>6</v>
      </c>
      <c r="P1940" s="16">
        <v>122</v>
      </c>
      <c r="Q1940" s="29">
        <v>46</v>
      </c>
      <c r="R1940" s="20">
        <v>0.49930000000000002</v>
      </c>
      <c r="S1940" s="32">
        <v>22.9678</v>
      </c>
      <c r="T1940" s="35">
        <v>1.33</v>
      </c>
      <c r="U1940" s="35">
        <v>0.67</v>
      </c>
      <c r="V1940" s="35">
        <v>2.8913043478260871E-2</v>
      </c>
      <c r="W1940" s="9" t="s">
        <v>153</v>
      </c>
      <c r="X1940" s="15">
        <v>1939</v>
      </c>
      <c r="Y1940" s="39">
        <v>0.48760602651865731</v>
      </c>
      <c r="Z1940" s="39">
        <v>0.49153882673423355</v>
      </c>
      <c r="AA1940" s="39">
        <v>0.47876548025470689</v>
      </c>
      <c r="AB1940" s="39">
        <v>0.48451684521614652</v>
      </c>
      <c r="AC1940" s="39">
        <v>0.4826557642100997</v>
      </c>
      <c r="AD1940" s="39">
        <v>0.48454728843874145</v>
      </c>
      <c r="AE1940" s="39">
        <v>0.47248220164091642</v>
      </c>
      <c r="AF1940" s="40">
        <v>0.48040924147789388</v>
      </c>
    </row>
    <row r="1941" spans="1:32">
      <c r="A1941" s="15">
        <v>1939</v>
      </c>
      <c r="B1941" s="16">
        <v>0</v>
      </c>
      <c r="C1941" s="20">
        <v>0.86</v>
      </c>
      <c r="D1941" s="20">
        <v>0.28597383862931031</v>
      </c>
      <c r="E1941" s="20">
        <v>0.14000000000000001</v>
      </c>
      <c r="F1941" s="8" t="s">
        <v>434</v>
      </c>
      <c r="G1941" s="24">
        <v>0.4612573794541312</v>
      </c>
      <c r="H1941" s="24">
        <v>0.46392794194195086</v>
      </c>
      <c r="I1941" s="25">
        <v>0.47204140845953035</v>
      </c>
      <c r="L1941" s="15">
        <v>1939</v>
      </c>
      <c r="M1941" s="16">
        <v>1</v>
      </c>
      <c r="N1941" s="16">
        <v>3</v>
      </c>
      <c r="O1941" s="16">
        <v>6</v>
      </c>
      <c r="P1941" s="16">
        <v>123</v>
      </c>
      <c r="Q1941" s="29">
        <v>50</v>
      </c>
      <c r="R1941" s="20">
        <v>0.49930000000000002</v>
      </c>
      <c r="S1941" s="32">
        <v>24.965</v>
      </c>
      <c r="T1941" s="35">
        <v>2.5299999999999998</v>
      </c>
      <c r="U1941" s="35">
        <v>1.75</v>
      </c>
      <c r="V1941" s="35">
        <v>5.0599999999999999E-2</v>
      </c>
      <c r="W1941" s="9" t="s">
        <v>154</v>
      </c>
      <c r="X1941" s="15">
        <v>1940</v>
      </c>
      <c r="Y1941" s="39">
        <v>0.49445635945244676</v>
      </c>
      <c r="Z1941" s="39">
        <v>0.49145111088907023</v>
      </c>
      <c r="AA1941" s="39">
        <v>0.4730977410439966</v>
      </c>
      <c r="AB1941" s="39">
        <v>0.48832046804652718</v>
      </c>
      <c r="AC1941" s="39">
        <v>0.48858085960240194</v>
      </c>
      <c r="AD1941" s="39">
        <v>0.48247163148740618</v>
      </c>
      <c r="AE1941" s="39">
        <v>0.46612638564044406</v>
      </c>
      <c r="AF1941" s="40">
        <v>0.4868221626968578</v>
      </c>
    </row>
    <row r="1942" spans="1:32">
      <c r="A1942" s="15">
        <v>1940</v>
      </c>
      <c r="B1942" s="16">
        <v>0</v>
      </c>
      <c r="C1942" s="20">
        <v>0.33</v>
      </c>
      <c r="D1942" s="20">
        <v>0.77963477689868443</v>
      </c>
      <c r="E1942" s="20">
        <v>0.05</v>
      </c>
      <c r="F1942" s="8" t="s">
        <v>436</v>
      </c>
      <c r="G1942" s="24">
        <v>0.92748666184145268</v>
      </c>
      <c r="H1942" s="24">
        <v>0.93285657286596158</v>
      </c>
      <c r="I1942" s="25">
        <v>0.94917096112628119</v>
      </c>
      <c r="L1942" s="15">
        <v>1940</v>
      </c>
      <c r="M1942" s="16">
        <v>1</v>
      </c>
      <c r="N1942" s="16">
        <v>3</v>
      </c>
      <c r="O1942" s="16">
        <v>6</v>
      </c>
      <c r="P1942" s="16">
        <v>124</v>
      </c>
      <c r="Q1942" s="29">
        <v>51</v>
      </c>
      <c r="R1942" s="20">
        <v>0.49930000000000002</v>
      </c>
      <c r="S1942" s="32">
        <v>25.464300000000001</v>
      </c>
      <c r="T1942" s="35">
        <v>1.08</v>
      </c>
      <c r="U1942" s="35">
        <v>0.32</v>
      </c>
      <c r="V1942" s="35">
        <v>2.1176470588235297E-2</v>
      </c>
      <c r="W1942" s="9" t="s">
        <v>153</v>
      </c>
      <c r="X1942" s="15">
        <v>1941</v>
      </c>
      <c r="Y1942" s="39">
        <v>0.48368488643322322</v>
      </c>
      <c r="Z1942" s="39">
        <v>0.47535154229735738</v>
      </c>
      <c r="AA1942" s="39">
        <v>0.49533479116489054</v>
      </c>
      <c r="AB1942" s="39">
        <v>0.49114460201921345</v>
      </c>
      <c r="AC1942" s="39">
        <v>0.47623205095472126</v>
      </c>
      <c r="AD1942" s="39">
        <v>0.46942773717189379</v>
      </c>
      <c r="AE1942" s="39">
        <v>0.48954648190679417</v>
      </c>
      <c r="AF1942" s="40">
        <v>0.48887094134958148</v>
      </c>
    </row>
    <row r="1943" spans="1:32">
      <c r="A1943" s="15">
        <v>1941</v>
      </c>
      <c r="B1943" s="16">
        <v>0</v>
      </c>
      <c r="C1943" s="20">
        <v>0.17</v>
      </c>
      <c r="D1943" s="20">
        <v>0.91299543862402466</v>
      </c>
      <c r="E1943" s="20">
        <v>0.02</v>
      </c>
      <c r="F1943" s="8" t="s">
        <v>436</v>
      </c>
      <c r="G1943" s="24">
        <v>1.1247355836641537</v>
      </c>
      <c r="H1943" s="24">
        <v>1.1312475155968289</v>
      </c>
      <c r="I1943" s="25">
        <v>1.1510314906737997</v>
      </c>
      <c r="L1943" s="15">
        <v>1941</v>
      </c>
      <c r="M1943" s="16">
        <v>1</v>
      </c>
      <c r="N1943" s="16">
        <v>3</v>
      </c>
      <c r="O1943" s="16">
        <v>6</v>
      </c>
      <c r="P1943" s="16">
        <v>125</v>
      </c>
      <c r="Q1943" s="29">
        <v>46</v>
      </c>
      <c r="R1943" s="20">
        <v>0.49930000000000002</v>
      </c>
      <c r="S1943" s="32">
        <v>22.9678</v>
      </c>
      <c r="T1943" s="35">
        <v>1.8800000000000001</v>
      </c>
      <c r="U1943" s="35">
        <v>1.1499999999999999</v>
      </c>
      <c r="V1943" s="35">
        <v>4.086956521739131E-2</v>
      </c>
      <c r="W1943" s="9" t="s">
        <v>153</v>
      </c>
      <c r="X1943" s="15">
        <v>1942</v>
      </c>
      <c r="Y1943" s="39">
        <v>0.49014275603428037</v>
      </c>
      <c r="Z1943" s="39">
        <v>0.48448492618376376</v>
      </c>
      <c r="AA1943" s="39">
        <v>0.47838917121863267</v>
      </c>
      <c r="AB1943" s="39">
        <v>0.49749980456622195</v>
      </c>
      <c r="AC1943" s="39">
        <v>0.48605260950984153</v>
      </c>
      <c r="AD1943" s="39">
        <v>0.47757644045610176</v>
      </c>
      <c r="AE1943" s="39">
        <v>0.47216446037600285</v>
      </c>
      <c r="AF1943" s="40">
        <v>0.49698931907192256</v>
      </c>
    </row>
    <row r="1944" spans="1:32">
      <c r="A1944" s="15">
        <v>1942</v>
      </c>
      <c r="B1944" s="16">
        <v>0</v>
      </c>
      <c r="C1944" s="20">
        <v>0.02</v>
      </c>
      <c r="D1944" s="20">
        <v>0.99835916395484214</v>
      </c>
      <c r="E1944" s="20">
        <v>1</v>
      </c>
      <c r="F1944" s="8" t="s">
        <v>436</v>
      </c>
      <c r="G1944" s="24">
        <v>1.5339871922994468</v>
      </c>
      <c r="H1944" s="24">
        <v>1.5428685865817426</v>
      </c>
      <c r="I1944" s="25">
        <v>1.5698512523937158</v>
      </c>
      <c r="L1944" s="15">
        <v>1942</v>
      </c>
      <c r="M1944" s="16">
        <v>1</v>
      </c>
      <c r="N1944" s="16">
        <v>3</v>
      </c>
      <c r="O1944" s="16">
        <v>6</v>
      </c>
      <c r="P1944" s="16">
        <v>126</v>
      </c>
      <c r="Q1944" s="29">
        <v>62</v>
      </c>
      <c r="R1944" s="20">
        <v>0.49930000000000002</v>
      </c>
      <c r="S1944" s="32">
        <v>30.956600000000002</v>
      </c>
      <c r="T1944" s="35">
        <v>1.1200000000000001</v>
      </c>
      <c r="U1944" s="35">
        <v>0.28999999999999998</v>
      </c>
      <c r="V1944" s="35">
        <v>1.806451612903226E-2</v>
      </c>
      <c r="W1944" s="9" t="s">
        <v>153</v>
      </c>
      <c r="X1944" s="15">
        <v>1943</v>
      </c>
      <c r="Y1944" s="39">
        <v>0.50035837780646297</v>
      </c>
      <c r="Z1944" s="39">
        <v>0.49801068457452946</v>
      </c>
      <c r="AA1944" s="39">
        <v>0.4721477943247705</v>
      </c>
      <c r="AB1944" s="39">
        <v>0.49539963800634801</v>
      </c>
      <c r="AC1944" s="39">
        <v>0.49232678245042349</v>
      </c>
      <c r="AD1944" s="39">
        <v>0.48997840272695875</v>
      </c>
      <c r="AE1944" s="39">
        <v>0.46539080841465658</v>
      </c>
      <c r="AF1944" s="40">
        <v>0.49052820008565173</v>
      </c>
    </row>
    <row r="1945" spans="1:32">
      <c r="A1945" s="15">
        <v>1943</v>
      </c>
      <c r="B1945" s="16">
        <v>0</v>
      </c>
      <c r="C1945" s="20">
        <v>0.02</v>
      </c>
      <c r="D1945" s="20">
        <v>0.99756714174924133</v>
      </c>
      <c r="E1945" s="20">
        <v>1</v>
      </c>
      <c r="F1945" s="8" t="s">
        <v>436</v>
      </c>
      <c r="G1945" s="24">
        <v>1.1215603245831409</v>
      </c>
      <c r="H1945" s="24">
        <v>1.1280538725762443</v>
      </c>
      <c r="I1945" s="25">
        <v>1.1477819951955939</v>
      </c>
      <c r="L1945" s="15">
        <v>1943</v>
      </c>
      <c r="M1945" s="16">
        <v>1</v>
      </c>
      <c r="N1945" s="16">
        <v>3</v>
      </c>
      <c r="O1945" s="16">
        <v>6</v>
      </c>
      <c r="P1945" s="16">
        <v>127</v>
      </c>
      <c r="Q1945" s="29">
        <v>53</v>
      </c>
      <c r="R1945" s="20">
        <v>0.49930000000000002</v>
      </c>
      <c r="S1945" s="32">
        <v>26.462900000000001</v>
      </c>
      <c r="T1945" s="35">
        <v>2.0099999999999998</v>
      </c>
      <c r="U1945" s="35">
        <v>1.18</v>
      </c>
      <c r="V1945" s="35">
        <v>3.7924528301886785E-2</v>
      </c>
      <c r="W1945" s="9" t="s">
        <v>154</v>
      </c>
      <c r="X1945" s="15">
        <v>1944</v>
      </c>
      <c r="Y1945" s="39">
        <v>0.48117536951166945</v>
      </c>
      <c r="Z1945" s="39">
        <v>0.48211693222512397</v>
      </c>
      <c r="AA1945" s="39">
        <v>0.48337461607054644</v>
      </c>
      <c r="AB1945" s="39">
        <v>0.48808855207994445</v>
      </c>
      <c r="AC1945" s="39">
        <v>0.47281832125051604</v>
      </c>
      <c r="AD1945" s="39">
        <v>0.47428046765804199</v>
      </c>
      <c r="AE1945" s="39">
        <v>0.47842784497919183</v>
      </c>
      <c r="AF1945" s="40">
        <v>0.48345249300152759</v>
      </c>
    </row>
    <row r="1946" spans="1:32">
      <c r="A1946" s="15">
        <v>1944</v>
      </c>
      <c r="B1946" s="16">
        <v>0</v>
      </c>
      <c r="C1946" s="20">
        <v>0.02</v>
      </c>
      <c r="D1946" s="20">
        <v>0.99917029198757767</v>
      </c>
      <c r="E1946" s="20">
        <v>1</v>
      </c>
      <c r="F1946" s="8" t="s">
        <v>436</v>
      </c>
      <c r="G1946" s="24">
        <v>0.98795515933959133</v>
      </c>
      <c r="H1946" s="24">
        <v>0.99367516752960139</v>
      </c>
      <c r="I1946" s="25">
        <v>1.0110531900029931</v>
      </c>
      <c r="L1946" s="15">
        <v>1944</v>
      </c>
      <c r="M1946" s="16">
        <v>1</v>
      </c>
      <c r="N1946" s="16">
        <v>3</v>
      </c>
      <c r="O1946" s="16">
        <v>6</v>
      </c>
      <c r="P1946" s="16">
        <v>128</v>
      </c>
      <c r="Q1946" s="29">
        <v>44</v>
      </c>
      <c r="R1946" s="20">
        <v>0.49930000000000002</v>
      </c>
      <c r="S1946" s="32">
        <v>21.969200000000001</v>
      </c>
      <c r="T1946" s="35">
        <v>1.46</v>
      </c>
      <c r="U1946" s="35">
        <v>0.68</v>
      </c>
      <c r="V1946" s="35">
        <v>3.318181818181818E-2</v>
      </c>
      <c r="W1946" s="9" t="s">
        <v>153</v>
      </c>
      <c r="X1946" s="15">
        <v>1945</v>
      </c>
      <c r="Y1946" s="39">
        <v>0.48967410546316298</v>
      </c>
      <c r="Z1946" s="39">
        <v>0.48567167180261972</v>
      </c>
      <c r="AA1946" s="39">
        <v>0.48485269478864013</v>
      </c>
      <c r="AB1946" s="39">
        <v>0.49559513684520978</v>
      </c>
      <c r="AC1946" s="39">
        <v>0.48094589212491534</v>
      </c>
      <c r="AD1946" s="39">
        <v>0.48192774302507624</v>
      </c>
      <c r="AE1946" s="39">
        <v>0.47933698174038325</v>
      </c>
      <c r="AF1946" s="40">
        <v>0.48984603604591803</v>
      </c>
    </row>
    <row r="1947" spans="1:32">
      <c r="A1947" s="15">
        <v>1945</v>
      </c>
      <c r="B1947" s="16">
        <v>1</v>
      </c>
      <c r="C1947" s="20">
        <v>0.94</v>
      </c>
      <c r="D1947" s="20">
        <v>0.17188516685452584</v>
      </c>
      <c r="E1947" s="20">
        <v>0.06</v>
      </c>
      <c r="F1947" s="8" t="s">
        <v>434</v>
      </c>
      <c r="G1947" s="24">
        <v>0.70035908843985217</v>
      </c>
      <c r="H1947" s="24">
        <v>0.70441398879029093</v>
      </c>
      <c r="I1947" s="25">
        <v>0.71673322804249318</v>
      </c>
      <c r="L1947" s="15">
        <v>1945</v>
      </c>
      <c r="M1947" s="16">
        <v>1</v>
      </c>
      <c r="N1947" s="16">
        <v>3</v>
      </c>
      <c r="O1947" s="16">
        <v>6</v>
      </c>
      <c r="P1947" s="16">
        <v>129</v>
      </c>
      <c r="Q1947" s="29">
        <v>47</v>
      </c>
      <c r="R1947" s="20">
        <v>0.49930000000000002</v>
      </c>
      <c r="S1947" s="32">
        <v>23.467100000000002</v>
      </c>
      <c r="T1947" s="35">
        <v>2.0300000000000002</v>
      </c>
      <c r="U1947" s="35">
        <v>1.32</v>
      </c>
      <c r="V1947" s="35">
        <v>4.3191489361702133E-2</v>
      </c>
      <c r="W1947" s="9" t="s">
        <v>154</v>
      </c>
      <c r="X1947" s="15">
        <v>1946</v>
      </c>
      <c r="Y1947" s="39">
        <v>0.49284826458278702</v>
      </c>
      <c r="Z1947" s="39">
        <v>0.4905005399529328</v>
      </c>
      <c r="AA1947" s="39">
        <v>0.50102000139660086</v>
      </c>
      <c r="AB1947" s="39">
        <v>0.49663978906609524</v>
      </c>
      <c r="AC1947" s="39">
        <v>0.48408966581950003</v>
      </c>
      <c r="AD1947" s="39">
        <v>0.48460167942498511</v>
      </c>
      <c r="AE1947" s="39">
        <v>0.49466112506413051</v>
      </c>
      <c r="AF1947" s="40">
        <v>0.49168957136924568</v>
      </c>
    </row>
    <row r="1948" spans="1:32">
      <c r="A1948" s="15">
        <v>1946</v>
      </c>
      <c r="B1948" s="16">
        <v>1</v>
      </c>
      <c r="C1948" s="20">
        <v>0.1</v>
      </c>
      <c r="D1948" s="20">
        <v>0.93516968878669604</v>
      </c>
      <c r="E1948" s="20">
        <v>0.06</v>
      </c>
      <c r="F1948" s="8" t="s">
        <v>436</v>
      </c>
      <c r="G1948" s="24">
        <v>0.93642026168279913</v>
      </c>
      <c r="H1948" s="24">
        <v>0.94184189597002466</v>
      </c>
      <c r="I1948" s="25">
        <v>0.95831342526791419</v>
      </c>
      <c r="L1948" s="15">
        <v>1946</v>
      </c>
      <c r="M1948" s="16">
        <v>1</v>
      </c>
      <c r="N1948" s="16">
        <v>3</v>
      </c>
      <c r="O1948" s="16">
        <v>6</v>
      </c>
      <c r="P1948" s="16">
        <v>130</v>
      </c>
      <c r="Q1948" s="29">
        <v>50</v>
      </c>
      <c r="R1948" s="20">
        <v>0.49930000000000002</v>
      </c>
      <c r="S1948" s="32">
        <v>24.965</v>
      </c>
      <c r="T1948" s="35">
        <v>2.46</v>
      </c>
      <c r="U1948" s="35">
        <v>1.75</v>
      </c>
      <c r="V1948" s="35">
        <v>4.9200000000000001E-2</v>
      </c>
      <c r="W1948" s="9" t="s">
        <v>154</v>
      </c>
      <c r="X1948" s="15">
        <v>1947</v>
      </c>
      <c r="Y1948" s="39">
        <v>0.47961010774080914</v>
      </c>
      <c r="Z1948" s="39">
        <v>0.48226052765689703</v>
      </c>
      <c r="AA1948" s="39">
        <v>0.46689540691925396</v>
      </c>
      <c r="AB1948" s="39">
        <v>0.49937167094613638</v>
      </c>
      <c r="AC1948" s="39">
        <v>0.47221485295057442</v>
      </c>
      <c r="AD1948" s="39">
        <v>0.47278406210130441</v>
      </c>
      <c r="AE1948" s="39">
        <v>0.45952732617294095</v>
      </c>
      <c r="AF1948" s="40">
        <v>0.49811407275062924</v>
      </c>
    </row>
    <row r="1949" spans="1:32">
      <c r="A1949" s="15">
        <v>1947</v>
      </c>
      <c r="B1949" s="16">
        <v>0</v>
      </c>
      <c r="C1949" s="20">
        <v>0.93</v>
      </c>
      <c r="D1949" s="20">
        <v>0.18747949848141848</v>
      </c>
      <c r="E1949" s="20">
        <v>7.0000000000000007E-2</v>
      </c>
      <c r="F1949" s="8" t="s">
        <v>434</v>
      </c>
      <c r="G1949" s="24">
        <v>0.68563129113443011</v>
      </c>
      <c r="H1949" s="24">
        <v>0.68960092129784534</v>
      </c>
      <c r="I1949" s="25">
        <v>0.70166110021705796</v>
      </c>
      <c r="L1949" s="15">
        <v>1947</v>
      </c>
      <c r="M1949" s="16">
        <v>1</v>
      </c>
      <c r="N1949" s="16">
        <v>3</v>
      </c>
      <c r="O1949" s="16">
        <v>6</v>
      </c>
      <c r="P1949" s="16">
        <v>131</v>
      </c>
      <c r="Q1949" s="29">
        <v>51</v>
      </c>
      <c r="R1949" s="20">
        <v>0.49930000000000002</v>
      </c>
      <c r="S1949" s="32">
        <v>25.464300000000001</v>
      </c>
      <c r="T1949" s="35">
        <v>1.79</v>
      </c>
      <c r="U1949" s="35">
        <v>1.18</v>
      </c>
      <c r="V1949" s="35">
        <v>3.5098039215686272E-2</v>
      </c>
      <c r="W1949" s="9" t="s">
        <v>153</v>
      </c>
      <c r="X1949" s="15">
        <v>1948</v>
      </c>
      <c r="Y1949" s="39">
        <v>0.48456820574519782</v>
      </c>
      <c r="Z1949" s="39">
        <v>0.47690167804916272</v>
      </c>
      <c r="AA1949" s="39">
        <v>0.49846998353320038</v>
      </c>
      <c r="AB1949" s="39">
        <v>0.4911240625575059</v>
      </c>
      <c r="AC1949" s="39">
        <v>0.4799057457985893</v>
      </c>
      <c r="AD1949" s="39">
        <v>0.4676524816523564</v>
      </c>
      <c r="AE1949" s="39">
        <v>0.49305840000262946</v>
      </c>
      <c r="AF1949" s="40">
        <v>0.48538383979985844</v>
      </c>
    </row>
    <row r="1950" spans="1:32">
      <c r="A1950" s="15">
        <v>1948</v>
      </c>
      <c r="B1950" s="16">
        <v>1</v>
      </c>
      <c r="C1950" s="20">
        <v>0.92</v>
      </c>
      <c r="D1950" s="20">
        <v>0.20258497911151899</v>
      </c>
      <c r="E1950" s="20">
        <v>0.08</v>
      </c>
      <c r="F1950" s="8" t="s">
        <v>434</v>
      </c>
      <c r="G1950" s="24">
        <v>0.80476446902224463</v>
      </c>
      <c r="H1950" s="24">
        <v>0.8094238498760411</v>
      </c>
      <c r="I1950" s="25">
        <v>0.82357956827707091</v>
      </c>
      <c r="L1950" s="15">
        <v>1948</v>
      </c>
      <c r="M1950" s="16">
        <v>1</v>
      </c>
      <c r="N1950" s="16">
        <v>3</v>
      </c>
      <c r="O1950" s="16">
        <v>6</v>
      </c>
      <c r="P1950" s="16">
        <v>132</v>
      </c>
      <c r="Q1950" s="29">
        <v>59</v>
      </c>
      <c r="R1950" s="20">
        <v>0.49930000000000002</v>
      </c>
      <c r="S1950" s="32">
        <v>29.4587</v>
      </c>
      <c r="T1950" s="35">
        <v>2.39</v>
      </c>
      <c r="U1950" s="35">
        <v>1.55</v>
      </c>
      <c r="V1950" s="35">
        <v>4.0508474576271186E-2</v>
      </c>
      <c r="W1950" s="9" t="s">
        <v>154</v>
      </c>
      <c r="X1950" s="15">
        <v>1949</v>
      </c>
      <c r="Y1950" s="39">
        <v>0.47640702137241919</v>
      </c>
      <c r="Z1950" s="39">
        <v>0.49650069646066414</v>
      </c>
      <c r="AA1950" s="39">
        <v>0.47107407461732936</v>
      </c>
      <c r="AB1950" s="39">
        <v>0.49494015846081596</v>
      </c>
      <c r="AC1950" s="39">
        <v>0.46950037599915773</v>
      </c>
      <c r="AD1950" s="39">
        <v>0.48864419463975917</v>
      </c>
      <c r="AE1950" s="39">
        <v>0.46385450874347439</v>
      </c>
      <c r="AF1950" s="40">
        <v>0.4878182789694212</v>
      </c>
    </row>
    <row r="1951" spans="1:32">
      <c r="A1951" s="15">
        <v>1949</v>
      </c>
      <c r="B1951" s="16">
        <v>0</v>
      </c>
      <c r="C1951" s="20">
        <v>0.02</v>
      </c>
      <c r="D1951" s="20">
        <v>0.99756714174924133</v>
      </c>
      <c r="E1951" s="20">
        <v>1</v>
      </c>
      <c r="F1951" s="8" t="s">
        <v>436</v>
      </c>
      <c r="G1951" s="24">
        <v>1.103542595175957</v>
      </c>
      <c r="H1951" s="24">
        <v>1.1099318251149461</v>
      </c>
      <c r="I1951" s="25">
        <v>1.1293430178578763</v>
      </c>
      <c r="L1951" s="15">
        <v>1949</v>
      </c>
      <c r="M1951" s="16">
        <v>1</v>
      </c>
      <c r="N1951" s="16">
        <v>3</v>
      </c>
      <c r="O1951" s="16">
        <v>6</v>
      </c>
      <c r="P1951" s="16">
        <v>133</v>
      </c>
      <c r="Q1951" s="29">
        <v>49</v>
      </c>
      <c r="R1951" s="20">
        <v>0.49930000000000002</v>
      </c>
      <c r="S1951" s="32">
        <v>24.465700000000002</v>
      </c>
      <c r="T1951" s="35">
        <v>2.97</v>
      </c>
      <c r="U1951" s="35">
        <v>2.34</v>
      </c>
      <c r="V1951" s="35">
        <v>6.0612244897959189E-2</v>
      </c>
      <c r="W1951" s="9" t="s">
        <v>154</v>
      </c>
      <c r="X1951" s="15">
        <v>1950</v>
      </c>
      <c r="Y1951" s="39">
        <v>0.48938465425753019</v>
      </c>
      <c r="Z1951" s="39">
        <v>0.48949473400480659</v>
      </c>
      <c r="AA1951" s="39">
        <v>0.49813934922628483</v>
      </c>
      <c r="AB1951" s="39">
        <v>0.49693991444905866</v>
      </c>
      <c r="AC1951" s="39">
        <v>0.48344368844536001</v>
      </c>
      <c r="AD1951" s="39">
        <v>0.48484846205970011</v>
      </c>
      <c r="AE1951" s="39">
        <v>0.49106489150189186</v>
      </c>
      <c r="AF1951" s="40">
        <v>0.49147002179232629</v>
      </c>
    </row>
    <row r="1952" spans="1:32">
      <c r="A1952" s="15">
        <v>1950</v>
      </c>
      <c r="B1952" s="16">
        <v>1</v>
      </c>
      <c r="C1952" s="20">
        <v>0.93</v>
      </c>
      <c r="D1952" s="20">
        <v>0.18747949848141848</v>
      </c>
      <c r="E1952" s="20">
        <v>7.0000000000000007E-2</v>
      </c>
      <c r="F1952" s="8" t="s">
        <v>434</v>
      </c>
      <c r="G1952" s="24">
        <v>0.61547811735618385</v>
      </c>
      <c r="H1952" s="24">
        <v>0.61904157855051845</v>
      </c>
      <c r="I1952" s="25">
        <v>0.62986777086722889</v>
      </c>
      <c r="L1952" s="15">
        <v>1950</v>
      </c>
      <c r="M1952" s="16">
        <v>1</v>
      </c>
      <c r="N1952" s="16">
        <v>3</v>
      </c>
      <c r="O1952" s="16">
        <v>6</v>
      </c>
      <c r="P1952" s="16">
        <v>134</v>
      </c>
      <c r="Q1952" s="29">
        <v>46</v>
      </c>
      <c r="R1952" s="20">
        <v>0.49930000000000002</v>
      </c>
      <c r="S1952" s="32">
        <v>22.9678</v>
      </c>
      <c r="T1952" s="35">
        <v>2.4300000000000002</v>
      </c>
      <c r="U1952" s="35">
        <v>1.69</v>
      </c>
      <c r="V1952" s="35">
        <v>5.2826086956521745E-2</v>
      </c>
      <c r="W1952" s="9" t="s">
        <v>154</v>
      </c>
      <c r="X1952" s="15">
        <v>1951</v>
      </c>
      <c r="Y1952" s="39">
        <v>0.50103903231290969</v>
      </c>
      <c r="Z1952" s="39">
        <v>0.47623077800013147</v>
      </c>
      <c r="AA1952" s="39">
        <v>0.48889437357670285</v>
      </c>
      <c r="AB1952" s="39">
        <v>0.50384379545578706</v>
      </c>
      <c r="AC1952" s="39">
        <v>0.49351118711820657</v>
      </c>
      <c r="AD1952" s="39">
        <v>0.46974432233985025</v>
      </c>
      <c r="AE1952" s="39">
        <v>0.48218655413723738</v>
      </c>
      <c r="AF1952" s="40">
        <v>0.49999464361514123</v>
      </c>
    </row>
    <row r="1953" spans="1:32">
      <c r="A1953" s="15">
        <v>1951</v>
      </c>
      <c r="B1953" s="16">
        <v>1</v>
      </c>
      <c r="C1953" s="20">
        <v>0.19</v>
      </c>
      <c r="D1953" s="20">
        <v>0.80534923875022379</v>
      </c>
      <c r="E1953" s="20">
        <v>0.06</v>
      </c>
      <c r="F1953" s="8" t="s">
        <v>436</v>
      </c>
      <c r="G1953" s="24">
        <v>0.90672833197176983</v>
      </c>
      <c r="H1953" s="24">
        <v>0.91197805756504435</v>
      </c>
      <c r="I1953" s="25">
        <v>0.92792730908856447</v>
      </c>
      <c r="L1953" s="15">
        <v>1951</v>
      </c>
      <c r="M1953" s="16">
        <v>1</v>
      </c>
      <c r="N1953" s="16">
        <v>3</v>
      </c>
      <c r="O1953" s="16">
        <v>6</v>
      </c>
      <c r="P1953" s="16">
        <v>135</v>
      </c>
      <c r="Q1953" s="29">
        <v>50</v>
      </c>
      <c r="R1953" s="20">
        <v>0.49930000000000002</v>
      </c>
      <c r="S1953" s="32">
        <v>24.965</v>
      </c>
      <c r="T1953" s="35">
        <v>1.53</v>
      </c>
      <c r="U1953" s="35">
        <v>0.64</v>
      </c>
      <c r="V1953" s="35">
        <v>3.0600000000000002E-2</v>
      </c>
      <c r="W1953" s="9" t="s">
        <v>153</v>
      </c>
      <c r="X1953" s="15">
        <v>1952</v>
      </c>
      <c r="Y1953" s="39">
        <v>0.48502442591445971</v>
      </c>
      <c r="Z1953" s="39">
        <v>0.47804642084560822</v>
      </c>
      <c r="AA1953" s="39">
        <v>0.48905087722915652</v>
      </c>
      <c r="AB1953" s="39">
        <v>0.48472298886065207</v>
      </c>
      <c r="AC1953" s="39">
        <v>0.47563012510572517</v>
      </c>
      <c r="AD1953" s="39">
        <v>0.46865591289135161</v>
      </c>
      <c r="AE1953" s="39">
        <v>0.4814178121580075</v>
      </c>
      <c r="AF1953" s="40">
        <v>0.47915413344442515</v>
      </c>
    </row>
    <row r="1954" spans="1:32">
      <c r="A1954" s="15">
        <v>1952</v>
      </c>
      <c r="B1954" s="16">
        <v>0</v>
      </c>
      <c r="C1954" s="20">
        <v>0.89</v>
      </c>
      <c r="D1954" s="20">
        <v>0.24559627500636821</v>
      </c>
      <c r="E1954" s="20">
        <v>0.11</v>
      </c>
      <c r="F1954" s="8" t="s">
        <v>434</v>
      </c>
      <c r="G1954" s="24">
        <v>0.61022325729931537</v>
      </c>
      <c r="H1954" s="24">
        <v>0.61375629419526101</v>
      </c>
      <c r="I1954" s="25">
        <v>0.62449005410216063</v>
      </c>
      <c r="L1954" s="15">
        <v>1952</v>
      </c>
      <c r="M1954" s="16">
        <v>1</v>
      </c>
      <c r="N1954" s="16">
        <v>3</v>
      </c>
      <c r="O1954" s="16">
        <v>6</v>
      </c>
      <c r="P1954" s="16">
        <v>136</v>
      </c>
      <c r="Q1954" s="29">
        <v>53</v>
      </c>
      <c r="R1954" s="20">
        <v>0.49930000000000002</v>
      </c>
      <c r="S1954" s="32">
        <v>26.462900000000001</v>
      </c>
      <c r="T1954" s="35">
        <v>1.65</v>
      </c>
      <c r="U1954" s="35">
        <v>0.82</v>
      </c>
      <c r="V1954" s="35">
        <v>3.1132075471698113E-2</v>
      </c>
      <c r="W1954" s="9" t="s">
        <v>153</v>
      </c>
      <c r="X1954" s="15">
        <v>1953</v>
      </c>
      <c r="Y1954" s="39">
        <v>0.49650775704382816</v>
      </c>
      <c r="Z1954" s="39">
        <v>0.48318745306488231</v>
      </c>
      <c r="AA1954" s="39">
        <v>0.48507223852185505</v>
      </c>
      <c r="AB1954" s="39">
        <v>0.48061508501505135</v>
      </c>
      <c r="AC1954" s="39">
        <v>0.48970881194446403</v>
      </c>
      <c r="AD1954" s="39">
        <v>0.47631613599491568</v>
      </c>
      <c r="AE1954" s="39">
        <v>0.47703554507921991</v>
      </c>
      <c r="AF1954" s="40">
        <v>0.47577135208969207</v>
      </c>
    </row>
    <row r="1955" spans="1:32">
      <c r="A1955" s="15">
        <v>1953</v>
      </c>
      <c r="B1955" s="16">
        <v>1</v>
      </c>
      <c r="C1955" s="20">
        <v>0.02</v>
      </c>
      <c r="D1955" s="20">
        <v>0.99917029198757767</v>
      </c>
      <c r="E1955" s="20">
        <v>1</v>
      </c>
      <c r="F1955" s="8" t="s">
        <v>436</v>
      </c>
      <c r="G1955" s="24">
        <v>1.025204405240105</v>
      </c>
      <c r="H1955" s="24">
        <v>1.0311400770557446</v>
      </c>
      <c r="I1955" s="25">
        <v>1.0491733096631761</v>
      </c>
      <c r="L1955" s="15">
        <v>1953</v>
      </c>
      <c r="M1955" s="16">
        <v>1</v>
      </c>
      <c r="N1955" s="16">
        <v>3</v>
      </c>
      <c r="O1955" s="16">
        <v>6</v>
      </c>
      <c r="P1955" s="16">
        <v>137</v>
      </c>
      <c r="Q1955" s="29">
        <v>55</v>
      </c>
      <c r="R1955" s="20">
        <v>0.49930000000000002</v>
      </c>
      <c r="S1955" s="32">
        <v>27.461500000000001</v>
      </c>
      <c r="T1955" s="35">
        <v>1.48</v>
      </c>
      <c r="U1955" s="35">
        <v>0.65</v>
      </c>
      <c r="V1955" s="35">
        <v>2.690909090909091E-2</v>
      </c>
      <c r="W1955" s="9" t="s">
        <v>153</v>
      </c>
      <c r="X1955" s="15">
        <v>1954</v>
      </c>
      <c r="Y1955" s="39">
        <v>0.50434612599462503</v>
      </c>
      <c r="Z1955" s="39">
        <v>0.48968411206415718</v>
      </c>
      <c r="AA1955" s="39">
        <v>0.48999891485009844</v>
      </c>
      <c r="AB1955" s="39">
        <v>0.4814913221132508</v>
      </c>
      <c r="AC1955" s="39">
        <v>0.49767991830438163</v>
      </c>
      <c r="AD1955" s="39">
        <v>0.4841183268732519</v>
      </c>
      <c r="AE1955" s="39">
        <v>0.48115402606910701</v>
      </c>
      <c r="AF1955" s="40">
        <v>0.47735341084787636</v>
      </c>
    </row>
    <row r="1956" spans="1:32">
      <c r="A1956" s="15">
        <v>1954</v>
      </c>
      <c r="B1956" s="16">
        <v>0</v>
      </c>
      <c r="C1956" s="20">
        <v>0.22</v>
      </c>
      <c r="D1956" s="20">
        <v>0.81064288896349934</v>
      </c>
      <c r="E1956" s="20">
        <v>0.05</v>
      </c>
      <c r="F1956" s="8" t="s">
        <v>436</v>
      </c>
      <c r="G1956" s="24">
        <v>0.54364234657440913</v>
      </c>
      <c r="H1956" s="24">
        <v>0.54678989699250757</v>
      </c>
      <c r="I1956" s="25">
        <v>0.55635250601068698</v>
      </c>
      <c r="L1956" s="15">
        <v>1954</v>
      </c>
      <c r="M1956" s="16">
        <v>1</v>
      </c>
      <c r="N1956" s="16">
        <v>3</v>
      </c>
      <c r="O1956" s="16">
        <v>6</v>
      </c>
      <c r="P1956" s="16">
        <v>138</v>
      </c>
      <c r="Q1956" s="29">
        <v>50</v>
      </c>
      <c r="R1956" s="20">
        <v>0.49930000000000002</v>
      </c>
      <c r="S1956" s="32">
        <v>24.965</v>
      </c>
      <c r="T1956" s="35">
        <v>3.31</v>
      </c>
      <c r="U1956" s="35">
        <v>2.5099999999999998</v>
      </c>
      <c r="V1956" s="35">
        <v>6.6199999999999995E-2</v>
      </c>
      <c r="W1956" s="9" t="s">
        <v>155</v>
      </c>
      <c r="X1956" s="15">
        <v>1955</v>
      </c>
      <c r="Y1956" s="39">
        <v>0.48424435072019928</v>
      </c>
      <c r="Z1956" s="39">
        <v>0.50341857919478128</v>
      </c>
      <c r="AA1956" s="39">
        <v>0.48108297747094814</v>
      </c>
      <c r="AB1956" s="39">
        <v>0.4862437361341137</v>
      </c>
      <c r="AC1956" s="39">
        <v>0.47666529017063586</v>
      </c>
      <c r="AD1956" s="39">
        <v>0.49749400265003124</v>
      </c>
      <c r="AE1956" s="39">
        <v>0.47471988788389319</v>
      </c>
      <c r="AF1956" s="40">
        <v>0.47928916022806334</v>
      </c>
    </row>
    <row r="1957" spans="1:32">
      <c r="A1957" s="15">
        <v>1955</v>
      </c>
      <c r="B1957" s="16">
        <v>1</v>
      </c>
      <c r="C1957" s="20">
        <v>0.91</v>
      </c>
      <c r="D1957" s="20">
        <v>0.21727233298780477</v>
      </c>
      <c r="E1957" s="20">
        <v>0.09</v>
      </c>
      <c r="F1957" s="8" t="s">
        <v>434</v>
      </c>
      <c r="G1957" s="24">
        <v>0.83270235944135607</v>
      </c>
      <c r="H1957" s="24">
        <v>0.83752349354933431</v>
      </c>
      <c r="I1957" s="25">
        <v>0.8521706363667183</v>
      </c>
      <c r="L1957" s="15">
        <v>1955</v>
      </c>
      <c r="M1957" s="16">
        <v>1</v>
      </c>
      <c r="N1957" s="16">
        <v>3</v>
      </c>
      <c r="O1957" s="16">
        <v>6</v>
      </c>
      <c r="P1957" s="16">
        <v>139</v>
      </c>
      <c r="Q1957" s="29">
        <v>45</v>
      </c>
      <c r="R1957" s="20">
        <v>0.49930000000000002</v>
      </c>
      <c r="S1957" s="32">
        <v>22.468500000000002</v>
      </c>
      <c r="T1957" s="35">
        <v>0.89</v>
      </c>
      <c r="U1957" s="35">
        <v>0.24</v>
      </c>
      <c r="V1957" s="35">
        <v>1.977777777777778E-2</v>
      </c>
      <c r="W1957" s="9" t="s">
        <v>152</v>
      </c>
      <c r="X1957" s="15">
        <v>1956</v>
      </c>
      <c r="Y1957" s="39">
        <v>0.49077923573474869</v>
      </c>
      <c r="Z1957" s="39">
        <v>0.47765568077775006</v>
      </c>
      <c r="AA1957" s="39">
        <v>0.475898039425661</v>
      </c>
      <c r="AB1957" s="39">
        <v>0.47703659083808486</v>
      </c>
      <c r="AC1957" s="39">
        <v>0.48462730559960249</v>
      </c>
      <c r="AD1957" s="39">
        <v>0.47202814379249303</v>
      </c>
      <c r="AE1957" s="39">
        <v>0.47102378610025836</v>
      </c>
      <c r="AF1957" s="40">
        <v>0.47164933394726916</v>
      </c>
    </row>
    <row r="1958" spans="1:32">
      <c r="A1958" s="15">
        <v>1956</v>
      </c>
      <c r="B1958" s="16">
        <v>1</v>
      </c>
      <c r="C1958" s="20">
        <v>0.02</v>
      </c>
      <c r="D1958" s="20">
        <v>0.99917029198757767</v>
      </c>
      <c r="E1958" s="20">
        <v>1</v>
      </c>
      <c r="F1958" s="8" t="s">
        <v>436</v>
      </c>
      <c r="G1958" s="24">
        <v>1.0692286733409877</v>
      </c>
      <c r="H1958" s="24">
        <v>1.0754192344314246</v>
      </c>
      <c r="I1958" s="25">
        <v>1.0942268490674323</v>
      </c>
      <c r="L1958" s="15">
        <v>1956</v>
      </c>
      <c r="M1958" s="16">
        <v>1</v>
      </c>
      <c r="N1958" s="16">
        <v>3</v>
      </c>
      <c r="O1958" s="16">
        <v>6</v>
      </c>
      <c r="P1958" s="16">
        <v>140</v>
      </c>
      <c r="Q1958" s="29">
        <v>47</v>
      </c>
      <c r="R1958" s="20">
        <v>0.49930000000000002</v>
      </c>
      <c r="S1958" s="32">
        <v>23.467100000000002</v>
      </c>
      <c r="T1958" s="35">
        <v>2.1999999999999997</v>
      </c>
      <c r="U1958" s="35">
        <v>1.55</v>
      </c>
      <c r="V1958" s="35">
        <v>4.6808510638297864E-2</v>
      </c>
      <c r="W1958" s="9" t="s">
        <v>154</v>
      </c>
      <c r="X1958" s="15">
        <v>1957</v>
      </c>
      <c r="Y1958" s="39">
        <v>0.49029317288265822</v>
      </c>
      <c r="Z1958" s="39">
        <v>0.47470497414971868</v>
      </c>
      <c r="AA1958" s="39">
        <v>0.49654641884700496</v>
      </c>
      <c r="AB1958" s="39">
        <v>0.49647156259851877</v>
      </c>
      <c r="AC1958" s="39">
        <v>0.48437955506034469</v>
      </c>
      <c r="AD1958" s="39">
        <v>0.46780557708505233</v>
      </c>
      <c r="AE1958" s="39">
        <v>0.48962644780265363</v>
      </c>
      <c r="AF1958" s="40">
        <v>0.48971423345633042</v>
      </c>
    </row>
    <row r="1959" spans="1:32">
      <c r="A1959" s="15">
        <v>1957</v>
      </c>
      <c r="B1959" s="16">
        <v>0</v>
      </c>
      <c r="C1959" s="20">
        <v>0.02</v>
      </c>
      <c r="D1959" s="20">
        <v>0.99835916395484214</v>
      </c>
      <c r="E1959" s="20">
        <v>1</v>
      </c>
      <c r="F1959" s="8" t="s">
        <v>436</v>
      </c>
      <c r="G1959" s="24">
        <v>1.0704690694551875</v>
      </c>
      <c r="H1959" s="24">
        <v>1.0766668121225056</v>
      </c>
      <c r="I1959" s="25">
        <v>1.0954962451895875</v>
      </c>
      <c r="L1959" s="15">
        <v>1957</v>
      </c>
      <c r="M1959" s="16">
        <v>1</v>
      </c>
      <c r="N1959" s="16">
        <v>3</v>
      </c>
      <c r="O1959" s="16">
        <v>6</v>
      </c>
      <c r="P1959" s="16">
        <v>141</v>
      </c>
      <c r="Q1959" s="29">
        <v>50</v>
      </c>
      <c r="R1959" s="20">
        <v>0.49930000000000002</v>
      </c>
      <c r="S1959" s="32">
        <v>24.965</v>
      </c>
      <c r="T1959" s="35">
        <v>2.12</v>
      </c>
      <c r="U1959" s="35">
        <v>1.47</v>
      </c>
      <c r="V1959" s="35">
        <v>4.24E-2</v>
      </c>
      <c r="W1959" s="9" t="s">
        <v>154</v>
      </c>
      <c r="X1959" s="15">
        <v>1958</v>
      </c>
      <c r="Y1959" s="39">
        <v>0.4870583119396858</v>
      </c>
      <c r="Z1959" s="39">
        <v>0.46158722506435995</v>
      </c>
      <c r="AA1959" s="39">
        <v>0.47172730932586471</v>
      </c>
      <c r="AB1959" s="39">
        <v>0.48307721711881008</v>
      </c>
      <c r="AC1959" s="39">
        <v>0.48003773273292083</v>
      </c>
      <c r="AD1959" s="39">
        <v>0.45852646537613057</v>
      </c>
      <c r="AE1959" s="39">
        <v>0.46276318028415786</v>
      </c>
      <c r="AF1959" s="40">
        <v>0.47869092018248754</v>
      </c>
    </row>
    <row r="1960" spans="1:32">
      <c r="A1960" s="15">
        <v>1958</v>
      </c>
      <c r="B1960" s="16">
        <v>0</v>
      </c>
      <c r="C1960" s="20">
        <v>0.28000000000000003</v>
      </c>
      <c r="D1960" s="20">
        <v>0.72388577730967407</v>
      </c>
      <c r="E1960" s="20">
        <v>0.15</v>
      </c>
      <c r="F1960" s="8" t="s">
        <v>436</v>
      </c>
      <c r="G1960" s="24">
        <v>0.8885479365312634</v>
      </c>
      <c r="H1960" s="24">
        <v>0.89369240227561231</v>
      </c>
      <c r="I1960" s="25">
        <v>0.90932186264509718</v>
      </c>
      <c r="L1960" s="15">
        <v>1958</v>
      </c>
      <c r="M1960" s="16">
        <v>1</v>
      </c>
      <c r="N1960" s="16">
        <v>3</v>
      </c>
      <c r="O1960" s="16">
        <v>6</v>
      </c>
      <c r="P1960" s="16">
        <v>142</v>
      </c>
      <c r="Q1960" s="29">
        <v>47</v>
      </c>
      <c r="R1960" s="20">
        <v>0.49930000000000002</v>
      </c>
      <c r="S1960" s="32">
        <v>23.467100000000002</v>
      </c>
      <c r="T1960" s="35">
        <v>0.7</v>
      </c>
      <c r="U1960" s="35">
        <v>0.11</v>
      </c>
      <c r="V1960" s="35">
        <v>1.4893617021276595E-2</v>
      </c>
      <c r="W1960" s="9" t="s">
        <v>152</v>
      </c>
      <c r="X1960" s="15">
        <v>1959</v>
      </c>
      <c r="Y1960" s="39">
        <v>0.50885641189600661</v>
      </c>
      <c r="Z1960" s="39">
        <v>0.48674480869553521</v>
      </c>
      <c r="AA1960" s="39">
        <v>0.47238721905856973</v>
      </c>
      <c r="AB1960" s="39">
        <v>0.49821749972152651</v>
      </c>
      <c r="AC1960" s="39">
        <v>0.50230022420455445</v>
      </c>
      <c r="AD1960" s="39">
        <v>0.47854355576781421</v>
      </c>
      <c r="AE1960" s="39">
        <v>0.46428162494972769</v>
      </c>
      <c r="AF1960" s="40">
        <v>0.49117707705175645</v>
      </c>
    </row>
    <row r="1961" spans="1:32">
      <c r="A1961" s="15">
        <v>1959</v>
      </c>
      <c r="B1961" s="16">
        <v>0</v>
      </c>
      <c r="C1961" s="20">
        <v>0.8</v>
      </c>
      <c r="D1961" s="20">
        <v>0.36115643774699402</v>
      </c>
      <c r="E1961" s="20">
        <v>0.2</v>
      </c>
      <c r="F1961" s="8" t="s">
        <v>434</v>
      </c>
      <c r="G1961" s="24">
        <v>1.1029703335202901</v>
      </c>
      <c r="H1961" s="24">
        <v>1.1093562502103669</v>
      </c>
      <c r="I1961" s="25">
        <v>1.1287573769337829</v>
      </c>
      <c r="L1961" s="15">
        <v>1959</v>
      </c>
      <c r="M1961" s="16">
        <v>1</v>
      </c>
      <c r="N1961" s="16">
        <v>3</v>
      </c>
      <c r="O1961" s="16">
        <v>7</v>
      </c>
      <c r="P1961" s="16">
        <v>188</v>
      </c>
      <c r="Q1961" s="29">
        <v>71</v>
      </c>
      <c r="R1961" s="20">
        <v>0.49930000000000002</v>
      </c>
      <c r="S1961" s="32">
        <v>35.450299999999999</v>
      </c>
      <c r="T1961" s="35">
        <v>1.59</v>
      </c>
      <c r="U1961" s="35">
        <v>0.51</v>
      </c>
      <c r="V1961" s="35">
        <v>2.2394366197183099E-2</v>
      </c>
      <c r="W1961" s="9" t="s">
        <v>153</v>
      </c>
      <c r="X1961" s="15">
        <v>1960</v>
      </c>
      <c r="Y1961" s="39">
        <v>0.4856670252136735</v>
      </c>
      <c r="Z1961" s="39">
        <v>0.48609993684425773</v>
      </c>
      <c r="AA1961" s="39">
        <v>0.47746722791728563</v>
      </c>
      <c r="AB1961" s="39">
        <v>0.49050715392322281</v>
      </c>
      <c r="AC1961" s="39">
        <v>0.48009256478388052</v>
      </c>
      <c r="AD1961" s="39">
        <v>0.4771355850044553</v>
      </c>
      <c r="AE1961" s="39">
        <v>0.47208019447025179</v>
      </c>
      <c r="AF1961" s="40">
        <v>0.48613013809834182</v>
      </c>
    </row>
    <row r="1962" spans="1:32">
      <c r="A1962" s="15">
        <v>1960</v>
      </c>
      <c r="B1962" s="16">
        <v>0</v>
      </c>
      <c r="C1962" s="20">
        <v>0.02</v>
      </c>
      <c r="D1962" s="20">
        <v>0.99756714174924133</v>
      </c>
      <c r="E1962" s="20">
        <v>1</v>
      </c>
      <c r="F1962" s="8" t="s">
        <v>436</v>
      </c>
      <c r="G1962" s="24">
        <v>0.99668736914921607</v>
      </c>
      <c r="H1962" s="24">
        <v>1.0024579346050653</v>
      </c>
      <c r="I1962" s="25">
        <v>1.0199895556875433</v>
      </c>
      <c r="L1962" s="15">
        <v>1960</v>
      </c>
      <c r="M1962" s="16">
        <v>1</v>
      </c>
      <c r="N1962" s="16">
        <v>3</v>
      </c>
      <c r="O1962" s="16">
        <v>7</v>
      </c>
      <c r="P1962" s="16">
        <v>189</v>
      </c>
      <c r="Q1962" s="29">
        <v>63</v>
      </c>
      <c r="R1962" s="20">
        <v>0.49930000000000002</v>
      </c>
      <c r="S1962" s="32">
        <v>31.4559</v>
      </c>
      <c r="T1962" s="35">
        <v>1.1000000000000001</v>
      </c>
      <c r="U1962" s="35">
        <v>0.33</v>
      </c>
      <c r="V1962" s="35">
        <v>1.7460317460317461E-2</v>
      </c>
      <c r="W1962" s="9" t="s">
        <v>153</v>
      </c>
      <c r="X1962" s="15">
        <v>1961</v>
      </c>
      <c r="Y1962" s="39">
        <v>0.48447558254014561</v>
      </c>
      <c r="Z1962" s="39">
        <v>0.4877739007068923</v>
      </c>
      <c r="AA1962" s="39">
        <v>0.47391739774662023</v>
      </c>
      <c r="AB1962" s="39">
        <v>0.4798855800449866</v>
      </c>
      <c r="AC1962" s="39">
        <v>0.47855311919867372</v>
      </c>
      <c r="AD1962" s="39">
        <v>0.48425194009261485</v>
      </c>
      <c r="AE1962" s="39">
        <v>0.4685022519880559</v>
      </c>
      <c r="AF1962" s="40">
        <v>0.47612251659341936</v>
      </c>
    </row>
    <row r="1963" spans="1:32">
      <c r="A1963" s="15">
        <v>1961</v>
      </c>
      <c r="B1963" s="16">
        <v>1</v>
      </c>
      <c r="C1963" s="20">
        <v>0.01</v>
      </c>
      <c r="D1963" s="20">
        <v>0.99999999999999978</v>
      </c>
      <c r="E1963" s="20">
        <v>1</v>
      </c>
      <c r="F1963" s="8" t="s">
        <v>436</v>
      </c>
      <c r="G1963" s="24">
        <v>1.1128302742235492</v>
      </c>
      <c r="H1963" s="24">
        <v>1.1192732774534779</v>
      </c>
      <c r="I1963" s="25">
        <v>1.1388478394482298</v>
      </c>
      <c r="L1963" s="15">
        <v>1961</v>
      </c>
      <c r="M1963" s="16">
        <v>1</v>
      </c>
      <c r="N1963" s="16">
        <v>3</v>
      </c>
      <c r="O1963" s="16">
        <v>7</v>
      </c>
      <c r="P1963" s="16">
        <v>190</v>
      </c>
      <c r="Q1963" s="29">
        <v>66</v>
      </c>
      <c r="R1963" s="20">
        <v>0.49930000000000002</v>
      </c>
      <c r="S1963" s="32">
        <v>32.953800000000001</v>
      </c>
      <c r="T1963" s="35">
        <v>1.89</v>
      </c>
      <c r="U1963" s="35">
        <v>0.97</v>
      </c>
      <c r="V1963" s="35">
        <v>2.8636363636363633E-2</v>
      </c>
      <c r="W1963" s="9" t="s">
        <v>153</v>
      </c>
      <c r="X1963" s="15">
        <v>1962</v>
      </c>
      <c r="Y1963" s="39">
        <v>0.48532849483349039</v>
      </c>
      <c r="Z1963" s="39">
        <v>0.48937093226785544</v>
      </c>
      <c r="AA1963" s="39">
        <v>0.48862266235040824</v>
      </c>
      <c r="AB1963" s="39">
        <v>0.47962063518119086</v>
      </c>
      <c r="AC1963" s="39">
        <v>0.47448205567440233</v>
      </c>
      <c r="AD1963" s="39">
        <v>0.48377567949741113</v>
      </c>
      <c r="AE1963" s="39">
        <v>0.47884687397895453</v>
      </c>
      <c r="AF1963" s="40">
        <v>0.47423209535473398</v>
      </c>
    </row>
    <row r="1964" spans="1:32">
      <c r="A1964" s="15">
        <v>1962</v>
      </c>
      <c r="B1964" s="16">
        <v>0</v>
      </c>
      <c r="C1964" s="20">
        <v>0.93</v>
      </c>
      <c r="D1964" s="20">
        <v>0.18747949848141848</v>
      </c>
      <c r="E1964" s="20">
        <v>7.0000000000000007E-2</v>
      </c>
      <c r="F1964" s="8" t="s">
        <v>434</v>
      </c>
      <c r="G1964" s="24">
        <v>0.58798170544498918</v>
      </c>
      <c r="H1964" s="24">
        <v>0.59138596943301225</v>
      </c>
      <c r="I1964" s="25">
        <v>0.60172850289171353</v>
      </c>
      <c r="L1964" s="15">
        <v>1962</v>
      </c>
      <c r="M1964" s="16">
        <v>1</v>
      </c>
      <c r="N1964" s="16">
        <v>3</v>
      </c>
      <c r="O1964" s="16">
        <v>7</v>
      </c>
      <c r="P1964" s="16">
        <v>191</v>
      </c>
      <c r="Q1964" s="29">
        <v>67</v>
      </c>
      <c r="R1964" s="20">
        <v>0.49930000000000002</v>
      </c>
      <c r="S1964" s="32">
        <v>33.453099999999999</v>
      </c>
      <c r="T1964" s="35">
        <v>1.81</v>
      </c>
      <c r="U1964" s="35">
        <v>0.75</v>
      </c>
      <c r="V1964" s="35">
        <v>2.7014925373134328E-2</v>
      </c>
      <c r="W1964" s="9" t="s">
        <v>153</v>
      </c>
      <c r="X1964" s="15">
        <v>1963</v>
      </c>
      <c r="Y1964" s="39">
        <v>0.48254415344050444</v>
      </c>
      <c r="Z1964" s="39">
        <v>0.47829150121219505</v>
      </c>
      <c r="AA1964" s="39">
        <v>0.48001370454896142</v>
      </c>
      <c r="AB1964" s="39">
        <v>0.48589677268932796</v>
      </c>
      <c r="AC1964" s="39">
        <v>0.47838403778421096</v>
      </c>
      <c r="AD1964" s="39">
        <v>0.47384533883314661</v>
      </c>
      <c r="AE1964" s="39">
        <v>0.47215387607669301</v>
      </c>
      <c r="AF1964" s="40">
        <v>0.48296139946740219</v>
      </c>
    </row>
    <row r="1965" spans="1:32">
      <c r="A1965" s="15">
        <v>1963</v>
      </c>
      <c r="B1965" s="16">
        <v>0</v>
      </c>
      <c r="C1965" s="20">
        <v>0.47</v>
      </c>
      <c r="D1965" s="20">
        <v>0.49091547112281769</v>
      </c>
      <c r="E1965" s="20">
        <v>0.12</v>
      </c>
      <c r="F1965" s="8" t="s">
        <v>436</v>
      </c>
      <c r="G1965" s="24">
        <v>0.85141953601975395</v>
      </c>
      <c r="H1965" s="24">
        <v>0.85634903780242899</v>
      </c>
      <c r="I1965" s="25">
        <v>0.87132541369496108</v>
      </c>
      <c r="L1965" s="15">
        <v>1963</v>
      </c>
      <c r="M1965" s="16">
        <v>1</v>
      </c>
      <c r="N1965" s="16">
        <v>3</v>
      </c>
      <c r="O1965" s="16">
        <v>7</v>
      </c>
      <c r="P1965" s="16">
        <v>192</v>
      </c>
      <c r="Q1965" s="29">
        <v>66</v>
      </c>
      <c r="R1965" s="20">
        <v>0.49930000000000002</v>
      </c>
      <c r="S1965" s="32">
        <v>32.953800000000001</v>
      </c>
      <c r="T1965" s="35">
        <v>1.71</v>
      </c>
      <c r="U1965" s="35">
        <v>0.8</v>
      </c>
      <c r="V1965" s="35">
        <v>2.5909090909090909E-2</v>
      </c>
      <c r="W1965" s="9" t="s">
        <v>153</v>
      </c>
      <c r="X1965" s="15">
        <v>1964</v>
      </c>
      <c r="Y1965" s="39">
        <v>0.48777636778544348</v>
      </c>
      <c r="Z1965" s="39">
        <v>0.4895836746302118</v>
      </c>
      <c r="AA1965" s="39">
        <v>0.47955031597431474</v>
      </c>
      <c r="AB1965" s="39">
        <v>0.47623363442380562</v>
      </c>
      <c r="AC1965" s="39">
        <v>0.48159546594525338</v>
      </c>
      <c r="AD1965" s="39">
        <v>0.47790827756867782</v>
      </c>
      <c r="AE1965" s="39">
        <v>0.47590006621529202</v>
      </c>
      <c r="AF1965" s="40">
        <v>0.47271833417204906</v>
      </c>
    </row>
    <row r="1966" spans="1:32">
      <c r="A1966" s="15">
        <v>1964</v>
      </c>
      <c r="B1966" s="16">
        <v>1</v>
      </c>
      <c r="C1966" s="20">
        <v>0.93</v>
      </c>
      <c r="D1966" s="20">
        <v>0.18747949848141848</v>
      </c>
      <c r="E1966" s="20">
        <v>7.0000000000000007E-2</v>
      </c>
      <c r="F1966" s="8" t="s">
        <v>434</v>
      </c>
      <c r="G1966" s="24">
        <v>0.90883645344049657</v>
      </c>
      <c r="H1966" s="24">
        <v>0.91409838451896208</v>
      </c>
      <c r="I1966" s="25">
        <v>0.93008471766700107</v>
      </c>
      <c r="L1966" s="15">
        <v>1964</v>
      </c>
      <c r="M1966" s="16">
        <v>1</v>
      </c>
      <c r="N1966" s="16">
        <v>3</v>
      </c>
      <c r="O1966" s="16">
        <v>7</v>
      </c>
      <c r="P1966" s="16">
        <v>193</v>
      </c>
      <c r="Q1966" s="29">
        <v>61</v>
      </c>
      <c r="R1966" s="20">
        <v>0.49930000000000002</v>
      </c>
      <c r="S1966" s="32">
        <v>30.4573</v>
      </c>
      <c r="T1966" s="35">
        <v>2.88</v>
      </c>
      <c r="U1966" s="35">
        <v>2.16</v>
      </c>
      <c r="V1966" s="35">
        <v>4.7213114754098361E-2</v>
      </c>
      <c r="W1966" s="9" t="s">
        <v>154</v>
      </c>
      <c r="X1966" s="15">
        <v>1965</v>
      </c>
      <c r="Y1966" s="39">
        <v>0.47232065479062169</v>
      </c>
      <c r="Z1966" s="39">
        <v>0.50117504937275104</v>
      </c>
      <c r="AA1966" s="39">
        <v>0.47379640776261045</v>
      </c>
      <c r="AB1966" s="39">
        <v>0.47956201716952807</v>
      </c>
      <c r="AC1966" s="39">
        <v>0.46672057816360152</v>
      </c>
      <c r="AD1966" s="39">
        <v>0.49377573972031169</v>
      </c>
      <c r="AE1966" s="39">
        <v>0.46331587256859447</v>
      </c>
      <c r="AF1966" s="40">
        <v>0.4738199364915342</v>
      </c>
    </row>
    <row r="1967" spans="1:32">
      <c r="A1967" s="15">
        <v>1965</v>
      </c>
      <c r="B1967" s="16">
        <v>1</v>
      </c>
      <c r="C1967" s="20">
        <v>0.92</v>
      </c>
      <c r="D1967" s="20">
        <v>0.20258497911151899</v>
      </c>
      <c r="E1967" s="20">
        <v>0.08</v>
      </c>
      <c r="F1967" s="8" t="s">
        <v>434</v>
      </c>
      <c r="G1967" s="24">
        <v>1.5199401155481707</v>
      </c>
      <c r="H1967" s="24">
        <v>1.5287401808416927</v>
      </c>
      <c r="I1967" s="25">
        <v>1.5554757601202727</v>
      </c>
      <c r="L1967" s="15">
        <v>1965</v>
      </c>
      <c r="M1967" s="16">
        <v>1</v>
      </c>
      <c r="N1967" s="16">
        <v>3</v>
      </c>
      <c r="O1967" s="16">
        <v>7</v>
      </c>
      <c r="P1967" s="16">
        <v>194</v>
      </c>
      <c r="Q1967" s="29">
        <v>68</v>
      </c>
      <c r="R1967" s="20">
        <v>0.49930000000000002</v>
      </c>
      <c r="S1967" s="32">
        <v>33.952400000000004</v>
      </c>
      <c r="T1967" s="35">
        <v>1.5</v>
      </c>
      <c r="U1967" s="35">
        <v>0.62</v>
      </c>
      <c r="V1967" s="35">
        <v>2.2058823529411766E-2</v>
      </c>
      <c r="W1967" s="9" t="s">
        <v>153</v>
      </c>
      <c r="X1967" s="15">
        <v>1966</v>
      </c>
      <c r="Y1967" s="39">
        <v>0.47827492176398817</v>
      </c>
      <c r="Z1967" s="39">
        <v>0.4844609778090892</v>
      </c>
      <c r="AA1967" s="39">
        <v>0.49120617897858304</v>
      </c>
      <c r="AB1967" s="39">
        <v>0.49718543089552625</v>
      </c>
      <c r="AC1967" s="39">
        <v>0.47210687876581769</v>
      </c>
      <c r="AD1967" s="39">
        <v>0.47902289535715248</v>
      </c>
      <c r="AE1967" s="39">
        <v>0.4879635227759887</v>
      </c>
      <c r="AF1967" s="40">
        <v>0.49379095493194791</v>
      </c>
    </row>
    <row r="1968" spans="1:32">
      <c r="A1968" s="15">
        <v>1966</v>
      </c>
      <c r="B1968" s="16">
        <v>1</v>
      </c>
      <c r="C1968" s="20">
        <v>0.95</v>
      </c>
      <c r="D1968" s="20">
        <v>0.15570568692893463</v>
      </c>
      <c r="E1968" s="20">
        <v>0.05</v>
      </c>
      <c r="F1968" s="8" t="s">
        <v>434</v>
      </c>
      <c r="G1968" s="24">
        <v>1.1611977097291852</v>
      </c>
      <c r="H1968" s="24">
        <v>1.1679207480645604</v>
      </c>
      <c r="I1968" s="25">
        <v>1.1883460879243311</v>
      </c>
      <c r="L1968" s="15">
        <v>1966</v>
      </c>
      <c r="M1968" s="16">
        <v>1</v>
      </c>
      <c r="N1968" s="16">
        <v>3</v>
      </c>
      <c r="O1968" s="16">
        <v>7</v>
      </c>
      <c r="P1968" s="16">
        <v>195</v>
      </c>
      <c r="Q1968" s="29">
        <v>77</v>
      </c>
      <c r="R1968" s="20">
        <v>0.49930000000000002</v>
      </c>
      <c r="S1968" s="32">
        <v>38.446100000000001</v>
      </c>
      <c r="T1968" s="35">
        <v>3.03</v>
      </c>
      <c r="U1968" s="35">
        <v>1.99</v>
      </c>
      <c r="V1968" s="35">
        <v>3.9350649350649351E-2</v>
      </c>
      <c r="W1968" s="9" t="s">
        <v>155</v>
      </c>
      <c r="X1968" s="15">
        <v>1967</v>
      </c>
      <c r="Y1968" s="39">
        <v>0.49275594675635065</v>
      </c>
      <c r="Z1968" s="39">
        <v>0.4841703944813317</v>
      </c>
      <c r="AA1968" s="39">
        <v>0.490005393412412</v>
      </c>
      <c r="AB1968" s="39">
        <v>0.49684474887318159</v>
      </c>
      <c r="AC1968" s="39">
        <v>0.48413560342292145</v>
      </c>
      <c r="AD1968" s="39">
        <v>0.47766416630119751</v>
      </c>
      <c r="AE1968" s="39">
        <v>0.4839726859794331</v>
      </c>
      <c r="AF1968" s="40">
        <v>0.49181701938155814</v>
      </c>
    </row>
    <row r="1969" spans="1:32">
      <c r="A1969" s="15">
        <v>1967</v>
      </c>
      <c r="B1969" s="16">
        <v>0</v>
      </c>
      <c r="C1969" s="20">
        <v>0.02</v>
      </c>
      <c r="D1969" s="20">
        <v>0.99604261948721451</v>
      </c>
      <c r="E1969" s="20">
        <v>1</v>
      </c>
      <c r="F1969" s="8" t="s">
        <v>436</v>
      </c>
      <c r="G1969" s="24">
        <v>1.0549027174697103</v>
      </c>
      <c r="H1969" s="24">
        <v>1.0610103349324544</v>
      </c>
      <c r="I1969" s="25">
        <v>1.0795659575820542</v>
      </c>
      <c r="L1969" s="15">
        <v>1967</v>
      </c>
      <c r="M1969" s="16">
        <v>1</v>
      </c>
      <c r="N1969" s="16">
        <v>3</v>
      </c>
      <c r="O1969" s="16">
        <v>8</v>
      </c>
      <c r="P1969" s="16">
        <v>143</v>
      </c>
      <c r="Q1969" s="29">
        <v>42</v>
      </c>
      <c r="R1969" s="20">
        <v>0.49930000000000002</v>
      </c>
      <c r="S1969" s="32">
        <v>20.970600000000001</v>
      </c>
      <c r="T1969" s="35">
        <v>0.91</v>
      </c>
      <c r="U1969" s="35">
        <v>0.28999999999999998</v>
      </c>
      <c r="V1969" s="35">
        <v>2.1666666666666667E-2</v>
      </c>
      <c r="W1969" s="9" t="s">
        <v>152</v>
      </c>
      <c r="X1969" s="15">
        <v>1968</v>
      </c>
      <c r="Y1969" s="39">
        <v>0.48326465904206312</v>
      </c>
      <c r="Z1969" s="39">
        <v>0.49696966093156986</v>
      </c>
      <c r="AA1969" s="39">
        <v>0.49240107354628521</v>
      </c>
      <c r="AB1969" s="39">
        <v>0.4999183116219153</v>
      </c>
      <c r="AC1969" s="39">
        <v>0.47741655358362778</v>
      </c>
      <c r="AD1969" s="39">
        <v>0.49023810034067272</v>
      </c>
      <c r="AE1969" s="39">
        <v>0.48646552156505701</v>
      </c>
      <c r="AF1969" s="40">
        <v>0.49581136632540446</v>
      </c>
    </row>
    <row r="1970" spans="1:32">
      <c r="A1970" s="15">
        <v>1968</v>
      </c>
      <c r="B1970" s="16">
        <v>0</v>
      </c>
      <c r="C1970" s="20">
        <v>0.47</v>
      </c>
      <c r="D1970" s="20">
        <v>0.64679433426593991</v>
      </c>
      <c r="E1970" s="20">
        <v>0.08</v>
      </c>
      <c r="F1970" s="8" t="s">
        <v>436</v>
      </c>
      <c r="G1970" s="24">
        <v>0.72574598957936121</v>
      </c>
      <c r="H1970" s="24">
        <v>0.72994787360721103</v>
      </c>
      <c r="I1970" s="25">
        <v>0.74271366565521735</v>
      </c>
      <c r="L1970" s="15">
        <v>1968</v>
      </c>
      <c r="M1970" s="16">
        <v>1</v>
      </c>
      <c r="N1970" s="16">
        <v>3</v>
      </c>
      <c r="O1970" s="16">
        <v>8</v>
      </c>
      <c r="P1970" s="16">
        <v>144</v>
      </c>
      <c r="Q1970" s="29">
        <v>32</v>
      </c>
      <c r="R1970" s="20">
        <v>0.49930000000000002</v>
      </c>
      <c r="S1970" s="32">
        <v>15.977600000000001</v>
      </c>
      <c r="T1970" s="35">
        <v>1.02</v>
      </c>
      <c r="U1970" s="35">
        <v>0.66</v>
      </c>
      <c r="V1970" s="35">
        <v>3.1875000000000001E-2</v>
      </c>
      <c r="W1970" s="9" t="s">
        <v>153</v>
      </c>
      <c r="X1970" s="15">
        <v>1969</v>
      </c>
      <c r="Y1970" s="39">
        <v>0.50021647987398399</v>
      </c>
      <c r="Z1970" s="39">
        <v>0.49208559491063164</v>
      </c>
      <c r="AA1970" s="39">
        <v>0.49684878910305735</v>
      </c>
      <c r="AB1970" s="39">
        <v>0.50033885640243447</v>
      </c>
      <c r="AC1970" s="39">
        <v>0.48807457795776821</v>
      </c>
      <c r="AD1970" s="39">
        <v>0.48834720680461297</v>
      </c>
      <c r="AE1970" s="39">
        <v>0.48745683126725375</v>
      </c>
      <c r="AF1970" s="40">
        <v>0.496855097031911</v>
      </c>
    </row>
    <row r="1971" spans="1:32">
      <c r="A1971" s="15">
        <v>1969</v>
      </c>
      <c r="B1971" s="16">
        <v>0</v>
      </c>
      <c r="C1971" s="20">
        <v>0.02</v>
      </c>
      <c r="D1971" s="20">
        <v>0.99679477127711513</v>
      </c>
      <c r="E1971" s="20">
        <v>1</v>
      </c>
      <c r="F1971" s="8" t="s">
        <v>436</v>
      </c>
      <c r="G1971" s="24">
        <v>0.99007322367345818</v>
      </c>
      <c r="H1971" s="24">
        <v>0.99580549491531034</v>
      </c>
      <c r="I1971" s="25">
        <v>1.0132207739071242</v>
      </c>
      <c r="L1971" s="15">
        <v>1969</v>
      </c>
      <c r="M1971" s="16">
        <v>1</v>
      </c>
      <c r="N1971" s="16">
        <v>3</v>
      </c>
      <c r="O1971" s="16">
        <v>8</v>
      </c>
      <c r="P1971" s="16">
        <v>145</v>
      </c>
      <c r="Q1971" s="29">
        <v>35</v>
      </c>
      <c r="R1971" s="20">
        <v>0.49930000000000002</v>
      </c>
      <c r="S1971" s="32">
        <v>17.4755</v>
      </c>
      <c r="T1971" s="35">
        <v>1.24</v>
      </c>
      <c r="U1971" s="35">
        <v>0.7</v>
      </c>
      <c r="V1971" s="35">
        <v>3.5428571428571427E-2</v>
      </c>
      <c r="W1971" s="9" t="s">
        <v>153</v>
      </c>
      <c r="X1971" s="15">
        <v>1970</v>
      </c>
      <c r="Y1971" s="39">
        <v>0.48179012571353685</v>
      </c>
      <c r="Z1971" s="39">
        <v>0.48711261099129133</v>
      </c>
      <c r="AA1971" s="39">
        <v>0.49071503147064205</v>
      </c>
      <c r="AB1971" s="39">
        <v>0.48588298831073667</v>
      </c>
      <c r="AC1971" s="39">
        <v>0.47562666007755422</v>
      </c>
      <c r="AD1971" s="39">
        <v>0.48035262434598514</v>
      </c>
      <c r="AE1971" s="39">
        <v>0.48676393497185078</v>
      </c>
      <c r="AF1971" s="40">
        <v>0.48442705190208485</v>
      </c>
    </row>
    <row r="1972" spans="1:32">
      <c r="A1972" s="15">
        <v>1970</v>
      </c>
      <c r="B1972" s="16">
        <v>0</v>
      </c>
      <c r="C1972" s="20">
        <v>0.22</v>
      </c>
      <c r="D1972" s="20">
        <v>0.72764557481614878</v>
      </c>
      <c r="E1972" s="20">
        <v>0.11</v>
      </c>
      <c r="F1972" s="8" t="s">
        <v>436</v>
      </c>
      <c r="G1972" s="24">
        <v>1.1393839309489129</v>
      </c>
      <c r="H1972" s="24">
        <v>1.1459806730732722</v>
      </c>
      <c r="I1972" s="25">
        <v>1.1660223109661167</v>
      </c>
      <c r="L1972" s="15">
        <v>1970</v>
      </c>
      <c r="M1972" s="16">
        <v>1</v>
      </c>
      <c r="N1972" s="16">
        <v>3</v>
      </c>
      <c r="O1972" s="16">
        <v>8</v>
      </c>
      <c r="P1972" s="16">
        <v>146</v>
      </c>
      <c r="Q1972" s="29">
        <v>39</v>
      </c>
      <c r="R1972" s="20">
        <v>0.49930000000000002</v>
      </c>
      <c r="S1972" s="32">
        <v>19.4727</v>
      </c>
      <c r="T1972" s="35">
        <v>0.66</v>
      </c>
      <c r="U1972" s="35">
        <v>0.09</v>
      </c>
      <c r="V1972" s="35">
        <v>1.6923076923076923E-2</v>
      </c>
      <c r="W1972" s="9" t="s">
        <v>152</v>
      </c>
      <c r="X1972" s="15">
        <v>1971</v>
      </c>
      <c r="Y1972" s="39">
        <v>0.47331186507090162</v>
      </c>
      <c r="Z1972" s="39">
        <v>0.47877976517457677</v>
      </c>
      <c r="AA1972" s="39">
        <v>0.48988433024984845</v>
      </c>
      <c r="AB1972" s="39">
        <v>0.48948916335690762</v>
      </c>
      <c r="AC1972" s="39">
        <v>0.46523753096292858</v>
      </c>
      <c r="AD1972" s="39">
        <v>0.47231445971674196</v>
      </c>
      <c r="AE1972" s="39">
        <v>0.48178745305883064</v>
      </c>
      <c r="AF1972" s="40">
        <v>0.48551403503071228</v>
      </c>
    </row>
    <row r="1973" spans="1:32">
      <c r="A1973" s="15">
        <v>1971</v>
      </c>
      <c r="B1973" s="16">
        <v>1</v>
      </c>
      <c r="C1973" s="20">
        <v>0.15</v>
      </c>
      <c r="D1973" s="20">
        <v>0.86501678748306665</v>
      </c>
      <c r="E1973" s="20">
        <v>7.0000000000000007E-2</v>
      </c>
      <c r="F1973" s="8" t="s">
        <v>436</v>
      </c>
      <c r="G1973" s="24">
        <v>1.0249440561761622</v>
      </c>
      <c r="H1973" s="24">
        <v>1.0308782206371776</v>
      </c>
      <c r="I1973" s="25">
        <v>1.0489068737332401</v>
      </c>
      <c r="L1973" s="15">
        <v>1971</v>
      </c>
      <c r="M1973" s="16">
        <v>1</v>
      </c>
      <c r="N1973" s="16">
        <v>3</v>
      </c>
      <c r="O1973" s="16">
        <v>8</v>
      </c>
      <c r="P1973" s="16">
        <v>147</v>
      </c>
      <c r="Q1973" s="29">
        <v>37</v>
      </c>
      <c r="R1973" s="20">
        <v>0.49930000000000002</v>
      </c>
      <c r="S1973" s="32">
        <v>18.4741</v>
      </c>
      <c r="T1973" s="35">
        <v>0.9</v>
      </c>
      <c r="U1973" s="35">
        <v>0.31</v>
      </c>
      <c r="V1973" s="35">
        <v>2.4324324324324326E-2</v>
      </c>
      <c r="W1973" s="9" t="s">
        <v>152</v>
      </c>
      <c r="X1973" s="15">
        <v>1972</v>
      </c>
      <c r="Y1973" s="39">
        <v>0.48491298883012207</v>
      </c>
      <c r="Z1973" s="39">
        <v>0.48721954943824175</v>
      </c>
      <c r="AA1973" s="39">
        <v>0.48012180926009579</v>
      </c>
      <c r="AB1973" s="39">
        <v>0.47942668512284392</v>
      </c>
      <c r="AC1973" s="39">
        <v>0.47828420251376719</v>
      </c>
      <c r="AD1973" s="39">
        <v>0.48177498168910993</v>
      </c>
      <c r="AE1973" s="39">
        <v>0.47627731095989334</v>
      </c>
      <c r="AF1973" s="40">
        <v>0.47658442254388594</v>
      </c>
    </row>
    <row r="1974" spans="1:32">
      <c r="A1974" s="15">
        <v>1972</v>
      </c>
      <c r="B1974" s="16">
        <v>0</v>
      </c>
      <c r="C1974" s="20">
        <v>0.43</v>
      </c>
      <c r="D1974" s="20">
        <v>0.58732264730676831</v>
      </c>
      <c r="E1974" s="20">
        <v>7.0000000000000007E-2</v>
      </c>
      <c r="F1974" s="8" t="s">
        <v>436</v>
      </c>
      <c r="G1974" s="24">
        <v>0.73018779694083158</v>
      </c>
      <c r="H1974" s="24">
        <v>0.7344153978995015</v>
      </c>
      <c r="I1974" s="25">
        <v>0.74725932084992819</v>
      </c>
      <c r="L1974" s="15">
        <v>1972</v>
      </c>
      <c r="M1974" s="16">
        <v>1</v>
      </c>
      <c r="N1974" s="16">
        <v>3</v>
      </c>
      <c r="O1974" s="16">
        <v>8</v>
      </c>
      <c r="P1974" s="16">
        <v>148</v>
      </c>
      <c r="Q1974" s="29">
        <v>43</v>
      </c>
      <c r="R1974" s="20">
        <v>0.49930000000000002</v>
      </c>
      <c r="S1974" s="32">
        <v>21.469900000000003</v>
      </c>
      <c r="T1974" s="35">
        <v>1.08</v>
      </c>
      <c r="U1974" s="35">
        <v>0.38</v>
      </c>
      <c r="V1974" s="35">
        <v>2.5116279069767444E-2</v>
      </c>
      <c r="W1974" s="9" t="s">
        <v>153</v>
      </c>
      <c r="X1974" s="15">
        <v>1973</v>
      </c>
      <c r="Y1974" s="39">
        <v>0.4744937287325639</v>
      </c>
      <c r="Z1974" s="39">
        <v>0.47883738782608215</v>
      </c>
      <c r="AA1974" s="39">
        <v>0.48586480998109927</v>
      </c>
      <c r="AB1974" s="39">
        <v>0.48561468148265968</v>
      </c>
      <c r="AC1974" s="39">
        <v>0.46902482674931772</v>
      </c>
      <c r="AD1974" s="39">
        <v>0.47176806078266131</v>
      </c>
      <c r="AE1974" s="39">
        <v>0.47669012184591597</v>
      </c>
      <c r="AF1974" s="40">
        <v>0.4825689287927688</v>
      </c>
    </row>
    <row r="1975" spans="1:32">
      <c r="A1975" s="15">
        <v>1973</v>
      </c>
      <c r="B1975" s="16">
        <v>0</v>
      </c>
      <c r="C1975" s="20">
        <v>0.02</v>
      </c>
      <c r="D1975" s="20">
        <v>0.99835916395484214</v>
      </c>
      <c r="E1975" s="20">
        <v>1</v>
      </c>
      <c r="F1975" s="8" t="s">
        <v>436</v>
      </c>
      <c r="G1975" s="24">
        <v>0.95652571413162935</v>
      </c>
      <c r="H1975" s="24">
        <v>0.96206375385647425</v>
      </c>
      <c r="I1975" s="25">
        <v>0.97888893584921577</v>
      </c>
      <c r="L1975" s="15">
        <v>1973</v>
      </c>
      <c r="M1975" s="16">
        <v>1</v>
      </c>
      <c r="N1975" s="16">
        <v>3</v>
      </c>
      <c r="O1975" s="16">
        <v>8</v>
      </c>
      <c r="P1975" s="16">
        <v>149</v>
      </c>
      <c r="Q1975" s="29">
        <v>37</v>
      </c>
      <c r="R1975" s="20">
        <v>0.49930000000000002</v>
      </c>
      <c r="S1975" s="32">
        <v>18.4741</v>
      </c>
      <c r="T1975" s="35">
        <v>1.1600000000000001</v>
      </c>
      <c r="U1975" s="35">
        <v>0.52</v>
      </c>
      <c r="V1975" s="35">
        <v>3.1351351351351357E-2</v>
      </c>
      <c r="W1975" s="9" t="s">
        <v>153</v>
      </c>
      <c r="X1975" s="15">
        <v>1974</v>
      </c>
      <c r="Y1975" s="39">
        <v>0.48585980164261083</v>
      </c>
      <c r="Z1975" s="39">
        <v>0.4800758852925669</v>
      </c>
      <c r="AA1975" s="39">
        <v>0.48175114440334976</v>
      </c>
      <c r="AB1975" s="39">
        <v>0.48497597129136205</v>
      </c>
      <c r="AC1975" s="39">
        <v>0.47922980389115138</v>
      </c>
      <c r="AD1975" s="39">
        <v>0.47180282684984703</v>
      </c>
      <c r="AE1975" s="39">
        <v>0.47789271219762541</v>
      </c>
      <c r="AF1975" s="40">
        <v>0.47973404153362614</v>
      </c>
    </row>
    <row r="1976" spans="1:32">
      <c r="A1976" s="15">
        <v>1974</v>
      </c>
      <c r="B1976" s="16">
        <v>0</v>
      </c>
      <c r="C1976" s="20">
        <v>0.02</v>
      </c>
      <c r="D1976" s="20">
        <v>0.99835916395484214</v>
      </c>
      <c r="E1976" s="20">
        <v>1</v>
      </c>
      <c r="F1976" s="8" t="s">
        <v>436</v>
      </c>
      <c r="G1976" s="24">
        <v>1.0464845528388096</v>
      </c>
      <c r="H1976" s="24">
        <v>1.0525434312771369</v>
      </c>
      <c r="I1976" s="25">
        <v>1.0709509793377663</v>
      </c>
      <c r="L1976" s="15">
        <v>1974</v>
      </c>
      <c r="M1976" s="16">
        <v>1</v>
      </c>
      <c r="N1976" s="16">
        <v>3</v>
      </c>
      <c r="O1976" s="16">
        <v>8</v>
      </c>
      <c r="P1976" s="16">
        <v>150</v>
      </c>
      <c r="Q1976" s="29">
        <v>38</v>
      </c>
      <c r="R1976" s="20">
        <v>0.49930000000000002</v>
      </c>
      <c r="S1976" s="32">
        <v>18.973400000000002</v>
      </c>
      <c r="T1976" s="35">
        <v>0.97</v>
      </c>
      <c r="U1976" s="35">
        <v>0.26</v>
      </c>
      <c r="V1976" s="35">
        <v>2.5526315789473685E-2</v>
      </c>
      <c r="W1976" s="9" t="s">
        <v>152</v>
      </c>
      <c r="X1976" s="15">
        <v>1975</v>
      </c>
      <c r="Y1976" s="39">
        <v>0.48440116224219132</v>
      </c>
      <c r="Z1976" s="39">
        <v>0.48655160917630885</v>
      </c>
      <c r="AA1976" s="39">
        <v>0.48427405780891136</v>
      </c>
      <c r="AB1976" s="39">
        <v>0.49570526941012416</v>
      </c>
      <c r="AC1976" s="39">
        <v>0.47676300456092002</v>
      </c>
      <c r="AD1976" s="39">
        <v>0.47690915758647884</v>
      </c>
      <c r="AE1976" s="39">
        <v>0.48030506486939006</v>
      </c>
      <c r="AF1976" s="40">
        <v>0.48905960645841468</v>
      </c>
    </row>
    <row r="1977" spans="1:32">
      <c r="A1977" s="15">
        <v>1975</v>
      </c>
      <c r="B1977" s="16">
        <v>1</v>
      </c>
      <c r="C1977" s="20">
        <v>0.02</v>
      </c>
      <c r="D1977" s="20">
        <v>0.99917029198757767</v>
      </c>
      <c r="E1977" s="20">
        <v>1</v>
      </c>
      <c r="F1977" s="8" t="s">
        <v>436</v>
      </c>
      <c r="G1977" s="24">
        <v>0.99199080369303239</v>
      </c>
      <c r="H1977" s="24">
        <v>0.99773417723372193</v>
      </c>
      <c r="I1977" s="25">
        <v>1.0151831862469438</v>
      </c>
      <c r="L1977" s="15">
        <v>1975</v>
      </c>
      <c r="M1977" s="16">
        <v>1</v>
      </c>
      <c r="N1977" s="16">
        <v>3</v>
      </c>
      <c r="O1977" s="16">
        <v>8</v>
      </c>
      <c r="P1977" s="16">
        <v>151</v>
      </c>
      <c r="Q1977" s="29">
        <v>29</v>
      </c>
      <c r="R1977" s="20">
        <v>0.49930000000000002</v>
      </c>
      <c r="S1977" s="32">
        <v>14.479700000000001</v>
      </c>
      <c r="T1977" s="35">
        <v>0.43</v>
      </c>
      <c r="U1977" s="35">
        <v>0.04</v>
      </c>
      <c r="V1977" s="35">
        <v>1.4827586206896552E-2</v>
      </c>
      <c r="W1977" s="9" t="s">
        <v>152</v>
      </c>
      <c r="X1977" s="15">
        <v>1976</v>
      </c>
      <c r="Y1977" s="39">
        <v>0.48424618641635692</v>
      </c>
      <c r="Z1977" s="39">
        <v>0.49796009898939519</v>
      </c>
      <c r="AA1977" s="39">
        <v>0.48233074175550533</v>
      </c>
      <c r="AB1977" s="39">
        <v>0.49463865377400695</v>
      </c>
      <c r="AC1977" s="39">
        <v>0.47772282575395592</v>
      </c>
      <c r="AD1977" s="39">
        <v>0.48959918792267743</v>
      </c>
      <c r="AE1977" s="39">
        <v>0.47489041368132356</v>
      </c>
      <c r="AF1977" s="40">
        <v>0.49070124712575908</v>
      </c>
    </row>
    <row r="1978" spans="1:32">
      <c r="A1978" s="15">
        <v>1976</v>
      </c>
      <c r="B1978" s="16">
        <v>0</v>
      </c>
      <c r="C1978" s="20">
        <v>0.91</v>
      </c>
      <c r="D1978" s="20">
        <v>0.21727233298780477</v>
      </c>
      <c r="E1978" s="20">
        <v>0.09</v>
      </c>
      <c r="F1978" s="8" t="s">
        <v>434</v>
      </c>
      <c r="G1978" s="24">
        <v>0.80140290289539473</v>
      </c>
      <c r="H1978" s="24">
        <v>0.80604282113938031</v>
      </c>
      <c r="I1978" s="25">
        <v>0.82013940996236612</v>
      </c>
      <c r="L1978" s="15">
        <v>1976</v>
      </c>
      <c r="M1978" s="16">
        <v>1</v>
      </c>
      <c r="N1978" s="16">
        <v>3</v>
      </c>
      <c r="O1978" s="16">
        <v>8</v>
      </c>
      <c r="P1978" s="16">
        <v>152</v>
      </c>
      <c r="Q1978" s="29">
        <v>35</v>
      </c>
      <c r="R1978" s="20">
        <v>0.49930000000000002</v>
      </c>
      <c r="S1978" s="32">
        <v>17.4755</v>
      </c>
      <c r="T1978" s="35">
        <v>0.73</v>
      </c>
      <c r="U1978" s="35">
        <v>0.23</v>
      </c>
      <c r="V1978" s="35">
        <v>2.0857142857142855E-2</v>
      </c>
      <c r="W1978" s="9" t="s">
        <v>152</v>
      </c>
      <c r="X1978" s="15">
        <v>1977</v>
      </c>
      <c r="Y1978" s="39">
        <v>0.48954675403468556</v>
      </c>
      <c r="Z1978" s="39">
        <v>0.47931135541643405</v>
      </c>
      <c r="AA1978" s="39">
        <v>0.48571140899857218</v>
      </c>
      <c r="AB1978" s="39">
        <v>0.49983133114246431</v>
      </c>
      <c r="AC1978" s="39">
        <v>0.47986203402113226</v>
      </c>
      <c r="AD1978" s="39">
        <v>0.47287389378490724</v>
      </c>
      <c r="AE1978" s="39">
        <v>0.48178224421660293</v>
      </c>
      <c r="AF1978" s="40">
        <v>0.49325335339920029</v>
      </c>
    </row>
    <row r="1979" spans="1:32">
      <c r="A1979" s="15">
        <v>1977</v>
      </c>
      <c r="B1979" s="16">
        <v>0</v>
      </c>
      <c r="C1979" s="20">
        <v>0.08</v>
      </c>
      <c r="D1979" s="20">
        <v>0.94734256264452776</v>
      </c>
      <c r="E1979" s="20">
        <v>0.49</v>
      </c>
      <c r="F1979" s="8" t="s">
        <v>436</v>
      </c>
      <c r="G1979" s="24">
        <v>0.98427201679767862</v>
      </c>
      <c r="H1979" s="24">
        <v>0.98997070053251923</v>
      </c>
      <c r="I1979" s="25">
        <v>1.0072839369341333</v>
      </c>
      <c r="L1979" s="15">
        <v>1977</v>
      </c>
      <c r="M1979" s="16">
        <v>1</v>
      </c>
      <c r="N1979" s="16">
        <v>3</v>
      </c>
      <c r="O1979" s="16">
        <v>9</v>
      </c>
      <c r="P1979" s="16">
        <v>153</v>
      </c>
      <c r="Q1979" s="29">
        <v>25</v>
      </c>
      <c r="R1979" s="20">
        <v>0.49930000000000002</v>
      </c>
      <c r="S1979" s="32">
        <v>12.4825</v>
      </c>
      <c r="T1979" s="35">
        <v>0.6</v>
      </c>
      <c r="U1979" s="35">
        <v>0.22</v>
      </c>
      <c r="V1979" s="35">
        <v>2.4E-2</v>
      </c>
      <c r="W1979" s="9" t="s">
        <v>152</v>
      </c>
      <c r="X1979" s="15">
        <v>1978</v>
      </c>
      <c r="Y1979" s="39">
        <v>0.48708786228058765</v>
      </c>
      <c r="Z1979" s="39">
        <v>0.48216717678130094</v>
      </c>
      <c r="AA1979" s="39">
        <v>0.48047635825967921</v>
      </c>
      <c r="AB1979" s="39">
        <v>0.50046914026075195</v>
      </c>
      <c r="AC1979" s="39">
        <v>0.48146557533760687</v>
      </c>
      <c r="AD1979" s="39">
        <v>0.47516341643021703</v>
      </c>
      <c r="AE1979" s="39">
        <v>0.47046801626485607</v>
      </c>
      <c r="AF1979" s="40">
        <v>0.49722901535097319</v>
      </c>
    </row>
    <row r="1980" spans="1:32">
      <c r="A1980" s="15">
        <v>1978</v>
      </c>
      <c r="B1980" s="16">
        <v>1</v>
      </c>
      <c r="C1980" s="20">
        <v>0.19</v>
      </c>
      <c r="D1980" s="20">
        <v>0.80618038331455522</v>
      </c>
      <c r="E1980" s="20">
        <v>0.45</v>
      </c>
      <c r="F1980" s="8" t="s">
        <v>436</v>
      </c>
      <c r="G1980" s="24">
        <v>0.99577709290670113</v>
      </c>
      <c r="H1980" s="24">
        <v>1.0015423880954606</v>
      </c>
      <c r="I1980" s="25">
        <v>1.0190579975190592</v>
      </c>
      <c r="L1980" s="15">
        <v>1978</v>
      </c>
      <c r="M1980" s="16">
        <v>1</v>
      </c>
      <c r="N1980" s="16">
        <v>3</v>
      </c>
      <c r="O1980" s="16">
        <v>9</v>
      </c>
      <c r="P1980" s="16">
        <v>154</v>
      </c>
      <c r="Q1980" s="29">
        <v>21</v>
      </c>
      <c r="R1980" s="20">
        <v>0.49930000000000002</v>
      </c>
      <c r="S1980" s="32">
        <v>10.485300000000001</v>
      </c>
      <c r="T1980" s="35">
        <v>0.61</v>
      </c>
      <c r="U1980" s="35">
        <v>0.26</v>
      </c>
      <c r="V1980" s="35">
        <v>2.9047619047619048E-2</v>
      </c>
      <c r="W1980" s="9" t="s">
        <v>152</v>
      </c>
      <c r="X1980" s="15">
        <v>1979</v>
      </c>
      <c r="Y1980" s="39">
        <v>0.47918969120783084</v>
      </c>
      <c r="Z1980" s="39">
        <v>0.48691188110677941</v>
      </c>
      <c r="AA1980" s="39">
        <v>0.48925097821163638</v>
      </c>
      <c r="AB1980" s="39">
        <v>0.49911576281921394</v>
      </c>
      <c r="AC1980" s="39">
        <v>0.47334516954070949</v>
      </c>
      <c r="AD1980" s="39">
        <v>0.47937071475555343</v>
      </c>
      <c r="AE1980" s="39">
        <v>0.48508795179055009</v>
      </c>
      <c r="AF1980" s="40">
        <v>0.49626289109622634</v>
      </c>
    </row>
    <row r="1981" spans="1:32">
      <c r="A1981" s="15">
        <v>1979</v>
      </c>
      <c r="B1981" s="16">
        <v>1</v>
      </c>
      <c r="C1981" s="20">
        <v>0.96</v>
      </c>
      <c r="D1981" s="20">
        <v>0.13880369068795359</v>
      </c>
      <c r="E1981" s="20">
        <v>0.04</v>
      </c>
      <c r="F1981" s="8" t="s">
        <v>434</v>
      </c>
      <c r="G1981" s="24">
        <v>0.47598703585063812</v>
      </c>
      <c r="H1981" s="24">
        <v>0.47874287928914422</v>
      </c>
      <c r="I1981" s="25">
        <v>0.48711543884092068</v>
      </c>
      <c r="L1981" s="15">
        <v>1979</v>
      </c>
      <c r="M1981" s="16">
        <v>1</v>
      </c>
      <c r="N1981" s="16">
        <v>3</v>
      </c>
      <c r="O1981" s="16">
        <v>9</v>
      </c>
      <c r="P1981" s="16">
        <v>155</v>
      </c>
      <c r="Q1981" s="29">
        <v>16</v>
      </c>
      <c r="R1981" s="20">
        <v>0.49930000000000002</v>
      </c>
      <c r="S1981" s="32">
        <v>7.9888000000000003</v>
      </c>
      <c r="T1981" s="35">
        <v>0.39</v>
      </c>
      <c r="U1981" s="35">
        <v>0.21</v>
      </c>
      <c r="V1981" s="35">
        <v>2.4375000000000001E-2</v>
      </c>
      <c r="W1981" s="9" t="s">
        <v>152</v>
      </c>
      <c r="X1981" s="15">
        <v>1980</v>
      </c>
      <c r="Y1981" s="39">
        <v>0.49355598069025658</v>
      </c>
      <c r="Z1981" s="39">
        <v>0.48663419082072046</v>
      </c>
      <c r="AA1981" s="39">
        <v>0.48390071615403379</v>
      </c>
      <c r="AB1981" s="39">
        <v>0.48201012170489133</v>
      </c>
      <c r="AC1981" s="39">
        <v>0.48695230234716247</v>
      </c>
      <c r="AD1981" s="39">
        <v>0.47998295718136347</v>
      </c>
      <c r="AE1981" s="39">
        <v>0.47531682149620524</v>
      </c>
      <c r="AF1981" s="40">
        <v>0.47565343463755971</v>
      </c>
    </row>
    <row r="1982" spans="1:32">
      <c r="A1982" s="15">
        <v>1980</v>
      </c>
      <c r="B1982" s="16">
        <v>1</v>
      </c>
      <c r="C1982" s="20">
        <v>0.46</v>
      </c>
      <c r="D1982" s="20">
        <v>0.51102733309276482</v>
      </c>
      <c r="E1982" s="20">
        <v>0.16</v>
      </c>
      <c r="F1982" s="8" t="s">
        <v>436</v>
      </c>
      <c r="G1982" s="24">
        <v>0.88018013935063566</v>
      </c>
      <c r="H1982" s="24">
        <v>0.88527615768524837</v>
      </c>
      <c r="I1982" s="25">
        <v>0.90075842942366724</v>
      </c>
      <c r="L1982" s="15">
        <v>1980</v>
      </c>
      <c r="M1982" s="16">
        <v>1</v>
      </c>
      <c r="N1982" s="16">
        <v>3</v>
      </c>
      <c r="O1982" s="16">
        <v>9</v>
      </c>
      <c r="P1982" s="16">
        <v>156</v>
      </c>
      <c r="Q1982" s="29">
        <v>22</v>
      </c>
      <c r="R1982" s="20">
        <v>0.49930000000000002</v>
      </c>
      <c r="S1982" s="32">
        <v>10.9846</v>
      </c>
      <c r="T1982" s="35">
        <v>1.32</v>
      </c>
      <c r="U1982" s="35">
        <v>0.9</v>
      </c>
      <c r="V1982" s="35">
        <v>6.0000000000000005E-2</v>
      </c>
      <c r="W1982" s="9" t="s">
        <v>153</v>
      </c>
      <c r="X1982" s="15">
        <v>1981</v>
      </c>
      <c r="Y1982" s="39">
        <v>0.48534559892745421</v>
      </c>
      <c r="Z1982" s="39">
        <v>0.49342530874435947</v>
      </c>
      <c r="AA1982" s="39">
        <v>0.48889437221842841</v>
      </c>
      <c r="AB1982" s="39">
        <v>0.47820377967048222</v>
      </c>
      <c r="AC1982" s="39">
        <v>0.48200247969056992</v>
      </c>
      <c r="AD1982" s="39">
        <v>0.48367508011302757</v>
      </c>
      <c r="AE1982" s="39">
        <v>0.47928065628048783</v>
      </c>
      <c r="AF1982" s="40">
        <v>0.47301053631404971</v>
      </c>
    </row>
    <row r="1983" spans="1:32">
      <c r="A1983" s="15">
        <v>1981</v>
      </c>
      <c r="B1983" s="16">
        <v>0</v>
      </c>
      <c r="C1983" s="20">
        <v>0.15</v>
      </c>
      <c r="D1983" s="20">
        <v>0.84493797144231386</v>
      </c>
      <c r="E1983" s="20">
        <v>0.44</v>
      </c>
      <c r="F1983" s="8" t="s">
        <v>436</v>
      </c>
      <c r="G1983" s="24">
        <v>0.81526151513822831</v>
      </c>
      <c r="H1983" s="24">
        <v>0.81998167120959076</v>
      </c>
      <c r="I1983" s="25">
        <v>0.83432203149601725</v>
      </c>
      <c r="L1983" s="15">
        <v>1981</v>
      </c>
      <c r="M1983" s="16">
        <v>1</v>
      </c>
      <c r="N1983" s="16">
        <v>3</v>
      </c>
      <c r="O1983" s="16">
        <v>9</v>
      </c>
      <c r="P1983" s="16">
        <v>157</v>
      </c>
      <c r="Q1983" s="29">
        <v>22</v>
      </c>
      <c r="R1983" s="20">
        <v>0.49930000000000002</v>
      </c>
      <c r="S1983" s="32">
        <v>10.9846</v>
      </c>
      <c r="T1983" s="35">
        <v>0.8</v>
      </c>
      <c r="U1983" s="35">
        <v>0.49</v>
      </c>
      <c r="V1983" s="35">
        <v>3.6363636363636369E-2</v>
      </c>
      <c r="W1983" s="9" t="s">
        <v>152</v>
      </c>
      <c r="X1983" s="15">
        <v>1982</v>
      </c>
      <c r="Y1983" s="39">
        <v>0.48012724671506818</v>
      </c>
      <c r="Z1983" s="39">
        <v>0.49272881322739781</v>
      </c>
      <c r="AA1983" s="39">
        <v>0.47842932035984204</v>
      </c>
      <c r="AB1983" s="39">
        <v>0.48589590619122114</v>
      </c>
      <c r="AC1983" s="39">
        <v>0.47293425827138308</v>
      </c>
      <c r="AD1983" s="39">
        <v>0.48228989598311278</v>
      </c>
      <c r="AE1983" s="39">
        <v>0.47540150878494092</v>
      </c>
      <c r="AF1983" s="40">
        <v>0.48094701167177056</v>
      </c>
    </row>
    <row r="1984" spans="1:32">
      <c r="A1984" s="15">
        <v>1982</v>
      </c>
      <c r="B1984" s="16">
        <v>0</v>
      </c>
      <c r="C1984" s="20">
        <v>0.02</v>
      </c>
      <c r="D1984" s="20">
        <v>0.99756714174924133</v>
      </c>
      <c r="E1984" s="20">
        <v>1</v>
      </c>
      <c r="F1984" s="8" t="s">
        <v>436</v>
      </c>
      <c r="G1984" s="24">
        <v>0.95811792890434366</v>
      </c>
      <c r="H1984" s="24">
        <v>0.96366518714629845</v>
      </c>
      <c r="I1984" s="25">
        <v>0.98051837602158032</v>
      </c>
      <c r="L1984" s="15">
        <v>1982</v>
      </c>
      <c r="M1984" s="16">
        <v>1</v>
      </c>
      <c r="N1984" s="16">
        <v>3</v>
      </c>
      <c r="O1984" s="16">
        <v>9</v>
      </c>
      <c r="P1984" s="16">
        <v>158</v>
      </c>
      <c r="Q1984" s="29">
        <v>26</v>
      </c>
      <c r="R1984" s="20">
        <v>0.49930000000000002</v>
      </c>
      <c r="S1984" s="32">
        <v>12.9818</v>
      </c>
      <c r="T1984" s="35">
        <v>0.46</v>
      </c>
      <c r="U1984" s="35">
        <v>0.13</v>
      </c>
      <c r="V1984" s="35">
        <v>1.7692307692307695E-2</v>
      </c>
      <c r="W1984" s="9" t="s">
        <v>152</v>
      </c>
      <c r="X1984" s="15">
        <v>1983</v>
      </c>
      <c r="Y1984" s="39">
        <v>0.4741825425405895</v>
      </c>
      <c r="Z1984" s="39">
        <v>0.49603041629021771</v>
      </c>
      <c r="AA1984" s="39">
        <v>0.49383872150740249</v>
      </c>
      <c r="AB1984" s="39">
        <v>0.48978529552396688</v>
      </c>
      <c r="AC1984" s="39">
        <v>0.46955414187849537</v>
      </c>
      <c r="AD1984" s="39">
        <v>0.49075927655242246</v>
      </c>
      <c r="AE1984" s="39">
        <v>0.48953682611218968</v>
      </c>
      <c r="AF1984" s="40">
        <v>0.48521173119579536</v>
      </c>
    </row>
    <row r="1985" spans="1:32">
      <c r="A1985" s="15">
        <v>1983</v>
      </c>
      <c r="B1985" s="16">
        <v>1</v>
      </c>
      <c r="C1985" s="20">
        <v>0.02</v>
      </c>
      <c r="D1985" s="20">
        <v>0.99756714174924133</v>
      </c>
      <c r="E1985" s="20">
        <v>1</v>
      </c>
      <c r="F1985" s="8" t="s">
        <v>436</v>
      </c>
      <c r="G1985" s="24">
        <v>0.96717637488398756</v>
      </c>
      <c r="H1985" s="24">
        <v>0.97277607921593179</v>
      </c>
      <c r="I1985" s="25">
        <v>0.98978860515861</v>
      </c>
      <c r="L1985" s="15">
        <v>1983</v>
      </c>
      <c r="M1985" s="16">
        <v>1</v>
      </c>
      <c r="N1985" s="16">
        <v>3</v>
      </c>
      <c r="O1985" s="16">
        <v>9</v>
      </c>
      <c r="P1985" s="16">
        <v>159</v>
      </c>
      <c r="Q1985" s="29">
        <v>23</v>
      </c>
      <c r="R1985" s="20">
        <v>0.49930000000000002</v>
      </c>
      <c r="S1985" s="32">
        <v>11.4839</v>
      </c>
      <c r="T1985" s="35">
        <v>0.74</v>
      </c>
      <c r="U1985" s="35">
        <v>0.4</v>
      </c>
      <c r="V1985" s="35">
        <v>3.2173913043478261E-2</v>
      </c>
      <c r="W1985" s="9" t="s">
        <v>152</v>
      </c>
      <c r="X1985" s="15">
        <v>1984</v>
      </c>
      <c r="Y1985" s="39">
        <v>0.47847666021582258</v>
      </c>
      <c r="Z1985" s="39">
        <v>0.47491537541842449</v>
      </c>
      <c r="AA1985" s="39">
        <v>0.50082427310359579</v>
      </c>
      <c r="AB1985" s="39">
        <v>0.48558337811859265</v>
      </c>
      <c r="AC1985" s="39">
        <v>0.47210098843121112</v>
      </c>
      <c r="AD1985" s="39">
        <v>0.46968269139849578</v>
      </c>
      <c r="AE1985" s="39">
        <v>0.49194495442957392</v>
      </c>
      <c r="AF1985" s="40">
        <v>0.47925163738374937</v>
      </c>
    </row>
    <row r="1986" spans="1:32">
      <c r="A1986" s="15">
        <v>1984</v>
      </c>
      <c r="B1986" s="16">
        <v>0</v>
      </c>
      <c r="C1986" s="20">
        <v>0.93</v>
      </c>
      <c r="D1986" s="20">
        <v>0.18747949848141848</v>
      </c>
      <c r="E1986" s="20">
        <v>7.0000000000000007E-2</v>
      </c>
      <c r="F1986" s="8" t="s">
        <v>434</v>
      </c>
      <c r="G1986" s="24">
        <v>0.45536066196497743</v>
      </c>
      <c r="H1986" s="24">
        <v>0.45799708396371386</v>
      </c>
      <c r="I1986" s="25">
        <v>0.46600682786992076</v>
      </c>
      <c r="L1986" s="15">
        <v>1984</v>
      </c>
      <c r="M1986" s="16">
        <v>1</v>
      </c>
      <c r="N1986" s="16">
        <v>3</v>
      </c>
      <c r="O1986" s="16">
        <v>9</v>
      </c>
      <c r="P1986" s="16">
        <v>160</v>
      </c>
      <c r="Q1986" s="29">
        <v>31</v>
      </c>
      <c r="R1986" s="20">
        <v>0.49930000000000002</v>
      </c>
      <c r="S1986" s="32">
        <v>15.478300000000001</v>
      </c>
      <c r="T1986" s="35">
        <v>0.73</v>
      </c>
      <c r="U1986" s="35">
        <v>0.23</v>
      </c>
      <c r="V1986" s="35">
        <v>2.3548387096774193E-2</v>
      </c>
      <c r="W1986" s="9" t="s">
        <v>152</v>
      </c>
      <c r="X1986" s="15">
        <v>1985</v>
      </c>
      <c r="Y1986" s="39">
        <v>0.48325259147186383</v>
      </c>
      <c r="Z1986" s="39">
        <v>0.48589905270946615</v>
      </c>
      <c r="AA1986" s="39">
        <v>0.48694659609107166</v>
      </c>
      <c r="AB1986" s="39">
        <v>0.48753067689974472</v>
      </c>
      <c r="AC1986" s="39">
        <v>0.47646081153687869</v>
      </c>
      <c r="AD1986" s="39">
        <v>0.4819445739532624</v>
      </c>
      <c r="AE1986" s="39">
        <v>0.47883934611734319</v>
      </c>
      <c r="AF1986" s="40">
        <v>0.48483562481169445</v>
      </c>
    </row>
    <row r="1987" spans="1:32">
      <c r="A1987" s="15">
        <v>1985</v>
      </c>
      <c r="B1987" s="16">
        <v>1</v>
      </c>
      <c r="C1987" s="20">
        <v>0.09</v>
      </c>
      <c r="D1987" s="20">
        <v>0.92325686014054875</v>
      </c>
      <c r="E1987" s="20">
        <v>0.1</v>
      </c>
      <c r="F1987" s="8" t="s">
        <v>436</v>
      </c>
      <c r="G1987" s="24">
        <v>0.82421516862531985</v>
      </c>
      <c r="H1987" s="24">
        <v>0.82898716406488893</v>
      </c>
      <c r="I1987" s="25">
        <v>0.84348501813030607</v>
      </c>
      <c r="L1987" s="15">
        <v>1985</v>
      </c>
      <c r="M1987" s="16">
        <v>1</v>
      </c>
      <c r="N1987" s="16">
        <v>3</v>
      </c>
      <c r="O1987" s="16">
        <v>9</v>
      </c>
      <c r="P1987" s="16">
        <v>161</v>
      </c>
      <c r="Q1987" s="29">
        <v>27</v>
      </c>
      <c r="R1987" s="20">
        <v>0.49930000000000002</v>
      </c>
      <c r="S1987" s="32">
        <v>13.481100000000001</v>
      </c>
      <c r="T1987" s="35">
        <v>0.44</v>
      </c>
      <c r="U1987" s="35">
        <v>0.11</v>
      </c>
      <c r="V1987" s="35">
        <v>1.6296296296296295E-2</v>
      </c>
      <c r="W1987" s="9" t="s">
        <v>152</v>
      </c>
      <c r="X1987" s="15">
        <v>1986</v>
      </c>
      <c r="Y1987" s="39">
        <v>0.48956403470202886</v>
      </c>
      <c r="Z1987" s="39">
        <v>0.47420734641843371</v>
      </c>
      <c r="AA1987" s="39">
        <v>0.47981248055845971</v>
      </c>
      <c r="AB1987" s="39">
        <v>0.49203551200670764</v>
      </c>
      <c r="AC1987" s="39">
        <v>0.48197352957038525</v>
      </c>
      <c r="AD1987" s="39">
        <v>0.46681789836173182</v>
      </c>
      <c r="AE1987" s="39">
        <v>0.473035332872697</v>
      </c>
      <c r="AF1987" s="40">
        <v>0.48700169155375522</v>
      </c>
    </row>
    <row r="1988" spans="1:32">
      <c r="A1988" s="15">
        <v>1986</v>
      </c>
      <c r="B1988" s="16">
        <v>0</v>
      </c>
      <c r="C1988" s="20">
        <v>0.02</v>
      </c>
      <c r="D1988" s="20">
        <v>0.99604261948721451</v>
      </c>
      <c r="E1988" s="20">
        <v>1</v>
      </c>
      <c r="F1988" s="8" t="s">
        <v>436</v>
      </c>
      <c r="G1988" s="24">
        <v>1.1226094256754608</v>
      </c>
      <c r="H1988" s="24">
        <v>1.1291090476960983</v>
      </c>
      <c r="I1988" s="25">
        <v>1.14885562388815</v>
      </c>
      <c r="L1988" s="15">
        <v>1986</v>
      </c>
      <c r="M1988" s="16">
        <v>1</v>
      </c>
      <c r="N1988" s="16">
        <v>3</v>
      </c>
      <c r="O1988" s="16">
        <v>9</v>
      </c>
      <c r="P1988" s="16">
        <v>162</v>
      </c>
      <c r="Q1988" s="29">
        <v>29</v>
      </c>
      <c r="R1988" s="20">
        <v>0.49930000000000002</v>
      </c>
      <c r="S1988" s="32">
        <v>14.479700000000001</v>
      </c>
      <c r="T1988" s="35">
        <v>0.39</v>
      </c>
      <c r="U1988" s="35">
        <v>0</v>
      </c>
      <c r="V1988" s="35">
        <v>1.3448275862068966E-2</v>
      </c>
      <c r="W1988" s="9" t="s">
        <v>152</v>
      </c>
      <c r="X1988" s="15">
        <v>1987</v>
      </c>
      <c r="Y1988" s="39">
        <v>0.49043911494352627</v>
      </c>
      <c r="Z1988" s="39">
        <v>0.47196399981457521</v>
      </c>
      <c r="AA1988" s="39">
        <v>0.48463281030984173</v>
      </c>
      <c r="AB1988" s="39">
        <v>0.49958066806174406</v>
      </c>
      <c r="AC1988" s="39">
        <v>0.48357553403739928</v>
      </c>
      <c r="AD1988" s="39">
        <v>0.46528326310658341</v>
      </c>
      <c r="AE1988" s="39">
        <v>0.47673567541916928</v>
      </c>
      <c r="AF1988" s="40">
        <v>0.49567459192299596</v>
      </c>
    </row>
    <row r="1989" spans="1:32">
      <c r="A1989" s="15">
        <v>1987</v>
      </c>
      <c r="B1989" s="16">
        <v>1</v>
      </c>
      <c r="C1989" s="20">
        <v>0.89</v>
      </c>
      <c r="D1989" s="20">
        <v>0.24559627500636821</v>
      </c>
      <c r="E1989" s="20">
        <v>0.11</v>
      </c>
      <c r="F1989" s="8" t="s">
        <v>434</v>
      </c>
      <c r="G1989" s="24">
        <v>0.72692179470342744</v>
      </c>
      <c r="H1989" s="24">
        <v>0.73113048634281297</v>
      </c>
      <c r="I1989" s="25">
        <v>0.74391696067348889</v>
      </c>
      <c r="L1989" s="15">
        <v>1987</v>
      </c>
      <c r="M1989" s="16">
        <v>1</v>
      </c>
      <c r="N1989" s="16">
        <v>3</v>
      </c>
      <c r="O1989" s="16">
        <v>9</v>
      </c>
      <c r="P1989" s="16">
        <v>163</v>
      </c>
      <c r="Q1989" s="29">
        <v>24</v>
      </c>
      <c r="R1989" s="20">
        <v>0.49930000000000002</v>
      </c>
      <c r="S1989" s="32">
        <v>11.9832</v>
      </c>
      <c r="T1989" s="35">
        <v>1.0900000000000001</v>
      </c>
      <c r="U1989" s="35">
        <v>0.56999999999999995</v>
      </c>
      <c r="V1989" s="35">
        <v>4.5416666666666668E-2</v>
      </c>
      <c r="W1989" s="9" t="s">
        <v>153</v>
      </c>
      <c r="X1989" s="15">
        <v>1988</v>
      </c>
      <c r="Y1989" s="39">
        <v>0.48726034118191625</v>
      </c>
      <c r="Z1989" s="39">
        <v>0.48631362591647093</v>
      </c>
      <c r="AA1989" s="39">
        <v>0.49265522609993623</v>
      </c>
      <c r="AB1989" s="39">
        <v>0.48003564528992698</v>
      </c>
      <c r="AC1989" s="39">
        <v>0.4814296524736979</v>
      </c>
      <c r="AD1989" s="39">
        <v>0.47994335975454128</v>
      </c>
      <c r="AE1989" s="39">
        <v>0.48409854155134585</v>
      </c>
      <c r="AF1989" s="40">
        <v>0.4730522612249185</v>
      </c>
    </row>
    <row r="1990" spans="1:32">
      <c r="A1990" s="15">
        <v>1988</v>
      </c>
      <c r="B1990" s="16">
        <v>1</v>
      </c>
      <c r="C1990" s="20">
        <v>0.54</v>
      </c>
      <c r="D1990" s="20">
        <v>0.4691485668838356</v>
      </c>
      <c r="E1990" s="20">
        <v>0.06</v>
      </c>
      <c r="F1990" s="8" t="s">
        <v>438</v>
      </c>
      <c r="G1990" s="24">
        <v>1.4972666337482858</v>
      </c>
      <c r="H1990" s="24">
        <v>1.5059354253697537</v>
      </c>
      <c r="I1990" s="25">
        <v>1.5322721805999511</v>
      </c>
      <c r="L1990" s="15">
        <v>1988</v>
      </c>
      <c r="M1990" s="16">
        <v>1</v>
      </c>
      <c r="N1990" s="16">
        <v>3</v>
      </c>
      <c r="O1990" s="16">
        <v>9</v>
      </c>
      <c r="P1990" s="16">
        <v>164</v>
      </c>
      <c r="Q1990" s="29">
        <v>30</v>
      </c>
      <c r="R1990" s="20">
        <v>0.49930000000000002</v>
      </c>
      <c r="S1990" s="32">
        <v>14.979000000000001</v>
      </c>
      <c r="T1990" s="35">
        <v>0.64</v>
      </c>
      <c r="U1990" s="35">
        <v>0.1</v>
      </c>
      <c r="V1990" s="35">
        <v>2.1333333333333333E-2</v>
      </c>
      <c r="W1990" s="9" t="s">
        <v>152</v>
      </c>
      <c r="X1990" s="15">
        <v>1989</v>
      </c>
      <c r="Y1990" s="39">
        <v>0.48272722114594468</v>
      </c>
      <c r="Z1990" s="39">
        <v>0.4853900125122822</v>
      </c>
      <c r="AA1990" s="39">
        <v>0.48829139337493449</v>
      </c>
      <c r="AB1990" s="39">
        <v>0.50211553921760887</v>
      </c>
      <c r="AC1990" s="39">
        <v>0.47535798456329326</v>
      </c>
      <c r="AD1990" s="39">
        <v>0.47815769547753961</v>
      </c>
      <c r="AE1990" s="39">
        <v>0.47835350725810044</v>
      </c>
      <c r="AF1990" s="40">
        <v>0.49995761363345981</v>
      </c>
    </row>
    <row r="1991" spans="1:32">
      <c r="A1991" s="15">
        <v>1989</v>
      </c>
      <c r="B1991" s="16">
        <v>1</v>
      </c>
      <c r="C1991" s="20">
        <v>0.88</v>
      </c>
      <c r="D1991" s="20">
        <v>0.25930874124763043</v>
      </c>
      <c r="E1991" s="20">
        <v>0.12</v>
      </c>
      <c r="F1991" s="8" t="s">
        <v>434</v>
      </c>
      <c r="G1991" s="24">
        <v>0.68595975485756489</v>
      </c>
      <c r="H1991" s="24">
        <v>0.68993128674209436</v>
      </c>
      <c r="I1991" s="25">
        <v>0.70199724330203128</v>
      </c>
      <c r="L1991" s="15">
        <v>1989</v>
      </c>
      <c r="M1991" s="16">
        <v>1</v>
      </c>
      <c r="N1991" s="16">
        <v>3</v>
      </c>
      <c r="O1991" s="16">
        <v>9</v>
      </c>
      <c r="P1991" s="16">
        <v>165</v>
      </c>
      <c r="Q1991" s="29">
        <v>22</v>
      </c>
      <c r="R1991" s="20">
        <v>0.49930000000000002</v>
      </c>
      <c r="S1991" s="32">
        <v>10.9846</v>
      </c>
      <c r="T1991" s="35">
        <v>0.8</v>
      </c>
      <c r="U1991" s="35">
        <v>0.5</v>
      </c>
      <c r="V1991" s="35">
        <v>3.6363636363636369E-2</v>
      </c>
      <c r="W1991" s="9" t="s">
        <v>152</v>
      </c>
      <c r="X1991" s="15">
        <v>1990</v>
      </c>
      <c r="Y1991" s="39">
        <v>0.47892320261606547</v>
      </c>
      <c r="Z1991" s="39">
        <v>0.48020780633458526</v>
      </c>
      <c r="AA1991" s="39">
        <v>0.49402727165911164</v>
      </c>
      <c r="AB1991" s="39">
        <v>0.50348044041129603</v>
      </c>
      <c r="AC1991" s="39">
        <v>0.47162869661429485</v>
      </c>
      <c r="AD1991" s="39">
        <v>0.47450394170699917</v>
      </c>
      <c r="AE1991" s="39">
        <v>0.48344256708974043</v>
      </c>
      <c r="AF1991" s="40">
        <v>0.49907209539547642</v>
      </c>
    </row>
    <row r="1992" spans="1:32">
      <c r="A1992" s="15">
        <v>1990</v>
      </c>
      <c r="B1992" s="16">
        <v>0</v>
      </c>
      <c r="C1992" s="20">
        <v>0.23</v>
      </c>
      <c r="D1992" s="20">
        <v>0.73519556422311494</v>
      </c>
      <c r="E1992" s="20">
        <v>0.25</v>
      </c>
      <c r="F1992" s="8" t="s">
        <v>436</v>
      </c>
      <c r="G1992" s="24">
        <v>1.1097317666678719</v>
      </c>
      <c r="H1992" s="24">
        <v>1.1161568303299694</v>
      </c>
      <c r="I1992" s="25">
        <v>1.1356768899179797</v>
      </c>
      <c r="L1992" s="15">
        <v>1990</v>
      </c>
      <c r="M1992" s="16">
        <v>1</v>
      </c>
      <c r="N1992" s="16">
        <v>3</v>
      </c>
      <c r="O1992" s="16">
        <v>9</v>
      </c>
      <c r="P1992" s="16">
        <v>166</v>
      </c>
      <c r="Q1992" s="29">
        <v>23</v>
      </c>
      <c r="R1992" s="20">
        <v>0.49930000000000002</v>
      </c>
      <c r="S1992" s="32">
        <v>11.4839</v>
      </c>
      <c r="T1992" s="35">
        <v>0.94000000000000006</v>
      </c>
      <c r="U1992" s="35">
        <v>0.54</v>
      </c>
      <c r="V1992" s="35">
        <v>4.086956521739131E-2</v>
      </c>
      <c r="W1992" s="9" t="s">
        <v>152</v>
      </c>
      <c r="X1992" s="15">
        <v>1991</v>
      </c>
      <c r="Y1992" s="39">
        <v>0.48054251283729621</v>
      </c>
      <c r="Z1992" s="39">
        <v>0.49042793257281764</v>
      </c>
      <c r="AA1992" s="39">
        <v>0.48927960770970202</v>
      </c>
      <c r="AB1992" s="39">
        <v>0.48395448182328887</v>
      </c>
      <c r="AC1992" s="39">
        <v>0.47434630035914999</v>
      </c>
      <c r="AD1992" s="39">
        <v>0.48319868853588899</v>
      </c>
      <c r="AE1992" s="39">
        <v>0.48485030312486083</v>
      </c>
      <c r="AF1992" s="40">
        <v>0.47931166671434855</v>
      </c>
    </row>
    <row r="1993" spans="1:32">
      <c r="A1993" s="15">
        <v>1991</v>
      </c>
      <c r="B1993" s="16">
        <v>0</v>
      </c>
      <c r="C1993" s="20">
        <v>0.96</v>
      </c>
      <c r="D1993" s="20">
        <v>0.13880369068795359</v>
      </c>
      <c r="E1993" s="20">
        <v>0.04</v>
      </c>
      <c r="F1993" s="8" t="s">
        <v>434</v>
      </c>
      <c r="G1993" s="24">
        <v>0.79323669555108967</v>
      </c>
      <c r="H1993" s="24">
        <v>0.79782933353903407</v>
      </c>
      <c r="I1993" s="25">
        <v>0.81178227967397865</v>
      </c>
      <c r="L1993" s="15">
        <v>1991</v>
      </c>
      <c r="M1993" s="16">
        <v>1</v>
      </c>
      <c r="N1993" s="16">
        <v>3</v>
      </c>
      <c r="O1993" s="16">
        <v>9</v>
      </c>
      <c r="P1993" s="16">
        <v>167</v>
      </c>
      <c r="Q1993" s="29">
        <v>21</v>
      </c>
      <c r="R1993" s="20">
        <v>0.49930000000000002</v>
      </c>
      <c r="S1993" s="32">
        <v>10.485300000000001</v>
      </c>
      <c r="T1993" s="35">
        <v>1.45</v>
      </c>
      <c r="U1993" s="35">
        <v>1.1000000000000001</v>
      </c>
      <c r="V1993" s="35">
        <v>6.9047619047619052E-2</v>
      </c>
      <c r="W1993" s="9" t="s">
        <v>153</v>
      </c>
      <c r="X1993" s="15">
        <v>1992</v>
      </c>
      <c r="Y1993" s="39">
        <v>0.49022634068071697</v>
      </c>
      <c r="Z1993" s="39">
        <v>0.49348761775237443</v>
      </c>
      <c r="AA1993" s="39">
        <v>0.48703286206855867</v>
      </c>
      <c r="AB1993" s="39">
        <v>0.5098919469613179</v>
      </c>
      <c r="AC1993" s="39">
        <v>0.48699965009399204</v>
      </c>
      <c r="AD1993" s="39">
        <v>0.48776472409010418</v>
      </c>
      <c r="AE1993" s="39">
        <v>0.48074344815280601</v>
      </c>
      <c r="AF1993" s="40">
        <v>0.50438771251817249</v>
      </c>
    </row>
    <row r="1994" spans="1:32">
      <c r="A1994" s="15">
        <v>1992</v>
      </c>
      <c r="B1994" s="16">
        <v>0</v>
      </c>
      <c r="C1994" s="20">
        <v>0.59</v>
      </c>
      <c r="D1994" s="20">
        <v>0.45968310296463671</v>
      </c>
      <c r="E1994" s="20">
        <v>0.11</v>
      </c>
      <c r="F1994" s="8" t="s">
        <v>438</v>
      </c>
      <c r="G1994" s="24">
        <v>0.75515268892660214</v>
      </c>
      <c r="H1994" s="24">
        <v>0.7595248302374038</v>
      </c>
      <c r="I1994" s="25">
        <v>0.77280788288908586</v>
      </c>
      <c r="L1994" s="15">
        <v>1992</v>
      </c>
      <c r="M1994" s="16">
        <v>1</v>
      </c>
      <c r="N1994" s="16">
        <v>3</v>
      </c>
      <c r="O1994" s="16">
        <v>9</v>
      </c>
      <c r="P1994" s="16">
        <v>168</v>
      </c>
      <c r="Q1994" s="29">
        <v>26</v>
      </c>
      <c r="R1994" s="20">
        <v>0.49930000000000002</v>
      </c>
      <c r="S1994" s="32">
        <v>12.9818</v>
      </c>
      <c r="T1994" s="35">
        <v>0.44</v>
      </c>
      <c r="U1994" s="35">
        <v>0</v>
      </c>
      <c r="V1994" s="35">
        <v>1.6923076923076923E-2</v>
      </c>
      <c r="W1994" s="9" t="s">
        <v>152</v>
      </c>
      <c r="X1994" s="15">
        <v>1993</v>
      </c>
      <c r="Y1994" s="39">
        <v>0.49336327149238146</v>
      </c>
      <c r="Z1994" s="39">
        <v>0.49321747035888236</v>
      </c>
      <c r="AA1994" s="39">
        <v>0.49408404715134291</v>
      </c>
      <c r="AB1994" s="39">
        <v>0.48049978606866017</v>
      </c>
      <c r="AC1994" s="39">
        <v>0.48713418396165464</v>
      </c>
      <c r="AD1994" s="39">
        <v>0.48646122058346614</v>
      </c>
      <c r="AE1994" s="39">
        <v>0.4869171897454192</v>
      </c>
      <c r="AF1994" s="40">
        <v>0.47684270833780251</v>
      </c>
    </row>
    <row r="1995" spans="1:32">
      <c r="A1995" s="15">
        <v>1993</v>
      </c>
      <c r="B1995" s="16">
        <v>1</v>
      </c>
      <c r="C1995" s="20">
        <v>0.02</v>
      </c>
      <c r="D1995" s="20">
        <v>0.99679477127711513</v>
      </c>
      <c r="E1995" s="20">
        <v>1</v>
      </c>
      <c r="F1995" s="8" t="s">
        <v>436</v>
      </c>
      <c r="G1995" s="24">
        <v>1.1785527458759597</v>
      </c>
      <c r="H1995" s="24">
        <v>1.1853762654406286</v>
      </c>
      <c r="I1995" s="25">
        <v>1.2061068784753344</v>
      </c>
      <c r="L1995" s="15">
        <v>1993</v>
      </c>
      <c r="M1995" s="16">
        <v>1</v>
      </c>
      <c r="N1995" s="16">
        <v>3</v>
      </c>
      <c r="O1995" s="16">
        <v>9</v>
      </c>
      <c r="P1995" s="16">
        <v>169</v>
      </c>
      <c r="Q1995" s="29">
        <v>10</v>
      </c>
      <c r="R1995" s="20">
        <v>0.49930000000000002</v>
      </c>
      <c r="S1995" s="32">
        <v>4.9930000000000003</v>
      </c>
      <c r="T1995" s="35">
        <v>0.15</v>
      </c>
      <c r="U1995" s="35">
        <v>0</v>
      </c>
      <c r="V1995" s="35">
        <v>1.4999999999999999E-2</v>
      </c>
      <c r="W1995" s="9" t="s">
        <v>152</v>
      </c>
      <c r="X1995" s="15">
        <v>1994</v>
      </c>
      <c r="Y1995" s="39">
        <v>0.4765504123718311</v>
      </c>
      <c r="Z1995" s="39">
        <v>0.48826171964385595</v>
      </c>
      <c r="AA1995" s="39">
        <v>0.48862776413923997</v>
      </c>
      <c r="AB1995" s="39">
        <v>0.49216451431302605</v>
      </c>
      <c r="AC1995" s="39">
        <v>0.47316115652339835</v>
      </c>
      <c r="AD1995" s="39">
        <v>0.48009999668633696</v>
      </c>
      <c r="AE1995" s="39">
        <v>0.48206277898665079</v>
      </c>
      <c r="AF1995" s="40">
        <v>0.48840688743401944</v>
      </c>
    </row>
    <row r="1996" spans="1:32">
      <c r="A1996" s="15">
        <v>1994</v>
      </c>
      <c r="B1996" s="16">
        <v>1</v>
      </c>
      <c r="C1996" s="20">
        <v>0.21</v>
      </c>
      <c r="D1996" s="20">
        <v>0.73085493477196006</v>
      </c>
      <c r="E1996" s="20">
        <v>0.15</v>
      </c>
      <c r="F1996" s="8" t="s">
        <v>436</v>
      </c>
      <c r="G1996" s="24">
        <v>1.4444665302806599</v>
      </c>
      <c r="H1996" s="24">
        <v>1.4528296227806512</v>
      </c>
      <c r="I1996" s="25">
        <v>1.47823763000444</v>
      </c>
      <c r="L1996" s="15">
        <v>1994</v>
      </c>
      <c r="M1996" s="16">
        <v>1</v>
      </c>
      <c r="N1996" s="16">
        <v>3</v>
      </c>
      <c r="O1996" s="16">
        <v>9</v>
      </c>
      <c r="P1996" s="16">
        <v>170</v>
      </c>
      <c r="Q1996" s="29">
        <v>25</v>
      </c>
      <c r="R1996" s="20">
        <v>0.49930000000000002</v>
      </c>
      <c r="S1996" s="32">
        <v>12.4825</v>
      </c>
      <c r="T1996" s="35">
        <v>0.48</v>
      </c>
      <c r="U1996" s="35">
        <v>0.13</v>
      </c>
      <c r="V1996" s="35">
        <v>1.9199999999999998E-2</v>
      </c>
      <c r="W1996" s="9" t="s">
        <v>152</v>
      </c>
      <c r="X1996" s="15">
        <v>1995</v>
      </c>
      <c r="Y1996" s="39">
        <v>0.49134134690881509</v>
      </c>
      <c r="Z1996" s="39">
        <v>0.47321361192289385</v>
      </c>
      <c r="AA1996" s="39">
        <v>0.48565813610386799</v>
      </c>
      <c r="AB1996" s="39">
        <v>0.49899042171679753</v>
      </c>
      <c r="AC1996" s="39">
        <v>0.48137987991448233</v>
      </c>
      <c r="AD1996" s="39">
        <v>0.46843170890016822</v>
      </c>
      <c r="AE1996" s="39">
        <v>0.47796753258153379</v>
      </c>
      <c r="AF1996" s="40">
        <v>0.49544719949746946</v>
      </c>
    </row>
    <row r="1997" spans="1:32">
      <c r="A1997" s="15">
        <v>1995</v>
      </c>
      <c r="B1997" s="16">
        <v>1</v>
      </c>
      <c r="C1997" s="20">
        <v>0.26</v>
      </c>
      <c r="D1997" s="20">
        <v>0.83388195658479891</v>
      </c>
      <c r="E1997" s="20">
        <v>0.1</v>
      </c>
      <c r="F1997" s="8" t="s">
        <v>436</v>
      </c>
      <c r="G1997" s="24">
        <v>0.70325108724439833</v>
      </c>
      <c r="H1997" s="24">
        <v>0.70732273152971226</v>
      </c>
      <c r="I1997" s="25">
        <v>0.71969284072246109</v>
      </c>
      <c r="L1997" s="15">
        <v>1995</v>
      </c>
      <c r="M1997" s="16">
        <v>1</v>
      </c>
      <c r="N1997" s="16">
        <v>3</v>
      </c>
      <c r="O1997" s="16">
        <v>9</v>
      </c>
      <c r="P1997" s="16">
        <v>171</v>
      </c>
      <c r="Q1997" s="29">
        <v>25</v>
      </c>
      <c r="R1997" s="20">
        <v>0.49930000000000002</v>
      </c>
      <c r="S1997" s="32">
        <v>12.4825</v>
      </c>
      <c r="T1997" s="35">
        <v>0.36</v>
      </c>
      <c r="U1997" s="35">
        <v>0.1</v>
      </c>
      <c r="V1997" s="35">
        <v>1.44E-2</v>
      </c>
      <c r="W1997" s="9" t="s">
        <v>152</v>
      </c>
      <c r="X1997" s="15">
        <v>1996</v>
      </c>
      <c r="Y1997" s="39">
        <v>0.48420453098593624</v>
      </c>
      <c r="Z1997" s="39">
        <v>0.49448413272930281</v>
      </c>
      <c r="AA1997" s="39">
        <v>0.47902611694009684</v>
      </c>
      <c r="AB1997" s="39">
        <v>0.49106230591740058</v>
      </c>
      <c r="AC1997" s="39">
        <v>0.47830853390387884</v>
      </c>
      <c r="AD1997" s="39">
        <v>0.487462798639335</v>
      </c>
      <c r="AE1997" s="39">
        <v>0.47261392205759478</v>
      </c>
      <c r="AF1997" s="40">
        <v>0.48547001891368935</v>
      </c>
    </row>
    <row r="1998" spans="1:32">
      <c r="A1998" s="15">
        <v>1996</v>
      </c>
      <c r="B1998" s="16">
        <v>0</v>
      </c>
      <c r="C1998" s="20">
        <v>0.94</v>
      </c>
      <c r="D1998" s="20">
        <v>0.17188516685452584</v>
      </c>
      <c r="E1998" s="20">
        <v>0.06</v>
      </c>
      <c r="F1998" s="8" t="s">
        <v>434</v>
      </c>
      <c r="G1998" s="24">
        <v>0.36823453022985164</v>
      </c>
      <c r="H1998" s="24">
        <v>0.37036651416540517</v>
      </c>
      <c r="I1998" s="25">
        <v>0.37684371900746588</v>
      </c>
      <c r="L1998" s="15">
        <v>1996</v>
      </c>
      <c r="M1998" s="16">
        <v>1</v>
      </c>
      <c r="N1998" s="16">
        <v>3</v>
      </c>
      <c r="O1998" s="16">
        <v>9</v>
      </c>
      <c r="P1998" s="16">
        <v>172</v>
      </c>
      <c r="Q1998" s="29">
        <v>25</v>
      </c>
      <c r="R1998" s="20">
        <v>0.49930000000000002</v>
      </c>
      <c r="S1998" s="32">
        <v>12.4825</v>
      </c>
      <c r="T1998" s="35">
        <v>0.41000000000000003</v>
      </c>
      <c r="U1998" s="35">
        <v>7.0000000000000007E-2</v>
      </c>
      <c r="V1998" s="35">
        <v>1.6400000000000001E-2</v>
      </c>
      <c r="W1998" s="9" t="s">
        <v>152</v>
      </c>
      <c r="X1998" s="15">
        <v>1997</v>
      </c>
      <c r="Y1998" s="39">
        <v>0.47405822564605621</v>
      </c>
      <c r="Z1998" s="39">
        <v>0.48622348789601039</v>
      </c>
      <c r="AA1998" s="39">
        <v>0.47908244059845795</v>
      </c>
      <c r="AB1998" s="39">
        <v>0.48108422835415621</v>
      </c>
      <c r="AC1998" s="39">
        <v>0.46786918980860587</v>
      </c>
      <c r="AD1998" s="39">
        <v>0.47916585109521537</v>
      </c>
      <c r="AE1998" s="39">
        <v>0.47229770993370063</v>
      </c>
      <c r="AF1998" s="40">
        <v>0.47729007538536578</v>
      </c>
    </row>
    <row r="1999" spans="1:32">
      <c r="A1999" s="15">
        <v>1997</v>
      </c>
      <c r="B1999" s="16">
        <v>0</v>
      </c>
      <c r="C1999" s="20">
        <v>0.92</v>
      </c>
      <c r="D1999" s="20">
        <v>0.20258497911151899</v>
      </c>
      <c r="E1999" s="20">
        <v>0.08</v>
      </c>
      <c r="F1999" s="8" t="s">
        <v>434</v>
      </c>
      <c r="G1999" s="24">
        <v>1.0389541726223734</v>
      </c>
      <c r="H1999" s="24">
        <v>1.0449694520814308</v>
      </c>
      <c r="I1999" s="25">
        <v>1.0632445415831899</v>
      </c>
      <c r="L1999" s="15">
        <v>1997</v>
      </c>
      <c r="M1999" s="16">
        <v>1</v>
      </c>
      <c r="N1999" s="16">
        <v>3</v>
      </c>
      <c r="O1999" s="16">
        <v>9</v>
      </c>
      <c r="P1999" s="16">
        <v>173</v>
      </c>
      <c r="Q1999" s="29">
        <v>43</v>
      </c>
      <c r="R1999" s="20">
        <v>0.49930000000000002</v>
      </c>
      <c r="S1999" s="32">
        <v>21.469900000000003</v>
      </c>
      <c r="T1999" s="35">
        <v>2.33</v>
      </c>
      <c r="U1999" s="35">
        <v>1.75</v>
      </c>
      <c r="V1999" s="35">
        <v>5.4186046511627908E-2</v>
      </c>
      <c r="W1999" s="9" t="s">
        <v>154</v>
      </c>
      <c r="X1999" s="15">
        <v>1998</v>
      </c>
      <c r="Y1999" s="39">
        <v>0.46989544369483227</v>
      </c>
      <c r="Z1999" s="39">
        <v>0.48900354305287758</v>
      </c>
      <c r="AA1999" s="39">
        <v>0.48651144033972349</v>
      </c>
      <c r="AB1999" s="39">
        <v>0.49129073474753271</v>
      </c>
      <c r="AC1999" s="39">
        <v>0.46355503636013384</v>
      </c>
      <c r="AD1999" s="39">
        <v>0.4807965155084768</v>
      </c>
      <c r="AE1999" s="39">
        <v>0.47898812801296614</v>
      </c>
      <c r="AF1999" s="40">
        <v>0.48671624860101592</v>
      </c>
    </row>
    <row r="2000" spans="1:32">
      <c r="A2000" s="15">
        <v>1998</v>
      </c>
      <c r="B2000" s="16">
        <v>1</v>
      </c>
      <c r="C2000" s="20">
        <v>0.91</v>
      </c>
      <c r="D2000" s="20">
        <v>0.21727233298780477</v>
      </c>
      <c r="E2000" s="20">
        <v>0.09</v>
      </c>
      <c r="F2000" s="8" t="s">
        <v>434</v>
      </c>
      <c r="G2000" s="24">
        <v>0.59866135160788203</v>
      </c>
      <c r="H2000" s="24">
        <v>0.60212744802113283</v>
      </c>
      <c r="I2000" s="25">
        <v>0.61265783527995055</v>
      </c>
      <c r="L2000" s="15">
        <v>1998</v>
      </c>
      <c r="M2000" s="16">
        <v>1</v>
      </c>
      <c r="N2000" s="16">
        <v>3</v>
      </c>
      <c r="O2000" s="16">
        <v>9</v>
      </c>
      <c r="P2000" s="16">
        <v>174</v>
      </c>
      <c r="Q2000" s="29">
        <v>29</v>
      </c>
      <c r="R2000" s="20">
        <v>0.49930000000000002</v>
      </c>
      <c r="S2000" s="32">
        <v>14.479700000000001</v>
      </c>
      <c r="T2000" s="35">
        <v>0.75</v>
      </c>
      <c r="U2000" s="35">
        <v>0.33</v>
      </c>
      <c r="V2000" s="35">
        <v>2.5862068965517241E-2</v>
      </c>
      <c r="W2000" s="9" t="s">
        <v>152</v>
      </c>
      <c r="X2000" s="15">
        <v>1999</v>
      </c>
      <c r="Y2000" s="39">
        <v>0.48923369223977015</v>
      </c>
      <c r="Z2000" s="39">
        <v>0.47463846069726129</v>
      </c>
      <c r="AA2000" s="39">
        <v>0.48358745208860171</v>
      </c>
      <c r="AB2000" s="39">
        <v>0.47989751120697216</v>
      </c>
      <c r="AC2000" s="39">
        <v>0.48591442107639482</v>
      </c>
      <c r="AD2000" s="39">
        <v>0.46593739905136999</v>
      </c>
      <c r="AE2000" s="39">
        <v>0.47955082476487326</v>
      </c>
      <c r="AF2000" s="40">
        <v>0.47469261451175132</v>
      </c>
    </row>
    <row r="2001" spans="1:32">
      <c r="A2001" s="15">
        <v>1999</v>
      </c>
      <c r="B2001" s="16">
        <v>1</v>
      </c>
      <c r="C2001" s="20">
        <v>0.93</v>
      </c>
      <c r="D2001" s="20">
        <v>0.18747949848141848</v>
      </c>
      <c r="E2001" s="20">
        <v>7.0000000000000007E-2</v>
      </c>
      <c r="F2001" s="8" t="s">
        <v>434</v>
      </c>
      <c r="G2001" s="24">
        <v>1.0457114405285237</v>
      </c>
      <c r="H2001" s="24">
        <v>1.0517658428439169</v>
      </c>
      <c r="I2001" s="25">
        <v>1.0701597919441324</v>
      </c>
      <c r="L2001" s="15">
        <v>1999</v>
      </c>
      <c r="M2001" s="16">
        <v>1</v>
      </c>
      <c r="N2001" s="16">
        <v>3</v>
      </c>
      <c r="O2001" s="16">
        <v>9</v>
      </c>
      <c r="P2001" s="16">
        <v>175</v>
      </c>
      <c r="Q2001" s="29">
        <v>23</v>
      </c>
      <c r="R2001" s="20">
        <v>0.49930000000000002</v>
      </c>
      <c r="S2001" s="32">
        <v>11.4839</v>
      </c>
      <c r="T2001" s="35">
        <v>1.32</v>
      </c>
      <c r="U2001" s="35">
        <v>0.98</v>
      </c>
      <c r="V2001" s="35">
        <v>5.7391304347826091E-2</v>
      </c>
      <c r="W2001" s="9" t="s">
        <v>153</v>
      </c>
      <c r="X2001" s="15">
        <v>2000</v>
      </c>
      <c r="Y2001" s="39">
        <v>0.47394085464666785</v>
      </c>
      <c r="Z2001" s="39">
        <v>0.48330115252141831</v>
      </c>
      <c r="AA2001" s="39">
        <v>0.48644929389718761</v>
      </c>
      <c r="AB2001" s="39">
        <v>0.4825068923658008</v>
      </c>
      <c r="AC2001" s="39">
        <v>0.46722181536411062</v>
      </c>
      <c r="AD2001" s="39">
        <v>0.47583809312679581</v>
      </c>
      <c r="AE2001" s="39">
        <v>0.48161417169777726</v>
      </c>
      <c r="AF2001" s="40">
        <v>0.47818705746771628</v>
      </c>
    </row>
    <row r="2002" spans="1:32">
      <c r="A2002" s="15">
        <v>2000</v>
      </c>
      <c r="B2002" s="16">
        <v>0</v>
      </c>
      <c r="C2002" s="20">
        <v>0.05</v>
      </c>
      <c r="D2002" s="20">
        <v>0.96546462679702205</v>
      </c>
      <c r="E2002" s="20">
        <v>0.51</v>
      </c>
      <c r="F2002" s="8" t="s">
        <v>436</v>
      </c>
      <c r="G2002" s="24">
        <v>1.300827612420798</v>
      </c>
      <c r="H2002" s="24">
        <v>1.3083590722512342</v>
      </c>
      <c r="I2002" s="25">
        <v>1.3312404867253165</v>
      </c>
      <c r="L2002" s="15">
        <v>2000</v>
      </c>
      <c r="M2002" s="16">
        <v>1</v>
      </c>
      <c r="N2002" s="16">
        <v>3</v>
      </c>
      <c r="O2002" s="16">
        <v>9</v>
      </c>
      <c r="P2002" s="16">
        <v>176</v>
      </c>
      <c r="Q2002" s="29">
        <v>19</v>
      </c>
      <c r="R2002" s="20">
        <v>0.49930000000000002</v>
      </c>
      <c r="S2002" s="32">
        <v>9.4867000000000008</v>
      </c>
      <c r="T2002" s="35">
        <v>0.52</v>
      </c>
      <c r="U2002" s="35">
        <v>0.21</v>
      </c>
      <c r="V2002" s="35">
        <v>2.736842105263158E-2</v>
      </c>
      <c r="W2002" s="9" t="s">
        <v>152</v>
      </c>
      <c r="X2002" s="15">
        <v>2001</v>
      </c>
      <c r="Y2002" s="39">
        <v>0.49236320906940684</v>
      </c>
      <c r="Z2002" s="39">
        <v>0.48807452303815685</v>
      </c>
      <c r="AA2002" s="39">
        <v>0.47865386945347593</v>
      </c>
      <c r="AB2002" s="39">
        <v>0.48512100013407822</v>
      </c>
      <c r="AC2002" s="39">
        <v>0.48513838856449254</v>
      </c>
      <c r="AD2002" s="39">
        <v>0.4795887063883858</v>
      </c>
      <c r="AE2002" s="39">
        <v>0.47357153859188877</v>
      </c>
      <c r="AF2002" s="40">
        <v>0.48038225669057177</v>
      </c>
    </row>
    <row r="2003" spans="1:32">
      <c r="A2003" s="15">
        <v>2001</v>
      </c>
      <c r="B2003" s="16">
        <v>0</v>
      </c>
      <c r="C2003" s="20">
        <v>0.02</v>
      </c>
      <c r="D2003" s="20">
        <v>0.99917029198757767</v>
      </c>
      <c r="E2003" s="20">
        <v>1</v>
      </c>
      <c r="F2003" s="8" t="s">
        <v>436</v>
      </c>
      <c r="G2003" s="24">
        <v>0.9270403697819829</v>
      </c>
      <c r="H2003" s="24">
        <v>0.93240769688938674</v>
      </c>
      <c r="I2003" s="25">
        <v>0.94871423492151941</v>
      </c>
      <c r="L2003" s="15">
        <v>2001</v>
      </c>
      <c r="M2003" s="16">
        <v>1</v>
      </c>
      <c r="N2003" s="16">
        <v>3</v>
      </c>
      <c r="O2003" s="16">
        <v>9</v>
      </c>
      <c r="P2003" s="16">
        <v>177</v>
      </c>
      <c r="Q2003" s="29">
        <v>20</v>
      </c>
      <c r="R2003" s="20">
        <v>0.49930000000000002</v>
      </c>
      <c r="S2003" s="32">
        <v>9.9860000000000007</v>
      </c>
      <c r="T2003" s="35">
        <v>0.32</v>
      </c>
      <c r="U2003" s="35">
        <v>0</v>
      </c>
      <c r="V2003" s="35">
        <v>1.6E-2</v>
      </c>
      <c r="W2003" s="9" t="s">
        <v>152</v>
      </c>
      <c r="X2003" s="15">
        <v>2002</v>
      </c>
      <c r="Y2003" s="39">
        <v>0.49274312174964047</v>
      </c>
      <c r="Z2003" s="39">
        <v>0.49369232644076033</v>
      </c>
      <c r="AA2003" s="39">
        <v>0.47864283385227913</v>
      </c>
      <c r="AB2003" s="39">
        <v>0.49218680228397943</v>
      </c>
      <c r="AC2003" s="39">
        <v>0.4851197025648844</v>
      </c>
      <c r="AD2003" s="39">
        <v>0.48934384224599425</v>
      </c>
      <c r="AE2003" s="39">
        <v>0.47279244419127903</v>
      </c>
      <c r="AF2003" s="40">
        <v>0.48695916794761523</v>
      </c>
    </row>
    <row r="2004" spans="1:32">
      <c r="A2004" s="15">
        <v>2002</v>
      </c>
      <c r="B2004" s="16">
        <v>0</v>
      </c>
      <c r="C2004" s="20">
        <v>0.06</v>
      </c>
      <c r="D2004" s="20">
        <v>0.96072330822756158</v>
      </c>
      <c r="E2004" s="20">
        <v>0.45</v>
      </c>
      <c r="F2004" s="8" t="s">
        <v>436</v>
      </c>
      <c r="G2004" s="24">
        <v>1.0859174550169335</v>
      </c>
      <c r="H2004" s="24">
        <v>1.092204639893344</v>
      </c>
      <c r="I2004" s="25">
        <v>1.1113058083615035</v>
      </c>
      <c r="L2004" s="15">
        <v>2002</v>
      </c>
      <c r="M2004" s="16">
        <v>1</v>
      </c>
      <c r="N2004" s="16">
        <v>3</v>
      </c>
      <c r="O2004" s="16">
        <v>10</v>
      </c>
      <c r="P2004" s="16">
        <v>178</v>
      </c>
      <c r="Q2004" s="29">
        <v>19</v>
      </c>
      <c r="R2004" s="20">
        <v>0.49930000000000002</v>
      </c>
      <c r="S2004" s="32">
        <v>9.4867000000000008</v>
      </c>
      <c r="T2004" s="35">
        <v>0.49</v>
      </c>
      <c r="U2004" s="35">
        <v>0.19</v>
      </c>
      <c r="V2004" s="35">
        <v>2.5789473684210525E-2</v>
      </c>
      <c r="W2004" s="9" t="s">
        <v>152</v>
      </c>
      <c r="X2004" s="15">
        <v>2003</v>
      </c>
      <c r="Y2004" s="39">
        <v>0.48684834969572321</v>
      </c>
      <c r="Z2004" s="39">
        <v>0.48643764292716568</v>
      </c>
      <c r="AA2004" s="39">
        <v>0.49536868424176678</v>
      </c>
      <c r="AB2004" s="39">
        <v>0.47836912105822688</v>
      </c>
      <c r="AC2004" s="39">
        <v>0.48255800864681997</v>
      </c>
      <c r="AD2004" s="39">
        <v>0.47832869042832088</v>
      </c>
      <c r="AE2004" s="39">
        <v>0.48806884879848911</v>
      </c>
      <c r="AF2004" s="40">
        <v>0.47478320045523031</v>
      </c>
    </row>
    <row r="2005" spans="1:32">
      <c r="A2005" s="15">
        <v>2003</v>
      </c>
      <c r="B2005" s="16">
        <v>1</v>
      </c>
      <c r="C2005" s="20">
        <v>0.02</v>
      </c>
      <c r="D2005" s="20">
        <v>0.99835916395484214</v>
      </c>
      <c r="E2005" s="20">
        <v>1</v>
      </c>
      <c r="F2005" s="8" t="s">
        <v>436</v>
      </c>
      <c r="G2005" s="24">
        <v>1.1351912334277772</v>
      </c>
      <c r="H2005" s="24">
        <v>1.1417637009037049</v>
      </c>
      <c r="I2005" s="25">
        <v>1.1617315897087923</v>
      </c>
      <c r="L2005" s="15">
        <v>2003</v>
      </c>
      <c r="M2005" s="16">
        <v>1</v>
      </c>
      <c r="N2005" s="16">
        <v>3</v>
      </c>
      <c r="O2005" s="16">
        <v>10</v>
      </c>
      <c r="P2005" s="16">
        <v>179</v>
      </c>
      <c r="Q2005" s="29">
        <v>9</v>
      </c>
      <c r="R2005" s="20">
        <v>0.49930000000000002</v>
      </c>
      <c r="S2005" s="32">
        <v>4.4937000000000005</v>
      </c>
      <c r="T2005" s="35">
        <v>0.17</v>
      </c>
      <c r="U2005" s="35">
        <v>0.01</v>
      </c>
      <c r="V2005" s="35">
        <v>1.8888888888888889E-2</v>
      </c>
      <c r="W2005" s="9" t="s">
        <v>152</v>
      </c>
      <c r="X2005" s="15">
        <v>2004</v>
      </c>
      <c r="Y2005" s="39">
        <v>0.48952200270294516</v>
      </c>
      <c r="Z2005" s="39">
        <v>0.49437118144243331</v>
      </c>
      <c r="AA2005" s="39">
        <v>0.47602327941586076</v>
      </c>
      <c r="AB2005" s="39">
        <v>0.49389880738033182</v>
      </c>
      <c r="AC2005" s="39">
        <v>0.48426856780143335</v>
      </c>
      <c r="AD2005" s="39">
        <v>0.4866780920627658</v>
      </c>
      <c r="AE2005" s="39">
        <v>0.47001344119632893</v>
      </c>
      <c r="AF2005" s="40">
        <v>0.49067981775440861</v>
      </c>
    </row>
    <row r="2006" spans="1:32">
      <c r="A2006" s="15">
        <v>2004</v>
      </c>
      <c r="B2006" s="16">
        <v>1</v>
      </c>
      <c r="C2006" s="20">
        <v>0.15</v>
      </c>
      <c r="D2006" s="20">
        <v>0.86715707737391912</v>
      </c>
      <c r="E2006" s="20">
        <v>0.11</v>
      </c>
      <c r="F2006" s="8" t="s">
        <v>436</v>
      </c>
      <c r="G2006" s="24">
        <v>0.89931793952348038</v>
      </c>
      <c r="H2006" s="24">
        <v>0.90452476083603461</v>
      </c>
      <c r="I2006" s="25">
        <v>0.92034366437231485</v>
      </c>
      <c r="L2006" s="15">
        <v>2004</v>
      </c>
      <c r="M2006" s="16">
        <v>1</v>
      </c>
      <c r="N2006" s="16">
        <v>3</v>
      </c>
      <c r="O2006" s="16">
        <v>10</v>
      </c>
      <c r="P2006" s="16">
        <v>180</v>
      </c>
      <c r="Q2006" s="29">
        <v>21</v>
      </c>
      <c r="R2006" s="20">
        <v>0.49930000000000002</v>
      </c>
      <c r="S2006" s="32">
        <v>10.485300000000001</v>
      </c>
      <c r="T2006" s="35">
        <v>0.45</v>
      </c>
      <c r="U2006" s="35">
        <v>0.24</v>
      </c>
      <c r="V2006" s="35">
        <v>2.1428571428571429E-2</v>
      </c>
      <c r="W2006" s="9" t="s">
        <v>152</v>
      </c>
      <c r="X2006" s="15">
        <v>2005</v>
      </c>
      <c r="Y2006" s="39">
        <v>0.48178276823986682</v>
      </c>
      <c r="Z2006" s="39">
        <v>0.48554882208960853</v>
      </c>
      <c r="AA2006" s="39">
        <v>0.48697153373740748</v>
      </c>
      <c r="AB2006" s="39">
        <v>0.48005223152088217</v>
      </c>
      <c r="AC2006" s="39">
        <v>0.47440569166876845</v>
      </c>
      <c r="AD2006" s="39">
        <v>0.48134382351965865</v>
      </c>
      <c r="AE2006" s="39">
        <v>0.48423014246431595</v>
      </c>
      <c r="AF2006" s="40">
        <v>0.47580739263732769</v>
      </c>
    </row>
    <row r="2007" spans="1:32">
      <c r="A2007" s="15">
        <v>2005</v>
      </c>
      <c r="B2007" s="16">
        <v>0</v>
      </c>
      <c r="C2007" s="20">
        <v>0.21</v>
      </c>
      <c r="D2007" s="20">
        <v>0.82189552880823691</v>
      </c>
      <c r="E2007" s="20">
        <v>0.08</v>
      </c>
      <c r="F2007" s="8" t="s">
        <v>436</v>
      </c>
      <c r="G2007" s="24">
        <v>1.3283604106216997</v>
      </c>
      <c r="H2007" s="24">
        <v>1.3360512783257767</v>
      </c>
      <c r="I2007" s="25">
        <v>1.3594169916886978</v>
      </c>
      <c r="L2007" s="15">
        <v>2005</v>
      </c>
      <c r="M2007" s="16">
        <v>1</v>
      </c>
      <c r="N2007" s="16">
        <v>3</v>
      </c>
      <c r="O2007" s="16">
        <v>10</v>
      </c>
      <c r="P2007" s="16">
        <v>181</v>
      </c>
      <c r="Q2007" s="29">
        <v>31</v>
      </c>
      <c r="R2007" s="20">
        <v>0.49930000000000002</v>
      </c>
      <c r="S2007" s="32">
        <v>15.478300000000001</v>
      </c>
      <c r="T2007" s="35">
        <v>1.51</v>
      </c>
      <c r="U2007" s="35">
        <v>1.1000000000000001</v>
      </c>
      <c r="V2007" s="35">
        <v>4.8709677419354842E-2</v>
      </c>
      <c r="W2007" s="9" t="s">
        <v>153</v>
      </c>
      <c r="X2007" s="15">
        <v>2006</v>
      </c>
      <c r="Y2007" s="39">
        <v>0.48343449239511649</v>
      </c>
      <c r="Z2007" s="39">
        <v>0.49066622888986033</v>
      </c>
      <c r="AA2007" s="39">
        <v>0.50137524546740997</v>
      </c>
      <c r="AB2007" s="39">
        <v>0.4971108791640888</v>
      </c>
      <c r="AC2007" s="39">
        <v>0.47943062490805904</v>
      </c>
      <c r="AD2007" s="39">
        <v>0.48166170209281944</v>
      </c>
      <c r="AE2007" s="39">
        <v>0.48792216174006908</v>
      </c>
      <c r="AF2007" s="40">
        <v>0.4907501763303837</v>
      </c>
    </row>
    <row r="2008" spans="1:32">
      <c r="A2008" s="15">
        <v>2006</v>
      </c>
      <c r="B2008" s="16">
        <v>1</v>
      </c>
      <c r="C2008" s="20">
        <v>0.21</v>
      </c>
      <c r="D2008" s="20">
        <v>0.88739147770809412</v>
      </c>
      <c r="E2008" s="20">
        <v>0.08</v>
      </c>
      <c r="F2008" s="8" t="s">
        <v>436</v>
      </c>
      <c r="G2008" s="24">
        <v>1.0285637283614075</v>
      </c>
      <c r="H2008" s="24">
        <v>1.0345188498004285</v>
      </c>
      <c r="I2008" s="25">
        <v>1.0526111725316833</v>
      </c>
      <c r="L2008" s="15">
        <v>2006</v>
      </c>
      <c r="M2008" s="16">
        <v>1</v>
      </c>
      <c r="N2008" s="16">
        <v>3</v>
      </c>
      <c r="O2008" s="16">
        <v>10</v>
      </c>
      <c r="P2008" s="16">
        <v>182</v>
      </c>
      <c r="Q2008" s="29">
        <v>21</v>
      </c>
      <c r="R2008" s="20">
        <v>0.49930000000000002</v>
      </c>
      <c r="S2008" s="32">
        <v>10.485300000000001</v>
      </c>
      <c r="T2008" s="35">
        <v>0.32</v>
      </c>
      <c r="U2008" s="35">
        <v>0.02</v>
      </c>
      <c r="V2008" s="35">
        <v>1.5238095238095238E-2</v>
      </c>
      <c r="W2008" s="9" t="s">
        <v>152</v>
      </c>
      <c r="X2008" s="15">
        <v>2007</v>
      </c>
      <c r="Y2008" s="39">
        <v>0.48982902166348891</v>
      </c>
      <c r="Z2008" s="39">
        <v>0.49163961208641049</v>
      </c>
      <c r="AA2008" s="39">
        <v>0.49255120719269069</v>
      </c>
      <c r="AB2008" s="39">
        <v>0.48724540026927482</v>
      </c>
      <c r="AC2008" s="39">
        <v>0.48317133644972005</v>
      </c>
      <c r="AD2008" s="39">
        <v>0.4820986604214928</v>
      </c>
      <c r="AE2008" s="39">
        <v>0.4828369163473909</v>
      </c>
      <c r="AF2008" s="40">
        <v>0.48543871905516922</v>
      </c>
    </row>
    <row r="2009" spans="1:32">
      <c r="A2009" s="15">
        <v>2007</v>
      </c>
      <c r="B2009" s="16">
        <v>0</v>
      </c>
      <c r="C2009" s="20">
        <v>0.96</v>
      </c>
      <c r="D2009" s="20">
        <v>0.13880369068795359</v>
      </c>
      <c r="E2009" s="20">
        <v>0.04</v>
      </c>
      <c r="F2009" s="8" t="s">
        <v>434</v>
      </c>
      <c r="G2009" s="24">
        <v>0.53467228998176941</v>
      </c>
      <c r="H2009" s="24">
        <v>0.53776790606186708</v>
      </c>
      <c r="I2009" s="25">
        <v>0.54717273277223533</v>
      </c>
      <c r="L2009" s="15">
        <v>2007</v>
      </c>
      <c r="M2009" s="16">
        <v>1</v>
      </c>
      <c r="N2009" s="16">
        <v>3</v>
      </c>
      <c r="O2009" s="16">
        <v>10</v>
      </c>
      <c r="P2009" s="16">
        <v>183</v>
      </c>
      <c r="Q2009" s="29">
        <v>19</v>
      </c>
      <c r="R2009" s="20">
        <v>0.49930000000000002</v>
      </c>
      <c r="S2009" s="32">
        <v>9.4867000000000008</v>
      </c>
      <c r="T2009" s="35">
        <v>0.35000000000000003</v>
      </c>
      <c r="U2009" s="35">
        <v>0.02</v>
      </c>
      <c r="V2009" s="35">
        <v>1.8421052631578949E-2</v>
      </c>
      <c r="W2009" s="9" t="s">
        <v>152</v>
      </c>
      <c r="X2009" s="15">
        <v>2008</v>
      </c>
      <c r="Y2009" s="39">
        <v>0.46890523220613245</v>
      </c>
      <c r="Z2009" s="39">
        <v>0.49866550225837514</v>
      </c>
      <c r="AA2009" s="39">
        <v>0.50283061441824406</v>
      </c>
      <c r="AB2009" s="39">
        <v>0.48098093239829759</v>
      </c>
      <c r="AC2009" s="39">
        <v>0.46345188034278129</v>
      </c>
      <c r="AD2009" s="39">
        <v>0.49121414315886763</v>
      </c>
      <c r="AE2009" s="39">
        <v>0.49665128588759244</v>
      </c>
      <c r="AF2009" s="40">
        <v>0.47595226949428138</v>
      </c>
    </row>
    <row r="2010" spans="1:32">
      <c r="A2010" s="15">
        <v>2008</v>
      </c>
      <c r="B2010" s="16">
        <v>1</v>
      </c>
      <c r="C2010" s="20">
        <v>0.86</v>
      </c>
      <c r="D2010" s="20">
        <v>0.28597383862931031</v>
      </c>
      <c r="E2010" s="20">
        <v>0.14000000000000001</v>
      </c>
      <c r="F2010" s="8" t="s">
        <v>434</v>
      </c>
      <c r="G2010" s="24">
        <v>1.0458447581580996</v>
      </c>
      <c r="H2010" s="24">
        <v>1.0518999323485378</v>
      </c>
      <c r="I2010" s="25">
        <v>1.0702962264911784</v>
      </c>
      <c r="L2010" s="15">
        <v>2008</v>
      </c>
      <c r="M2010" s="16">
        <v>1</v>
      </c>
      <c r="N2010" s="16">
        <v>3</v>
      </c>
      <c r="O2010" s="16">
        <v>10</v>
      </c>
      <c r="P2010" s="16">
        <v>184</v>
      </c>
      <c r="Q2010" s="29">
        <v>14</v>
      </c>
      <c r="R2010" s="20">
        <v>0.49930000000000002</v>
      </c>
      <c r="S2010" s="32">
        <v>6.9902000000000006</v>
      </c>
      <c r="T2010" s="35">
        <v>0.68</v>
      </c>
      <c r="U2010" s="35">
        <v>0.46</v>
      </c>
      <c r="V2010" s="35">
        <v>4.8571428571428578E-2</v>
      </c>
      <c r="W2010" s="9" t="s">
        <v>152</v>
      </c>
      <c r="X2010" s="15">
        <v>2009</v>
      </c>
      <c r="Y2010" s="39">
        <v>0.50476259877272589</v>
      </c>
      <c r="Z2010" s="39">
        <v>0.48379647111569579</v>
      </c>
      <c r="AA2010" s="39">
        <v>0.4848047209481553</v>
      </c>
      <c r="AB2010" s="39">
        <v>0.48643462244587371</v>
      </c>
      <c r="AC2010" s="39">
        <v>0.49951646266863814</v>
      </c>
      <c r="AD2010" s="39">
        <v>0.47900649133927814</v>
      </c>
      <c r="AE2010" s="39">
        <v>0.47614966804627273</v>
      </c>
      <c r="AF2010" s="40">
        <v>0.48366511204901741</v>
      </c>
    </row>
    <row r="2011" spans="1:32">
      <c r="A2011" s="15">
        <v>2009</v>
      </c>
      <c r="B2011" s="16">
        <v>1</v>
      </c>
      <c r="C2011" s="20">
        <v>0.56000000000000005</v>
      </c>
      <c r="D2011" s="20">
        <v>0.54062667696484912</v>
      </c>
      <c r="E2011" s="20">
        <v>0.08</v>
      </c>
      <c r="F2011" s="8" t="s">
        <v>438</v>
      </c>
      <c r="G2011" s="24">
        <v>0.89247394709390837</v>
      </c>
      <c r="H2011" s="24">
        <v>0.89764114343727297</v>
      </c>
      <c r="I2011" s="25">
        <v>0.91333966190027904</v>
      </c>
      <c r="L2011" s="15">
        <v>2009</v>
      </c>
      <c r="M2011" s="16">
        <v>1</v>
      </c>
      <c r="N2011" s="16">
        <v>3</v>
      </c>
      <c r="O2011" s="16">
        <v>10</v>
      </c>
      <c r="P2011" s="16">
        <v>185</v>
      </c>
      <c r="Q2011" s="29">
        <v>25</v>
      </c>
      <c r="R2011" s="20">
        <v>0.49930000000000002</v>
      </c>
      <c r="S2011" s="32">
        <v>12.4825</v>
      </c>
      <c r="T2011" s="35">
        <v>0.45</v>
      </c>
      <c r="U2011" s="35">
        <v>7.0000000000000007E-2</v>
      </c>
      <c r="V2011" s="35">
        <v>1.8000000000000002E-2</v>
      </c>
      <c r="W2011" s="9" t="s">
        <v>152</v>
      </c>
      <c r="X2011" s="15">
        <v>2010</v>
      </c>
      <c r="Y2011" s="39">
        <v>0.48401534617695952</v>
      </c>
      <c r="Z2011" s="39">
        <v>0.48845664861295113</v>
      </c>
      <c r="AA2011" s="39">
        <v>0.47859413298440495</v>
      </c>
      <c r="AB2011" s="39">
        <v>0.49870728896094219</v>
      </c>
      <c r="AC2011" s="39">
        <v>0.47627217712521197</v>
      </c>
      <c r="AD2011" s="39">
        <v>0.48051527473299044</v>
      </c>
      <c r="AE2011" s="39">
        <v>0.474858670619759</v>
      </c>
      <c r="AF2011" s="40">
        <v>0.49813119675586037</v>
      </c>
    </row>
    <row r="2012" spans="1:32">
      <c r="A2012" s="15">
        <v>2010</v>
      </c>
      <c r="B2012" s="16">
        <v>1</v>
      </c>
      <c r="C2012" s="20">
        <v>0.93</v>
      </c>
      <c r="D2012" s="20">
        <v>0.18747949848141848</v>
      </c>
      <c r="E2012" s="20">
        <v>7.0000000000000007E-2</v>
      </c>
      <c r="F2012" s="8" t="s">
        <v>434</v>
      </c>
      <c r="G2012" s="24">
        <v>0.34379791910409724</v>
      </c>
      <c r="H2012" s="24">
        <v>0.34578842129885107</v>
      </c>
      <c r="I2012" s="25">
        <v>0.35183578884181738</v>
      </c>
      <c r="L2012" s="15">
        <v>2010</v>
      </c>
      <c r="M2012" s="16">
        <v>1</v>
      </c>
      <c r="N2012" s="16">
        <v>3</v>
      </c>
      <c r="O2012" s="16">
        <v>10</v>
      </c>
      <c r="P2012" s="16">
        <v>186</v>
      </c>
      <c r="Q2012" s="29">
        <v>25</v>
      </c>
      <c r="R2012" s="20">
        <v>0.49930000000000002</v>
      </c>
      <c r="S2012" s="32">
        <v>12.4825</v>
      </c>
      <c r="T2012" s="35">
        <v>1.24</v>
      </c>
      <c r="U2012" s="35">
        <v>0.97</v>
      </c>
      <c r="V2012" s="35">
        <v>4.9599999999999998E-2</v>
      </c>
      <c r="W2012" s="9" t="s">
        <v>153</v>
      </c>
      <c r="X2012" s="15">
        <v>2011</v>
      </c>
      <c r="Y2012" s="39">
        <v>0.48336270454061092</v>
      </c>
      <c r="Z2012" s="39">
        <v>0.49273423663803745</v>
      </c>
      <c r="AA2012" s="39">
        <v>0.47724621008671975</v>
      </c>
      <c r="AB2012" s="39">
        <v>0.48840115082759061</v>
      </c>
      <c r="AC2012" s="39">
        <v>0.47824129995596382</v>
      </c>
      <c r="AD2012" s="39">
        <v>0.48387968109160479</v>
      </c>
      <c r="AE2012" s="39">
        <v>0.46992757315498684</v>
      </c>
      <c r="AF2012" s="40">
        <v>0.48350181744994686</v>
      </c>
    </row>
    <row r="2013" spans="1:32">
      <c r="A2013" s="15">
        <v>2011</v>
      </c>
      <c r="B2013" s="16">
        <v>1</v>
      </c>
      <c r="C2013" s="20">
        <v>0.8</v>
      </c>
      <c r="D2013" s="20">
        <v>0.36115643774699402</v>
      </c>
      <c r="E2013" s="20">
        <v>0.2</v>
      </c>
      <c r="F2013" s="8" t="s">
        <v>434</v>
      </c>
      <c r="G2013" s="24">
        <v>0.71771892692971395</v>
      </c>
      <c r="H2013" s="24">
        <v>0.72187433631378706</v>
      </c>
      <c r="I2013" s="25">
        <v>0.73449893321361059</v>
      </c>
      <c r="L2013" s="15">
        <v>2011</v>
      </c>
      <c r="M2013" s="16">
        <v>1</v>
      </c>
      <c r="N2013" s="16">
        <v>3</v>
      </c>
      <c r="O2013" s="16">
        <v>10</v>
      </c>
      <c r="P2013" s="16">
        <v>187</v>
      </c>
      <c r="Q2013" s="29">
        <v>17</v>
      </c>
      <c r="R2013" s="20">
        <v>0.49930000000000002</v>
      </c>
      <c r="S2013" s="32">
        <v>8.4881000000000011</v>
      </c>
      <c r="T2013" s="35">
        <v>0.66</v>
      </c>
      <c r="U2013" s="35">
        <v>0.32</v>
      </c>
      <c r="V2013" s="35">
        <v>3.8823529411764708E-2</v>
      </c>
      <c r="W2013" s="9" t="s">
        <v>152</v>
      </c>
      <c r="X2013" s="15">
        <v>2012</v>
      </c>
      <c r="Y2013" s="39">
        <v>0.47247317747921869</v>
      </c>
      <c r="Z2013" s="39">
        <v>0.48016378479307487</v>
      </c>
      <c r="AA2013" s="39">
        <v>0.49544443537426858</v>
      </c>
      <c r="AB2013" s="39">
        <v>0.49478920822817862</v>
      </c>
      <c r="AC2013" s="39">
        <v>0.46609893437069355</v>
      </c>
      <c r="AD2013" s="39">
        <v>0.47203791441839743</v>
      </c>
      <c r="AE2013" s="39">
        <v>0.48821246572485016</v>
      </c>
      <c r="AF2013" s="40">
        <v>0.49236964048832443</v>
      </c>
    </row>
    <row r="2014" spans="1:32">
      <c r="A2014" s="15">
        <v>2012</v>
      </c>
      <c r="B2014" s="16">
        <v>0</v>
      </c>
      <c r="C2014" s="20">
        <v>0.02</v>
      </c>
      <c r="D2014" s="20">
        <v>0.99604261948721451</v>
      </c>
      <c r="E2014" s="20">
        <v>1</v>
      </c>
      <c r="F2014" s="8" t="s">
        <v>436</v>
      </c>
      <c r="G2014" s="24">
        <v>1.0105785257932689</v>
      </c>
      <c r="H2014" s="24">
        <v>1.0164295175002709</v>
      </c>
      <c r="I2014" s="25">
        <v>1.0342054824986235</v>
      </c>
      <c r="L2014" s="15">
        <v>2012</v>
      </c>
      <c r="M2014" s="16">
        <v>1</v>
      </c>
      <c r="N2014" s="16">
        <v>3</v>
      </c>
      <c r="O2014" s="16">
        <v>11</v>
      </c>
      <c r="P2014" s="16">
        <v>196</v>
      </c>
      <c r="Q2014" s="29">
        <v>86</v>
      </c>
      <c r="R2014" s="20">
        <v>0.49930000000000002</v>
      </c>
      <c r="S2014" s="32">
        <v>42.939800000000005</v>
      </c>
      <c r="T2014" s="35">
        <v>2.77</v>
      </c>
      <c r="U2014" s="35">
        <v>1.57</v>
      </c>
      <c r="V2014" s="35">
        <v>3.2209302325581397E-2</v>
      </c>
      <c r="W2014" s="9" t="s">
        <v>154</v>
      </c>
      <c r="X2014" s="15">
        <v>2013</v>
      </c>
      <c r="Y2014" s="39">
        <v>0.49145591450715304</v>
      </c>
      <c r="Z2014" s="39">
        <v>0.48937175346288242</v>
      </c>
      <c r="AA2014" s="39">
        <v>0.48318730471038107</v>
      </c>
      <c r="AB2014" s="39">
        <v>0.50745141274110805</v>
      </c>
      <c r="AC2014" s="39">
        <v>0.48672724550775692</v>
      </c>
      <c r="AD2014" s="39">
        <v>0.48425662455141794</v>
      </c>
      <c r="AE2014" s="39">
        <v>0.47576033018511898</v>
      </c>
      <c r="AF2014" s="40">
        <v>0.50783831204193264</v>
      </c>
    </row>
    <row r="2015" spans="1:32">
      <c r="A2015" s="15">
        <v>2013</v>
      </c>
      <c r="B2015" s="16">
        <v>0</v>
      </c>
      <c r="C2015" s="20">
        <v>0.02</v>
      </c>
      <c r="D2015" s="20">
        <v>0.99679477127711513</v>
      </c>
      <c r="E2015" s="20">
        <v>1</v>
      </c>
      <c r="F2015" s="8" t="s">
        <v>436</v>
      </c>
      <c r="G2015" s="24">
        <v>1.0700306085204956</v>
      </c>
      <c r="H2015" s="24">
        <v>1.0762258126109221</v>
      </c>
      <c r="I2015" s="25">
        <v>1.0950475331984397</v>
      </c>
      <c r="L2015" s="15">
        <v>2013</v>
      </c>
      <c r="M2015" s="16">
        <v>1</v>
      </c>
      <c r="N2015" s="16">
        <v>3</v>
      </c>
      <c r="O2015" s="16">
        <v>11</v>
      </c>
      <c r="P2015" s="16">
        <v>197</v>
      </c>
      <c r="Q2015" s="29">
        <v>23</v>
      </c>
      <c r="R2015" s="20">
        <v>0.49930000000000002</v>
      </c>
      <c r="S2015" s="32">
        <v>11.4839</v>
      </c>
      <c r="T2015" s="35">
        <v>1.1000000000000001</v>
      </c>
      <c r="U2015" s="35">
        <v>0.76</v>
      </c>
      <c r="V2015" s="35">
        <v>4.7826086956521741E-2</v>
      </c>
      <c r="W2015" s="9" t="s">
        <v>153</v>
      </c>
      <c r="X2015" s="15">
        <v>2014</v>
      </c>
      <c r="Y2015" s="39">
        <v>0.48594084727719294</v>
      </c>
      <c r="Z2015" s="39">
        <v>0.47263765738137814</v>
      </c>
      <c r="AA2015" s="39">
        <v>0.48257848989776081</v>
      </c>
      <c r="AB2015" s="39">
        <v>0.48615174532457706</v>
      </c>
      <c r="AC2015" s="39">
        <v>0.47999184969034187</v>
      </c>
      <c r="AD2015" s="39">
        <v>0.46660560458401812</v>
      </c>
      <c r="AE2015" s="39">
        <v>0.47701277786810659</v>
      </c>
      <c r="AF2015" s="40">
        <v>0.48242331085887974</v>
      </c>
    </row>
    <row r="2016" spans="1:32">
      <c r="A2016" s="15">
        <v>2014</v>
      </c>
      <c r="B2016" s="16">
        <v>0</v>
      </c>
      <c r="C2016" s="20">
        <v>0.92</v>
      </c>
      <c r="D2016" s="20">
        <v>0.20258497911151899</v>
      </c>
      <c r="E2016" s="20">
        <v>0.08</v>
      </c>
      <c r="F2016" s="8" t="s">
        <v>434</v>
      </c>
      <c r="G2016" s="24">
        <v>0.33905544754604894</v>
      </c>
      <c r="H2016" s="24">
        <v>0.34101849204103118</v>
      </c>
      <c r="I2016" s="25">
        <v>0.34698244003146411</v>
      </c>
      <c r="L2016" s="15">
        <v>2014</v>
      </c>
      <c r="M2016" s="16">
        <v>1</v>
      </c>
      <c r="N2016" s="16">
        <v>3</v>
      </c>
      <c r="O2016" s="16">
        <v>11</v>
      </c>
      <c r="P2016" s="16">
        <v>198</v>
      </c>
      <c r="Q2016" s="29">
        <v>84</v>
      </c>
      <c r="R2016" s="20">
        <v>0.49930000000000002</v>
      </c>
      <c r="S2016" s="32">
        <v>41.941200000000002</v>
      </c>
      <c r="T2016" s="35">
        <v>2.73</v>
      </c>
      <c r="U2016" s="35">
        <v>1.51</v>
      </c>
      <c r="V2016" s="35">
        <v>3.2500000000000001E-2</v>
      </c>
      <c r="W2016" s="9" t="s">
        <v>154</v>
      </c>
      <c r="X2016" s="15">
        <v>2015</v>
      </c>
      <c r="Y2016" s="39">
        <v>0.49442188304805695</v>
      </c>
      <c r="Z2016" s="39">
        <v>0.48951216699077543</v>
      </c>
      <c r="AA2016" s="39">
        <v>0.48455586889248031</v>
      </c>
      <c r="AB2016" s="39">
        <v>0.48821494898921414</v>
      </c>
      <c r="AC2016" s="39">
        <v>0.48924318188854005</v>
      </c>
      <c r="AD2016" s="39">
        <v>0.48090067593981173</v>
      </c>
      <c r="AE2016" s="39">
        <v>0.47696883206062329</v>
      </c>
      <c r="AF2016" s="40">
        <v>0.48321287068193353</v>
      </c>
    </row>
    <row r="2017" spans="1:32">
      <c r="A2017" s="15">
        <v>2015</v>
      </c>
      <c r="B2017" s="16">
        <v>0</v>
      </c>
      <c r="C2017" s="20">
        <v>0.3</v>
      </c>
      <c r="D2017" s="20">
        <v>0.70101309149407176</v>
      </c>
      <c r="E2017" s="20">
        <v>0.06</v>
      </c>
      <c r="F2017" s="8" t="s">
        <v>436</v>
      </c>
      <c r="G2017" s="24">
        <v>0.67068900996786918</v>
      </c>
      <c r="H2017" s="24">
        <v>0.67457212813745326</v>
      </c>
      <c r="I2017" s="25">
        <v>0.68636947397617498</v>
      </c>
      <c r="L2017" s="15">
        <v>2015</v>
      </c>
      <c r="M2017" s="16">
        <v>1</v>
      </c>
      <c r="N2017" s="16">
        <v>3</v>
      </c>
      <c r="O2017" s="16">
        <v>11</v>
      </c>
      <c r="P2017" s="16">
        <v>199</v>
      </c>
      <c r="Q2017" s="29">
        <v>73</v>
      </c>
      <c r="R2017" s="20">
        <v>0.49930000000000002</v>
      </c>
      <c r="S2017" s="32">
        <v>36.448900000000002</v>
      </c>
      <c r="T2017" s="35">
        <v>2.81</v>
      </c>
      <c r="U2017" s="35">
        <v>1.73</v>
      </c>
      <c r="V2017" s="35">
        <v>3.8493150684931504E-2</v>
      </c>
      <c r="W2017" s="9" t="s">
        <v>154</v>
      </c>
      <c r="X2017" s="15">
        <v>2016</v>
      </c>
      <c r="Y2017" s="39">
        <v>0.48723608854227601</v>
      </c>
      <c r="Z2017" s="39">
        <v>0.49717858897482564</v>
      </c>
      <c r="AA2017" s="39">
        <v>0.49385122665147563</v>
      </c>
      <c r="AB2017" s="39">
        <v>0.49957972532801864</v>
      </c>
      <c r="AC2017" s="39">
        <v>0.47682501539486882</v>
      </c>
      <c r="AD2017" s="39">
        <v>0.49077947695342805</v>
      </c>
      <c r="AE2017" s="39">
        <v>0.4876432540241088</v>
      </c>
      <c r="AF2017" s="40">
        <v>0.49553949529944807</v>
      </c>
    </row>
    <row r="2018" spans="1:32">
      <c r="A2018" s="15">
        <v>2016</v>
      </c>
      <c r="B2018" s="16">
        <v>0</v>
      </c>
      <c r="C2018" s="20">
        <v>0.92</v>
      </c>
      <c r="D2018" s="20">
        <v>0.20258497911151899</v>
      </c>
      <c r="E2018" s="20">
        <v>0.08</v>
      </c>
      <c r="F2018" s="8" t="s">
        <v>434</v>
      </c>
      <c r="G2018" s="24">
        <v>0.75873476631536529</v>
      </c>
      <c r="H2018" s="24">
        <v>0.76312764693989721</v>
      </c>
      <c r="I2018" s="25">
        <v>0.77647370793844084</v>
      </c>
      <c r="L2018" s="15">
        <v>2016</v>
      </c>
      <c r="M2018" s="16">
        <v>1</v>
      </c>
      <c r="N2018" s="16">
        <v>3</v>
      </c>
      <c r="O2018" s="16">
        <v>11</v>
      </c>
      <c r="P2018" s="16">
        <v>200</v>
      </c>
      <c r="Q2018" s="29">
        <v>89</v>
      </c>
      <c r="R2018" s="20">
        <v>0.49930000000000002</v>
      </c>
      <c r="S2018" s="32">
        <v>44.4377</v>
      </c>
      <c r="T2018" s="35">
        <v>1.96</v>
      </c>
      <c r="U2018" s="35">
        <v>0.72</v>
      </c>
      <c r="V2018" s="35">
        <v>2.2022471910112359E-2</v>
      </c>
      <c r="W2018" s="9" t="s">
        <v>153</v>
      </c>
      <c r="X2018" s="15">
        <v>2017</v>
      </c>
      <c r="Y2018" s="39">
        <v>0.4965081959286039</v>
      </c>
      <c r="Z2018" s="39">
        <v>0.48620052442264078</v>
      </c>
      <c r="AA2018" s="39">
        <v>0.47989702252921163</v>
      </c>
      <c r="AB2018" s="39">
        <v>0.48053547802879054</v>
      </c>
      <c r="AC2018" s="39">
        <v>0.48827770279611427</v>
      </c>
      <c r="AD2018" s="39">
        <v>0.48115122364836349</v>
      </c>
      <c r="AE2018" s="39">
        <v>0.47184004130273444</v>
      </c>
      <c r="AF2018" s="40">
        <v>0.47677332191690591</v>
      </c>
    </row>
    <row r="2019" spans="1:32">
      <c r="A2019" s="15">
        <v>2017</v>
      </c>
      <c r="B2019" s="16">
        <v>1</v>
      </c>
      <c r="C2019" s="20">
        <v>0.17</v>
      </c>
      <c r="D2019" s="20">
        <v>0.85356224048578067</v>
      </c>
      <c r="E2019" s="20">
        <v>0.09</v>
      </c>
      <c r="F2019" s="8" t="s">
        <v>436</v>
      </c>
      <c r="G2019" s="24">
        <v>0.66338776385962073</v>
      </c>
      <c r="H2019" s="24">
        <v>0.66722860967793296</v>
      </c>
      <c r="I2019" s="25">
        <v>0.67889752740151865</v>
      </c>
      <c r="L2019" s="15">
        <v>2017</v>
      </c>
      <c r="M2019" s="16">
        <v>1</v>
      </c>
      <c r="N2019" s="16">
        <v>3</v>
      </c>
      <c r="O2019" s="16">
        <v>11</v>
      </c>
      <c r="P2019" s="16">
        <v>201</v>
      </c>
      <c r="Q2019" s="29">
        <v>66</v>
      </c>
      <c r="R2019" s="20">
        <v>0.49930000000000002</v>
      </c>
      <c r="S2019" s="32">
        <v>32.953800000000001</v>
      </c>
      <c r="T2019" s="35">
        <v>2.4</v>
      </c>
      <c r="U2019" s="35">
        <v>1.58</v>
      </c>
      <c r="V2019" s="35">
        <v>3.6363636363636362E-2</v>
      </c>
      <c r="W2019" s="9" t="s">
        <v>154</v>
      </c>
      <c r="X2019" s="15">
        <v>2018</v>
      </c>
      <c r="Y2019" s="39">
        <v>0.48261833923449038</v>
      </c>
      <c r="Z2019" s="39">
        <v>0.47273273497555163</v>
      </c>
      <c r="AA2019" s="39">
        <v>0.48192356184954516</v>
      </c>
      <c r="AB2019" s="39">
        <v>0.5032003654192404</v>
      </c>
      <c r="AC2019" s="39">
        <v>0.47687219072552522</v>
      </c>
      <c r="AD2019" s="39">
        <v>0.46685881535935558</v>
      </c>
      <c r="AE2019" s="39">
        <v>0.47694851529040083</v>
      </c>
      <c r="AF2019" s="40">
        <v>0.4971295925246097</v>
      </c>
    </row>
    <row r="2020" spans="1:32">
      <c r="A2020" s="15">
        <v>2018</v>
      </c>
      <c r="B2020" s="16">
        <v>0</v>
      </c>
      <c r="C2020" s="20">
        <v>0.93</v>
      </c>
      <c r="D2020" s="20">
        <v>0.18747949848141848</v>
      </c>
      <c r="E2020" s="20">
        <v>7.0000000000000007E-2</v>
      </c>
      <c r="F2020" s="8" t="s">
        <v>434</v>
      </c>
      <c r="G2020" s="24">
        <v>0.78852704211320823</v>
      </c>
      <c r="H2020" s="24">
        <v>0.79309241240991979</v>
      </c>
      <c r="I2020" s="25">
        <v>0.80696251625945126</v>
      </c>
      <c r="L2020" s="15">
        <v>2018</v>
      </c>
      <c r="M2020" s="16">
        <v>1</v>
      </c>
      <c r="N2020" s="16">
        <v>3</v>
      </c>
      <c r="O2020" s="16">
        <v>11</v>
      </c>
      <c r="P2020" s="16">
        <v>202</v>
      </c>
      <c r="Q2020" s="29">
        <v>75</v>
      </c>
      <c r="R2020" s="20">
        <v>0.49930000000000002</v>
      </c>
      <c r="S2020" s="32">
        <v>37.447500000000005</v>
      </c>
      <c r="T2020" s="35">
        <v>1.57</v>
      </c>
      <c r="U2020" s="35">
        <v>0.36</v>
      </c>
      <c r="V2020" s="35">
        <v>2.0933333333333335E-2</v>
      </c>
      <c r="W2020" s="9" t="s">
        <v>153</v>
      </c>
      <c r="X2020" s="15">
        <v>2019</v>
      </c>
      <c r="Y2020" s="39">
        <v>0.48185526846100679</v>
      </c>
      <c r="Z2020" s="39">
        <v>0.48433901368515692</v>
      </c>
      <c r="AA2020" s="39">
        <v>0.47836117755206242</v>
      </c>
      <c r="AB2020" s="39">
        <v>0.51125025279220027</v>
      </c>
      <c r="AC2020" s="39">
        <v>0.4743171815387861</v>
      </c>
      <c r="AD2020" s="39">
        <v>0.47493308233429243</v>
      </c>
      <c r="AE2020" s="39">
        <v>0.47113922558578147</v>
      </c>
      <c r="AF2020" s="40">
        <v>0.50565441361769625</v>
      </c>
    </row>
    <row r="2021" spans="1:32">
      <c r="A2021" s="15">
        <v>2019</v>
      </c>
      <c r="B2021" s="16">
        <v>1</v>
      </c>
      <c r="C2021" s="20">
        <v>0.14000000000000001</v>
      </c>
      <c r="D2021" s="20">
        <v>0.94087640188951094</v>
      </c>
      <c r="E2021" s="20">
        <v>0.04</v>
      </c>
      <c r="F2021" s="8" t="s">
        <v>436</v>
      </c>
      <c r="G2021" s="24">
        <v>1.0510100209347866</v>
      </c>
      <c r="H2021" s="24">
        <v>1.0570951006782319</v>
      </c>
      <c r="I2021" s="25">
        <v>1.07558225122439</v>
      </c>
      <c r="L2021" s="15">
        <v>2019</v>
      </c>
      <c r="M2021" s="16">
        <v>1</v>
      </c>
      <c r="N2021" s="16">
        <v>3</v>
      </c>
      <c r="O2021" s="16">
        <v>11</v>
      </c>
      <c r="P2021" s="16">
        <v>203</v>
      </c>
      <c r="Q2021" s="29">
        <v>76</v>
      </c>
      <c r="R2021" s="20">
        <v>0.49930000000000002</v>
      </c>
      <c r="S2021" s="32">
        <v>37.946800000000003</v>
      </c>
      <c r="T2021" s="35">
        <v>3.0700000000000003</v>
      </c>
      <c r="U2021" s="35">
        <v>1.92</v>
      </c>
      <c r="V2021" s="35">
        <v>4.0394736842105268E-2</v>
      </c>
      <c r="W2021" s="9" t="s">
        <v>155</v>
      </c>
      <c r="X2021" s="15">
        <v>2020</v>
      </c>
      <c r="Y2021" s="39">
        <v>0.47570729897846559</v>
      </c>
      <c r="Z2021" s="39">
        <v>0.49109667688647757</v>
      </c>
      <c r="AA2021" s="39">
        <v>0.46891077660876618</v>
      </c>
      <c r="AB2021" s="39">
        <v>0.48223832006460943</v>
      </c>
      <c r="AC2021" s="39">
        <v>0.47055042358249516</v>
      </c>
      <c r="AD2021" s="39">
        <v>0.48375659599911774</v>
      </c>
      <c r="AE2021" s="39">
        <v>0.46339183142074281</v>
      </c>
      <c r="AF2021" s="40">
        <v>0.47824275187556969</v>
      </c>
    </row>
    <row r="2022" spans="1:32">
      <c r="A2022" s="15">
        <v>2020</v>
      </c>
      <c r="B2022" s="16">
        <v>1</v>
      </c>
      <c r="C2022" s="20">
        <v>0.94</v>
      </c>
      <c r="D2022" s="20">
        <v>0.17188516685452584</v>
      </c>
      <c r="E2022" s="20">
        <v>0.06</v>
      </c>
      <c r="F2022" s="8" t="s">
        <v>434</v>
      </c>
      <c r="G2022" s="24">
        <v>2.2459025130519432</v>
      </c>
      <c r="H2022" s="24">
        <v>2.2589057153199579</v>
      </c>
      <c r="I2022" s="25">
        <v>1.6578926537592125</v>
      </c>
      <c r="L2022" s="15">
        <v>2020</v>
      </c>
      <c r="M2022" s="16">
        <v>1</v>
      </c>
      <c r="N2022" s="16">
        <v>3</v>
      </c>
      <c r="O2022" s="16">
        <v>11</v>
      </c>
      <c r="P2022" s="16">
        <v>204</v>
      </c>
      <c r="Q2022" s="29">
        <v>74</v>
      </c>
      <c r="R2022" s="20">
        <v>0.49930000000000002</v>
      </c>
      <c r="S2022" s="32">
        <v>36.9482</v>
      </c>
      <c r="T2022" s="35">
        <v>3.38</v>
      </c>
      <c r="U2022" s="35">
        <v>2.27</v>
      </c>
      <c r="V2022" s="35">
        <v>4.5675675675675674E-2</v>
      </c>
      <c r="W2022" s="9" t="s">
        <v>155</v>
      </c>
      <c r="X2022" s="15">
        <v>2021</v>
      </c>
      <c r="Y2022" s="39">
        <v>0.48137850351673872</v>
      </c>
      <c r="Z2022" s="39">
        <v>0.49859370168100631</v>
      </c>
      <c r="AA2022" s="39">
        <v>0.48314409248488166</v>
      </c>
      <c r="AB2022" s="39">
        <v>0.49987551041025796</v>
      </c>
      <c r="AC2022" s="39">
        <v>0.47237477063610495</v>
      </c>
      <c r="AD2022" s="39">
        <v>0.49065714805497618</v>
      </c>
      <c r="AE2022" s="39">
        <v>0.47830447435825341</v>
      </c>
      <c r="AF2022" s="40">
        <v>0.49624864187817425</v>
      </c>
    </row>
    <row r="2023" spans="1:32">
      <c r="A2023" s="15">
        <v>2021</v>
      </c>
      <c r="B2023" s="16">
        <v>1</v>
      </c>
      <c r="C2023" s="20">
        <v>0.23</v>
      </c>
      <c r="D2023" s="20">
        <v>0.74651770496832115</v>
      </c>
      <c r="E2023" s="20">
        <v>0.12</v>
      </c>
      <c r="F2023" s="8" t="s">
        <v>436</v>
      </c>
      <c r="G2023" s="24">
        <v>0.76996356708172509</v>
      </c>
      <c r="H2023" s="24">
        <v>0.77442145959646314</v>
      </c>
      <c r="I2023" s="25">
        <v>0.78796503396413331</v>
      </c>
      <c r="L2023" s="15">
        <v>2021</v>
      </c>
      <c r="M2023" s="16">
        <v>1</v>
      </c>
      <c r="N2023" s="16">
        <v>3</v>
      </c>
      <c r="O2023" s="16">
        <v>11</v>
      </c>
      <c r="P2023" s="16">
        <v>205</v>
      </c>
      <c r="Q2023" s="29">
        <v>70</v>
      </c>
      <c r="R2023" s="20">
        <v>0.49930000000000002</v>
      </c>
      <c r="S2023" s="32">
        <v>34.951000000000001</v>
      </c>
      <c r="T2023" s="35">
        <v>2.94</v>
      </c>
      <c r="U2023" s="35">
        <v>1.87</v>
      </c>
      <c r="V2023" s="35">
        <v>4.2000000000000003E-2</v>
      </c>
      <c r="W2023" s="9" t="s">
        <v>154</v>
      </c>
      <c r="X2023" s="15">
        <v>2022</v>
      </c>
      <c r="Y2023" s="39">
        <v>0.49170674295009292</v>
      </c>
      <c r="Z2023" s="39">
        <v>0.47923928277534533</v>
      </c>
      <c r="AA2023" s="39">
        <v>0.48619547583214651</v>
      </c>
      <c r="AB2023" s="39">
        <v>0.48993570903428274</v>
      </c>
      <c r="AC2023" s="39">
        <v>0.48308766977507789</v>
      </c>
      <c r="AD2023" s="39">
        <v>0.46849839139898408</v>
      </c>
      <c r="AE2023" s="39">
        <v>0.48155338105580153</v>
      </c>
      <c r="AF2023" s="40">
        <v>0.48474888809899719</v>
      </c>
    </row>
    <row r="2024" spans="1:32">
      <c r="A2024" s="15">
        <v>2022</v>
      </c>
      <c r="B2024" s="16">
        <v>0</v>
      </c>
      <c r="C2024" s="20">
        <v>0.54</v>
      </c>
      <c r="D2024" s="20">
        <v>0.47047594753152333</v>
      </c>
      <c r="E2024" s="20">
        <v>0.11</v>
      </c>
      <c r="F2024" s="8" t="s">
        <v>438</v>
      </c>
      <c r="G2024" s="24">
        <v>0.89352523127752026</v>
      </c>
      <c r="H2024" s="24">
        <v>0.89869851428796022</v>
      </c>
      <c r="I2024" s="25">
        <v>0.91441552472400367</v>
      </c>
      <c r="L2024" s="15">
        <v>2022</v>
      </c>
      <c r="M2024" s="16">
        <v>1</v>
      </c>
      <c r="N2024" s="16">
        <v>3</v>
      </c>
      <c r="O2024" s="16">
        <v>12</v>
      </c>
      <c r="P2024" s="16">
        <v>206</v>
      </c>
      <c r="Q2024" s="29">
        <v>35</v>
      </c>
      <c r="R2024" s="20">
        <v>0.49930000000000002</v>
      </c>
      <c r="S2024" s="32">
        <v>17.4755</v>
      </c>
      <c r="T2024" s="35">
        <v>0.94000000000000006</v>
      </c>
      <c r="U2024" s="35">
        <v>0.44</v>
      </c>
      <c r="V2024" s="35">
        <v>2.6857142857142857E-2</v>
      </c>
      <c r="W2024" s="9" t="s">
        <v>152</v>
      </c>
      <c r="X2024" s="15">
        <v>2023</v>
      </c>
      <c r="Y2024" s="39">
        <v>0.47557335094244929</v>
      </c>
      <c r="Z2024" s="39">
        <v>0.49413640162933614</v>
      </c>
      <c r="AA2024" s="39">
        <v>0.4812213628058204</v>
      </c>
      <c r="AB2024" s="39">
        <v>0.48836052540201091</v>
      </c>
      <c r="AC2024" s="39">
        <v>0.4665869895852694</v>
      </c>
      <c r="AD2024" s="39">
        <v>0.48939942262398112</v>
      </c>
      <c r="AE2024" s="39">
        <v>0.47534464975613766</v>
      </c>
      <c r="AF2024" s="40">
        <v>0.4825599196132247</v>
      </c>
    </row>
    <row r="2025" spans="1:32">
      <c r="A2025" s="15">
        <v>2023</v>
      </c>
      <c r="B2025" s="16">
        <v>1</v>
      </c>
      <c r="C2025" s="20">
        <v>0.9</v>
      </c>
      <c r="D2025" s="20">
        <v>0.231595386583653</v>
      </c>
      <c r="E2025" s="20">
        <v>0.1</v>
      </c>
      <c r="F2025" s="8" t="s">
        <v>434</v>
      </c>
      <c r="G2025" s="24">
        <v>0.66173149422364885</v>
      </c>
      <c r="H2025" s="24">
        <v>0.66556275066354342</v>
      </c>
      <c r="I2025" s="25">
        <v>0.67720253478659687</v>
      </c>
      <c r="L2025" s="15">
        <v>2023</v>
      </c>
      <c r="M2025" s="16">
        <v>1</v>
      </c>
      <c r="N2025" s="16">
        <v>3</v>
      </c>
      <c r="O2025" s="16">
        <v>12</v>
      </c>
      <c r="P2025" s="16">
        <v>207</v>
      </c>
      <c r="Q2025" s="29">
        <v>26</v>
      </c>
      <c r="R2025" s="20">
        <v>0.49930000000000002</v>
      </c>
      <c r="S2025" s="32">
        <v>12.9818</v>
      </c>
      <c r="T2025" s="35">
        <v>0.62</v>
      </c>
      <c r="U2025" s="35">
        <v>0.18</v>
      </c>
      <c r="V2025" s="35">
        <v>2.3846153846153847E-2</v>
      </c>
      <c r="W2025" s="9" t="s">
        <v>152</v>
      </c>
      <c r="X2025" s="15">
        <v>2024</v>
      </c>
      <c r="Y2025" s="39">
        <v>0.49566003984470003</v>
      </c>
      <c r="Z2025" s="39">
        <v>0.49615730423715276</v>
      </c>
      <c r="AA2025" s="39">
        <v>0.48238029676088889</v>
      </c>
      <c r="AB2025" s="39">
        <v>0.4856667156374076</v>
      </c>
      <c r="AC2025" s="39">
        <v>0.48943342518059063</v>
      </c>
      <c r="AD2025" s="39">
        <v>0.4893992210888875</v>
      </c>
      <c r="AE2025" s="39">
        <v>0.47717485040426166</v>
      </c>
      <c r="AF2025" s="40">
        <v>0.47836119003380961</v>
      </c>
    </row>
    <row r="2026" spans="1:32">
      <c r="A2026" s="15">
        <v>2024</v>
      </c>
      <c r="B2026" s="16">
        <v>1</v>
      </c>
      <c r="C2026" s="20">
        <v>0.9</v>
      </c>
      <c r="D2026" s="20">
        <v>0.23516114159132792</v>
      </c>
      <c r="E2026" s="20">
        <v>0.1</v>
      </c>
      <c r="F2026" s="8" t="s">
        <v>434</v>
      </c>
      <c r="G2026" s="24">
        <v>1.1010037354739013</v>
      </c>
      <c r="H2026" s="24">
        <v>1.1073782660632776</v>
      </c>
      <c r="I2026" s="25">
        <v>1.1267448005435912</v>
      </c>
      <c r="L2026" s="15">
        <v>2024</v>
      </c>
      <c r="M2026" s="16">
        <v>1</v>
      </c>
      <c r="N2026" s="16">
        <v>3</v>
      </c>
      <c r="O2026" s="16">
        <v>12</v>
      </c>
      <c r="P2026" s="16">
        <v>208</v>
      </c>
      <c r="Q2026" s="29">
        <v>39</v>
      </c>
      <c r="R2026" s="20">
        <v>0.49930000000000002</v>
      </c>
      <c r="S2026" s="32">
        <v>19.4727</v>
      </c>
      <c r="T2026" s="35">
        <v>1.58</v>
      </c>
      <c r="U2026" s="35">
        <v>1</v>
      </c>
      <c r="V2026" s="35">
        <v>4.0512820512820513E-2</v>
      </c>
      <c r="W2026" s="9" t="s">
        <v>153</v>
      </c>
      <c r="X2026" s="15">
        <v>2025</v>
      </c>
      <c r="Y2026" s="39">
        <v>0.48874136851330541</v>
      </c>
      <c r="Z2026" s="39">
        <v>0.48653177473307263</v>
      </c>
      <c r="AA2026" s="39">
        <v>0.49745362734852477</v>
      </c>
      <c r="AB2026" s="39">
        <v>0.48690367161033232</v>
      </c>
      <c r="AC2026" s="39">
        <v>0.47891220276867907</v>
      </c>
      <c r="AD2026" s="39">
        <v>0.47860255886445124</v>
      </c>
      <c r="AE2026" s="39">
        <v>0.49256126869263028</v>
      </c>
      <c r="AF2026" s="40">
        <v>0.48274006877883952</v>
      </c>
    </row>
    <row r="2027" spans="1:32">
      <c r="A2027" s="15">
        <v>2025</v>
      </c>
      <c r="B2027" s="16">
        <v>0</v>
      </c>
      <c r="C2027" s="20">
        <v>0.13</v>
      </c>
      <c r="D2027" s="20">
        <v>0.91273204877106362</v>
      </c>
      <c r="E2027" s="20">
        <v>0.08</v>
      </c>
      <c r="F2027" s="8" t="s">
        <v>436</v>
      </c>
      <c r="G2027" s="24">
        <v>0.67951270646643813</v>
      </c>
      <c r="H2027" s="24">
        <v>0.68344691158643778</v>
      </c>
      <c r="I2027" s="25">
        <v>0.69539946527503094</v>
      </c>
      <c r="L2027" s="15">
        <v>2025</v>
      </c>
      <c r="M2027" s="16">
        <v>1</v>
      </c>
      <c r="N2027" s="16">
        <v>3</v>
      </c>
      <c r="O2027" s="16">
        <v>12</v>
      </c>
      <c r="P2027" s="16">
        <v>209</v>
      </c>
      <c r="Q2027" s="29">
        <v>24</v>
      </c>
      <c r="R2027" s="20">
        <v>0.49930000000000002</v>
      </c>
      <c r="S2027" s="32">
        <v>11.9832</v>
      </c>
      <c r="T2027" s="35">
        <v>0.32</v>
      </c>
      <c r="U2027" s="35">
        <v>0</v>
      </c>
      <c r="V2027" s="35">
        <v>1.3333333333333334E-2</v>
      </c>
      <c r="W2027" s="9" t="s">
        <v>152</v>
      </c>
      <c r="X2027" s="15">
        <v>2026</v>
      </c>
      <c r="Y2027" s="39">
        <v>0.47216754571238756</v>
      </c>
      <c r="Z2027" s="39">
        <v>0.50485611227187033</v>
      </c>
      <c r="AA2027" s="39">
        <v>0.47757459957810944</v>
      </c>
      <c r="AB2027" s="39">
        <v>0.48920846703214166</v>
      </c>
      <c r="AC2027" s="39">
        <v>0.4671115095666688</v>
      </c>
      <c r="AD2027" s="39">
        <v>0.49664367733619369</v>
      </c>
      <c r="AE2027" s="39">
        <v>0.47247829600100943</v>
      </c>
      <c r="AF2027" s="40">
        <v>0.48586329778509108</v>
      </c>
    </row>
    <row r="2028" spans="1:32">
      <c r="A2028" s="15">
        <v>2026</v>
      </c>
      <c r="B2028" s="16">
        <v>0</v>
      </c>
      <c r="C2028" s="20">
        <v>0.86</v>
      </c>
      <c r="D2028" s="20">
        <v>0.28597383862931031</v>
      </c>
      <c r="E2028" s="20">
        <v>0.14000000000000001</v>
      </c>
      <c r="F2028" s="8" t="s">
        <v>434</v>
      </c>
      <c r="G2028" s="24">
        <v>0.46670282915579819</v>
      </c>
      <c r="H2028" s="24">
        <v>0.46940491940740081</v>
      </c>
      <c r="I2028" s="25">
        <v>0.47761417078565815</v>
      </c>
      <c r="L2028" s="15">
        <v>2026</v>
      </c>
      <c r="M2028" s="16">
        <v>1</v>
      </c>
      <c r="N2028" s="16">
        <v>3</v>
      </c>
      <c r="O2028" s="16">
        <v>12</v>
      </c>
      <c r="P2028" s="16">
        <v>210</v>
      </c>
      <c r="Q2028" s="29">
        <v>19</v>
      </c>
      <c r="R2028" s="20">
        <v>0.49930000000000002</v>
      </c>
      <c r="S2028" s="32">
        <v>9.4867000000000008</v>
      </c>
      <c r="T2028" s="35">
        <v>0.31</v>
      </c>
      <c r="U2028" s="35">
        <v>0.05</v>
      </c>
      <c r="V2028" s="35">
        <v>1.6315789473684211E-2</v>
      </c>
      <c r="W2028" s="9" t="s">
        <v>152</v>
      </c>
      <c r="X2028" s="15">
        <v>2027</v>
      </c>
      <c r="Y2028" s="39">
        <v>0.48860724002355582</v>
      </c>
      <c r="Z2028" s="39">
        <v>0.48295637901174993</v>
      </c>
      <c r="AA2028" s="39">
        <v>0.49705783117444402</v>
      </c>
      <c r="AB2028" s="39">
        <v>0.48977918953617677</v>
      </c>
      <c r="AC2028" s="39">
        <v>0.48261991720160052</v>
      </c>
      <c r="AD2028" s="39">
        <v>0.47783593936990015</v>
      </c>
      <c r="AE2028" s="39">
        <v>0.49233990818900014</v>
      </c>
      <c r="AF2028" s="40">
        <v>0.4889861739316525</v>
      </c>
    </row>
    <row r="2029" spans="1:32">
      <c r="A2029" s="15">
        <v>2027</v>
      </c>
      <c r="B2029" s="16">
        <v>1</v>
      </c>
      <c r="C2029" s="20">
        <v>0.02</v>
      </c>
      <c r="D2029" s="20">
        <v>0.99604261948721451</v>
      </c>
      <c r="E2029" s="20">
        <v>1</v>
      </c>
      <c r="F2029" s="8" t="s">
        <v>436</v>
      </c>
      <c r="G2029" s="24">
        <v>1.0036423042005174</v>
      </c>
      <c r="H2029" s="24">
        <v>1.009453136955017</v>
      </c>
      <c r="I2029" s="25">
        <v>1.0271070945792702</v>
      </c>
      <c r="L2029" s="15">
        <v>2027</v>
      </c>
      <c r="M2029" s="16">
        <v>1</v>
      </c>
      <c r="N2029" s="16">
        <v>3</v>
      </c>
      <c r="O2029" s="16">
        <v>12</v>
      </c>
      <c r="P2029" s="16">
        <v>211</v>
      </c>
      <c r="Q2029" s="29">
        <v>25</v>
      </c>
      <c r="R2029" s="20">
        <v>0.49930000000000002</v>
      </c>
      <c r="S2029" s="32">
        <v>12.4825</v>
      </c>
      <c r="T2029" s="35">
        <v>2.04</v>
      </c>
      <c r="U2029" s="35">
        <v>1.66</v>
      </c>
      <c r="V2029" s="35">
        <v>8.1600000000000006E-2</v>
      </c>
      <c r="W2029" s="9" t="s">
        <v>154</v>
      </c>
      <c r="X2029" s="15">
        <v>2028</v>
      </c>
      <c r="Y2029" s="39">
        <v>0.49263275693939457</v>
      </c>
      <c r="Z2029" s="39">
        <v>0.49726326176115793</v>
      </c>
      <c r="AA2029" s="39">
        <v>0.49937180846204232</v>
      </c>
      <c r="AB2029" s="39">
        <v>0.48882219736921112</v>
      </c>
      <c r="AC2029" s="39">
        <v>0.48498845983440952</v>
      </c>
      <c r="AD2029" s="39">
        <v>0.48956969852976318</v>
      </c>
      <c r="AE2029" s="39">
        <v>0.48852189682638397</v>
      </c>
      <c r="AF2029" s="40">
        <v>0.4831532886669635</v>
      </c>
    </row>
    <row r="2030" spans="1:32">
      <c r="A2030" s="15">
        <v>2028</v>
      </c>
      <c r="B2030" s="16">
        <v>1</v>
      </c>
      <c r="C2030" s="20">
        <v>0.02</v>
      </c>
      <c r="D2030" s="20">
        <v>0.99679477127711513</v>
      </c>
      <c r="E2030" s="20">
        <v>1</v>
      </c>
      <c r="F2030" s="8" t="s">
        <v>436</v>
      </c>
      <c r="G2030" s="24">
        <v>1.0945495178031288</v>
      </c>
      <c r="H2030" s="24">
        <v>1.1008866801196762</v>
      </c>
      <c r="I2030" s="25">
        <v>1.1201396856218062</v>
      </c>
      <c r="L2030" s="15">
        <v>2028</v>
      </c>
      <c r="M2030" s="16">
        <v>1</v>
      </c>
      <c r="N2030" s="16">
        <v>3</v>
      </c>
      <c r="O2030" s="16">
        <v>12</v>
      </c>
      <c r="P2030" s="16">
        <v>212</v>
      </c>
      <c r="Q2030" s="29">
        <v>10</v>
      </c>
      <c r="R2030" s="20">
        <v>0.49930000000000002</v>
      </c>
      <c r="S2030" s="32">
        <v>4.9930000000000003</v>
      </c>
      <c r="T2030" s="35">
        <v>0.22</v>
      </c>
      <c r="U2030" s="35">
        <v>0.08</v>
      </c>
      <c r="V2030" s="35">
        <v>2.1999999999999999E-2</v>
      </c>
      <c r="W2030" s="9" t="s">
        <v>152</v>
      </c>
      <c r="X2030" s="15">
        <v>2029</v>
      </c>
      <c r="Y2030" s="39">
        <v>0.47263094140739598</v>
      </c>
      <c r="Z2030" s="39">
        <v>0.48791213216865398</v>
      </c>
      <c r="AA2030" s="39">
        <v>0.47758052233179621</v>
      </c>
      <c r="AB2030" s="39">
        <v>0.48096756260934059</v>
      </c>
      <c r="AC2030" s="39">
        <v>0.46388558513511335</v>
      </c>
      <c r="AD2030" s="39">
        <v>0.4804295171131136</v>
      </c>
      <c r="AE2030" s="39">
        <v>0.47334027822052449</v>
      </c>
      <c r="AF2030" s="40">
        <v>0.4763446778619192</v>
      </c>
    </row>
    <row r="2031" spans="1:32">
      <c r="A2031" s="15">
        <v>2029</v>
      </c>
      <c r="B2031" s="16">
        <v>0</v>
      </c>
      <c r="C2031" s="20">
        <v>0.91</v>
      </c>
      <c r="D2031" s="20">
        <v>0.21727233298780477</v>
      </c>
      <c r="E2031" s="20">
        <v>0.09</v>
      </c>
      <c r="F2031" s="8" t="s">
        <v>434</v>
      </c>
      <c r="G2031" s="24">
        <v>1.99785478484603</v>
      </c>
      <c r="H2031" s="24">
        <v>2.0094218540836755</v>
      </c>
      <c r="I2031" s="25">
        <v>1.6578926537592125</v>
      </c>
      <c r="L2031" s="15">
        <v>2029</v>
      </c>
      <c r="M2031" s="16">
        <v>1</v>
      </c>
      <c r="N2031" s="16">
        <v>3</v>
      </c>
      <c r="O2031" s="16">
        <v>12</v>
      </c>
      <c r="P2031" s="16">
        <v>213</v>
      </c>
      <c r="Q2031" s="29">
        <v>26</v>
      </c>
      <c r="R2031" s="20">
        <v>0.49930000000000002</v>
      </c>
      <c r="S2031" s="32">
        <v>12.9818</v>
      </c>
      <c r="T2031" s="35">
        <v>0.27</v>
      </c>
      <c r="U2031" s="35">
        <v>0.04</v>
      </c>
      <c r="V2031" s="35">
        <v>1.0384615384615384E-2</v>
      </c>
      <c r="W2031" s="9" t="s">
        <v>152</v>
      </c>
      <c r="X2031" s="15">
        <v>2030</v>
      </c>
      <c r="Y2031" s="39">
        <v>0.5098849934094819</v>
      </c>
      <c r="Z2031" s="39">
        <v>0.48197753909832486</v>
      </c>
      <c r="AA2031" s="39">
        <v>0.48032315103926537</v>
      </c>
      <c r="AB2031" s="39">
        <v>0.50573813348331775</v>
      </c>
      <c r="AC2031" s="39">
        <v>0.50072276875833621</v>
      </c>
      <c r="AD2031" s="39">
        <v>0.47596307840417346</v>
      </c>
      <c r="AE2031" s="39">
        <v>0.47181765014773147</v>
      </c>
      <c r="AF2031" s="40">
        <v>0.50359118956333682</v>
      </c>
    </row>
    <row r="2032" spans="1:32">
      <c r="A2032" s="15">
        <v>2030</v>
      </c>
      <c r="B2032" s="16">
        <v>1</v>
      </c>
      <c r="C2032" s="20">
        <v>0.94</v>
      </c>
      <c r="D2032" s="20">
        <v>0.17188516685452584</v>
      </c>
      <c r="E2032" s="20">
        <v>0.06</v>
      </c>
      <c r="F2032" s="8" t="s">
        <v>434</v>
      </c>
      <c r="G2032" s="24">
        <v>0.63027180611171485</v>
      </c>
      <c r="H2032" s="24">
        <v>0.63392091898774994</v>
      </c>
      <c r="I2032" s="25">
        <v>0.64500733066080218</v>
      </c>
      <c r="L2032" s="15">
        <v>2030</v>
      </c>
      <c r="M2032" s="16">
        <v>1</v>
      </c>
      <c r="N2032" s="16">
        <v>3</v>
      </c>
      <c r="O2032" s="16">
        <v>12</v>
      </c>
      <c r="P2032" s="16">
        <v>214</v>
      </c>
      <c r="Q2032" s="29">
        <v>35</v>
      </c>
      <c r="R2032" s="20">
        <v>0.49930000000000002</v>
      </c>
      <c r="S2032" s="32">
        <v>17.4755</v>
      </c>
      <c r="T2032" s="35">
        <v>0.74</v>
      </c>
      <c r="U2032" s="35">
        <v>0.03</v>
      </c>
      <c r="V2032" s="35">
        <v>2.1142857142857144E-2</v>
      </c>
      <c r="W2032" s="9" t="s">
        <v>152</v>
      </c>
      <c r="X2032" s="15">
        <v>2031</v>
      </c>
      <c r="Y2032" s="39">
        <v>0.48873348220053908</v>
      </c>
      <c r="Z2032" s="39">
        <v>0.48671329986167061</v>
      </c>
      <c r="AA2032" s="39">
        <v>0.49870350620261772</v>
      </c>
      <c r="AB2032" s="39">
        <v>0.49329246643179592</v>
      </c>
      <c r="AC2032" s="39">
        <v>0.48440607467771951</v>
      </c>
      <c r="AD2032" s="39">
        <v>0.47843000771053285</v>
      </c>
      <c r="AE2032" s="39">
        <v>0.49405592966838424</v>
      </c>
      <c r="AF2032" s="40">
        <v>0.49051869817945637</v>
      </c>
    </row>
    <row r="2033" spans="1:32">
      <c r="A2033" s="15">
        <v>2031</v>
      </c>
      <c r="B2033" s="16">
        <v>0</v>
      </c>
      <c r="C2033" s="20">
        <v>0.9</v>
      </c>
      <c r="D2033" s="20">
        <v>0.23159538658365303</v>
      </c>
      <c r="E2033" s="20">
        <v>0.1</v>
      </c>
      <c r="F2033" s="8" t="s">
        <v>434</v>
      </c>
      <c r="G2033" s="24">
        <v>3.2611898229202123</v>
      </c>
      <c r="H2033" s="24">
        <v>2.3557193791407478</v>
      </c>
      <c r="I2033" s="25">
        <v>1.6578926537592125</v>
      </c>
      <c r="L2033" s="15">
        <v>2031</v>
      </c>
      <c r="M2033" s="16">
        <v>1</v>
      </c>
      <c r="N2033" s="16">
        <v>3</v>
      </c>
      <c r="O2033" s="16">
        <v>12</v>
      </c>
      <c r="P2033" s="16">
        <v>215</v>
      </c>
      <c r="Q2033" s="29">
        <v>29</v>
      </c>
      <c r="R2033" s="20">
        <v>0.49930000000000002</v>
      </c>
      <c r="S2033" s="32">
        <v>14.479700000000001</v>
      </c>
      <c r="T2033" s="35">
        <v>0.43</v>
      </c>
      <c r="U2033" s="35">
        <v>0</v>
      </c>
      <c r="V2033" s="35">
        <v>1.4827586206896552E-2</v>
      </c>
      <c r="W2033" s="9" t="s">
        <v>152</v>
      </c>
      <c r="X2033" s="15">
        <v>2032</v>
      </c>
      <c r="Y2033" s="39">
        <v>0.47989321964128395</v>
      </c>
      <c r="Z2033" s="39">
        <v>0.479137982003635</v>
      </c>
      <c r="AA2033" s="39">
        <v>0.48622612290637574</v>
      </c>
      <c r="AB2033" s="39">
        <v>0.47152198421183678</v>
      </c>
      <c r="AC2033" s="39">
        <v>0.4725770130643997</v>
      </c>
      <c r="AD2033" s="39">
        <v>0.4707931942253436</v>
      </c>
      <c r="AE2033" s="39">
        <v>0.47788381798547147</v>
      </c>
      <c r="AF2033" s="40">
        <v>0.47054025080522788</v>
      </c>
    </row>
    <row r="2034" spans="1:32">
      <c r="A2034" s="15">
        <v>2032</v>
      </c>
      <c r="B2034" s="16">
        <v>1</v>
      </c>
      <c r="C2034" s="20">
        <v>0.1</v>
      </c>
      <c r="D2034" s="20">
        <v>0.93240603501158037</v>
      </c>
      <c r="E2034" s="20">
        <v>0.44</v>
      </c>
      <c r="F2034" s="8" t="s">
        <v>436</v>
      </c>
      <c r="G2034" s="24">
        <v>0.87848903436096459</v>
      </c>
      <c r="H2034" s="24">
        <v>0.88357526162935363</v>
      </c>
      <c r="I2034" s="25">
        <v>0.89902778701720443</v>
      </c>
      <c r="L2034" s="15">
        <v>2032</v>
      </c>
      <c r="M2034" s="16">
        <v>1</v>
      </c>
      <c r="N2034" s="16">
        <v>3</v>
      </c>
      <c r="O2034" s="16">
        <v>12</v>
      </c>
      <c r="P2034" s="16">
        <v>216</v>
      </c>
      <c r="Q2034" s="29">
        <v>40</v>
      </c>
      <c r="R2034" s="20">
        <v>0.49930000000000002</v>
      </c>
      <c r="S2034" s="32">
        <v>19.972000000000001</v>
      </c>
      <c r="T2034" s="35">
        <v>0.94000000000000006</v>
      </c>
      <c r="U2034" s="35">
        <v>0.28999999999999998</v>
      </c>
      <c r="V2034" s="35">
        <v>2.35E-2</v>
      </c>
      <c r="W2034" s="9" t="s">
        <v>152</v>
      </c>
      <c r="X2034" s="15">
        <v>2033</v>
      </c>
      <c r="Y2034" s="39">
        <v>0.48727996960581077</v>
      </c>
      <c r="Z2034" s="39">
        <v>0.48475064273310725</v>
      </c>
      <c r="AA2034" s="39">
        <v>0.48714665940965501</v>
      </c>
      <c r="AB2034" s="39">
        <v>0.48990650831084237</v>
      </c>
      <c r="AC2034" s="39">
        <v>0.48013786787036472</v>
      </c>
      <c r="AD2034" s="39">
        <v>0.48303277825822566</v>
      </c>
      <c r="AE2034" s="39">
        <v>0.48353877262385991</v>
      </c>
      <c r="AF2034" s="40">
        <v>0.48464115324412915</v>
      </c>
    </row>
    <row r="2035" spans="1:32">
      <c r="A2035" s="15">
        <v>2033</v>
      </c>
      <c r="B2035" s="16">
        <v>1</v>
      </c>
      <c r="C2035" s="20">
        <v>0.55000000000000004</v>
      </c>
      <c r="D2035" s="20">
        <v>0.46335222762643907</v>
      </c>
      <c r="E2035" s="20">
        <v>0.09</v>
      </c>
      <c r="F2035" s="8" t="s">
        <v>438</v>
      </c>
      <c r="G2035" s="24">
        <v>1.1856223538706554</v>
      </c>
      <c r="H2035" s="24">
        <v>1.192486804661046</v>
      </c>
      <c r="I2035" s="25">
        <v>1.213341771321975</v>
      </c>
      <c r="L2035" s="15">
        <v>2033</v>
      </c>
      <c r="M2035" s="16">
        <v>1</v>
      </c>
      <c r="N2035" s="16">
        <v>3</v>
      </c>
      <c r="O2035" s="16">
        <v>12</v>
      </c>
      <c r="P2035" s="16">
        <v>217</v>
      </c>
      <c r="Q2035" s="29">
        <v>24</v>
      </c>
      <c r="R2035" s="20">
        <v>0.49930000000000002</v>
      </c>
      <c r="S2035" s="32">
        <v>11.9832</v>
      </c>
      <c r="T2035" s="35">
        <v>0.94000000000000006</v>
      </c>
      <c r="U2035" s="35">
        <v>0.62</v>
      </c>
      <c r="V2035" s="35">
        <v>3.9166666666666669E-2</v>
      </c>
      <c r="W2035" s="9" t="s">
        <v>152</v>
      </c>
      <c r="X2035" s="15">
        <v>2034</v>
      </c>
      <c r="Y2035" s="39">
        <v>0.49606569285494329</v>
      </c>
      <c r="Z2035" s="39">
        <v>0.48676088978705551</v>
      </c>
      <c r="AA2035" s="39">
        <v>0.48647632655922313</v>
      </c>
      <c r="AB2035" s="39">
        <v>0.48113585446107954</v>
      </c>
      <c r="AC2035" s="39">
        <v>0.4861449829592483</v>
      </c>
      <c r="AD2035" s="39">
        <v>0.4807364610758656</v>
      </c>
      <c r="AE2035" s="39">
        <v>0.48185964105343831</v>
      </c>
      <c r="AF2035" s="40">
        <v>0.47602511837379241</v>
      </c>
    </row>
    <row r="2036" spans="1:32">
      <c r="A2036" s="15">
        <v>2034</v>
      </c>
      <c r="B2036" s="16">
        <v>0</v>
      </c>
      <c r="C2036" s="20">
        <v>0.71</v>
      </c>
      <c r="D2036" s="20">
        <v>0.40794052051533342</v>
      </c>
      <c r="E2036" s="20">
        <v>0.08</v>
      </c>
      <c r="F2036" s="8" t="s">
        <v>438</v>
      </c>
      <c r="G2036" s="24">
        <v>0.78569451812346769</v>
      </c>
      <c r="H2036" s="24">
        <v>0.79024348882930051</v>
      </c>
      <c r="I2036" s="25">
        <v>0.80406376889372921</v>
      </c>
      <c r="L2036" s="15">
        <v>2034</v>
      </c>
      <c r="M2036" s="16">
        <v>1</v>
      </c>
      <c r="N2036" s="16">
        <v>3</v>
      </c>
      <c r="O2036" s="16">
        <v>12</v>
      </c>
      <c r="P2036" s="16">
        <v>218</v>
      </c>
      <c r="Q2036" s="29">
        <v>27</v>
      </c>
      <c r="R2036" s="20">
        <v>0.49930000000000002</v>
      </c>
      <c r="S2036" s="32">
        <v>13.481100000000001</v>
      </c>
      <c r="T2036" s="35">
        <v>0.66</v>
      </c>
      <c r="U2036" s="35">
        <v>0.33</v>
      </c>
      <c r="V2036" s="35">
        <v>2.4444444444444446E-2</v>
      </c>
      <c r="W2036" s="9" t="s">
        <v>152</v>
      </c>
      <c r="X2036" s="15">
        <v>2035</v>
      </c>
      <c r="Y2036" s="39">
        <v>0.48360829130024524</v>
      </c>
      <c r="Z2036" s="39">
        <v>0.47478050072831801</v>
      </c>
      <c r="AA2036" s="39">
        <v>0.48205585653521221</v>
      </c>
      <c r="AB2036" s="39">
        <v>0.4863809895300652</v>
      </c>
      <c r="AC2036" s="39">
        <v>0.47692541018371565</v>
      </c>
      <c r="AD2036" s="39">
        <v>0.46805919754709902</v>
      </c>
      <c r="AE2036" s="39">
        <v>0.47657672725313155</v>
      </c>
      <c r="AF2036" s="40">
        <v>0.47943915795540659</v>
      </c>
    </row>
    <row r="2037" spans="1:32">
      <c r="A2037" s="15">
        <v>2035</v>
      </c>
      <c r="B2037" s="16">
        <v>0</v>
      </c>
      <c r="C2037" s="20">
        <v>0.02</v>
      </c>
      <c r="D2037" s="20">
        <v>0.99917029198757767</v>
      </c>
      <c r="E2037" s="20">
        <v>1</v>
      </c>
      <c r="F2037" s="8" t="s">
        <v>436</v>
      </c>
      <c r="G2037" s="24">
        <v>1.4290547099798061</v>
      </c>
      <c r="H2037" s="24">
        <v>1.4373285719742321</v>
      </c>
      <c r="I2037" s="25">
        <v>1.4624654869758564</v>
      </c>
      <c r="L2037" s="15">
        <v>2035</v>
      </c>
      <c r="M2037" s="16">
        <v>1</v>
      </c>
      <c r="N2037" s="16">
        <v>3</v>
      </c>
      <c r="O2037" s="16">
        <v>12</v>
      </c>
      <c r="P2037" s="16">
        <v>219</v>
      </c>
      <c r="Q2037" s="29">
        <v>33</v>
      </c>
      <c r="R2037" s="20">
        <v>0.49930000000000002</v>
      </c>
      <c r="S2037" s="32">
        <v>16.476900000000001</v>
      </c>
      <c r="T2037" s="35">
        <v>0.62</v>
      </c>
      <c r="U2037" s="35">
        <v>0.32</v>
      </c>
      <c r="V2037" s="35">
        <v>1.8787878787878787E-2</v>
      </c>
      <c r="W2037" s="9" t="s">
        <v>152</v>
      </c>
      <c r="X2037" s="15">
        <v>2036</v>
      </c>
      <c r="Y2037" s="39">
        <v>0.49171080695959152</v>
      </c>
      <c r="Z2037" s="39">
        <v>0.49130699588092053</v>
      </c>
      <c r="AA2037" s="39">
        <v>0.48482405152709657</v>
      </c>
      <c r="AB2037" s="39">
        <v>0.47078885075813537</v>
      </c>
      <c r="AC2037" s="39">
        <v>0.481931378131712</v>
      </c>
      <c r="AD2037" s="39">
        <v>0.48371935267270222</v>
      </c>
      <c r="AE2037" s="39">
        <v>0.47774409037256704</v>
      </c>
      <c r="AF2037" s="40">
        <v>0.46963266771029133</v>
      </c>
    </row>
    <row r="2038" spans="1:32">
      <c r="A2038" s="15">
        <v>2036</v>
      </c>
      <c r="B2038" s="16">
        <v>1</v>
      </c>
      <c r="C2038" s="20">
        <v>0.01</v>
      </c>
      <c r="D2038" s="20">
        <v>0.99999999999999978</v>
      </c>
      <c r="E2038" s="20">
        <v>1</v>
      </c>
      <c r="F2038" s="8" t="s">
        <v>436</v>
      </c>
      <c r="G2038" s="24">
        <v>1.3865675638142372</v>
      </c>
      <c r="H2038" s="24">
        <v>1.3945954360775101</v>
      </c>
      <c r="I2038" s="25">
        <v>1.4189850068561547</v>
      </c>
      <c r="L2038" s="15">
        <v>2036</v>
      </c>
      <c r="M2038" s="16">
        <v>1</v>
      </c>
      <c r="N2038" s="16">
        <v>3</v>
      </c>
      <c r="O2038" s="16">
        <v>12</v>
      </c>
      <c r="P2038" s="16">
        <v>220</v>
      </c>
      <c r="Q2038" s="29">
        <v>30</v>
      </c>
      <c r="R2038" s="20">
        <v>0.49930000000000002</v>
      </c>
      <c r="S2038" s="32">
        <v>14.979000000000001</v>
      </c>
      <c r="T2038" s="35">
        <v>0.67</v>
      </c>
      <c r="U2038" s="35">
        <v>0.2</v>
      </c>
      <c r="V2038" s="35">
        <v>2.2333333333333334E-2</v>
      </c>
      <c r="W2038" s="9" t="s">
        <v>152</v>
      </c>
      <c r="X2038" s="15">
        <v>2037</v>
      </c>
      <c r="Y2038" s="39">
        <v>0.47235246300253297</v>
      </c>
      <c r="Z2038" s="39">
        <v>0.47792911445165254</v>
      </c>
      <c r="AA2038" s="39">
        <v>0.48518301650824652</v>
      </c>
      <c r="AB2038" s="39">
        <v>0.49166315681663331</v>
      </c>
      <c r="AC2038" s="39">
        <v>0.46731415995586911</v>
      </c>
      <c r="AD2038" s="39">
        <v>0.471421200120132</v>
      </c>
      <c r="AE2038" s="39">
        <v>0.47820561682343493</v>
      </c>
      <c r="AF2038" s="40">
        <v>0.48705572203914033</v>
      </c>
    </row>
    <row r="2039" spans="1:32">
      <c r="A2039" s="15">
        <v>2037</v>
      </c>
      <c r="B2039" s="16">
        <v>1</v>
      </c>
      <c r="C2039" s="20">
        <v>0.56000000000000005</v>
      </c>
      <c r="D2039" s="20">
        <v>0.59133099417508628</v>
      </c>
      <c r="E2039" s="20">
        <v>0.04</v>
      </c>
      <c r="F2039" s="8" t="s">
        <v>438</v>
      </c>
      <c r="G2039" s="24">
        <v>0.78202236877870646</v>
      </c>
      <c r="H2039" s="24">
        <v>0.7865500786771753</v>
      </c>
      <c r="I2039" s="25">
        <v>0.80030576603895376</v>
      </c>
      <c r="L2039" s="15">
        <v>2037</v>
      </c>
      <c r="M2039" s="16">
        <v>1</v>
      </c>
      <c r="N2039" s="16">
        <v>3</v>
      </c>
      <c r="O2039" s="16">
        <v>13</v>
      </c>
      <c r="P2039" s="16">
        <v>221</v>
      </c>
      <c r="Q2039" s="29">
        <v>33</v>
      </c>
      <c r="R2039" s="20">
        <v>0.49930000000000002</v>
      </c>
      <c r="S2039" s="32">
        <v>16.476900000000001</v>
      </c>
      <c r="T2039" s="35">
        <v>0.72</v>
      </c>
      <c r="U2039" s="35">
        <v>0.22</v>
      </c>
      <c r="V2039" s="35">
        <v>2.1818181818181816E-2</v>
      </c>
      <c r="W2039" s="9" t="s">
        <v>152</v>
      </c>
      <c r="X2039" s="15">
        <v>2038</v>
      </c>
      <c r="Y2039" s="39">
        <v>0.49189538437628288</v>
      </c>
      <c r="Z2039" s="39">
        <v>0.47923448307971439</v>
      </c>
      <c r="AA2039" s="39">
        <v>0.47879929049136533</v>
      </c>
      <c r="AB2039" s="39">
        <v>0.49204980006789856</v>
      </c>
      <c r="AC2039" s="39">
        <v>0.4856356333240987</v>
      </c>
      <c r="AD2039" s="39">
        <v>0.47387067122847598</v>
      </c>
      <c r="AE2039" s="39">
        <v>0.47196022255946019</v>
      </c>
      <c r="AF2039" s="40">
        <v>0.48996440005011566</v>
      </c>
    </row>
    <row r="2040" spans="1:32">
      <c r="A2040" s="15">
        <v>2038</v>
      </c>
      <c r="B2040" s="16">
        <v>0</v>
      </c>
      <c r="C2040" s="20">
        <v>0.5</v>
      </c>
      <c r="D2040" s="20">
        <v>0.46961182037055549</v>
      </c>
      <c r="E2040" s="20">
        <v>7.0000000000000007E-2</v>
      </c>
      <c r="F2040" s="8" t="s">
        <v>438</v>
      </c>
      <c r="G2040" s="24">
        <v>0.81416451903865206</v>
      </c>
      <c r="H2040" s="24">
        <v>0.81887832378261405</v>
      </c>
      <c r="I2040" s="25">
        <v>0.8331993880284343</v>
      </c>
      <c r="L2040" s="15">
        <v>2038</v>
      </c>
      <c r="M2040" s="16">
        <v>1</v>
      </c>
      <c r="N2040" s="16">
        <v>3</v>
      </c>
      <c r="O2040" s="16">
        <v>13</v>
      </c>
      <c r="P2040" s="16">
        <v>222</v>
      </c>
      <c r="Q2040" s="29">
        <v>40</v>
      </c>
      <c r="R2040" s="20">
        <v>0.49930000000000002</v>
      </c>
      <c r="S2040" s="32">
        <v>19.972000000000001</v>
      </c>
      <c r="T2040" s="35">
        <v>1.0900000000000001</v>
      </c>
      <c r="U2040" s="35">
        <v>0.53</v>
      </c>
      <c r="V2040" s="35">
        <v>2.7250000000000003E-2</v>
      </c>
      <c r="W2040" s="9" t="s">
        <v>153</v>
      </c>
      <c r="X2040" s="15">
        <v>2039</v>
      </c>
      <c r="Y2040" s="39">
        <v>0.4894451499911206</v>
      </c>
      <c r="Z2040" s="39">
        <v>0.482627614855689</v>
      </c>
      <c r="AA2040" s="39">
        <v>0.49145662170242876</v>
      </c>
      <c r="AB2040" s="39">
        <v>0.49011261007123286</v>
      </c>
      <c r="AC2040" s="39">
        <v>0.48090921595931435</v>
      </c>
      <c r="AD2040" s="39">
        <v>0.47199869751628903</v>
      </c>
      <c r="AE2040" s="39">
        <v>0.48407816623213018</v>
      </c>
      <c r="AF2040" s="40">
        <v>0.48389708635001483</v>
      </c>
    </row>
    <row r="2041" spans="1:32">
      <c r="A2041" s="15">
        <v>2039</v>
      </c>
      <c r="B2041" s="16">
        <v>1</v>
      </c>
      <c r="C2041" s="20">
        <v>0.02</v>
      </c>
      <c r="D2041" s="20">
        <v>0.99756714174924133</v>
      </c>
      <c r="E2041" s="20">
        <v>1</v>
      </c>
      <c r="F2041" s="8" t="s">
        <v>436</v>
      </c>
      <c r="G2041" s="24">
        <v>1.0242453708708463</v>
      </c>
      <c r="H2041" s="24">
        <v>1.0301754901222882</v>
      </c>
      <c r="I2041" s="25">
        <v>1.0481918534207595</v>
      </c>
      <c r="L2041" s="15">
        <v>2039</v>
      </c>
      <c r="M2041" s="16">
        <v>1</v>
      </c>
      <c r="N2041" s="16">
        <v>3</v>
      </c>
      <c r="O2041" s="16">
        <v>13</v>
      </c>
      <c r="P2041" s="16">
        <v>223</v>
      </c>
      <c r="Q2041" s="29">
        <v>33</v>
      </c>
      <c r="R2041" s="20">
        <v>0.49930000000000002</v>
      </c>
      <c r="S2041" s="32">
        <v>16.476900000000001</v>
      </c>
      <c r="T2041" s="35">
        <v>1.35</v>
      </c>
      <c r="U2041" s="35">
        <v>0.83</v>
      </c>
      <c r="V2041" s="35">
        <v>4.0909090909090909E-2</v>
      </c>
      <c r="W2041" s="9" t="s">
        <v>153</v>
      </c>
      <c r="X2041" s="15">
        <v>2040</v>
      </c>
      <c r="Y2041" s="39">
        <v>0.48461041234013325</v>
      </c>
      <c r="Z2041" s="39">
        <v>0.47054789170556466</v>
      </c>
      <c r="AA2041" s="39">
        <v>0.48216657259520374</v>
      </c>
      <c r="AB2041" s="39">
        <v>0.487724835741986</v>
      </c>
      <c r="AC2041" s="39">
        <v>0.47876702601517052</v>
      </c>
      <c r="AD2041" s="39">
        <v>0.46656168452828506</v>
      </c>
      <c r="AE2041" s="39">
        <v>0.47425636553890432</v>
      </c>
      <c r="AF2041" s="40">
        <v>0.48442090792575082</v>
      </c>
    </row>
    <row r="2042" spans="1:32">
      <c r="A2042" s="15">
        <v>2040</v>
      </c>
      <c r="B2042" s="16">
        <v>0</v>
      </c>
      <c r="C2042" s="20">
        <v>0.02</v>
      </c>
      <c r="D2042" s="20">
        <v>0.99679477127711513</v>
      </c>
      <c r="E2042" s="20">
        <v>1</v>
      </c>
      <c r="F2042" s="8" t="s">
        <v>436</v>
      </c>
      <c r="G2042" s="24">
        <v>0.90349083692372301</v>
      </c>
      <c r="H2042" s="24">
        <v>0.90872181824706288</v>
      </c>
      <c r="I2042" s="25">
        <v>0.92461412258915421</v>
      </c>
      <c r="L2042" s="15">
        <v>2040</v>
      </c>
      <c r="M2042" s="16">
        <v>1</v>
      </c>
      <c r="N2042" s="16">
        <v>3</v>
      </c>
      <c r="O2042" s="16">
        <v>13</v>
      </c>
      <c r="P2042" s="16">
        <v>224</v>
      </c>
      <c r="Q2042" s="29">
        <v>31</v>
      </c>
      <c r="R2042" s="20">
        <v>0.49930000000000002</v>
      </c>
      <c r="S2042" s="32">
        <v>15.478300000000001</v>
      </c>
      <c r="T2042" s="35">
        <v>1.6</v>
      </c>
      <c r="U2042" s="35">
        <v>1.22</v>
      </c>
      <c r="V2042" s="35">
        <v>5.1612903225806452E-2</v>
      </c>
      <c r="W2042" s="9" t="s">
        <v>153</v>
      </c>
      <c r="X2042" s="15">
        <v>2041</v>
      </c>
      <c r="Y2042" s="39">
        <v>0.48740229616551156</v>
      </c>
      <c r="Z2042" s="39">
        <v>0.48296573126853987</v>
      </c>
      <c r="AA2042" s="39">
        <v>0.49052748425118292</v>
      </c>
      <c r="AB2042" s="39">
        <v>0.4944563333769928</v>
      </c>
      <c r="AC2042" s="39">
        <v>0.48152782488697382</v>
      </c>
      <c r="AD2042" s="39">
        <v>0.47405564175624132</v>
      </c>
      <c r="AE2042" s="39">
        <v>0.48408273051652917</v>
      </c>
      <c r="AF2042" s="40">
        <v>0.48987813103237221</v>
      </c>
    </row>
    <row r="2043" spans="1:32">
      <c r="A2043" s="15">
        <v>2041</v>
      </c>
      <c r="B2043" s="16">
        <v>0</v>
      </c>
      <c r="C2043" s="20">
        <v>0.01</v>
      </c>
      <c r="D2043" s="20">
        <v>0.99999999999999978</v>
      </c>
      <c r="E2043" s="20">
        <v>1</v>
      </c>
      <c r="F2043" s="8" t="s">
        <v>436</v>
      </c>
      <c r="G2043" s="24">
        <v>1.0481518360323936</v>
      </c>
      <c r="H2043" s="24">
        <v>1.0542203676148261</v>
      </c>
      <c r="I2043" s="25">
        <v>1.0726572430032533</v>
      </c>
      <c r="L2043" s="15">
        <v>2041</v>
      </c>
      <c r="M2043" s="16">
        <v>1</v>
      </c>
      <c r="N2043" s="16">
        <v>3</v>
      </c>
      <c r="O2043" s="16">
        <v>13</v>
      </c>
      <c r="P2043" s="16">
        <v>225</v>
      </c>
      <c r="Q2043" s="29">
        <v>31</v>
      </c>
      <c r="R2043" s="20">
        <v>0.49930000000000002</v>
      </c>
      <c r="S2043" s="32">
        <v>15.478300000000001</v>
      </c>
      <c r="T2043" s="35">
        <v>1.4700000000000002</v>
      </c>
      <c r="U2043" s="35">
        <v>1.01</v>
      </c>
      <c r="V2043" s="35">
        <v>4.7419354838709682E-2</v>
      </c>
      <c r="W2043" s="9" t="s">
        <v>153</v>
      </c>
      <c r="X2043" s="15">
        <v>2042</v>
      </c>
      <c r="Y2043" s="39">
        <v>0.4744152731876749</v>
      </c>
      <c r="Z2043" s="39">
        <v>0.50943946305512311</v>
      </c>
      <c r="AA2043" s="39">
        <v>0.49030571959216451</v>
      </c>
      <c r="AB2043" s="39">
        <v>0.50286592933414953</v>
      </c>
      <c r="AC2043" s="39">
        <v>0.46676985141126276</v>
      </c>
      <c r="AD2043" s="39">
        <v>0.50021612946194671</v>
      </c>
      <c r="AE2043" s="39">
        <v>0.48332205866169997</v>
      </c>
      <c r="AF2043" s="40">
        <v>0.50071403782200996</v>
      </c>
    </row>
    <row r="2044" spans="1:32">
      <c r="A2044" s="15">
        <v>2042</v>
      </c>
      <c r="B2044" s="16">
        <v>0</v>
      </c>
      <c r="C2044" s="20">
        <v>0.93</v>
      </c>
      <c r="D2044" s="20">
        <v>0.18747949848141848</v>
      </c>
      <c r="E2044" s="20">
        <v>7.0000000000000007E-2</v>
      </c>
      <c r="F2044" s="8" t="s">
        <v>434</v>
      </c>
      <c r="G2044" s="24">
        <v>1.4603890650768676</v>
      </c>
      <c r="H2044" s="24">
        <v>1.468844344988989</v>
      </c>
      <c r="I2044" s="25">
        <v>1.4945324278466827</v>
      </c>
      <c r="L2044" s="15">
        <v>2042</v>
      </c>
      <c r="M2044" s="16">
        <v>1</v>
      </c>
      <c r="N2044" s="16">
        <v>3</v>
      </c>
      <c r="O2044" s="16">
        <v>13</v>
      </c>
      <c r="P2044" s="16">
        <v>226</v>
      </c>
      <c r="Q2044" s="29">
        <v>26</v>
      </c>
      <c r="R2044" s="20">
        <v>0.49930000000000002</v>
      </c>
      <c r="S2044" s="32">
        <v>12.9818</v>
      </c>
      <c r="T2044" s="35">
        <v>0.43</v>
      </c>
      <c r="U2044" s="35">
        <v>0</v>
      </c>
      <c r="V2044" s="35">
        <v>1.6538461538461537E-2</v>
      </c>
      <c r="W2044" s="9" t="s">
        <v>152</v>
      </c>
      <c r="X2044" s="15">
        <v>2043</v>
      </c>
      <c r="Y2044" s="39">
        <v>0.48472964610194169</v>
      </c>
      <c r="Z2044" s="39">
        <v>0.49190536770815713</v>
      </c>
      <c r="AA2044" s="39">
        <v>0.4755652996114107</v>
      </c>
      <c r="AB2044" s="39">
        <v>0.49069909121957944</v>
      </c>
      <c r="AC2044" s="39">
        <v>0.48208831082557435</v>
      </c>
      <c r="AD2044" s="39">
        <v>0.48498664260775387</v>
      </c>
      <c r="AE2044" s="39">
        <v>0.46657466094717437</v>
      </c>
      <c r="AF2044" s="40">
        <v>0.48461765829137565</v>
      </c>
    </row>
    <row r="2045" spans="1:32">
      <c r="A2045" s="15">
        <v>2043</v>
      </c>
      <c r="B2045" s="16">
        <v>0</v>
      </c>
      <c r="C2045" s="20">
        <v>0.02</v>
      </c>
      <c r="D2045" s="20">
        <v>0.99756714174924133</v>
      </c>
      <c r="E2045" s="20">
        <v>1</v>
      </c>
      <c r="F2045" s="8" t="s">
        <v>436</v>
      </c>
      <c r="G2045" s="24">
        <v>1.0595401249252285</v>
      </c>
      <c r="H2045" s="24">
        <v>1.065674591793409</v>
      </c>
      <c r="I2045" s="25">
        <v>1.0843117859295468</v>
      </c>
      <c r="L2045" s="15">
        <v>2043</v>
      </c>
      <c r="M2045" s="16">
        <v>1</v>
      </c>
      <c r="N2045" s="16">
        <v>3</v>
      </c>
      <c r="O2045" s="16">
        <v>13</v>
      </c>
      <c r="P2045" s="16">
        <v>227</v>
      </c>
      <c r="Q2045" s="29">
        <v>30</v>
      </c>
      <c r="R2045" s="20">
        <v>0.49930000000000002</v>
      </c>
      <c r="S2045" s="32">
        <v>14.979000000000001</v>
      </c>
      <c r="T2045" s="35">
        <v>3.71</v>
      </c>
      <c r="U2045" s="35">
        <v>3.2</v>
      </c>
      <c r="V2045" s="35">
        <v>0.12366666666666666</v>
      </c>
      <c r="W2045" s="9" t="s">
        <v>155</v>
      </c>
      <c r="X2045" s="15">
        <v>2044</v>
      </c>
      <c r="Y2045" s="39">
        <v>0.49712782593170679</v>
      </c>
      <c r="Z2045" s="39">
        <v>0.48174537099977788</v>
      </c>
      <c r="AA2045" s="39">
        <v>0.49672184032032635</v>
      </c>
      <c r="AB2045" s="39">
        <v>0.48954569707337803</v>
      </c>
      <c r="AC2045" s="39">
        <v>0.48926554406875389</v>
      </c>
      <c r="AD2045" s="39">
        <v>0.47344192022244092</v>
      </c>
      <c r="AE2045" s="39">
        <v>0.49110566505505221</v>
      </c>
      <c r="AF2045" s="40">
        <v>0.48403229239312201</v>
      </c>
    </row>
    <row r="2046" spans="1:32">
      <c r="A2046" s="15">
        <v>2044</v>
      </c>
      <c r="B2046" s="16">
        <v>0</v>
      </c>
      <c r="C2046" s="20">
        <v>0.93</v>
      </c>
      <c r="D2046" s="20">
        <v>0.18747949848141848</v>
      </c>
      <c r="E2046" s="20">
        <v>7.0000000000000007E-2</v>
      </c>
      <c r="F2046" s="8" t="s">
        <v>434</v>
      </c>
      <c r="G2046" s="24">
        <v>2.2096174448916699</v>
      </c>
      <c r="H2046" s="24">
        <v>2.2224105658770577</v>
      </c>
      <c r="I2046" s="25">
        <v>1.6578926537592125</v>
      </c>
      <c r="L2046" s="15">
        <v>2044</v>
      </c>
      <c r="M2046" s="16">
        <v>1</v>
      </c>
      <c r="N2046" s="16">
        <v>3</v>
      </c>
      <c r="O2046" s="16">
        <v>13</v>
      </c>
      <c r="P2046" s="16">
        <v>228</v>
      </c>
      <c r="Q2046" s="29">
        <v>40</v>
      </c>
      <c r="R2046" s="20">
        <v>0.49930000000000002</v>
      </c>
      <c r="S2046" s="32">
        <v>19.972000000000001</v>
      </c>
      <c r="T2046" s="35">
        <v>1.06</v>
      </c>
      <c r="U2046" s="35">
        <v>0.43</v>
      </c>
      <c r="V2046" s="35">
        <v>2.6500000000000003E-2</v>
      </c>
      <c r="W2046" s="9" t="s">
        <v>153</v>
      </c>
      <c r="X2046" s="15">
        <v>2045</v>
      </c>
      <c r="Y2046" s="39">
        <v>0.48540001880604677</v>
      </c>
      <c r="Z2046" s="39">
        <v>0.48773055978075286</v>
      </c>
      <c r="AA2046" s="39">
        <v>0.48217448425495996</v>
      </c>
      <c r="AB2046" s="39">
        <v>0.49156918764286767</v>
      </c>
      <c r="AC2046" s="39">
        <v>0.47792822886470188</v>
      </c>
      <c r="AD2046" s="39">
        <v>0.48259704803927939</v>
      </c>
      <c r="AE2046" s="39">
        <v>0.47587479589180864</v>
      </c>
      <c r="AF2046" s="40">
        <v>0.48752523337178832</v>
      </c>
    </row>
    <row r="2047" spans="1:32">
      <c r="A2047" s="15">
        <v>2045</v>
      </c>
      <c r="B2047" s="16">
        <v>1</v>
      </c>
      <c r="C2047" s="20">
        <v>0.93</v>
      </c>
      <c r="D2047" s="20">
        <v>0.18747949848141848</v>
      </c>
      <c r="E2047" s="20">
        <v>7.0000000000000007E-2</v>
      </c>
      <c r="F2047" s="8" t="s">
        <v>434</v>
      </c>
      <c r="G2047" s="24">
        <v>0.64732100197962272</v>
      </c>
      <c r="H2047" s="24">
        <v>0.65106882534780475</v>
      </c>
      <c r="I2047" s="25">
        <v>0.66245513049896165</v>
      </c>
      <c r="L2047" s="15">
        <v>2045</v>
      </c>
      <c r="M2047" s="16">
        <v>1</v>
      </c>
      <c r="N2047" s="16">
        <v>3</v>
      </c>
      <c r="O2047" s="16">
        <v>13</v>
      </c>
      <c r="P2047" s="16">
        <v>229</v>
      </c>
      <c r="Q2047" s="29">
        <v>31</v>
      </c>
      <c r="R2047" s="20">
        <v>0.49930000000000002</v>
      </c>
      <c r="S2047" s="32">
        <v>15.478300000000001</v>
      </c>
      <c r="T2047" s="35">
        <v>1.44</v>
      </c>
      <c r="U2047" s="35">
        <v>1.05</v>
      </c>
      <c r="V2047" s="35">
        <v>4.6451612903225803E-2</v>
      </c>
      <c r="W2047" s="9" t="s">
        <v>153</v>
      </c>
      <c r="X2047" s="15">
        <v>2046</v>
      </c>
      <c r="Y2047" s="39">
        <v>0.47422493583490255</v>
      </c>
      <c r="Z2047" s="39">
        <v>0.48935771761731844</v>
      </c>
      <c r="AA2047" s="39">
        <v>0.47891863889312264</v>
      </c>
      <c r="AB2047" s="39">
        <v>0.48403210638164845</v>
      </c>
      <c r="AC2047" s="39">
        <v>0.46861284788104479</v>
      </c>
      <c r="AD2047" s="39">
        <v>0.48245304877296485</v>
      </c>
      <c r="AE2047" s="39">
        <v>0.47274692293062398</v>
      </c>
      <c r="AF2047" s="40">
        <v>0.47937431968625394</v>
      </c>
    </row>
    <row r="2048" spans="1:32">
      <c r="A2048" s="15">
        <v>2046</v>
      </c>
      <c r="B2048" s="16">
        <v>0</v>
      </c>
      <c r="C2048" s="20">
        <v>0.25</v>
      </c>
      <c r="D2048" s="20">
        <v>0.80480219825594479</v>
      </c>
      <c r="E2048" s="20">
        <v>0.11</v>
      </c>
      <c r="F2048" s="8" t="s">
        <v>436</v>
      </c>
      <c r="G2048" s="24">
        <v>0.82813738375970081</v>
      </c>
      <c r="H2048" s="24">
        <v>0.83293208782372474</v>
      </c>
      <c r="I2048" s="25">
        <v>0.84749893322149772</v>
      </c>
      <c r="L2048" s="15">
        <v>2046</v>
      </c>
      <c r="M2048" s="16">
        <v>1</v>
      </c>
      <c r="N2048" s="16">
        <v>3</v>
      </c>
      <c r="O2048" s="16">
        <v>13</v>
      </c>
      <c r="P2048" s="16">
        <v>230</v>
      </c>
      <c r="Q2048" s="29">
        <v>35</v>
      </c>
      <c r="R2048" s="20">
        <v>0.49930000000000002</v>
      </c>
      <c r="S2048" s="32">
        <v>17.4755</v>
      </c>
      <c r="T2048" s="35">
        <v>1.21</v>
      </c>
      <c r="U2048" s="35">
        <v>0.63</v>
      </c>
      <c r="V2048" s="35">
        <v>3.4571428571428572E-2</v>
      </c>
      <c r="W2048" s="9" t="s">
        <v>153</v>
      </c>
      <c r="X2048" s="15">
        <v>2047</v>
      </c>
      <c r="Y2048" s="39">
        <v>0.50048484970384299</v>
      </c>
      <c r="Z2048" s="39">
        <v>0.49110079074201307</v>
      </c>
      <c r="AA2048" s="39">
        <v>0.47491207655742945</v>
      </c>
      <c r="AB2048" s="39">
        <v>0.48010764437832087</v>
      </c>
      <c r="AC2048" s="39">
        <v>0.4919539186545126</v>
      </c>
      <c r="AD2048" s="39">
        <v>0.48710286116728435</v>
      </c>
      <c r="AE2048" s="39">
        <v>0.46669428816668673</v>
      </c>
      <c r="AF2048" s="40">
        <v>0.47592985318011255</v>
      </c>
    </row>
    <row r="2049" spans="1:32">
      <c r="A2049" s="15">
        <v>2047</v>
      </c>
      <c r="B2049" s="16">
        <v>1</v>
      </c>
      <c r="C2049" s="20">
        <v>0.36</v>
      </c>
      <c r="D2049" s="20">
        <v>0.71087700760507366</v>
      </c>
      <c r="E2049" s="20">
        <v>0.08</v>
      </c>
      <c r="F2049" s="8" t="s">
        <v>436</v>
      </c>
      <c r="G2049" s="24">
        <v>0.66971014433587472</v>
      </c>
      <c r="H2049" s="24">
        <v>0.67358759512331201</v>
      </c>
      <c r="I2049" s="25">
        <v>0.68536772282334546</v>
      </c>
      <c r="L2049" s="15">
        <v>2047</v>
      </c>
      <c r="M2049" s="16">
        <v>1</v>
      </c>
      <c r="N2049" s="16">
        <v>3</v>
      </c>
      <c r="O2049" s="16">
        <v>13</v>
      </c>
      <c r="P2049" s="16">
        <v>231</v>
      </c>
      <c r="Q2049" s="29">
        <v>38</v>
      </c>
      <c r="R2049" s="20">
        <v>0.49930000000000002</v>
      </c>
      <c r="S2049" s="32">
        <v>18.973400000000002</v>
      </c>
      <c r="T2049" s="35">
        <v>0.84</v>
      </c>
      <c r="U2049" s="35">
        <v>0.39</v>
      </c>
      <c r="V2049" s="35">
        <v>2.2105263157894735E-2</v>
      </c>
      <c r="W2049" s="9" t="s">
        <v>152</v>
      </c>
      <c r="X2049" s="15">
        <v>2048</v>
      </c>
      <c r="Y2049" s="39">
        <v>0.48928397701231113</v>
      </c>
      <c r="Z2049" s="39">
        <v>0.49657811946264679</v>
      </c>
      <c r="AA2049" s="39">
        <v>0.48665599783260116</v>
      </c>
      <c r="AB2049" s="39">
        <v>0.49170809898761231</v>
      </c>
      <c r="AC2049" s="39">
        <v>0.48330951599199207</v>
      </c>
      <c r="AD2049" s="39">
        <v>0.49135434670936629</v>
      </c>
      <c r="AE2049" s="39">
        <v>0.4812030334861343</v>
      </c>
      <c r="AF2049" s="40">
        <v>0.48736967736332182</v>
      </c>
    </row>
    <row r="2050" spans="1:32">
      <c r="A2050" s="15">
        <v>2048</v>
      </c>
      <c r="B2050" s="16">
        <v>1</v>
      </c>
      <c r="C2050" s="20">
        <v>0.01</v>
      </c>
      <c r="D2050" s="20">
        <v>0.99999999999999978</v>
      </c>
      <c r="E2050" s="20">
        <v>1</v>
      </c>
      <c r="F2050" s="8" t="s">
        <v>436</v>
      </c>
      <c r="G2050" s="24">
        <v>0.97080283976976012</v>
      </c>
      <c r="H2050" s="24">
        <v>0.97642354040771218</v>
      </c>
      <c r="I2050" s="25">
        <v>0.993499855468437</v>
      </c>
      <c r="L2050" s="15">
        <v>2048</v>
      </c>
      <c r="M2050" s="16">
        <v>1</v>
      </c>
      <c r="N2050" s="16">
        <v>3</v>
      </c>
      <c r="O2050" s="16">
        <v>13</v>
      </c>
      <c r="P2050" s="16">
        <v>232</v>
      </c>
      <c r="Q2050" s="29">
        <v>27</v>
      </c>
      <c r="R2050" s="20">
        <v>0.49930000000000002</v>
      </c>
      <c r="S2050" s="32">
        <v>13.481100000000001</v>
      </c>
      <c r="T2050" s="35">
        <v>1.22</v>
      </c>
      <c r="U2050" s="35">
        <v>0.78</v>
      </c>
      <c r="V2050" s="35">
        <v>4.5185185185185182E-2</v>
      </c>
      <c r="W2050" s="9" t="s">
        <v>153</v>
      </c>
      <c r="X2050" s="15">
        <v>2049</v>
      </c>
      <c r="Y2050" s="39">
        <v>0.48479090870517338</v>
      </c>
      <c r="Z2050" s="39">
        <v>0.49169870638732477</v>
      </c>
      <c r="AA2050" s="39">
        <v>0.47869463594164902</v>
      </c>
      <c r="AB2050" s="39">
        <v>0.48808664781327399</v>
      </c>
      <c r="AC2050" s="39">
        <v>0.47506946081620105</v>
      </c>
      <c r="AD2050" s="39">
        <v>0.48507723306385614</v>
      </c>
      <c r="AE2050" s="39">
        <v>0.47469907657156696</v>
      </c>
      <c r="AF2050" s="40">
        <v>0.48524165821816223</v>
      </c>
    </row>
    <row r="2051" spans="1:32">
      <c r="A2051" s="15">
        <v>2049</v>
      </c>
      <c r="B2051" s="16">
        <v>1</v>
      </c>
      <c r="C2051" s="20">
        <v>0.12</v>
      </c>
      <c r="D2051" s="20">
        <v>0.91452648928665259</v>
      </c>
      <c r="E2051" s="20">
        <v>7.0000000000000007E-2</v>
      </c>
      <c r="F2051" s="8" t="s">
        <v>436</v>
      </c>
      <c r="G2051" s="24">
        <v>0.91284718300205769</v>
      </c>
      <c r="H2051" s="24">
        <v>0.91813233518091741</v>
      </c>
      <c r="I2051" s="25">
        <v>0.93418921662034049</v>
      </c>
      <c r="L2051" s="15">
        <v>2049</v>
      </c>
      <c r="M2051" s="16">
        <v>1</v>
      </c>
      <c r="N2051" s="16">
        <v>3</v>
      </c>
      <c r="O2051" s="16">
        <v>13</v>
      </c>
      <c r="P2051" s="16">
        <v>233</v>
      </c>
      <c r="Q2051" s="29">
        <v>27</v>
      </c>
      <c r="R2051" s="20">
        <v>0.49930000000000002</v>
      </c>
      <c r="S2051" s="32">
        <v>13.481100000000001</v>
      </c>
      <c r="T2051" s="35">
        <v>0.79</v>
      </c>
      <c r="U2051" s="35">
        <v>0.36</v>
      </c>
      <c r="V2051" s="35">
        <v>2.9259259259259259E-2</v>
      </c>
      <c r="W2051" s="9" t="s">
        <v>152</v>
      </c>
      <c r="X2051" s="15">
        <v>2050</v>
      </c>
      <c r="Y2051" s="39">
        <v>0.47128502646522252</v>
      </c>
      <c r="Z2051" s="39">
        <v>0.49209615799537176</v>
      </c>
      <c r="AA2051" s="39">
        <v>0.49881624954212062</v>
      </c>
      <c r="AB2051" s="39">
        <v>0.48967774684996779</v>
      </c>
      <c r="AC2051" s="39">
        <v>0.46435261594766825</v>
      </c>
      <c r="AD2051" s="39">
        <v>0.48336581729844008</v>
      </c>
      <c r="AE2051" s="39">
        <v>0.49130403105411596</v>
      </c>
      <c r="AF2051" s="40">
        <v>0.48378741683566001</v>
      </c>
    </row>
    <row r="2052" spans="1:32">
      <c r="A2052" s="15">
        <v>2050</v>
      </c>
      <c r="B2052" s="16">
        <v>1</v>
      </c>
      <c r="C2052" s="20">
        <v>0.02</v>
      </c>
      <c r="D2052" s="20">
        <v>0.99835916395484214</v>
      </c>
      <c r="E2052" s="20">
        <v>1</v>
      </c>
      <c r="F2052" s="8" t="s">
        <v>436</v>
      </c>
      <c r="G2052" s="24">
        <v>1.097994638230485</v>
      </c>
      <c r="H2052" s="24">
        <v>1.1043517469149153</v>
      </c>
      <c r="I2052" s="25">
        <v>1.1236653517060355</v>
      </c>
      <c r="L2052" s="15">
        <v>2050</v>
      </c>
      <c r="M2052" s="16">
        <v>1</v>
      </c>
      <c r="N2052" s="16">
        <v>3</v>
      </c>
      <c r="O2052" s="16">
        <v>13</v>
      </c>
      <c r="P2052" s="16">
        <v>234</v>
      </c>
      <c r="Q2052" s="29">
        <v>33</v>
      </c>
      <c r="R2052" s="20">
        <v>0.49930000000000002</v>
      </c>
      <c r="S2052" s="32">
        <v>16.476900000000001</v>
      </c>
      <c r="T2052" s="35">
        <v>2.0100000000000002</v>
      </c>
      <c r="U2052" s="35">
        <v>1.5</v>
      </c>
      <c r="V2052" s="35">
        <v>6.0909090909090913E-2</v>
      </c>
      <c r="W2052" s="9" t="s">
        <v>154</v>
      </c>
      <c r="X2052" s="15">
        <v>2051</v>
      </c>
      <c r="Y2052" s="39">
        <v>0.4993563625175515</v>
      </c>
      <c r="Z2052" s="39">
        <v>0.4863242548060332</v>
      </c>
      <c r="AA2052" s="39">
        <v>0.49765503555346968</v>
      </c>
      <c r="AB2052" s="39">
        <v>0.48891318492889191</v>
      </c>
      <c r="AC2052" s="39">
        <v>0.49154232909010581</v>
      </c>
      <c r="AD2052" s="39">
        <v>0.47760305427058275</v>
      </c>
      <c r="AE2052" s="39">
        <v>0.49114502741600063</v>
      </c>
      <c r="AF2052" s="40">
        <v>0.4840194422377404</v>
      </c>
    </row>
    <row r="2053" spans="1:32">
      <c r="A2053" s="15">
        <v>2051</v>
      </c>
      <c r="B2053" s="16">
        <v>0</v>
      </c>
      <c r="C2053" s="20">
        <v>0.02</v>
      </c>
      <c r="D2053" s="20">
        <v>0.99835916395484214</v>
      </c>
      <c r="E2053" s="20">
        <v>1</v>
      </c>
      <c r="F2053" s="8" t="s">
        <v>436</v>
      </c>
      <c r="G2053" s="24">
        <v>1.1446781330715221</v>
      </c>
      <c r="H2053" s="24">
        <v>1.1513055272747887</v>
      </c>
      <c r="I2053" s="25">
        <v>1.1714402896000486</v>
      </c>
      <c r="L2053" s="15">
        <v>2051</v>
      </c>
      <c r="M2053" s="16">
        <v>1</v>
      </c>
      <c r="N2053" s="16">
        <v>3</v>
      </c>
      <c r="O2053" s="16">
        <v>13</v>
      </c>
      <c r="P2053" s="16">
        <v>235</v>
      </c>
      <c r="Q2053" s="29">
        <v>31</v>
      </c>
      <c r="R2053" s="20">
        <v>0.49930000000000002</v>
      </c>
      <c r="S2053" s="32">
        <v>15.478300000000001</v>
      </c>
      <c r="T2053" s="35">
        <v>0.63</v>
      </c>
      <c r="U2053" s="35">
        <v>0.22</v>
      </c>
      <c r="V2053" s="35">
        <v>2.0322580645161289E-2</v>
      </c>
      <c r="W2053" s="9" t="s">
        <v>152</v>
      </c>
      <c r="X2053" s="15">
        <v>2052</v>
      </c>
      <c r="Y2053" s="39">
        <v>0.48629696274487716</v>
      </c>
      <c r="Z2053" s="39">
        <v>0.49098301371470282</v>
      </c>
      <c r="AA2053" s="39">
        <v>0.49674189094316379</v>
      </c>
      <c r="AB2053" s="39">
        <v>0.49957022539356821</v>
      </c>
      <c r="AC2053" s="39">
        <v>0.47843949398078794</v>
      </c>
      <c r="AD2053" s="39">
        <v>0.48629513875808322</v>
      </c>
      <c r="AE2053" s="39">
        <v>0.48855998745801577</v>
      </c>
      <c r="AF2053" s="40">
        <v>0.49441245424582358</v>
      </c>
    </row>
    <row r="2054" spans="1:32">
      <c r="A2054" s="15">
        <v>2052</v>
      </c>
      <c r="B2054" s="16">
        <v>0</v>
      </c>
      <c r="C2054" s="20">
        <v>0.02</v>
      </c>
      <c r="D2054" s="20">
        <v>0.99756714174924133</v>
      </c>
      <c r="E2054" s="20">
        <v>1</v>
      </c>
      <c r="F2054" s="8" t="s">
        <v>436</v>
      </c>
      <c r="G2054" s="24">
        <v>1.1212798642925719</v>
      </c>
      <c r="H2054" s="24">
        <v>1.1277717884921825</v>
      </c>
      <c r="I2054" s="25">
        <v>1.1474949778459012</v>
      </c>
      <c r="L2054" s="15">
        <v>2052</v>
      </c>
      <c r="M2054" s="16">
        <v>1</v>
      </c>
      <c r="N2054" s="16">
        <v>3</v>
      </c>
      <c r="O2054" s="16">
        <v>13</v>
      </c>
      <c r="P2054" s="16">
        <v>236</v>
      </c>
      <c r="Q2054" s="29">
        <v>32</v>
      </c>
      <c r="R2054" s="20">
        <v>0.49930000000000002</v>
      </c>
      <c r="S2054" s="32">
        <v>15.977600000000001</v>
      </c>
      <c r="T2054" s="35">
        <v>1.4400000000000002</v>
      </c>
      <c r="U2054" s="35">
        <v>1.02</v>
      </c>
      <c r="V2054" s="35">
        <v>4.5000000000000005E-2</v>
      </c>
      <c r="W2054" s="9" t="s">
        <v>153</v>
      </c>
      <c r="X2054" s="15">
        <v>2053</v>
      </c>
      <c r="Y2054" s="39">
        <v>0.47737722302508506</v>
      </c>
      <c r="Z2054" s="39">
        <v>0.48458319048021803</v>
      </c>
      <c r="AA2054" s="39">
        <v>0.47461779705934798</v>
      </c>
      <c r="AB2054" s="39">
        <v>0.47800570055708069</v>
      </c>
      <c r="AC2054" s="39">
        <v>0.47034551908945238</v>
      </c>
      <c r="AD2054" s="39">
        <v>0.47895995970436628</v>
      </c>
      <c r="AE2054" s="39">
        <v>0.46901809549421297</v>
      </c>
      <c r="AF2054" s="40">
        <v>0.4723759594327821</v>
      </c>
    </row>
    <row r="2055" spans="1:32">
      <c r="A2055" s="15">
        <v>2053</v>
      </c>
      <c r="B2055" s="16">
        <v>0</v>
      </c>
      <c r="C2055" s="20">
        <v>0.02</v>
      </c>
      <c r="D2055" s="20">
        <v>0.99917029198757767</v>
      </c>
      <c r="E2055" s="20">
        <v>1</v>
      </c>
      <c r="F2055" s="8" t="s">
        <v>436</v>
      </c>
      <c r="G2055" s="24">
        <v>1.1322574366552609</v>
      </c>
      <c r="H2055" s="24">
        <v>1.1388129181967481</v>
      </c>
      <c r="I2055" s="25">
        <v>1.1587292018396345</v>
      </c>
      <c r="L2055" s="15">
        <v>2053</v>
      </c>
      <c r="M2055" s="16">
        <v>1</v>
      </c>
      <c r="N2055" s="16">
        <v>3</v>
      </c>
      <c r="O2055" s="16">
        <v>13</v>
      </c>
      <c r="P2055" s="16">
        <v>237</v>
      </c>
      <c r="Q2055" s="29">
        <v>28</v>
      </c>
      <c r="R2055" s="20">
        <v>0.49930000000000002</v>
      </c>
      <c r="S2055" s="32">
        <v>13.980400000000001</v>
      </c>
      <c r="T2055" s="35">
        <v>1.2</v>
      </c>
      <c r="U2055" s="35">
        <v>0.85</v>
      </c>
      <c r="V2055" s="35">
        <v>4.2857142857142858E-2</v>
      </c>
      <c r="W2055" s="9" t="s">
        <v>153</v>
      </c>
      <c r="X2055" s="15">
        <v>2054</v>
      </c>
      <c r="Y2055" s="39">
        <v>0.47942382719269955</v>
      </c>
      <c r="Z2055" s="39">
        <v>0.49794128643709745</v>
      </c>
      <c r="AA2055" s="39">
        <v>0.50083274902613384</v>
      </c>
      <c r="AB2055" s="39">
        <v>0.49016052142426592</v>
      </c>
      <c r="AC2055" s="39">
        <v>0.47366687569704086</v>
      </c>
      <c r="AD2055" s="39">
        <v>0.49263243454610184</v>
      </c>
      <c r="AE2055" s="39">
        <v>0.49115235877488572</v>
      </c>
      <c r="AF2055" s="40">
        <v>0.48373824176922248</v>
      </c>
    </row>
    <row r="2056" spans="1:32">
      <c r="A2056" s="15">
        <v>2054</v>
      </c>
      <c r="B2056" s="16">
        <v>1</v>
      </c>
      <c r="C2056" s="20">
        <v>0.94</v>
      </c>
      <c r="D2056" s="20">
        <v>0.17188516685452584</v>
      </c>
      <c r="E2056" s="20">
        <v>0.06</v>
      </c>
      <c r="F2056" s="8" t="s">
        <v>434</v>
      </c>
      <c r="G2056" s="24">
        <v>0.91832478001120577</v>
      </c>
      <c r="H2056" s="24">
        <v>0.92364164607855292</v>
      </c>
      <c r="I2056" s="25">
        <v>0.93979487784625293</v>
      </c>
      <c r="L2056" s="15">
        <v>2054</v>
      </c>
      <c r="M2056" s="16">
        <v>1</v>
      </c>
      <c r="N2056" s="16">
        <v>3</v>
      </c>
      <c r="O2056" s="16">
        <v>13</v>
      </c>
      <c r="P2056" s="16">
        <v>238</v>
      </c>
      <c r="Q2056" s="29">
        <v>29</v>
      </c>
      <c r="R2056" s="20">
        <v>0.49930000000000002</v>
      </c>
      <c r="S2056" s="32">
        <v>14.479700000000001</v>
      </c>
      <c r="T2056" s="35">
        <v>2.39</v>
      </c>
      <c r="U2056" s="35">
        <v>2.0699999999999998</v>
      </c>
      <c r="V2056" s="35">
        <v>8.2413793103448277E-2</v>
      </c>
      <c r="W2056" s="9" t="s">
        <v>154</v>
      </c>
      <c r="X2056" s="15">
        <v>2055</v>
      </c>
      <c r="Y2056" s="39">
        <v>0.47104812305462002</v>
      </c>
      <c r="Z2056" s="39">
        <v>0.49728321023372557</v>
      </c>
      <c r="AA2056" s="39">
        <v>0.4750560141130632</v>
      </c>
      <c r="AB2056" s="39">
        <v>0.49898627236381493</v>
      </c>
      <c r="AC2056" s="39">
        <v>0.46472486998131052</v>
      </c>
      <c r="AD2056" s="39">
        <v>0.48807822446095794</v>
      </c>
      <c r="AE2056" s="39">
        <v>0.46963727541155276</v>
      </c>
      <c r="AF2056" s="40">
        <v>0.49423547892817049</v>
      </c>
    </row>
    <row r="2057" spans="1:32">
      <c r="A2057" s="15">
        <v>2055</v>
      </c>
      <c r="B2057" s="16">
        <v>0</v>
      </c>
      <c r="C2057" s="20">
        <v>0.18</v>
      </c>
      <c r="D2057" s="20">
        <v>0.85941396816626259</v>
      </c>
      <c r="E2057" s="20">
        <v>0.04</v>
      </c>
      <c r="F2057" s="8" t="s">
        <v>436</v>
      </c>
      <c r="G2057" s="24">
        <v>0.74212241305019466</v>
      </c>
      <c r="H2057" s="24">
        <v>0.74641911238974235</v>
      </c>
      <c r="I2057" s="25">
        <v>0.75947296392346464</v>
      </c>
      <c r="L2057" s="15">
        <v>2055</v>
      </c>
      <c r="M2057" s="16">
        <v>1</v>
      </c>
      <c r="N2057" s="16">
        <v>3</v>
      </c>
      <c r="O2057" s="16">
        <v>13</v>
      </c>
      <c r="P2057" s="16">
        <v>239</v>
      </c>
      <c r="Q2057" s="29">
        <v>30</v>
      </c>
      <c r="R2057" s="20">
        <v>0.49930000000000002</v>
      </c>
      <c r="S2057" s="32">
        <v>14.979000000000001</v>
      </c>
      <c r="T2057" s="35">
        <v>0.61</v>
      </c>
      <c r="U2057" s="35">
        <v>0.11</v>
      </c>
      <c r="V2057" s="35">
        <v>2.0333333333333332E-2</v>
      </c>
      <c r="W2057" s="9" t="s">
        <v>152</v>
      </c>
      <c r="X2057" s="15">
        <v>2056</v>
      </c>
      <c r="Y2057" s="39">
        <v>0.50207917123957213</v>
      </c>
      <c r="Z2057" s="39">
        <v>0.50980328431362343</v>
      </c>
      <c r="AA2057" s="39">
        <v>0.48088038290357804</v>
      </c>
      <c r="AB2057" s="39">
        <v>0.49600678803994769</v>
      </c>
      <c r="AC2057" s="39">
        <v>0.495577391473488</v>
      </c>
      <c r="AD2057" s="39">
        <v>0.50269209792692204</v>
      </c>
      <c r="AE2057" s="39">
        <v>0.47650194151971947</v>
      </c>
      <c r="AF2057" s="40">
        <v>0.4889524986641387</v>
      </c>
    </row>
    <row r="2058" spans="1:32">
      <c r="A2058" s="15">
        <v>2056</v>
      </c>
      <c r="B2058" s="16">
        <v>1</v>
      </c>
      <c r="C2058" s="20">
        <v>0.55000000000000004</v>
      </c>
      <c r="D2058" s="20">
        <v>0.55687415241609073</v>
      </c>
      <c r="E2058" s="20">
        <v>7.0000000000000007E-2</v>
      </c>
      <c r="F2058" s="8" t="s">
        <v>438</v>
      </c>
      <c r="G2058" s="24">
        <v>0.63734831014253479</v>
      </c>
      <c r="H2058" s="24">
        <v>0.64103839417058051</v>
      </c>
      <c r="I2058" s="25">
        <v>0.65224928077037214</v>
      </c>
      <c r="L2058" s="15">
        <v>2056</v>
      </c>
      <c r="M2058" s="16">
        <v>1</v>
      </c>
      <c r="N2058" s="16">
        <v>3</v>
      </c>
      <c r="O2058" s="16">
        <v>13</v>
      </c>
      <c r="P2058" s="16">
        <v>240</v>
      </c>
      <c r="Q2058" s="29">
        <v>31</v>
      </c>
      <c r="R2058" s="20">
        <v>0.49930000000000002</v>
      </c>
      <c r="S2058" s="32">
        <v>15.478300000000001</v>
      </c>
      <c r="T2058" s="35">
        <v>1.05</v>
      </c>
      <c r="U2058" s="35">
        <v>0.68</v>
      </c>
      <c r="V2058" s="35">
        <v>3.3870967741935487E-2</v>
      </c>
      <c r="W2058" s="9" t="s">
        <v>153</v>
      </c>
      <c r="X2058" s="15">
        <v>2057</v>
      </c>
      <c r="Y2058" s="39">
        <v>0.48216044229374694</v>
      </c>
      <c r="Z2058" s="39">
        <v>0.48872916439880315</v>
      </c>
      <c r="AA2058" s="39">
        <v>0.46596413447319718</v>
      </c>
      <c r="AB2058" s="39">
        <v>0.49347038522605352</v>
      </c>
      <c r="AC2058" s="39">
        <v>0.4740410461313781</v>
      </c>
      <c r="AD2058" s="39">
        <v>0.48405689398481727</v>
      </c>
      <c r="AE2058" s="39">
        <v>0.46088430387197243</v>
      </c>
      <c r="AF2058" s="40">
        <v>0.48849247206023017</v>
      </c>
    </row>
    <row r="2059" spans="1:32">
      <c r="A2059" s="15">
        <v>2057</v>
      </c>
      <c r="B2059" s="16">
        <v>1</v>
      </c>
      <c r="C2059" s="20">
        <v>0.06</v>
      </c>
      <c r="D2059" s="20">
        <v>0.95304693381290317</v>
      </c>
      <c r="E2059" s="20">
        <v>0.43</v>
      </c>
      <c r="F2059" s="8" t="s">
        <v>436</v>
      </c>
      <c r="G2059" s="24">
        <v>1.0661780522790401</v>
      </c>
      <c r="H2059" s="24">
        <v>1.0723509510522209</v>
      </c>
      <c r="I2059" s="25">
        <v>1.0911049055996394</v>
      </c>
      <c r="L2059" s="15">
        <v>2057</v>
      </c>
      <c r="M2059" s="16">
        <v>1</v>
      </c>
      <c r="N2059" s="16">
        <v>3</v>
      </c>
      <c r="O2059" s="16">
        <v>13</v>
      </c>
      <c r="P2059" s="16">
        <v>241</v>
      </c>
      <c r="Q2059" s="29">
        <v>28</v>
      </c>
      <c r="R2059" s="20">
        <v>0.49930000000000002</v>
      </c>
      <c r="S2059" s="32">
        <v>13.980400000000001</v>
      </c>
      <c r="T2059" s="35">
        <v>1.84</v>
      </c>
      <c r="U2059" s="35">
        <v>1.37</v>
      </c>
      <c r="V2059" s="35">
        <v>6.5714285714285711E-2</v>
      </c>
      <c r="W2059" s="9" t="s">
        <v>153</v>
      </c>
      <c r="X2059" s="15">
        <v>2058</v>
      </c>
      <c r="Y2059" s="39">
        <v>0.48544897494173095</v>
      </c>
      <c r="Z2059" s="39">
        <v>0.49315185309412674</v>
      </c>
      <c r="AA2059" s="39">
        <v>0.47039396392800115</v>
      </c>
      <c r="AB2059" s="39">
        <v>0.48245667393585967</v>
      </c>
      <c r="AC2059" s="39">
        <v>0.47804566108776048</v>
      </c>
      <c r="AD2059" s="39">
        <v>0.48554394209136903</v>
      </c>
      <c r="AE2059" s="39">
        <v>0.46171908199393907</v>
      </c>
      <c r="AF2059" s="40">
        <v>0.47460825006563367</v>
      </c>
    </row>
    <row r="2060" spans="1:32">
      <c r="A2060" s="15">
        <v>2058</v>
      </c>
      <c r="B2060" s="16">
        <v>0</v>
      </c>
      <c r="C2060" s="20">
        <v>0.11</v>
      </c>
      <c r="D2060" s="20">
        <v>0.91562770313146513</v>
      </c>
      <c r="E2060" s="20">
        <v>0.55000000000000004</v>
      </c>
      <c r="F2060" s="8" t="s">
        <v>436</v>
      </c>
      <c r="G2060" s="24">
        <v>0.96052995936422192</v>
      </c>
      <c r="H2060" s="24">
        <v>0.96609118264685145</v>
      </c>
      <c r="I2060" s="25">
        <v>0.98298679887234452</v>
      </c>
      <c r="L2060" s="15">
        <v>2058</v>
      </c>
      <c r="M2060" s="16">
        <v>1</v>
      </c>
      <c r="N2060" s="16">
        <v>3</v>
      </c>
      <c r="O2060" s="16">
        <v>13</v>
      </c>
      <c r="P2060" s="16">
        <v>242</v>
      </c>
      <c r="Q2060" s="29">
        <v>33</v>
      </c>
      <c r="R2060" s="20">
        <v>0.49930000000000002</v>
      </c>
      <c r="S2060" s="32">
        <v>16.476900000000001</v>
      </c>
      <c r="T2060" s="35">
        <v>1.91</v>
      </c>
      <c r="U2060" s="35">
        <v>1.43</v>
      </c>
      <c r="V2060" s="35">
        <v>5.7878787878787877E-2</v>
      </c>
      <c r="W2060" s="9" t="s">
        <v>153</v>
      </c>
      <c r="X2060" s="15">
        <v>2059</v>
      </c>
      <c r="Y2060" s="39">
        <v>0.49244343205747426</v>
      </c>
      <c r="Z2060" s="39">
        <v>0.49963604113385068</v>
      </c>
      <c r="AA2060" s="39">
        <v>0.49669467523268102</v>
      </c>
      <c r="AB2060" s="39">
        <v>0.47532329017308705</v>
      </c>
      <c r="AC2060" s="39">
        <v>0.48735939556679747</v>
      </c>
      <c r="AD2060" s="39">
        <v>0.49095538015752416</v>
      </c>
      <c r="AE2060" s="39">
        <v>0.48909465934037749</v>
      </c>
      <c r="AF2060" s="40">
        <v>0.4728486675783673</v>
      </c>
    </row>
    <row r="2061" spans="1:32">
      <c r="A2061" s="15">
        <v>2059</v>
      </c>
      <c r="B2061" s="16">
        <v>1</v>
      </c>
      <c r="C2061" s="20">
        <v>0.5</v>
      </c>
      <c r="D2061" s="20">
        <v>0.46982624666944028</v>
      </c>
      <c r="E2061" s="20">
        <v>0.09</v>
      </c>
      <c r="F2061" s="8" t="s">
        <v>438</v>
      </c>
      <c r="G2061" s="24">
        <v>0.7567445315436655</v>
      </c>
      <c r="H2061" s="24">
        <v>0.76112588921689084</v>
      </c>
      <c r="I2061" s="25">
        <v>0.77443694220493631</v>
      </c>
      <c r="L2061" s="15">
        <v>2059</v>
      </c>
      <c r="M2061" s="16">
        <v>1</v>
      </c>
      <c r="N2061" s="16">
        <v>3</v>
      </c>
      <c r="O2061" s="16">
        <v>13</v>
      </c>
      <c r="P2061" s="16">
        <v>243</v>
      </c>
      <c r="Q2061" s="29">
        <v>31</v>
      </c>
      <c r="R2061" s="20">
        <v>0.49930000000000002</v>
      </c>
      <c r="S2061" s="32">
        <v>15.478300000000001</v>
      </c>
      <c r="T2061" s="35">
        <v>1.87</v>
      </c>
      <c r="U2061" s="35">
        <v>1.33</v>
      </c>
      <c r="V2061" s="35">
        <v>6.0322580645161293E-2</v>
      </c>
      <c r="W2061" s="9" t="s">
        <v>153</v>
      </c>
      <c r="X2061" s="15">
        <v>2060</v>
      </c>
      <c r="Y2061" s="39">
        <v>0.49214197070760352</v>
      </c>
      <c r="Z2061" s="39">
        <v>0.49822816329237418</v>
      </c>
      <c r="AA2061" s="39">
        <v>0.49451079281421711</v>
      </c>
      <c r="AB2061" s="39">
        <v>0.48503580649987521</v>
      </c>
      <c r="AC2061" s="39">
        <v>0.48841283134280272</v>
      </c>
      <c r="AD2061" s="39">
        <v>0.49394176652182942</v>
      </c>
      <c r="AE2061" s="39">
        <v>0.48665672503796087</v>
      </c>
      <c r="AF2061" s="40">
        <v>0.48312140672347648</v>
      </c>
    </row>
    <row r="2062" spans="1:32">
      <c r="A2062" s="15">
        <v>2060</v>
      </c>
      <c r="B2062" s="16">
        <v>1</v>
      </c>
      <c r="C2062" s="20">
        <v>0.19</v>
      </c>
      <c r="D2062" s="20">
        <v>0.89704580905465015</v>
      </c>
      <c r="E2062" s="20">
        <v>0.06</v>
      </c>
      <c r="F2062" s="8" t="s">
        <v>436</v>
      </c>
      <c r="G2062" s="24">
        <v>0.82270945285608965</v>
      </c>
      <c r="H2062" s="24">
        <v>0.82747273058569959</v>
      </c>
      <c r="I2062" s="25">
        <v>0.84194409927652358</v>
      </c>
      <c r="L2062" s="15">
        <v>2060</v>
      </c>
      <c r="M2062" s="16">
        <v>1</v>
      </c>
      <c r="N2062" s="16">
        <v>3</v>
      </c>
      <c r="O2062" s="16">
        <v>13</v>
      </c>
      <c r="P2062" s="16">
        <v>244</v>
      </c>
      <c r="Q2062" s="29">
        <v>35</v>
      </c>
      <c r="R2062" s="20">
        <v>0.49930000000000002</v>
      </c>
      <c r="S2062" s="32">
        <v>17.4755</v>
      </c>
      <c r="T2062" s="35">
        <v>1</v>
      </c>
      <c r="U2062" s="35">
        <v>0.53</v>
      </c>
      <c r="V2062" s="35">
        <v>2.8571428571428571E-2</v>
      </c>
      <c r="W2062" s="9" t="s">
        <v>153</v>
      </c>
      <c r="X2062" s="15">
        <v>2061</v>
      </c>
      <c r="Y2062" s="39">
        <v>0.49223301210275783</v>
      </c>
      <c r="Z2062" s="39">
        <v>0.48108253381439997</v>
      </c>
      <c r="AA2062" s="39">
        <v>0.49333378293983565</v>
      </c>
      <c r="AB2062" s="39">
        <v>0.49017280466201979</v>
      </c>
      <c r="AC2062" s="39">
        <v>0.48253748454351492</v>
      </c>
      <c r="AD2062" s="39">
        <v>0.47368627632913823</v>
      </c>
      <c r="AE2062" s="39">
        <v>0.48534518731323151</v>
      </c>
      <c r="AF2062" s="40">
        <v>0.48625680157481826</v>
      </c>
    </row>
    <row r="2063" spans="1:32">
      <c r="A2063" s="15">
        <v>2061</v>
      </c>
      <c r="B2063" s="16">
        <v>0</v>
      </c>
      <c r="C2063" s="20">
        <v>0.02</v>
      </c>
      <c r="D2063" s="20">
        <v>0.99917029198757767</v>
      </c>
      <c r="E2063" s="20">
        <v>1</v>
      </c>
      <c r="F2063" s="8" t="s">
        <v>436</v>
      </c>
      <c r="G2063" s="24">
        <v>1.0740647733195574</v>
      </c>
      <c r="H2063" s="24">
        <v>1.0802833341944214</v>
      </c>
      <c r="I2063" s="25">
        <v>1.0991760152965704</v>
      </c>
      <c r="L2063" s="15">
        <v>2061</v>
      </c>
      <c r="M2063" s="16">
        <v>1</v>
      </c>
      <c r="N2063" s="16">
        <v>3</v>
      </c>
      <c r="O2063" s="16">
        <v>13</v>
      </c>
      <c r="P2063" s="16">
        <v>245</v>
      </c>
      <c r="Q2063" s="29">
        <v>26</v>
      </c>
      <c r="R2063" s="20">
        <v>0.49930000000000002</v>
      </c>
      <c r="S2063" s="32">
        <v>12.9818</v>
      </c>
      <c r="T2063" s="35">
        <v>1.52</v>
      </c>
      <c r="U2063" s="35">
        <v>1.1299999999999999</v>
      </c>
      <c r="V2063" s="35">
        <v>5.8461538461538461E-2</v>
      </c>
      <c r="W2063" s="9" t="s">
        <v>153</v>
      </c>
      <c r="X2063" s="15">
        <v>2062</v>
      </c>
      <c r="Y2063" s="39">
        <v>0.47432541287004798</v>
      </c>
      <c r="Z2063" s="39">
        <v>0.49358404977484238</v>
      </c>
      <c r="AA2063" s="39">
        <v>0.47615966969783052</v>
      </c>
      <c r="AB2063" s="39">
        <v>0.47999031509378248</v>
      </c>
      <c r="AC2063" s="39">
        <v>0.46871230619207532</v>
      </c>
      <c r="AD2063" s="39">
        <v>0.48529186162336518</v>
      </c>
      <c r="AE2063" s="39">
        <v>0.46998396126760328</v>
      </c>
      <c r="AF2063" s="40">
        <v>0.47506255605319148</v>
      </c>
    </row>
    <row r="2064" spans="1:32">
      <c r="A2064" s="15">
        <v>2062</v>
      </c>
      <c r="B2064" s="16">
        <v>1</v>
      </c>
      <c r="C2064" s="20">
        <v>0.02</v>
      </c>
      <c r="D2064" s="20">
        <v>0.99756714174924133</v>
      </c>
      <c r="E2064" s="20">
        <v>1</v>
      </c>
      <c r="F2064" s="8" t="s">
        <v>436</v>
      </c>
      <c r="G2064" s="24">
        <v>1.0846463921957636</v>
      </c>
      <c r="H2064" s="24">
        <v>1.0909262179428876</v>
      </c>
      <c r="I2064" s="25">
        <v>1.1100050285559735</v>
      </c>
      <c r="L2064" s="15">
        <v>2062</v>
      </c>
      <c r="M2064" s="16">
        <v>1</v>
      </c>
      <c r="N2064" s="16">
        <v>3</v>
      </c>
      <c r="O2064" s="16">
        <v>13</v>
      </c>
      <c r="P2064" s="16">
        <v>246</v>
      </c>
      <c r="Q2064" s="29">
        <v>40</v>
      </c>
      <c r="R2064" s="20">
        <v>0.49930000000000002</v>
      </c>
      <c r="S2064" s="32">
        <v>19.972000000000001</v>
      </c>
      <c r="T2064" s="35">
        <v>1.96</v>
      </c>
      <c r="U2064" s="35">
        <v>1.53</v>
      </c>
      <c r="V2064" s="35">
        <v>4.9000000000000002E-2</v>
      </c>
      <c r="W2064" s="9" t="s">
        <v>153</v>
      </c>
      <c r="X2064" s="15">
        <v>2063</v>
      </c>
      <c r="Y2064" s="39">
        <v>0.4776522641013396</v>
      </c>
      <c r="Z2064" s="39">
        <v>0.48545076182373048</v>
      </c>
      <c r="AA2064" s="39">
        <v>0.47548352510007802</v>
      </c>
      <c r="AB2064" s="39">
        <v>0.48705240773640729</v>
      </c>
      <c r="AC2064" s="39">
        <v>0.4721478255312378</v>
      </c>
      <c r="AD2064" s="39">
        <v>0.4770597870745974</v>
      </c>
      <c r="AE2064" s="39">
        <v>0.46668725750335377</v>
      </c>
      <c r="AF2064" s="40">
        <v>0.48504651557471884</v>
      </c>
    </row>
    <row r="2065" spans="1:32">
      <c r="A2065" s="15">
        <v>2063</v>
      </c>
      <c r="B2065" s="16">
        <v>0</v>
      </c>
      <c r="C2065" s="20">
        <v>0.02</v>
      </c>
      <c r="D2065" s="20">
        <v>0.99679477127711513</v>
      </c>
      <c r="E2065" s="20">
        <v>1</v>
      </c>
      <c r="F2065" s="8" t="s">
        <v>436</v>
      </c>
      <c r="G2065" s="24">
        <v>1.0218005198165374</v>
      </c>
      <c r="H2065" s="24">
        <v>1.0277164840044404</v>
      </c>
      <c r="I2065" s="25">
        <v>1.0456898426420582</v>
      </c>
      <c r="L2065" s="15">
        <v>2063</v>
      </c>
      <c r="M2065" s="16">
        <v>1</v>
      </c>
      <c r="N2065" s="16">
        <v>3</v>
      </c>
      <c r="O2065" s="16">
        <v>14</v>
      </c>
      <c r="P2065" s="16">
        <v>247</v>
      </c>
      <c r="Q2065" s="29">
        <v>44</v>
      </c>
      <c r="R2065" s="20">
        <v>0.49930000000000002</v>
      </c>
      <c r="S2065" s="32">
        <v>21.969200000000001</v>
      </c>
      <c r="T2065" s="35">
        <v>0.66</v>
      </c>
      <c r="U2065" s="35">
        <v>7.0000000000000007E-2</v>
      </c>
      <c r="V2065" s="35">
        <v>1.5000000000000001E-2</v>
      </c>
      <c r="W2065" s="9" t="s">
        <v>152</v>
      </c>
      <c r="X2065" s="15">
        <v>2064</v>
      </c>
      <c r="Y2065" s="39">
        <v>0.48184615061975417</v>
      </c>
      <c r="Z2065" s="39">
        <v>0.46643878115976778</v>
      </c>
      <c r="AA2065" s="39">
        <v>0.50327225765935613</v>
      </c>
      <c r="AB2065" s="39">
        <v>0.48368537762217978</v>
      </c>
      <c r="AC2065" s="39">
        <v>0.4741860718845502</v>
      </c>
      <c r="AD2065" s="39">
        <v>0.46051773973901161</v>
      </c>
      <c r="AE2065" s="39">
        <v>0.49501877146962608</v>
      </c>
      <c r="AF2065" s="40">
        <v>0.47896166007919361</v>
      </c>
    </row>
    <row r="2066" spans="1:32">
      <c r="A2066" s="15">
        <v>2064</v>
      </c>
      <c r="B2066" s="16">
        <v>0</v>
      </c>
      <c r="C2066" s="20">
        <v>0.26</v>
      </c>
      <c r="D2066" s="20">
        <v>0.74242637030777381</v>
      </c>
      <c r="E2066" s="20">
        <v>0.4</v>
      </c>
      <c r="F2066" s="8" t="s">
        <v>436</v>
      </c>
      <c r="G2066" s="24">
        <v>0.77892895127913464</v>
      </c>
      <c r="H2066" s="24">
        <v>0.78343875107989769</v>
      </c>
      <c r="I2066" s="25">
        <v>0.79714002556846131</v>
      </c>
      <c r="L2066" s="15">
        <v>2064</v>
      </c>
      <c r="M2066" s="16">
        <v>1</v>
      </c>
      <c r="N2066" s="16">
        <v>3</v>
      </c>
      <c r="O2066" s="16">
        <v>14</v>
      </c>
      <c r="P2066" s="16">
        <v>248</v>
      </c>
      <c r="Q2066" s="29">
        <v>35</v>
      </c>
      <c r="R2066" s="20">
        <v>0.49930000000000002</v>
      </c>
      <c r="S2066" s="32">
        <v>17.4755</v>
      </c>
      <c r="T2066" s="35">
        <v>0.55000000000000004</v>
      </c>
      <c r="U2066" s="35">
        <v>7.0000000000000007E-2</v>
      </c>
      <c r="V2066" s="35">
        <v>1.5714285714285715E-2</v>
      </c>
      <c r="W2066" s="9" t="s">
        <v>152</v>
      </c>
      <c r="X2066" s="15">
        <v>2065</v>
      </c>
      <c r="Y2066" s="39">
        <v>0.47515289833129559</v>
      </c>
      <c r="Z2066" s="39">
        <v>0.48049327307348144</v>
      </c>
      <c r="AA2066" s="39">
        <v>0.47928285171796065</v>
      </c>
      <c r="AB2066" s="39">
        <v>0.50491834832437077</v>
      </c>
      <c r="AC2066" s="39">
        <v>0.47009876107293402</v>
      </c>
      <c r="AD2066" s="39">
        <v>0.47528120551723635</v>
      </c>
      <c r="AE2066" s="39">
        <v>0.46954166903473021</v>
      </c>
      <c r="AF2066" s="40">
        <v>0.50098605559413079</v>
      </c>
    </row>
    <row r="2067" spans="1:32">
      <c r="A2067" s="15">
        <v>2065</v>
      </c>
      <c r="B2067" s="16">
        <v>0</v>
      </c>
      <c r="C2067" s="20">
        <v>0.19</v>
      </c>
      <c r="D2067" s="20">
        <v>0.87042137222880067</v>
      </c>
      <c r="E2067" s="20">
        <v>0.13</v>
      </c>
      <c r="F2067" s="8" t="s">
        <v>436</v>
      </c>
      <c r="G2067" s="24">
        <v>1.0089353900382416</v>
      </c>
      <c r="H2067" s="24">
        <v>1.014776868408644</v>
      </c>
      <c r="I2067" s="25">
        <v>1.0325239308299843</v>
      </c>
      <c r="L2067" s="15">
        <v>2065</v>
      </c>
      <c r="M2067" s="16">
        <v>1</v>
      </c>
      <c r="N2067" s="16">
        <v>3</v>
      </c>
      <c r="O2067" s="16">
        <v>14</v>
      </c>
      <c r="P2067" s="16">
        <v>249</v>
      </c>
      <c r="Q2067" s="29">
        <v>44</v>
      </c>
      <c r="R2067" s="20">
        <v>0.49930000000000002</v>
      </c>
      <c r="S2067" s="32">
        <v>21.969200000000001</v>
      </c>
      <c r="T2067" s="35">
        <v>1.0900000000000001</v>
      </c>
      <c r="U2067" s="35">
        <v>0.49</v>
      </c>
      <c r="V2067" s="35">
        <v>2.4772727272727276E-2</v>
      </c>
      <c r="W2067" s="9" t="s">
        <v>153</v>
      </c>
      <c r="X2067" s="15">
        <v>2066</v>
      </c>
      <c r="Y2067" s="39">
        <v>0.49169796088937123</v>
      </c>
      <c r="Z2067" s="39">
        <v>0.47690460864891582</v>
      </c>
      <c r="AA2067" s="39">
        <v>0.46073932227363451</v>
      </c>
      <c r="AB2067" s="39">
        <v>0.49484962125206655</v>
      </c>
      <c r="AC2067" s="39">
        <v>0.48436467408265921</v>
      </c>
      <c r="AD2067" s="39">
        <v>0.47235064162573126</v>
      </c>
      <c r="AE2067" s="39">
        <v>0.45649535142452596</v>
      </c>
      <c r="AF2067" s="40">
        <v>0.49070231427252903</v>
      </c>
    </row>
    <row r="2068" spans="1:32">
      <c r="A2068" s="15">
        <v>2066</v>
      </c>
      <c r="B2068" s="16">
        <v>0</v>
      </c>
      <c r="C2068" s="20">
        <v>0.01</v>
      </c>
      <c r="D2068" s="20">
        <v>0.99999999999999978</v>
      </c>
      <c r="E2068" s="20">
        <v>1</v>
      </c>
      <c r="F2068" s="8" t="s">
        <v>436</v>
      </c>
      <c r="G2068" s="24">
        <v>1.0955684053906047</v>
      </c>
      <c r="H2068" s="24">
        <v>1.1019114668062053</v>
      </c>
      <c r="I2068" s="25">
        <v>1.121182394428814</v>
      </c>
      <c r="L2068" s="15">
        <v>2066</v>
      </c>
      <c r="M2068" s="16">
        <v>1</v>
      </c>
      <c r="N2068" s="16">
        <v>3</v>
      </c>
      <c r="O2068" s="16">
        <v>14</v>
      </c>
      <c r="P2068" s="16">
        <v>250</v>
      </c>
      <c r="Q2068" s="29">
        <v>38</v>
      </c>
      <c r="R2068" s="20">
        <v>0.49930000000000002</v>
      </c>
      <c r="S2068" s="32">
        <v>18.973400000000002</v>
      </c>
      <c r="T2068" s="35">
        <v>1.03</v>
      </c>
      <c r="U2068" s="35">
        <v>0.52</v>
      </c>
      <c r="V2068" s="35">
        <v>2.7105263157894736E-2</v>
      </c>
      <c r="W2068" s="9" t="s">
        <v>153</v>
      </c>
      <c r="X2068" s="15">
        <v>2067</v>
      </c>
      <c r="Y2068" s="39">
        <v>0.48671575248788285</v>
      </c>
      <c r="Z2068" s="39">
        <v>0.49826403442120121</v>
      </c>
      <c r="AA2068" s="39">
        <v>0.4851049838711719</v>
      </c>
      <c r="AB2068" s="39">
        <v>0.49661427447143935</v>
      </c>
      <c r="AC2068" s="39">
        <v>0.48208664605440793</v>
      </c>
      <c r="AD2068" s="39">
        <v>0.49504310488366038</v>
      </c>
      <c r="AE2068" s="39">
        <v>0.47494816495170539</v>
      </c>
      <c r="AF2068" s="40">
        <v>0.49260903582670534</v>
      </c>
    </row>
    <row r="2069" spans="1:32">
      <c r="A2069" s="15">
        <v>2067</v>
      </c>
      <c r="B2069" s="16">
        <v>0</v>
      </c>
      <c r="C2069" s="20">
        <v>0.02</v>
      </c>
      <c r="D2069" s="20">
        <v>0.99917029198757767</v>
      </c>
      <c r="E2069" s="20">
        <v>1</v>
      </c>
      <c r="F2069" s="8" t="s">
        <v>436</v>
      </c>
      <c r="G2069" s="24">
        <v>1.0878099921227662</v>
      </c>
      <c r="H2069" s="24">
        <v>1.094108134305936</v>
      </c>
      <c r="I2069" s="25">
        <v>1.1132425922934079</v>
      </c>
      <c r="L2069" s="15">
        <v>2067</v>
      </c>
      <c r="M2069" s="16">
        <v>1</v>
      </c>
      <c r="N2069" s="16">
        <v>3</v>
      </c>
      <c r="O2069" s="16">
        <v>14</v>
      </c>
      <c r="P2069" s="16">
        <v>251</v>
      </c>
      <c r="Q2069" s="29">
        <v>41</v>
      </c>
      <c r="R2069" s="20">
        <v>0.49930000000000002</v>
      </c>
      <c r="S2069" s="32">
        <v>20.471299999999999</v>
      </c>
      <c r="T2069" s="35">
        <v>0.91</v>
      </c>
      <c r="U2069" s="35">
        <v>0.26</v>
      </c>
      <c r="V2069" s="35">
        <v>2.2195121951219515E-2</v>
      </c>
      <c r="W2069" s="9" t="s">
        <v>152</v>
      </c>
      <c r="X2069" s="15">
        <v>2068</v>
      </c>
      <c r="Y2069" s="39">
        <v>0.48581431640133477</v>
      </c>
      <c r="Z2069" s="39">
        <v>0.49380634163204051</v>
      </c>
      <c r="AA2069" s="39">
        <v>0.48316940626230165</v>
      </c>
      <c r="AB2069" s="39">
        <v>0.49572477185217617</v>
      </c>
      <c r="AC2069" s="39">
        <v>0.47969979857851186</v>
      </c>
      <c r="AD2069" s="39">
        <v>0.48671892775195724</v>
      </c>
      <c r="AE2069" s="39">
        <v>0.47682079193708027</v>
      </c>
      <c r="AF2069" s="40">
        <v>0.4916689350755471</v>
      </c>
    </row>
    <row r="2070" spans="1:32">
      <c r="A2070" s="15">
        <v>2068</v>
      </c>
      <c r="B2070" s="16">
        <v>0</v>
      </c>
      <c r="C2070" s="20">
        <v>0.96</v>
      </c>
      <c r="D2070" s="20">
        <v>0.13880369068795359</v>
      </c>
      <c r="E2070" s="20">
        <v>0.04</v>
      </c>
      <c r="F2070" s="8" t="s">
        <v>434</v>
      </c>
      <c r="G2070" s="24">
        <v>0.62394669272351111</v>
      </c>
      <c r="H2070" s="24">
        <v>0.62755918480755857</v>
      </c>
      <c r="I2070" s="25">
        <v>0.6385343384325427</v>
      </c>
      <c r="L2070" s="15">
        <v>2068</v>
      </c>
      <c r="M2070" s="16">
        <v>1</v>
      </c>
      <c r="N2070" s="16">
        <v>3</v>
      </c>
      <c r="O2070" s="16">
        <v>14</v>
      </c>
      <c r="P2070" s="16">
        <v>252</v>
      </c>
      <c r="Q2070" s="29">
        <v>39</v>
      </c>
      <c r="R2070" s="20">
        <v>0.49930000000000002</v>
      </c>
      <c r="S2070" s="32">
        <v>19.4727</v>
      </c>
      <c r="T2070" s="35">
        <v>0.57000000000000006</v>
      </c>
      <c r="U2070" s="35">
        <v>0.04</v>
      </c>
      <c r="V2070" s="35">
        <v>1.4615384615384617E-2</v>
      </c>
      <c r="W2070" s="9" t="s">
        <v>152</v>
      </c>
      <c r="X2070" s="15">
        <v>2069</v>
      </c>
      <c r="Y2070" s="39">
        <v>0.47904059814248806</v>
      </c>
      <c r="Z2070" s="39">
        <v>0.48801328853902376</v>
      </c>
      <c r="AA2070" s="39">
        <v>0.47109205845381186</v>
      </c>
      <c r="AB2070" s="39">
        <v>0.48716757360147411</v>
      </c>
      <c r="AC2070" s="39">
        <v>0.47601331975118077</v>
      </c>
      <c r="AD2070" s="39">
        <v>0.47842093524544504</v>
      </c>
      <c r="AE2070" s="39">
        <v>0.46424584705344163</v>
      </c>
      <c r="AF2070" s="40">
        <v>0.48312395451572127</v>
      </c>
    </row>
    <row r="2071" spans="1:32">
      <c r="A2071" s="15">
        <v>2069</v>
      </c>
      <c r="B2071" s="16">
        <v>0</v>
      </c>
      <c r="C2071" s="20">
        <v>0.16</v>
      </c>
      <c r="D2071" s="20">
        <v>0.78034659334042789</v>
      </c>
      <c r="E2071" s="20">
        <v>0.23</v>
      </c>
      <c r="F2071" s="8" t="s">
        <v>436</v>
      </c>
      <c r="G2071" s="24">
        <v>1.2768316691874111</v>
      </c>
      <c r="H2071" s="24">
        <v>1.2842241986316607</v>
      </c>
      <c r="I2071" s="25">
        <v>1.3066835271063553</v>
      </c>
      <c r="L2071" s="15">
        <v>2069</v>
      </c>
      <c r="M2071" s="16">
        <v>1</v>
      </c>
      <c r="N2071" s="16">
        <v>3</v>
      </c>
      <c r="O2071" s="16">
        <v>14</v>
      </c>
      <c r="P2071" s="16">
        <v>253</v>
      </c>
      <c r="Q2071" s="29">
        <v>37</v>
      </c>
      <c r="R2071" s="20">
        <v>0.49930000000000002</v>
      </c>
      <c r="S2071" s="32">
        <v>18.4741</v>
      </c>
      <c r="T2071" s="35">
        <v>1.03</v>
      </c>
      <c r="U2071" s="35">
        <v>0.47</v>
      </c>
      <c r="V2071" s="35">
        <v>2.7837837837837838E-2</v>
      </c>
      <c r="W2071" s="9" t="s">
        <v>153</v>
      </c>
      <c r="X2071" s="15">
        <v>2070</v>
      </c>
      <c r="Y2071" s="39">
        <v>0.48697312861749359</v>
      </c>
      <c r="Z2071" s="39">
        <v>0.48511480994209111</v>
      </c>
      <c r="AA2071" s="39">
        <v>0.485976995634192</v>
      </c>
      <c r="AB2071" s="39">
        <v>0.48842966435736918</v>
      </c>
      <c r="AC2071" s="39">
        <v>0.47802850235347072</v>
      </c>
      <c r="AD2071" s="39">
        <v>0.47799027090417873</v>
      </c>
      <c r="AE2071" s="39">
        <v>0.47935693252644401</v>
      </c>
      <c r="AF2071" s="40">
        <v>0.48129617418587528</v>
      </c>
    </row>
    <row r="2072" spans="1:32">
      <c r="A2072" s="15">
        <v>2070</v>
      </c>
      <c r="B2072" s="16">
        <v>0</v>
      </c>
      <c r="C2072" s="20">
        <v>0.94</v>
      </c>
      <c r="D2072" s="20">
        <v>0.17188516685452584</v>
      </c>
      <c r="E2072" s="20">
        <v>0.06</v>
      </c>
      <c r="F2072" s="8" t="s">
        <v>434</v>
      </c>
      <c r="G2072" s="24">
        <v>0.93354243112233171</v>
      </c>
      <c r="H2072" s="24">
        <v>0.9389474035051989</v>
      </c>
      <c r="I2072" s="25">
        <v>0.95536831208039497</v>
      </c>
      <c r="L2072" s="15">
        <v>2070</v>
      </c>
      <c r="M2072" s="16">
        <v>1</v>
      </c>
      <c r="N2072" s="16">
        <v>3</v>
      </c>
      <c r="O2072" s="16">
        <v>14</v>
      </c>
      <c r="P2072" s="16">
        <v>254</v>
      </c>
      <c r="Q2072" s="29">
        <v>38</v>
      </c>
      <c r="R2072" s="20">
        <v>0.49930000000000002</v>
      </c>
      <c r="S2072" s="32">
        <v>18.973400000000002</v>
      </c>
      <c r="T2072" s="35">
        <v>0.6</v>
      </c>
      <c r="U2072" s="35">
        <v>0.13</v>
      </c>
      <c r="V2072" s="35">
        <v>1.5789473684210527E-2</v>
      </c>
      <c r="W2072" s="9" t="s">
        <v>152</v>
      </c>
      <c r="X2072" s="15">
        <v>2071</v>
      </c>
      <c r="Y2072" s="39">
        <v>0.49640936928632745</v>
      </c>
      <c r="Z2072" s="39">
        <v>0.50455183312826013</v>
      </c>
      <c r="AA2072" s="39">
        <v>0.4836007233320147</v>
      </c>
      <c r="AB2072" s="39">
        <v>0.49456618667335606</v>
      </c>
      <c r="AC2072" s="39">
        <v>0.49217872483246178</v>
      </c>
      <c r="AD2072" s="39">
        <v>0.49809848518746541</v>
      </c>
      <c r="AE2072" s="39">
        <v>0.47676551492594893</v>
      </c>
      <c r="AF2072" s="40">
        <v>0.48782983573442346</v>
      </c>
    </row>
    <row r="2073" spans="1:32">
      <c r="A2073" s="15">
        <v>2071</v>
      </c>
      <c r="B2073" s="16">
        <v>0</v>
      </c>
      <c r="C2073" s="20">
        <v>0.77</v>
      </c>
      <c r="D2073" s="20">
        <v>0.41594801772667817</v>
      </c>
      <c r="E2073" s="20">
        <v>0.05</v>
      </c>
      <c r="F2073" s="8" t="s">
        <v>438</v>
      </c>
      <c r="G2073" s="24">
        <v>1.7920832076659121</v>
      </c>
      <c r="H2073" s="24">
        <v>1.8024589119963401</v>
      </c>
      <c r="I2073" s="25">
        <v>1.6578926537592125</v>
      </c>
      <c r="L2073" s="15">
        <v>2071</v>
      </c>
      <c r="M2073" s="16">
        <v>1</v>
      </c>
      <c r="N2073" s="16">
        <v>3</v>
      </c>
      <c r="O2073" s="16">
        <v>14</v>
      </c>
      <c r="P2073" s="16">
        <v>255</v>
      </c>
      <c r="Q2073" s="29">
        <v>7</v>
      </c>
      <c r="R2073" s="20">
        <v>0.49930000000000002</v>
      </c>
      <c r="S2073" s="32">
        <v>3.4951000000000003</v>
      </c>
      <c r="T2073" s="35">
        <v>0.08</v>
      </c>
      <c r="U2073" s="35">
        <v>0</v>
      </c>
      <c r="V2073" s="35">
        <v>1.1428571428571429E-2</v>
      </c>
      <c r="W2073" s="9" t="s">
        <v>152</v>
      </c>
      <c r="X2073" s="15">
        <v>2072</v>
      </c>
      <c r="Y2073" s="39">
        <v>0.48446677630822416</v>
      </c>
      <c r="Z2073" s="39">
        <v>0.47966346519978742</v>
      </c>
      <c r="AA2073" s="39">
        <v>0.49478040755482766</v>
      </c>
      <c r="AB2073" s="39">
        <v>0.48184896047217496</v>
      </c>
      <c r="AC2073" s="39">
        <v>0.47733258238834753</v>
      </c>
      <c r="AD2073" s="39">
        <v>0.4746444604747494</v>
      </c>
      <c r="AE2073" s="39">
        <v>0.48585662066057178</v>
      </c>
      <c r="AF2073" s="40">
        <v>0.47570736471190717</v>
      </c>
    </row>
    <row r="2074" spans="1:32">
      <c r="A2074" s="15">
        <v>2072</v>
      </c>
      <c r="B2074" s="16">
        <v>1</v>
      </c>
      <c r="C2074" s="20">
        <v>0.88</v>
      </c>
      <c r="D2074" s="20">
        <v>0.25930874124763043</v>
      </c>
      <c r="E2074" s="20">
        <v>0.12</v>
      </c>
      <c r="F2074" s="8" t="s">
        <v>434</v>
      </c>
      <c r="G2074" s="24">
        <v>0.712579488997795</v>
      </c>
      <c r="H2074" s="24">
        <v>0.71670514234812033</v>
      </c>
      <c r="I2074" s="25">
        <v>0.72923933710060218</v>
      </c>
      <c r="L2074" s="15">
        <v>2072</v>
      </c>
      <c r="M2074" s="16">
        <v>1</v>
      </c>
      <c r="N2074" s="16">
        <v>3</v>
      </c>
      <c r="O2074" s="16">
        <v>15</v>
      </c>
      <c r="P2074" s="16">
        <v>256</v>
      </c>
      <c r="Q2074" s="29">
        <v>4</v>
      </c>
      <c r="R2074" s="20">
        <v>0.49930000000000002</v>
      </c>
      <c r="S2074" s="32">
        <v>1.9972000000000001</v>
      </c>
      <c r="T2074" s="35">
        <v>0.21000000000000002</v>
      </c>
      <c r="U2074" s="35">
        <v>0.08</v>
      </c>
      <c r="V2074" s="35">
        <v>5.2500000000000005E-2</v>
      </c>
      <c r="W2074" s="9" t="s">
        <v>152</v>
      </c>
      <c r="X2074" s="15">
        <v>2073</v>
      </c>
      <c r="Y2074" s="39">
        <v>0.4948296845048884</v>
      </c>
      <c r="Z2074" s="39">
        <v>0.48694453708539193</v>
      </c>
      <c r="AA2074" s="39">
        <v>0.48765778828606043</v>
      </c>
      <c r="AB2074" s="39">
        <v>0.48999048910437959</v>
      </c>
      <c r="AC2074" s="39">
        <v>0.48865126021759231</v>
      </c>
      <c r="AD2074" s="39">
        <v>0.48049780583839841</v>
      </c>
      <c r="AE2074" s="39">
        <v>0.47989035063666668</v>
      </c>
      <c r="AF2074" s="40">
        <v>0.48773150446626884</v>
      </c>
    </row>
    <row r="2075" spans="1:32">
      <c r="A2075" s="15">
        <v>2073</v>
      </c>
      <c r="B2075" s="16">
        <v>0</v>
      </c>
      <c r="C2075" s="20">
        <v>0.02</v>
      </c>
      <c r="D2075" s="20">
        <v>0.99835916395484214</v>
      </c>
      <c r="E2075" s="20">
        <v>1</v>
      </c>
      <c r="F2075" s="8" t="s">
        <v>436</v>
      </c>
      <c r="G2075" s="24">
        <v>1.0243225969696328</v>
      </c>
      <c r="H2075" s="24">
        <v>1.0302531633404741</v>
      </c>
      <c r="I2075" s="25">
        <v>1.04827088503752</v>
      </c>
      <c r="L2075" s="15">
        <v>2073</v>
      </c>
      <c r="M2075" s="16">
        <v>1</v>
      </c>
      <c r="N2075" s="16">
        <v>3</v>
      </c>
      <c r="O2075" s="16">
        <v>16</v>
      </c>
      <c r="P2075" s="16">
        <v>257</v>
      </c>
      <c r="Q2075" s="29">
        <v>35</v>
      </c>
      <c r="R2075" s="20">
        <v>0.49930000000000002</v>
      </c>
      <c r="S2075" s="32">
        <v>17.4755</v>
      </c>
      <c r="T2075" s="35">
        <v>0.77</v>
      </c>
      <c r="U2075" s="35">
        <v>0.21</v>
      </c>
      <c r="V2075" s="35">
        <v>2.2000000000000002E-2</v>
      </c>
      <c r="W2075" s="9" t="s">
        <v>152</v>
      </c>
      <c r="X2075" s="15">
        <v>2074</v>
      </c>
      <c r="Y2075" s="39">
        <v>0.4870219056095953</v>
      </c>
      <c r="Z2075" s="39">
        <v>0.47957673645047</v>
      </c>
      <c r="AA2075" s="39">
        <v>0.48868329510238645</v>
      </c>
      <c r="AB2075" s="39">
        <v>0.49865870751595348</v>
      </c>
      <c r="AC2075" s="39">
        <v>0.47895642685342643</v>
      </c>
      <c r="AD2075" s="39">
        <v>0.47393724450993818</v>
      </c>
      <c r="AE2075" s="39">
        <v>0.4785960419879734</v>
      </c>
      <c r="AF2075" s="40">
        <v>0.49444281262253226</v>
      </c>
    </row>
    <row r="2076" spans="1:32">
      <c r="A2076" s="15">
        <v>2074</v>
      </c>
      <c r="B2076" s="16">
        <v>1</v>
      </c>
      <c r="C2076" s="20">
        <v>0.09</v>
      </c>
      <c r="D2076" s="20">
        <v>0.92142823914191829</v>
      </c>
      <c r="E2076" s="20">
        <v>0.09</v>
      </c>
      <c r="F2076" s="8" t="s">
        <v>436</v>
      </c>
      <c r="G2076" s="24">
        <v>0.77805097774882659</v>
      </c>
      <c r="H2076" s="24">
        <v>0.78255569430695815</v>
      </c>
      <c r="I2076" s="25">
        <v>0.79624152533779347</v>
      </c>
      <c r="L2076" s="15">
        <v>2074</v>
      </c>
      <c r="M2076" s="16">
        <v>1</v>
      </c>
      <c r="N2076" s="16">
        <v>3</v>
      </c>
      <c r="O2076" s="16">
        <v>16</v>
      </c>
      <c r="P2076" s="16">
        <v>258</v>
      </c>
      <c r="Q2076" s="29">
        <v>36</v>
      </c>
      <c r="R2076" s="20">
        <v>0.49930000000000002</v>
      </c>
      <c r="S2076" s="32">
        <v>17.974800000000002</v>
      </c>
      <c r="T2076" s="35">
        <v>0.57000000000000006</v>
      </c>
      <c r="U2076" s="35">
        <v>0.23</v>
      </c>
      <c r="V2076" s="35">
        <v>1.5833333333333335E-2</v>
      </c>
      <c r="W2076" s="9" t="s">
        <v>152</v>
      </c>
      <c r="X2076" s="15">
        <v>2075</v>
      </c>
      <c r="Y2076" s="39">
        <v>0.48883638624132553</v>
      </c>
      <c r="Z2076" s="39">
        <v>0.48603076574493836</v>
      </c>
      <c r="AA2076" s="39">
        <v>0.48632433988458401</v>
      </c>
      <c r="AB2076" s="39">
        <v>0.49234437100903999</v>
      </c>
      <c r="AC2076" s="39">
        <v>0.48240966679136132</v>
      </c>
      <c r="AD2076" s="39">
        <v>0.48305646767923255</v>
      </c>
      <c r="AE2076" s="39">
        <v>0.47923632546671802</v>
      </c>
      <c r="AF2076" s="40">
        <v>0.48824381742684864</v>
      </c>
    </row>
    <row r="2077" spans="1:32">
      <c r="A2077" s="15">
        <v>2075</v>
      </c>
      <c r="B2077" s="16">
        <v>0</v>
      </c>
      <c r="C2077" s="20">
        <v>0.13</v>
      </c>
      <c r="D2077" s="20">
        <v>0.92008214348758643</v>
      </c>
      <c r="E2077" s="20">
        <v>0.05</v>
      </c>
      <c r="F2077" s="8" t="s">
        <v>436</v>
      </c>
      <c r="G2077" s="24">
        <v>0.77949842014168214</v>
      </c>
      <c r="H2077" s="24">
        <v>0.78401151702179839</v>
      </c>
      <c r="I2077" s="25">
        <v>0.79772280840495247</v>
      </c>
      <c r="L2077" s="17">
        <v>2075</v>
      </c>
      <c r="M2077" s="18">
        <v>1</v>
      </c>
      <c r="N2077" s="18">
        <v>3</v>
      </c>
      <c r="O2077" s="18">
        <v>16</v>
      </c>
      <c r="P2077" s="18">
        <v>259</v>
      </c>
      <c r="Q2077" s="30">
        <v>18</v>
      </c>
      <c r="R2077" s="21">
        <v>0.49930000000000002</v>
      </c>
      <c r="S2077" s="33">
        <v>8.9874000000000009</v>
      </c>
      <c r="T2077" s="36">
        <v>0.44</v>
      </c>
      <c r="U2077" s="36">
        <v>0.2</v>
      </c>
      <c r="V2077" s="36">
        <v>2.4444444444444446E-2</v>
      </c>
      <c r="W2077" s="12" t="s">
        <v>152</v>
      </c>
      <c r="X2077" s="15">
        <v>2076</v>
      </c>
      <c r="Y2077" s="39">
        <v>0.4893574992497513</v>
      </c>
      <c r="Z2077" s="39">
        <v>0.48147973615127015</v>
      </c>
      <c r="AA2077" s="39">
        <v>0.49369694073717468</v>
      </c>
      <c r="AB2077" s="39">
        <v>0.48436053211590613</v>
      </c>
      <c r="AC2077" s="39">
        <v>0.48444515622949652</v>
      </c>
      <c r="AD2077" s="39">
        <v>0.47729233226021656</v>
      </c>
      <c r="AE2077" s="39">
        <v>0.48772076613981047</v>
      </c>
      <c r="AF2077" s="40">
        <v>0.48041368284375524</v>
      </c>
    </row>
    <row r="2078" spans="1:32">
      <c r="A2078" s="15">
        <v>2076</v>
      </c>
      <c r="B2078" s="16">
        <v>0</v>
      </c>
      <c r="C2078" s="20">
        <v>0.31</v>
      </c>
      <c r="D2078" s="20">
        <v>0.66819891259228947</v>
      </c>
      <c r="E2078" s="20">
        <v>0.12</v>
      </c>
      <c r="F2078" s="8" t="s">
        <v>436</v>
      </c>
      <c r="G2078" s="24">
        <v>1.1884555688590468</v>
      </c>
      <c r="H2078" s="24">
        <v>1.195336423241022</v>
      </c>
      <c r="I2078" s="25">
        <v>1.216241225841644</v>
      </c>
      <c r="X2078" s="15">
        <v>2077</v>
      </c>
      <c r="Y2078" s="39">
        <v>0.48787084927258434</v>
      </c>
      <c r="Z2078" s="39">
        <v>0.49733699400860948</v>
      </c>
      <c r="AA2078" s="39">
        <v>0.49323083126782896</v>
      </c>
      <c r="AB2078" s="39">
        <v>0.48681249236089641</v>
      </c>
      <c r="AC2078" s="39">
        <v>0.48109233677187158</v>
      </c>
      <c r="AD2078" s="39">
        <v>0.48981177799440345</v>
      </c>
      <c r="AE2078" s="39">
        <v>0.48642241858334295</v>
      </c>
      <c r="AF2078" s="40">
        <v>0.48119219046020306</v>
      </c>
    </row>
    <row r="2079" spans="1:32">
      <c r="A2079" s="15">
        <v>2077</v>
      </c>
      <c r="B2079" s="16">
        <v>0</v>
      </c>
      <c r="C2079" s="20">
        <v>0.95</v>
      </c>
      <c r="D2079" s="20">
        <v>0.15570568692893463</v>
      </c>
      <c r="E2079" s="20">
        <v>0.05</v>
      </c>
      <c r="F2079" s="8" t="s">
        <v>434</v>
      </c>
      <c r="G2079" s="24">
        <v>0.67465896008197501</v>
      </c>
      <c r="H2079" s="24">
        <v>0.67856506324936183</v>
      </c>
      <c r="I2079" s="25">
        <v>0.69043224007347692</v>
      </c>
      <c r="X2079" s="15">
        <v>2078</v>
      </c>
      <c r="Y2079" s="39">
        <v>0.48100685852211189</v>
      </c>
      <c r="Z2079" s="39">
        <v>0.4871387463537602</v>
      </c>
      <c r="AA2079" s="39">
        <v>0.48035011272441969</v>
      </c>
      <c r="AB2079" s="39">
        <v>0.49846548048447681</v>
      </c>
      <c r="AC2079" s="39">
        <v>0.47478254731032943</v>
      </c>
      <c r="AD2079" s="39">
        <v>0.47993768999136727</v>
      </c>
      <c r="AE2079" s="39">
        <v>0.47401816801302116</v>
      </c>
      <c r="AF2079" s="40">
        <v>0.49535927305746275</v>
      </c>
    </row>
    <row r="2080" spans="1:32">
      <c r="A2080" s="15">
        <v>2078</v>
      </c>
      <c r="B2080" s="16">
        <v>0</v>
      </c>
      <c r="C2080" s="20">
        <v>0.93</v>
      </c>
      <c r="D2080" s="20">
        <v>0.18747949848141848</v>
      </c>
      <c r="E2080" s="20">
        <v>7.0000000000000007E-2</v>
      </c>
      <c r="F2080" s="8" t="s">
        <v>434</v>
      </c>
      <c r="G2080" s="24">
        <v>0.55816758442503567</v>
      </c>
      <c r="H2080" s="24">
        <v>0.56139923226261923</v>
      </c>
      <c r="I2080" s="25">
        <v>0.57121733861528112</v>
      </c>
      <c r="X2080" s="15">
        <v>2079</v>
      </c>
      <c r="Y2080" s="39">
        <v>0.48033430955769207</v>
      </c>
      <c r="Z2080" s="39">
        <v>0.49451367564895771</v>
      </c>
      <c r="AA2080" s="39">
        <v>0.49060031858632014</v>
      </c>
      <c r="AB2080" s="39">
        <v>0.48063503717952982</v>
      </c>
      <c r="AC2080" s="39">
        <v>0.4754448691132574</v>
      </c>
      <c r="AD2080" s="39">
        <v>0.48822979619364898</v>
      </c>
      <c r="AE2080" s="39">
        <v>0.48474607444466727</v>
      </c>
      <c r="AF2080" s="40">
        <v>0.4744855910003119</v>
      </c>
    </row>
    <row r="2081" spans="1:32">
      <c r="A2081" s="15">
        <v>2079</v>
      </c>
      <c r="B2081" s="16">
        <v>0</v>
      </c>
      <c r="C2081" s="20">
        <v>0.91</v>
      </c>
      <c r="D2081" s="20">
        <v>0.21727233298780477</v>
      </c>
      <c r="E2081" s="20">
        <v>0.09</v>
      </c>
      <c r="F2081" s="8" t="s">
        <v>434</v>
      </c>
      <c r="G2081" s="24">
        <v>0.67867320587559332</v>
      </c>
      <c r="H2081" s="24">
        <v>0.68260255050146046</v>
      </c>
      <c r="I2081" s="25">
        <v>0.69454033746709443</v>
      </c>
      <c r="X2081" s="15">
        <v>2080</v>
      </c>
      <c r="Y2081" s="39">
        <v>0.4934711857446924</v>
      </c>
      <c r="Z2081" s="39">
        <v>0.49682889141166164</v>
      </c>
      <c r="AA2081" s="39">
        <v>0.4762330738562095</v>
      </c>
      <c r="AB2081" s="39">
        <v>0.502944818823024</v>
      </c>
      <c r="AC2081" s="39">
        <v>0.48870013543642343</v>
      </c>
      <c r="AD2081" s="39">
        <v>0.48613333085893806</v>
      </c>
      <c r="AE2081" s="39">
        <v>0.47072242063844388</v>
      </c>
      <c r="AF2081" s="40">
        <v>0.49652877244507521</v>
      </c>
    </row>
    <row r="2082" spans="1:32">
      <c r="A2082" s="15">
        <v>2080</v>
      </c>
      <c r="B2082" s="16">
        <v>0</v>
      </c>
      <c r="C2082" s="20">
        <v>0.02</v>
      </c>
      <c r="D2082" s="20">
        <v>0.99679477127711513</v>
      </c>
      <c r="E2082" s="20">
        <v>1</v>
      </c>
      <c r="F2082" s="8" t="s">
        <v>436</v>
      </c>
      <c r="G2082" s="24">
        <v>1.0591112364518152</v>
      </c>
      <c r="H2082" s="24">
        <v>1.0652432201652113</v>
      </c>
      <c r="I2082" s="25">
        <v>1.0838728702003249</v>
      </c>
      <c r="X2082" s="15">
        <v>2081</v>
      </c>
      <c r="Y2082" s="39">
        <v>0.47987448615379752</v>
      </c>
      <c r="Z2082" s="39">
        <v>0.46013996241612298</v>
      </c>
      <c r="AA2082" s="39">
        <v>0.48796728562793462</v>
      </c>
      <c r="AB2082" s="39">
        <v>0.48865517009566789</v>
      </c>
      <c r="AC2082" s="39">
        <v>0.47097164689316701</v>
      </c>
      <c r="AD2082" s="39">
        <v>0.45655662311971984</v>
      </c>
      <c r="AE2082" s="39">
        <v>0.47996562005791926</v>
      </c>
      <c r="AF2082" s="40">
        <v>0.48176455243362903</v>
      </c>
    </row>
    <row r="2083" spans="1:32">
      <c r="A2083" s="15">
        <v>2081</v>
      </c>
      <c r="B2083" s="16">
        <v>1</v>
      </c>
      <c r="C2083" s="20">
        <v>0.92</v>
      </c>
      <c r="D2083" s="20">
        <v>0.20258497911151899</v>
      </c>
      <c r="E2083" s="20">
        <v>0.08</v>
      </c>
      <c r="F2083" s="8" t="s">
        <v>434</v>
      </c>
      <c r="G2083" s="24">
        <v>1.7743065742279338</v>
      </c>
      <c r="H2083" s="24">
        <v>1.7845793563883676</v>
      </c>
      <c r="I2083" s="25">
        <v>1.6578926537592125</v>
      </c>
      <c r="X2083" s="15">
        <v>2082</v>
      </c>
      <c r="Y2083" s="39">
        <v>0.49899927750474027</v>
      </c>
      <c r="Z2083" s="39">
        <v>0.47870008893475113</v>
      </c>
      <c r="AA2083" s="39">
        <v>0.49282680545775248</v>
      </c>
      <c r="AB2083" s="39">
        <v>0.46012945476616524</v>
      </c>
      <c r="AC2083" s="39">
        <v>0.49265462619131184</v>
      </c>
      <c r="AD2083" s="39">
        <v>0.47114186227363469</v>
      </c>
      <c r="AE2083" s="39">
        <v>0.48246921983203039</v>
      </c>
      <c r="AF2083" s="40">
        <v>0.45635211234474332</v>
      </c>
    </row>
    <row r="2084" spans="1:32">
      <c r="A2084" s="15">
        <v>2082</v>
      </c>
      <c r="B2084" s="16">
        <v>0</v>
      </c>
      <c r="C2084" s="20">
        <v>0.02</v>
      </c>
      <c r="D2084" s="20">
        <v>0.99835916395484214</v>
      </c>
      <c r="E2084" s="20">
        <v>1</v>
      </c>
      <c r="F2084" s="8" t="s">
        <v>436</v>
      </c>
      <c r="G2084" s="24">
        <v>1.1573240677697425</v>
      </c>
      <c r="H2084" s="24">
        <v>1.1640246787069473</v>
      </c>
      <c r="I2084" s="25">
        <v>1.1843818816311606</v>
      </c>
      <c r="X2084" s="15">
        <v>2083</v>
      </c>
      <c r="Y2084" s="39">
        <v>0.48913369839333132</v>
      </c>
      <c r="Z2084" s="39">
        <v>0.49151824615034417</v>
      </c>
      <c r="AA2084" s="39">
        <v>0.48550408127141187</v>
      </c>
      <c r="AB2084" s="39">
        <v>0.4859397944062856</v>
      </c>
      <c r="AC2084" s="39">
        <v>0.47997267009425582</v>
      </c>
      <c r="AD2084" s="39">
        <v>0.48182326382913454</v>
      </c>
      <c r="AE2084" s="39">
        <v>0.48027690662235895</v>
      </c>
      <c r="AF2084" s="40">
        <v>0.48408935970647204</v>
      </c>
    </row>
    <row r="2085" spans="1:32">
      <c r="A2085" s="15">
        <v>2083</v>
      </c>
      <c r="B2085" s="16">
        <v>0</v>
      </c>
      <c r="C2085" s="20">
        <v>0.19</v>
      </c>
      <c r="D2085" s="20">
        <v>0.84564637052671254</v>
      </c>
      <c r="E2085" s="20">
        <v>0.12</v>
      </c>
      <c r="F2085" s="8" t="s">
        <v>436</v>
      </c>
      <c r="G2085" s="24">
        <v>0.89556216549700718</v>
      </c>
      <c r="H2085" s="24">
        <v>0.90074724183663601</v>
      </c>
      <c r="I2085" s="25">
        <v>0.91650008172132247</v>
      </c>
      <c r="X2085" s="15">
        <v>2084</v>
      </c>
      <c r="Y2085" s="39">
        <v>0.48702444258742827</v>
      </c>
      <c r="Z2085" s="39">
        <v>0.45806658845902709</v>
      </c>
      <c r="AA2085" s="39">
        <v>0.48786707321450273</v>
      </c>
      <c r="AB2085" s="39">
        <v>0.49213586505210177</v>
      </c>
      <c r="AC2085" s="39">
        <v>0.48132571833417975</v>
      </c>
      <c r="AD2085" s="39">
        <v>0.45452384659837425</v>
      </c>
      <c r="AE2085" s="39">
        <v>0.48002660471583269</v>
      </c>
      <c r="AF2085" s="40">
        <v>0.48755026664465462</v>
      </c>
    </row>
    <row r="2086" spans="1:32">
      <c r="A2086" s="15">
        <v>2084</v>
      </c>
      <c r="B2086" s="16">
        <v>1</v>
      </c>
      <c r="C2086" s="20">
        <v>0.45</v>
      </c>
      <c r="D2086" s="20">
        <v>0.47453450426212379</v>
      </c>
      <c r="E2086" s="20">
        <v>0.1</v>
      </c>
      <c r="F2086" s="8" t="s">
        <v>436</v>
      </c>
      <c r="G2086" s="24">
        <v>0.83094311528217457</v>
      </c>
      <c r="H2086" s="24">
        <v>0.83575406381553075</v>
      </c>
      <c r="I2086" s="25">
        <v>0.85037026172185726</v>
      </c>
      <c r="X2086" s="15">
        <v>2085</v>
      </c>
      <c r="Y2086" s="39">
        <v>0.48513393204779731</v>
      </c>
      <c r="Z2086" s="39">
        <v>0.49122688713316953</v>
      </c>
      <c r="AA2086" s="39">
        <v>0.48920090102408675</v>
      </c>
      <c r="AB2086" s="39">
        <v>0.48270885785052881</v>
      </c>
      <c r="AC2086" s="39">
        <v>0.47830582915491332</v>
      </c>
      <c r="AD2086" s="39">
        <v>0.48142744818494271</v>
      </c>
      <c r="AE2086" s="39">
        <v>0.48303607284610023</v>
      </c>
      <c r="AF2086" s="40">
        <v>0.47932262053911928</v>
      </c>
    </row>
    <row r="2087" spans="1:32">
      <c r="A2087" s="15">
        <v>2085</v>
      </c>
      <c r="B2087" s="16">
        <v>1</v>
      </c>
      <c r="C2087" s="20">
        <v>0.95</v>
      </c>
      <c r="D2087" s="20">
        <v>0.15570568692893463</v>
      </c>
      <c r="E2087" s="20">
        <v>0.05</v>
      </c>
      <c r="F2087" s="8" t="s">
        <v>434</v>
      </c>
      <c r="G2087" s="24">
        <v>0.65379020112423136</v>
      </c>
      <c r="H2087" s="24">
        <v>0.65757547950415174</v>
      </c>
      <c r="I2087" s="25">
        <v>0.66907557715596722</v>
      </c>
      <c r="X2087" s="15">
        <v>2086</v>
      </c>
      <c r="Y2087" s="39">
        <v>0.49232095644460022</v>
      </c>
      <c r="Z2087" s="39">
        <v>0.4807796528603907</v>
      </c>
      <c r="AA2087" s="39">
        <v>0.49086237873230509</v>
      </c>
      <c r="AB2087" s="39">
        <v>0.48990513872224034</v>
      </c>
      <c r="AC2087" s="39">
        <v>0.48391118264416255</v>
      </c>
      <c r="AD2087" s="39">
        <v>0.47458185729181074</v>
      </c>
      <c r="AE2087" s="39">
        <v>0.4818946832454517</v>
      </c>
      <c r="AF2087" s="40">
        <v>0.48602033883281637</v>
      </c>
    </row>
    <row r="2088" spans="1:32">
      <c r="A2088" s="15">
        <v>2086</v>
      </c>
      <c r="B2088" s="16">
        <v>1</v>
      </c>
      <c r="C2088" s="20">
        <v>0.26</v>
      </c>
      <c r="D2088" s="20">
        <v>0.72308660538374914</v>
      </c>
      <c r="E2088" s="20">
        <v>0.05</v>
      </c>
      <c r="F2088" s="8" t="s">
        <v>436</v>
      </c>
      <c r="G2088" s="24">
        <v>1.3769409290546917</v>
      </c>
      <c r="H2088" s="24">
        <v>1.3849130655599737</v>
      </c>
      <c r="I2088" s="25">
        <v>1.409133304893144</v>
      </c>
      <c r="X2088" s="15">
        <v>2087</v>
      </c>
      <c r="Y2088" s="39">
        <v>0.48805882186634453</v>
      </c>
      <c r="Z2088" s="39">
        <v>0.48301838971661176</v>
      </c>
      <c r="AA2088" s="39">
        <v>0.48507678644879454</v>
      </c>
      <c r="AB2088" s="39">
        <v>0.49827902815530278</v>
      </c>
      <c r="AC2088" s="39">
        <v>0.48209371911582954</v>
      </c>
      <c r="AD2088" s="39">
        <v>0.47791787609420622</v>
      </c>
      <c r="AE2088" s="39">
        <v>0.47785060830181486</v>
      </c>
      <c r="AF2088" s="40">
        <v>0.49522199368476033</v>
      </c>
    </row>
    <row r="2089" spans="1:32">
      <c r="A2089" s="15">
        <v>2087</v>
      </c>
      <c r="B2089" s="16">
        <v>1</v>
      </c>
      <c r="C2089" s="20">
        <v>0.13</v>
      </c>
      <c r="D2089" s="20">
        <v>0.89300777258282305</v>
      </c>
      <c r="E2089" s="20">
        <v>0.05</v>
      </c>
      <c r="F2089" s="8" t="s">
        <v>436</v>
      </c>
      <c r="G2089" s="24">
        <v>1.0268277709182989</v>
      </c>
      <c r="H2089" s="24">
        <v>1.0327728416068396</v>
      </c>
      <c r="I2089" s="25">
        <v>1.0508346290378088</v>
      </c>
      <c r="X2089" s="15">
        <v>2088</v>
      </c>
      <c r="Y2089" s="39">
        <v>0.48196025169257112</v>
      </c>
      <c r="Z2089" s="39">
        <v>0.49027122643274335</v>
      </c>
      <c r="AA2089" s="39">
        <v>0.48081211642492611</v>
      </c>
      <c r="AB2089" s="39">
        <v>0.49102013623038326</v>
      </c>
      <c r="AC2089" s="39">
        <v>0.47564790523474154</v>
      </c>
      <c r="AD2089" s="39">
        <v>0.48140999758862107</v>
      </c>
      <c r="AE2089" s="39">
        <v>0.47298340716310017</v>
      </c>
      <c r="AF2089" s="40">
        <v>0.48603901138233835</v>
      </c>
    </row>
    <row r="2090" spans="1:32">
      <c r="A2090" s="15">
        <v>2088</v>
      </c>
      <c r="B2090" s="16">
        <v>1</v>
      </c>
      <c r="C2090" s="20">
        <v>0.02</v>
      </c>
      <c r="D2090" s="20">
        <v>0.99835916395484214</v>
      </c>
      <c r="E2090" s="20">
        <v>1</v>
      </c>
      <c r="F2090" s="8" t="s">
        <v>436</v>
      </c>
      <c r="G2090" s="24">
        <v>1.0009956217453764</v>
      </c>
      <c r="H2090" s="24">
        <v>1.0067911308840454</v>
      </c>
      <c r="I2090" s="25">
        <v>1.024398533655327</v>
      </c>
      <c r="X2090" s="15">
        <v>2089</v>
      </c>
      <c r="Y2090" s="39">
        <v>0.47826256307864473</v>
      </c>
      <c r="Z2090" s="39">
        <v>0.48360194674584056</v>
      </c>
      <c r="AA2090" s="39">
        <v>0.49678527647713494</v>
      </c>
      <c r="AB2090" s="39">
        <v>0.48744431939729105</v>
      </c>
      <c r="AC2090" s="39">
        <v>0.47424426355371874</v>
      </c>
      <c r="AD2090" s="39">
        <v>0.4767786840258858</v>
      </c>
      <c r="AE2090" s="39">
        <v>0.48985996988938452</v>
      </c>
      <c r="AF2090" s="40">
        <v>0.48401444844765351</v>
      </c>
    </row>
    <row r="2091" spans="1:32">
      <c r="A2091" s="15">
        <v>2089</v>
      </c>
      <c r="B2091" s="16">
        <v>0</v>
      </c>
      <c r="C2091" s="20">
        <v>0.02</v>
      </c>
      <c r="D2091" s="20">
        <v>0.99917029198757767</v>
      </c>
      <c r="E2091" s="20">
        <v>1</v>
      </c>
      <c r="F2091" s="8" t="s">
        <v>436</v>
      </c>
      <c r="G2091" s="24">
        <v>0.99775296243997469</v>
      </c>
      <c r="H2091" s="24">
        <v>1.0035296974089771</v>
      </c>
      <c r="I2091" s="25">
        <v>1.0210800621601117</v>
      </c>
      <c r="X2091" s="15">
        <v>2090</v>
      </c>
      <c r="Y2091" s="39">
        <v>0.49087609574674518</v>
      </c>
      <c r="Z2091" s="39">
        <v>0.48115763887112145</v>
      </c>
      <c r="AA2091" s="39">
        <v>0.498254654869905</v>
      </c>
      <c r="AB2091" s="39">
        <v>0.49260877220997912</v>
      </c>
      <c r="AC2091" s="39">
        <v>0.48377919268372999</v>
      </c>
      <c r="AD2091" s="39">
        <v>0.47489602873909559</v>
      </c>
      <c r="AE2091" s="39">
        <v>0.48903355011155236</v>
      </c>
      <c r="AF2091" s="40">
        <v>0.48773595079617232</v>
      </c>
    </row>
    <row r="2092" spans="1:32">
      <c r="A2092" s="15">
        <v>2090</v>
      </c>
      <c r="B2092" s="16">
        <v>0</v>
      </c>
      <c r="C2092" s="20">
        <v>0.02</v>
      </c>
      <c r="D2092" s="20">
        <v>0.99604261948721451</v>
      </c>
      <c r="E2092" s="20">
        <v>1</v>
      </c>
      <c r="F2092" s="8" t="s">
        <v>436</v>
      </c>
      <c r="G2092" s="24">
        <v>1.09898402667966</v>
      </c>
      <c r="H2092" s="24">
        <v>1.1053468636706627</v>
      </c>
      <c r="I2092" s="25">
        <v>1.1246778716956667</v>
      </c>
      <c r="X2092" s="15">
        <v>2091</v>
      </c>
      <c r="Y2092" s="39">
        <v>0.46605770480975062</v>
      </c>
      <c r="Z2092" s="39">
        <v>0.48477050774129765</v>
      </c>
      <c r="AA2092" s="39">
        <v>0.47915511023727636</v>
      </c>
      <c r="AB2092" s="39">
        <v>0.49216039228380642</v>
      </c>
      <c r="AC2092" s="39">
        <v>0.46136340021883665</v>
      </c>
      <c r="AD2092" s="39">
        <v>0.47860638169947461</v>
      </c>
      <c r="AE2092" s="39">
        <v>0.47136564434801548</v>
      </c>
      <c r="AF2092" s="40">
        <v>0.48568807634193945</v>
      </c>
    </row>
    <row r="2093" spans="1:32">
      <c r="A2093" s="15">
        <v>2091</v>
      </c>
      <c r="B2093" s="16">
        <v>1</v>
      </c>
      <c r="C2093" s="20">
        <v>0.91</v>
      </c>
      <c r="D2093" s="20">
        <v>0.21727233298780477</v>
      </c>
      <c r="E2093" s="20">
        <v>0.09</v>
      </c>
      <c r="F2093" s="8" t="s">
        <v>434</v>
      </c>
      <c r="G2093" s="24">
        <v>1.7580582848767023</v>
      </c>
      <c r="H2093" s="24">
        <v>1.7682369935892839</v>
      </c>
      <c r="I2093" s="25">
        <v>1.6578926537592125</v>
      </c>
      <c r="X2093" s="15">
        <v>2092</v>
      </c>
      <c r="Y2093" s="39">
        <v>0.50385326271399855</v>
      </c>
      <c r="Z2093" s="39">
        <v>0.48560441787462488</v>
      </c>
      <c r="AA2093" s="39">
        <v>0.47801248477487968</v>
      </c>
      <c r="AB2093" s="39">
        <v>0.50445457210127598</v>
      </c>
      <c r="AC2093" s="39">
        <v>0.49695013162431878</v>
      </c>
      <c r="AD2093" s="39">
        <v>0.48026423722318157</v>
      </c>
      <c r="AE2093" s="39">
        <v>0.4724679047598726</v>
      </c>
      <c r="AF2093" s="40">
        <v>0.49831800155010414</v>
      </c>
    </row>
    <row r="2094" spans="1:32">
      <c r="A2094" s="15">
        <v>2092</v>
      </c>
      <c r="B2094" s="16">
        <v>0</v>
      </c>
      <c r="C2094" s="20">
        <v>0.34</v>
      </c>
      <c r="D2094" s="20">
        <v>0.75059371563538235</v>
      </c>
      <c r="E2094" s="20">
        <v>0.03</v>
      </c>
      <c r="F2094" s="8" t="s">
        <v>436</v>
      </c>
      <c r="G2094" s="24">
        <v>0.82175416262160006</v>
      </c>
      <c r="H2094" s="24">
        <v>0.82651190946459685</v>
      </c>
      <c r="I2094" s="25">
        <v>0.840966474705379</v>
      </c>
      <c r="X2094" s="15">
        <v>2093</v>
      </c>
      <c r="Y2094" s="39">
        <v>0.48164740828147579</v>
      </c>
      <c r="Z2094" s="39">
        <v>0.48852578473029434</v>
      </c>
      <c r="AA2094" s="39">
        <v>0.4861615944007095</v>
      </c>
      <c r="AB2094" s="39">
        <v>0.50244116242122039</v>
      </c>
      <c r="AC2094" s="39">
        <v>0.4749240099952981</v>
      </c>
      <c r="AD2094" s="39">
        <v>0.48308245919670995</v>
      </c>
      <c r="AE2094" s="39">
        <v>0.4781391638829342</v>
      </c>
      <c r="AF2094" s="40">
        <v>0.49897760986802614</v>
      </c>
    </row>
    <row r="2095" spans="1:32">
      <c r="A2095" s="15">
        <v>2093</v>
      </c>
      <c r="B2095" s="16">
        <v>0</v>
      </c>
      <c r="C2095" s="20">
        <v>0.02</v>
      </c>
      <c r="D2095" s="20">
        <v>0.99679477127711513</v>
      </c>
      <c r="E2095" s="20">
        <v>1</v>
      </c>
      <c r="F2095" s="8" t="s">
        <v>436</v>
      </c>
      <c r="G2095" s="24">
        <v>1.1965598595742277</v>
      </c>
      <c r="H2095" s="24">
        <v>1.203487635730766</v>
      </c>
      <c r="I2095" s="25">
        <v>1.2245349919127402</v>
      </c>
      <c r="X2095" s="15">
        <v>2094</v>
      </c>
      <c r="Y2095" s="39">
        <v>0.48978320418584081</v>
      </c>
      <c r="Z2095" s="39">
        <v>0.4879931884078062</v>
      </c>
      <c r="AA2095" s="39">
        <v>0.48741599751733639</v>
      </c>
      <c r="AB2095" s="39">
        <v>0.48951623847930342</v>
      </c>
      <c r="AC2095" s="39">
        <v>0.48157120396915482</v>
      </c>
      <c r="AD2095" s="39">
        <v>0.48065880052842241</v>
      </c>
      <c r="AE2095" s="39">
        <v>0.48243171669153045</v>
      </c>
      <c r="AF2095" s="40">
        <v>0.48473551239198337</v>
      </c>
    </row>
    <row r="2096" spans="1:32">
      <c r="A2096" s="15">
        <v>2094</v>
      </c>
      <c r="B2096" s="16">
        <v>1</v>
      </c>
      <c r="C2096" s="20">
        <v>0.02</v>
      </c>
      <c r="D2096" s="20">
        <v>0.99917029198757767</v>
      </c>
      <c r="E2096" s="20">
        <v>1</v>
      </c>
      <c r="F2096" s="8" t="s">
        <v>436</v>
      </c>
      <c r="G2096" s="24">
        <v>0.9214225934022654</v>
      </c>
      <c r="H2096" s="24">
        <v>0.92675739501840793</v>
      </c>
      <c r="I2096" s="25">
        <v>0.94296511698257002</v>
      </c>
      <c r="X2096" s="15">
        <v>2095</v>
      </c>
      <c r="Y2096" s="39">
        <v>0.4863684723906373</v>
      </c>
      <c r="Z2096" s="39">
        <v>0.49005503095148439</v>
      </c>
      <c r="AA2096" s="39">
        <v>0.48492238622182143</v>
      </c>
      <c r="AB2096" s="39">
        <v>0.49619126428458665</v>
      </c>
      <c r="AC2096" s="39">
        <v>0.48053897614879248</v>
      </c>
      <c r="AD2096" s="39">
        <v>0.48184436739558734</v>
      </c>
      <c r="AE2096" s="39">
        <v>0.47812893607863544</v>
      </c>
      <c r="AF2096" s="40">
        <v>0.49138434679203002</v>
      </c>
    </row>
    <row r="2097" spans="1:32">
      <c r="A2097" s="15">
        <v>2095</v>
      </c>
      <c r="B2097" s="16">
        <v>0</v>
      </c>
      <c r="C2097" s="20">
        <v>0.34</v>
      </c>
      <c r="D2097" s="20">
        <v>0.75121351679588855</v>
      </c>
      <c r="E2097" s="20">
        <v>0.05</v>
      </c>
      <c r="F2097" s="8" t="s">
        <v>436</v>
      </c>
      <c r="G2097" s="24">
        <v>0.92416458251985745</v>
      </c>
      <c r="H2097" s="24">
        <v>0.92951525955307868</v>
      </c>
      <c r="I2097" s="25">
        <v>0.94577121280391085</v>
      </c>
      <c r="X2097" s="15">
        <v>2096</v>
      </c>
      <c r="Y2097" s="39">
        <v>0.48945768818999985</v>
      </c>
      <c r="Z2097" s="39">
        <v>0.48300657686917881</v>
      </c>
      <c r="AA2097" s="39">
        <v>0.47700154661610272</v>
      </c>
      <c r="AB2097" s="39">
        <v>0.48481094947253689</v>
      </c>
      <c r="AC2097" s="39">
        <v>0.48114202597893241</v>
      </c>
      <c r="AD2097" s="39">
        <v>0.4757656625109915</v>
      </c>
      <c r="AE2097" s="39">
        <v>0.47370417123610814</v>
      </c>
      <c r="AF2097" s="40">
        <v>0.48116894786904602</v>
      </c>
    </row>
    <row r="2098" spans="1:32">
      <c r="A2098" s="15">
        <v>2096</v>
      </c>
      <c r="B2098" s="16">
        <v>0</v>
      </c>
      <c r="C2098" s="20">
        <v>0.02</v>
      </c>
      <c r="D2098" s="20">
        <v>0.99917029198757767</v>
      </c>
      <c r="E2098" s="20">
        <v>1</v>
      </c>
      <c r="F2098" s="8" t="s">
        <v>436</v>
      </c>
      <c r="G2098" s="24">
        <v>1.0569472742201143</v>
      </c>
      <c r="H2098" s="24">
        <v>1.0630667291445555</v>
      </c>
      <c r="I2098" s="25">
        <v>1.0816583153222779</v>
      </c>
      <c r="X2098" s="15">
        <v>2097</v>
      </c>
      <c r="Y2098" s="39">
        <v>0.48388041657464859</v>
      </c>
      <c r="Z2098" s="39">
        <v>0.48503912299527874</v>
      </c>
      <c r="AA2098" s="39">
        <v>0.48712920013295513</v>
      </c>
      <c r="AB2098" s="39">
        <v>0.48457348871018224</v>
      </c>
      <c r="AC2098" s="39">
        <v>0.47551463182473513</v>
      </c>
      <c r="AD2098" s="39">
        <v>0.4795207162223038</v>
      </c>
      <c r="AE2098" s="39">
        <v>0.47775631128849128</v>
      </c>
      <c r="AF2098" s="40">
        <v>0.48268351441424784</v>
      </c>
    </row>
    <row r="2099" spans="1:32">
      <c r="A2099" s="15">
        <v>2097</v>
      </c>
      <c r="B2099" s="16">
        <v>1</v>
      </c>
      <c r="C2099" s="20">
        <v>0.02</v>
      </c>
      <c r="D2099" s="20">
        <v>0.99679477127711513</v>
      </c>
      <c r="E2099" s="20">
        <v>1</v>
      </c>
      <c r="F2099" s="8" t="s">
        <v>436</v>
      </c>
      <c r="G2099" s="24">
        <v>1.0682364896407281</v>
      </c>
      <c r="H2099" s="24">
        <v>1.0744213062408023</v>
      </c>
      <c r="I2099" s="25">
        <v>1.0932114684747676</v>
      </c>
      <c r="X2099" s="15">
        <v>2098</v>
      </c>
      <c r="Y2099" s="39">
        <v>0.47009255432613217</v>
      </c>
      <c r="Z2099" s="39">
        <v>0.48688076996302965</v>
      </c>
      <c r="AA2099" s="39">
        <v>0.49434467247826402</v>
      </c>
      <c r="AB2099" s="39">
        <v>0.48047181184388082</v>
      </c>
      <c r="AC2099" s="39">
        <v>0.46423555108076803</v>
      </c>
      <c r="AD2099" s="39">
        <v>0.48218749195773425</v>
      </c>
      <c r="AE2099" s="39">
        <v>0.48705504400406546</v>
      </c>
      <c r="AF2099" s="40">
        <v>0.47636613456505433</v>
      </c>
    </row>
    <row r="2100" spans="1:32">
      <c r="A2100" s="15">
        <v>2098</v>
      </c>
      <c r="B2100" s="16">
        <v>0</v>
      </c>
      <c r="C2100" s="20">
        <v>0.53</v>
      </c>
      <c r="D2100" s="20">
        <v>0.55408702133170495</v>
      </c>
      <c r="E2100" s="20">
        <v>0.1</v>
      </c>
      <c r="F2100" s="8" t="s">
        <v>438</v>
      </c>
      <c r="G2100" s="24">
        <v>0.80714025718103777</v>
      </c>
      <c r="H2100" s="24">
        <v>0.81181339324183688</v>
      </c>
      <c r="I2100" s="25">
        <v>0.82601090149499223</v>
      </c>
      <c r="X2100" s="15">
        <v>2099</v>
      </c>
      <c r="Y2100" s="39">
        <v>0.49276083344241722</v>
      </c>
      <c r="Z2100" s="39">
        <v>0.47856844391736209</v>
      </c>
      <c r="AA2100" s="39">
        <v>0.49503152415035312</v>
      </c>
      <c r="AB2100" s="39">
        <v>0.49340315274065322</v>
      </c>
      <c r="AC2100" s="39">
        <v>0.48345094778723069</v>
      </c>
      <c r="AD2100" s="39">
        <v>0.46965782182204419</v>
      </c>
      <c r="AE2100" s="39">
        <v>0.48600462933918037</v>
      </c>
      <c r="AF2100" s="40">
        <v>0.4916870593818054</v>
      </c>
    </row>
    <row r="2101" spans="1:32">
      <c r="A2101" s="15">
        <v>2099</v>
      </c>
      <c r="B2101" s="16">
        <v>1</v>
      </c>
      <c r="C2101" s="20">
        <v>0.1</v>
      </c>
      <c r="D2101" s="20">
        <v>0.91246416043924872</v>
      </c>
      <c r="E2101" s="20">
        <v>0.09</v>
      </c>
      <c r="F2101" s="8" t="s">
        <v>436</v>
      </c>
      <c r="G2101" s="24">
        <v>1.1706760541873065</v>
      </c>
      <c r="H2101" s="24">
        <v>1.1774539697176796</v>
      </c>
      <c r="I2101" s="25">
        <v>1.1980460326128497</v>
      </c>
      <c r="X2101" s="15">
        <v>2100</v>
      </c>
      <c r="Y2101" s="39">
        <v>0.48603632973596861</v>
      </c>
      <c r="Z2101" s="39">
        <v>0.47958328224462671</v>
      </c>
      <c r="AA2101" s="39">
        <v>0.4911766780614788</v>
      </c>
      <c r="AB2101" s="39">
        <v>0.48979549855377363</v>
      </c>
      <c r="AC2101" s="39">
        <v>0.47881254937592815</v>
      </c>
      <c r="AD2101" s="39">
        <v>0.47437624891436841</v>
      </c>
      <c r="AE2101" s="39">
        <v>0.4859417995550237</v>
      </c>
      <c r="AF2101" s="40">
        <v>0.48358718997802652</v>
      </c>
    </row>
    <row r="2102" spans="1:32">
      <c r="A2102" s="15">
        <v>2100</v>
      </c>
      <c r="B2102" s="16">
        <v>1</v>
      </c>
      <c r="C2102" s="20">
        <v>0.92</v>
      </c>
      <c r="D2102" s="20">
        <v>0.20258497911151899</v>
      </c>
      <c r="E2102" s="20">
        <v>0.08</v>
      </c>
      <c r="F2102" s="8" t="s">
        <v>434</v>
      </c>
      <c r="G2102" s="24">
        <v>1.5062946385960256</v>
      </c>
      <c r="H2102" s="24">
        <v>1.5150157000610995</v>
      </c>
      <c r="I2102" s="25">
        <v>1.5415112569025349</v>
      </c>
      <c r="X2102" s="15">
        <v>2101</v>
      </c>
      <c r="Y2102" s="39">
        <v>0.49643029067908506</v>
      </c>
      <c r="Z2102" s="39">
        <v>0.49610068770810328</v>
      </c>
      <c r="AA2102" s="39">
        <v>0.49107651513273187</v>
      </c>
      <c r="AB2102" s="39">
        <v>0.49442235228309428</v>
      </c>
      <c r="AC2102" s="39">
        <v>0.49051792663770261</v>
      </c>
      <c r="AD2102" s="39">
        <v>0.48802812928077333</v>
      </c>
      <c r="AE2102" s="39">
        <v>0.48423273925035132</v>
      </c>
      <c r="AF2102" s="40">
        <v>0.49026879502995302</v>
      </c>
    </row>
    <row r="2103" spans="1:32">
      <c r="A2103" s="15">
        <v>2101</v>
      </c>
      <c r="B2103" s="16">
        <v>1</v>
      </c>
      <c r="C2103" s="20">
        <v>0.08</v>
      </c>
      <c r="D2103" s="20">
        <v>0.92732780728055453</v>
      </c>
      <c r="E2103" s="20">
        <v>0.08</v>
      </c>
      <c r="F2103" s="8" t="s">
        <v>436</v>
      </c>
      <c r="G2103" s="24">
        <v>1.1658335325513385</v>
      </c>
      <c r="H2103" s="24">
        <v>1.1725834111175273</v>
      </c>
      <c r="I2103" s="25">
        <v>1.1930902945903095</v>
      </c>
      <c r="X2103" s="15">
        <v>2102</v>
      </c>
      <c r="Y2103" s="39">
        <v>0.48733386085443514</v>
      </c>
      <c r="Z2103" s="39">
        <v>0.47721703639463109</v>
      </c>
      <c r="AA2103" s="39">
        <v>0.4822459409857402</v>
      </c>
      <c r="AB2103" s="39">
        <v>0.49360963500507116</v>
      </c>
      <c r="AC2103" s="39">
        <v>0.48117324881331108</v>
      </c>
      <c r="AD2103" s="39">
        <v>0.47060387538460069</v>
      </c>
      <c r="AE2103" s="39">
        <v>0.47663880592832292</v>
      </c>
      <c r="AF2103" s="40">
        <v>0.48809274205359293</v>
      </c>
    </row>
    <row r="2104" spans="1:32">
      <c r="A2104" s="15">
        <v>2102</v>
      </c>
      <c r="B2104" s="16">
        <v>0</v>
      </c>
      <c r="C2104" s="20">
        <v>0.02</v>
      </c>
      <c r="D2104" s="20">
        <v>0.99835916395484214</v>
      </c>
      <c r="E2104" s="20">
        <v>1</v>
      </c>
      <c r="F2104" s="8" t="s">
        <v>436</v>
      </c>
      <c r="G2104" s="24">
        <v>0.91832239001757932</v>
      </c>
      <c r="H2104" s="24">
        <v>0.92363924224747351</v>
      </c>
      <c r="I2104" s="25">
        <v>0.93979243197544871</v>
      </c>
      <c r="X2104" s="15">
        <v>2103</v>
      </c>
      <c r="Y2104" s="39">
        <v>0.48805951700890354</v>
      </c>
      <c r="Z2104" s="39">
        <v>0.48388503601647281</v>
      </c>
      <c r="AA2104" s="39">
        <v>0.48963802808688955</v>
      </c>
      <c r="AB2104" s="39">
        <v>0.50010831807630496</v>
      </c>
      <c r="AC2104" s="39">
        <v>0.4820571011419712</v>
      </c>
      <c r="AD2104" s="39">
        <v>0.47772324759482282</v>
      </c>
      <c r="AE2104" s="39">
        <v>0.4830313952165512</v>
      </c>
      <c r="AF2104" s="40">
        <v>0.49631459929497057</v>
      </c>
    </row>
    <row r="2105" spans="1:32">
      <c r="A2105" s="15">
        <v>2103</v>
      </c>
      <c r="B2105" s="16">
        <v>0</v>
      </c>
      <c r="C2105" s="20">
        <v>0.02</v>
      </c>
      <c r="D2105" s="20">
        <v>0.99756714174924133</v>
      </c>
      <c r="E2105" s="20">
        <v>1</v>
      </c>
      <c r="F2105" s="8" t="s">
        <v>436</v>
      </c>
      <c r="G2105" s="24">
        <v>1.0131968336312138</v>
      </c>
      <c r="H2105" s="24">
        <v>1.0190629846722559</v>
      </c>
      <c r="I2105" s="25">
        <v>1.0368850054171876</v>
      </c>
      <c r="X2105" s="15">
        <v>2104</v>
      </c>
      <c r="Y2105" s="39">
        <v>0.49619018666776582</v>
      </c>
      <c r="Z2105" s="39">
        <v>0.49115599756733069</v>
      </c>
      <c r="AA2105" s="39">
        <v>0.47282241119551544</v>
      </c>
      <c r="AB2105" s="39">
        <v>0.48645607843345917</v>
      </c>
      <c r="AC2105" s="39">
        <v>0.48676173610165058</v>
      </c>
      <c r="AD2105" s="39">
        <v>0.48334337628322915</v>
      </c>
      <c r="AE2105" s="39">
        <v>0.46592234468722538</v>
      </c>
      <c r="AF2105" s="40">
        <v>0.48655254467405123</v>
      </c>
    </row>
    <row r="2106" spans="1:32">
      <c r="A2106" s="15">
        <v>2104</v>
      </c>
      <c r="B2106" s="16">
        <v>1</v>
      </c>
      <c r="C2106" s="20">
        <v>0.14000000000000001</v>
      </c>
      <c r="D2106" s="20">
        <v>0.9128971137298928</v>
      </c>
      <c r="E2106" s="20">
        <v>0.44</v>
      </c>
      <c r="F2106" s="8" t="s">
        <v>436</v>
      </c>
      <c r="G2106" s="24">
        <v>1.2559106779278997</v>
      </c>
      <c r="H2106" s="24">
        <v>1.2631820801729881</v>
      </c>
      <c r="I2106" s="25">
        <v>1.2852734107149462</v>
      </c>
      <c r="X2106" s="15">
        <v>2105</v>
      </c>
      <c r="Y2106" s="39">
        <v>0.49506465713941983</v>
      </c>
      <c r="Z2106" s="39">
        <v>0.48609048642669167</v>
      </c>
      <c r="AA2106" s="39">
        <v>0.49802114087276783</v>
      </c>
      <c r="AB2106" s="39">
        <v>0.49943490590076811</v>
      </c>
      <c r="AC2106" s="39">
        <v>0.48839654063486954</v>
      </c>
      <c r="AD2106" s="39">
        <v>0.4777475612308118</v>
      </c>
      <c r="AE2106" s="39">
        <v>0.49158349371409227</v>
      </c>
      <c r="AF2106" s="40">
        <v>0.49525845454305029</v>
      </c>
    </row>
    <row r="2107" spans="1:32">
      <c r="A2107" s="15">
        <v>2105</v>
      </c>
      <c r="B2107" s="16">
        <v>1</v>
      </c>
      <c r="C2107" s="20">
        <v>0.17</v>
      </c>
      <c r="D2107" s="20">
        <v>0.90562289116227268</v>
      </c>
      <c r="E2107" s="20">
        <v>0.1</v>
      </c>
      <c r="F2107" s="8" t="s">
        <v>436</v>
      </c>
      <c r="G2107" s="24">
        <v>1.19296100959421</v>
      </c>
      <c r="H2107" s="24">
        <v>1.199867949327996</v>
      </c>
      <c r="I2107" s="25">
        <v>1.2208520021350753</v>
      </c>
      <c r="X2107" s="15">
        <v>2106</v>
      </c>
      <c r="Y2107" s="39">
        <v>0.48130940717719189</v>
      </c>
      <c r="Z2107" s="39">
        <v>0.49049201382806257</v>
      </c>
      <c r="AA2107" s="39">
        <v>0.47319859421622817</v>
      </c>
      <c r="AB2107" s="39">
        <v>0.47739410850710035</v>
      </c>
      <c r="AC2107" s="39">
        <v>0.473392824914247</v>
      </c>
      <c r="AD2107" s="39">
        <v>0.48412552194132025</v>
      </c>
      <c r="AE2107" s="39">
        <v>0.46618182337501252</v>
      </c>
      <c r="AF2107" s="40">
        <v>0.47288162618740653</v>
      </c>
    </row>
    <row r="2108" spans="1:32">
      <c r="A2108" s="15">
        <v>2106</v>
      </c>
      <c r="B2108" s="16">
        <v>1</v>
      </c>
      <c r="C2108" s="20">
        <v>0.9</v>
      </c>
      <c r="D2108" s="20">
        <v>0.231595386583653</v>
      </c>
      <c r="E2108" s="20">
        <v>0.1</v>
      </c>
      <c r="F2108" s="8" t="s">
        <v>434</v>
      </c>
      <c r="G2108" s="24">
        <v>1.4417947652715442</v>
      </c>
      <c r="H2108" s="24">
        <v>1.4501423889341198</v>
      </c>
      <c r="I2108" s="25">
        <v>1.4755034001055742</v>
      </c>
      <c r="X2108" s="15">
        <v>2107</v>
      </c>
      <c r="Y2108" s="39">
        <v>0.48850921973554562</v>
      </c>
      <c r="Z2108" s="39">
        <v>0.48450126514975395</v>
      </c>
      <c r="AA2108" s="39">
        <v>0.49761054776731478</v>
      </c>
      <c r="AB2108" s="39">
        <v>0.48778905375044551</v>
      </c>
      <c r="AC2108" s="39">
        <v>0.4828864121995628</v>
      </c>
      <c r="AD2108" s="39">
        <v>0.47837809404249604</v>
      </c>
      <c r="AE2108" s="39">
        <v>0.49208951786175059</v>
      </c>
      <c r="AF2108" s="40">
        <v>0.48660316341900067</v>
      </c>
    </row>
    <row r="2109" spans="1:32">
      <c r="A2109" s="15">
        <v>2107</v>
      </c>
      <c r="B2109" s="16">
        <v>0</v>
      </c>
      <c r="C2109" s="20">
        <v>0.6</v>
      </c>
      <c r="D2109" s="20">
        <v>0.45146125670744386</v>
      </c>
      <c r="E2109" s="20">
        <v>0.08</v>
      </c>
      <c r="F2109" s="8" t="s">
        <v>438</v>
      </c>
      <c r="G2109" s="24">
        <v>0.73520704289494276</v>
      </c>
      <c r="H2109" s="24">
        <v>0.73946370400648886</v>
      </c>
      <c r="I2109" s="25">
        <v>0.75239591494060121</v>
      </c>
      <c r="X2109" s="15">
        <v>2108</v>
      </c>
      <c r="Y2109" s="39">
        <v>0.50778791903648313</v>
      </c>
      <c r="Z2109" s="39">
        <v>0.47941069204430614</v>
      </c>
      <c r="AA2109" s="39">
        <v>0.4800625994193245</v>
      </c>
      <c r="AB2109" s="39">
        <v>0.48938142762461961</v>
      </c>
      <c r="AC2109" s="39">
        <v>0.49959208215733691</v>
      </c>
      <c r="AD2109" s="39">
        <v>0.47374602200303095</v>
      </c>
      <c r="AE2109" s="39">
        <v>0.4716732953757663</v>
      </c>
      <c r="AF2109" s="40">
        <v>0.48524501978024664</v>
      </c>
    </row>
    <row r="2110" spans="1:32">
      <c r="A2110" s="15">
        <v>2108</v>
      </c>
      <c r="B2110" s="16">
        <v>1</v>
      </c>
      <c r="C2110" s="20">
        <v>0.02</v>
      </c>
      <c r="D2110" s="20">
        <v>0.99756714174924133</v>
      </c>
      <c r="E2110" s="20">
        <v>1</v>
      </c>
      <c r="F2110" s="8" t="s">
        <v>436</v>
      </c>
      <c r="G2110" s="24">
        <v>1.0589377445276278</v>
      </c>
      <c r="H2110" s="24">
        <v>1.065068723767068</v>
      </c>
      <c r="I2110" s="25">
        <v>1.0836953220983374</v>
      </c>
      <c r="X2110" s="15">
        <v>2109</v>
      </c>
      <c r="Y2110" s="39">
        <v>0.48099450421120921</v>
      </c>
      <c r="Z2110" s="39">
        <v>0.49713688963222558</v>
      </c>
      <c r="AA2110" s="39">
        <v>0.47497518669719074</v>
      </c>
      <c r="AB2110" s="39">
        <v>0.48733228240591875</v>
      </c>
      <c r="AC2110" s="39">
        <v>0.47358445218359624</v>
      </c>
      <c r="AD2110" s="39">
        <v>0.49005736644518971</v>
      </c>
      <c r="AE2110" s="39">
        <v>0.46536531192385638</v>
      </c>
      <c r="AF2110" s="40">
        <v>0.48630867261822575</v>
      </c>
    </row>
    <row r="2111" spans="1:32">
      <c r="A2111" s="15">
        <v>2109</v>
      </c>
      <c r="B2111" s="16">
        <v>0</v>
      </c>
      <c r="C2111" s="20">
        <v>0.95</v>
      </c>
      <c r="D2111" s="20">
        <v>0.15570568692893463</v>
      </c>
      <c r="E2111" s="20">
        <v>0.05</v>
      </c>
      <c r="F2111" s="8" t="s">
        <v>434</v>
      </c>
      <c r="G2111" s="24">
        <v>0.37518959404821661</v>
      </c>
      <c r="H2111" s="24">
        <v>0.37736184602794909</v>
      </c>
      <c r="I2111" s="25">
        <v>0.38396138967678339</v>
      </c>
      <c r="X2111" s="15">
        <v>2110</v>
      </c>
      <c r="Y2111" s="39">
        <v>0.46223214859707806</v>
      </c>
      <c r="Z2111" s="39">
        <v>0.47229650452445543</v>
      </c>
      <c r="AA2111" s="39">
        <v>0.48465019609200649</v>
      </c>
      <c r="AB2111" s="39">
        <v>0.48436643818355463</v>
      </c>
      <c r="AC2111" s="39">
        <v>0.45669173573690769</v>
      </c>
      <c r="AD2111" s="39">
        <v>0.46824991362031532</v>
      </c>
      <c r="AE2111" s="39">
        <v>0.47925656011852164</v>
      </c>
      <c r="AF2111" s="40">
        <v>0.48265239823613815</v>
      </c>
    </row>
    <row r="2112" spans="1:32">
      <c r="A2112" s="15">
        <v>2110</v>
      </c>
      <c r="B2112" s="16">
        <v>0</v>
      </c>
      <c r="C2112" s="20">
        <v>0.5</v>
      </c>
      <c r="D2112" s="20">
        <v>0.58648775140257603</v>
      </c>
      <c r="E2112" s="20">
        <v>0.06</v>
      </c>
      <c r="F2112" s="8" t="s">
        <v>438</v>
      </c>
      <c r="G2112" s="24">
        <v>1.2154219168174547</v>
      </c>
      <c r="H2112" s="24">
        <v>1.2224588994707573</v>
      </c>
      <c r="I2112" s="25">
        <v>1.2438380371628219</v>
      </c>
      <c r="X2112" s="15">
        <v>2111</v>
      </c>
      <c r="Y2112" s="39">
        <v>0.48186365098783723</v>
      </c>
      <c r="Z2112" s="39">
        <v>0.47942637812931238</v>
      </c>
      <c r="AA2112" s="39">
        <v>0.47766141063416523</v>
      </c>
      <c r="AB2112" s="39">
        <v>0.47999780420630889</v>
      </c>
      <c r="AC2112" s="39">
        <v>0.47377609571871465</v>
      </c>
      <c r="AD2112" s="39">
        <v>0.47324427702025046</v>
      </c>
      <c r="AE2112" s="39">
        <v>0.46923262696302726</v>
      </c>
      <c r="AF2112" s="40">
        <v>0.47557659030064936</v>
      </c>
    </row>
    <row r="2113" spans="1:32">
      <c r="A2113" s="15">
        <v>2111</v>
      </c>
      <c r="B2113" s="16">
        <v>1</v>
      </c>
      <c r="C2113" s="20">
        <v>0.18</v>
      </c>
      <c r="D2113" s="20">
        <v>0.89672496240784427</v>
      </c>
      <c r="E2113" s="20">
        <v>7.0000000000000007E-2</v>
      </c>
      <c r="F2113" s="8" t="s">
        <v>436</v>
      </c>
      <c r="G2113" s="24">
        <v>1.1023828341665145</v>
      </c>
      <c r="H2113" s="24">
        <v>1.1087653493852963</v>
      </c>
      <c r="I2113" s="25">
        <v>1.1281561420597663</v>
      </c>
      <c r="X2113" s="15">
        <v>2112</v>
      </c>
      <c r="Y2113" s="39">
        <v>0.47887949656896101</v>
      </c>
      <c r="Z2113" s="39">
        <v>0.48265829641993624</v>
      </c>
      <c r="AA2113" s="39">
        <v>0.49196381043785137</v>
      </c>
      <c r="AB2113" s="39">
        <v>0.48292892055357817</v>
      </c>
      <c r="AC2113" s="39">
        <v>0.47412121398728624</v>
      </c>
      <c r="AD2113" s="39">
        <v>0.47323719019977634</v>
      </c>
      <c r="AE2113" s="39">
        <v>0.4846411429671969</v>
      </c>
      <c r="AF2113" s="40">
        <v>0.47899616273338874</v>
      </c>
    </row>
    <row r="2114" spans="1:32">
      <c r="A2114" s="15">
        <v>2112</v>
      </c>
      <c r="B2114" s="16">
        <v>0</v>
      </c>
      <c r="C2114" s="20">
        <v>0.14000000000000001</v>
      </c>
      <c r="D2114" s="20">
        <v>0.85135689577024665</v>
      </c>
      <c r="E2114" s="20">
        <v>0.09</v>
      </c>
      <c r="F2114" s="8" t="s">
        <v>436</v>
      </c>
      <c r="G2114" s="24">
        <v>0.76423181409992991</v>
      </c>
      <c r="H2114" s="24">
        <v>0.76865652122797401</v>
      </c>
      <c r="I2114" s="25">
        <v>0.78209927469179241</v>
      </c>
      <c r="X2114" s="15">
        <v>2113</v>
      </c>
      <c r="Y2114" s="39">
        <v>0.4961169076994133</v>
      </c>
      <c r="Z2114" s="39">
        <v>0.48421929043097767</v>
      </c>
      <c r="AA2114" s="39">
        <v>0.48301102248182459</v>
      </c>
      <c r="AB2114" s="39">
        <v>0.49259771828684373</v>
      </c>
      <c r="AC2114" s="39">
        <v>0.48957236109668995</v>
      </c>
      <c r="AD2114" s="39">
        <v>0.47617992168644169</v>
      </c>
      <c r="AE2114" s="39">
        <v>0.47485302820192571</v>
      </c>
      <c r="AF2114" s="40">
        <v>0.48844109209837483</v>
      </c>
    </row>
    <row r="2115" spans="1:32">
      <c r="A2115" s="15">
        <v>2113</v>
      </c>
      <c r="B2115" s="16">
        <v>1</v>
      </c>
      <c r="C2115" s="20">
        <v>0.02</v>
      </c>
      <c r="D2115" s="20">
        <v>0.99835916395484214</v>
      </c>
      <c r="E2115" s="20">
        <v>1</v>
      </c>
      <c r="F2115" s="8" t="s">
        <v>436</v>
      </c>
      <c r="G2115" s="24">
        <v>0.95920071502182258</v>
      </c>
      <c r="H2115" s="24">
        <v>0.96475424231900875</v>
      </c>
      <c r="I2115" s="25">
        <v>0.98162647728287622</v>
      </c>
      <c r="X2115" s="15">
        <v>2114</v>
      </c>
      <c r="Y2115" s="39">
        <v>0.48346281237102728</v>
      </c>
      <c r="Z2115" s="39">
        <v>0.48731585331223809</v>
      </c>
      <c r="AA2115" s="39">
        <v>0.4975001844235738</v>
      </c>
      <c r="AB2115" s="39">
        <v>0.46933677495839354</v>
      </c>
      <c r="AC2115" s="39">
        <v>0.47437608753336202</v>
      </c>
      <c r="AD2115" s="39">
        <v>0.47993003521265004</v>
      </c>
      <c r="AE2115" s="39">
        <v>0.4913912508091216</v>
      </c>
      <c r="AF2115" s="40">
        <v>0.4647878417856311</v>
      </c>
    </row>
    <row r="2116" spans="1:32">
      <c r="A2116" s="15">
        <v>2114</v>
      </c>
      <c r="B2116" s="16">
        <v>1</v>
      </c>
      <c r="C2116" s="20">
        <v>0.4</v>
      </c>
      <c r="D2116" s="20">
        <v>0.66942518457467792</v>
      </c>
      <c r="E2116" s="20">
        <v>7.0000000000000007E-2</v>
      </c>
      <c r="F2116" s="8" t="s">
        <v>436</v>
      </c>
      <c r="G2116" s="24">
        <v>1.4287030995186032</v>
      </c>
      <c r="H2116" s="24">
        <v>1.4369749257782098</v>
      </c>
      <c r="I2116" s="25">
        <v>1.4621056559905359</v>
      </c>
      <c r="X2116" s="15">
        <v>2115</v>
      </c>
      <c r="Y2116" s="39">
        <v>0.48009443241388156</v>
      </c>
      <c r="Z2116" s="39">
        <v>0.49839695601286765</v>
      </c>
      <c r="AA2116" s="39">
        <v>0.48851236202109105</v>
      </c>
      <c r="AB2116" s="39">
        <v>0.48381296841757893</v>
      </c>
      <c r="AC2116" s="39">
        <v>0.47401707400614118</v>
      </c>
      <c r="AD2116" s="39">
        <v>0.49385945199528852</v>
      </c>
      <c r="AE2116" s="39">
        <v>0.48069512649960727</v>
      </c>
      <c r="AF2116" s="40">
        <v>0.48109420155917004</v>
      </c>
    </row>
    <row r="2117" spans="1:32">
      <c r="A2117" s="15">
        <v>2115</v>
      </c>
      <c r="B2117" s="16">
        <v>1</v>
      </c>
      <c r="C2117" s="20">
        <v>0.19</v>
      </c>
      <c r="D2117" s="20">
        <v>0.86000805604612152</v>
      </c>
      <c r="E2117" s="20">
        <v>7.0000000000000007E-2</v>
      </c>
      <c r="F2117" s="8" t="s">
        <v>436</v>
      </c>
      <c r="G2117" s="24">
        <v>1.0889061914515648</v>
      </c>
      <c r="H2117" s="24">
        <v>1.0952106803490356</v>
      </c>
      <c r="I2117" s="25">
        <v>1.1143644203620036</v>
      </c>
      <c r="X2117" s="15">
        <v>2116</v>
      </c>
      <c r="Y2117" s="39">
        <v>0.49137737992857533</v>
      </c>
      <c r="Z2117" s="39">
        <v>0.47974407833428773</v>
      </c>
      <c r="AA2117" s="39">
        <v>0.49152727981277622</v>
      </c>
      <c r="AB2117" s="39">
        <v>0.48840925434833055</v>
      </c>
      <c r="AC2117" s="39">
        <v>0.48533933924104061</v>
      </c>
      <c r="AD2117" s="39">
        <v>0.47304026538758409</v>
      </c>
      <c r="AE2117" s="39">
        <v>0.48335465591494553</v>
      </c>
      <c r="AF2117" s="40">
        <v>0.48526993331497448</v>
      </c>
    </row>
    <row r="2118" spans="1:32">
      <c r="A2118" s="15">
        <v>2116</v>
      </c>
      <c r="B2118" s="16">
        <v>1</v>
      </c>
      <c r="C2118" s="20">
        <v>0.93</v>
      </c>
      <c r="D2118" s="20">
        <v>0.18747949848141848</v>
      </c>
      <c r="E2118" s="20">
        <v>7.0000000000000007E-2</v>
      </c>
      <c r="F2118" s="8" t="s">
        <v>434</v>
      </c>
      <c r="G2118" s="24">
        <v>0.34552041666740396</v>
      </c>
      <c r="H2118" s="24">
        <v>0.34752089168336964</v>
      </c>
      <c r="I2118" s="25">
        <v>0.35359855776881788</v>
      </c>
      <c r="X2118" s="15">
        <v>2117</v>
      </c>
      <c r="Y2118" s="39">
        <v>0.47179249204844725</v>
      </c>
      <c r="Z2118" s="39">
        <v>0.4699908111320677</v>
      </c>
      <c r="AA2118" s="39">
        <v>0.47003887704099739</v>
      </c>
      <c r="AB2118" s="39">
        <v>0.49260773193442514</v>
      </c>
      <c r="AC2118" s="39">
        <v>0.46551529416171772</v>
      </c>
      <c r="AD2118" s="39">
        <v>0.46510719323569977</v>
      </c>
      <c r="AE2118" s="39">
        <v>0.4653599534901563</v>
      </c>
      <c r="AF2118" s="40">
        <v>0.48831746383589691</v>
      </c>
    </row>
    <row r="2119" spans="1:32">
      <c r="A2119" s="15">
        <v>2117</v>
      </c>
      <c r="B2119" s="16">
        <v>0</v>
      </c>
      <c r="C2119" s="20">
        <v>0.63</v>
      </c>
      <c r="D2119" s="20">
        <v>0.53146145060469308</v>
      </c>
      <c r="E2119" s="20">
        <v>0.1</v>
      </c>
      <c r="F2119" s="8" t="s">
        <v>438</v>
      </c>
      <c r="G2119" s="24">
        <v>1.6420552023935708</v>
      </c>
      <c r="H2119" s="24">
        <v>1.6515622828691852</v>
      </c>
      <c r="I2119" s="25">
        <v>1.6578926537592125</v>
      </c>
      <c r="X2119" s="15">
        <v>2118</v>
      </c>
      <c r="Y2119" s="39">
        <v>0.47721681165246638</v>
      </c>
      <c r="Z2119" s="39">
        <v>0.47737641006679804</v>
      </c>
      <c r="AA2119" s="39">
        <v>0.48128912278799701</v>
      </c>
      <c r="AB2119" s="39">
        <v>0.49417930234625856</v>
      </c>
      <c r="AC2119" s="39">
        <v>0.47086382727570342</v>
      </c>
      <c r="AD2119" s="39">
        <v>0.4704237598939297</v>
      </c>
      <c r="AE2119" s="39">
        <v>0.4720953413601876</v>
      </c>
      <c r="AF2119" s="40">
        <v>0.48937389430397621</v>
      </c>
    </row>
    <row r="2120" spans="1:32">
      <c r="A2120" s="15">
        <v>2118</v>
      </c>
      <c r="B2120" s="16">
        <v>1</v>
      </c>
      <c r="C2120" s="20">
        <v>0.08</v>
      </c>
      <c r="D2120" s="20">
        <v>0.9435349274516367</v>
      </c>
      <c r="E2120" s="20">
        <v>0.47</v>
      </c>
      <c r="F2120" s="8" t="s">
        <v>436</v>
      </c>
      <c r="G2120" s="24">
        <v>1.0155256428110981</v>
      </c>
      <c r="H2120" s="24">
        <v>1.0214052770628466</v>
      </c>
      <c r="I2120" s="25">
        <v>1.0392682613048376</v>
      </c>
      <c r="X2120" s="15">
        <v>2119</v>
      </c>
      <c r="Y2120" s="39">
        <v>0.4935839446942305</v>
      </c>
      <c r="Z2120" s="39">
        <v>0.48294460021635416</v>
      </c>
      <c r="AA2120" s="39">
        <v>0.48816412591117941</v>
      </c>
      <c r="AB2120" s="39">
        <v>0.47510984559019898</v>
      </c>
      <c r="AC2120" s="39">
        <v>0.48530753013786154</v>
      </c>
      <c r="AD2120" s="39">
        <v>0.47758571335344407</v>
      </c>
      <c r="AE2120" s="39">
        <v>0.4830965533854556</v>
      </c>
      <c r="AF2120" s="40">
        <v>0.47120423551234081</v>
      </c>
    </row>
    <row r="2121" spans="1:32">
      <c r="A2121" s="15">
        <v>2119</v>
      </c>
      <c r="B2121" s="16">
        <v>0</v>
      </c>
      <c r="C2121" s="20">
        <v>0.31</v>
      </c>
      <c r="D2121" s="20">
        <v>0.61296586929044616</v>
      </c>
      <c r="E2121" s="20">
        <v>0.14000000000000001</v>
      </c>
      <c r="F2121" s="8" t="s">
        <v>436</v>
      </c>
      <c r="G2121" s="24">
        <v>0.81573640206636999</v>
      </c>
      <c r="H2121" s="24">
        <v>0.82045930761182817</v>
      </c>
      <c r="I2121" s="25">
        <v>0.83480802110703289</v>
      </c>
      <c r="X2121" s="15">
        <v>2120</v>
      </c>
      <c r="Y2121" s="39">
        <v>0.49081899344540109</v>
      </c>
      <c r="Z2121" s="39">
        <v>0.48425084906747429</v>
      </c>
      <c r="AA2121" s="39">
        <v>0.48126814368238496</v>
      </c>
      <c r="AB2121" s="39">
        <v>0.47940132184219686</v>
      </c>
      <c r="AC2121" s="39">
        <v>0.4834789637129121</v>
      </c>
      <c r="AD2121" s="39">
        <v>0.4782722073081086</v>
      </c>
      <c r="AE2121" s="39">
        <v>0.47444080736788391</v>
      </c>
      <c r="AF2121" s="40">
        <v>0.47286832781128613</v>
      </c>
    </row>
    <row r="2122" spans="1:32">
      <c r="A2122" s="15">
        <v>2120</v>
      </c>
      <c r="B2122" s="16">
        <v>0</v>
      </c>
      <c r="C2122" s="20">
        <v>0.94</v>
      </c>
      <c r="D2122" s="20">
        <v>0.17188516685452584</v>
      </c>
      <c r="E2122" s="20">
        <v>0.06</v>
      </c>
      <c r="F2122" s="8" t="s">
        <v>434</v>
      </c>
      <c r="G2122" s="24">
        <v>0.69433425244040792</v>
      </c>
      <c r="H2122" s="24">
        <v>0.69835427052829202</v>
      </c>
      <c r="I2122" s="25">
        <v>0.71056753357863223</v>
      </c>
      <c r="X2122" s="15">
        <v>2121</v>
      </c>
      <c r="Y2122" s="39">
        <v>0.49438522334319202</v>
      </c>
      <c r="Z2122" s="39">
        <v>0.47337786006839416</v>
      </c>
      <c r="AA2122" s="39">
        <v>0.48743097454822409</v>
      </c>
      <c r="AB2122" s="39">
        <v>0.49477604283952686</v>
      </c>
      <c r="AC2122" s="39">
        <v>0.48929060259156548</v>
      </c>
      <c r="AD2122" s="39">
        <v>0.4672794517046126</v>
      </c>
      <c r="AE2122" s="39">
        <v>0.48158284496415565</v>
      </c>
      <c r="AF2122" s="40">
        <v>0.48935828717129981</v>
      </c>
    </row>
    <row r="2123" spans="1:32">
      <c r="A2123" s="15">
        <v>2121</v>
      </c>
      <c r="B2123" s="16">
        <v>0</v>
      </c>
      <c r="C2123" s="20">
        <v>0.02</v>
      </c>
      <c r="D2123" s="20">
        <v>0.99835916395484214</v>
      </c>
      <c r="E2123" s="20">
        <v>1</v>
      </c>
      <c r="F2123" s="8" t="s">
        <v>436</v>
      </c>
      <c r="G2123" s="24">
        <v>0.97123122492446246</v>
      </c>
      <c r="H2123" s="24">
        <v>0.97685440580311178</v>
      </c>
      <c r="I2123" s="25">
        <v>0.9939382561115403</v>
      </c>
      <c r="X2123" s="15">
        <v>2122</v>
      </c>
      <c r="Y2123" s="39">
        <v>0.48310009582988234</v>
      </c>
      <c r="Z2123" s="39">
        <v>0.47903999484186499</v>
      </c>
      <c r="AA2123" s="39">
        <v>0.49246731857392873</v>
      </c>
      <c r="AB2123" s="39">
        <v>0.48792240451482399</v>
      </c>
      <c r="AC2123" s="39">
        <v>0.47359835823441648</v>
      </c>
      <c r="AD2123" s="39">
        <v>0.47361445302031618</v>
      </c>
      <c r="AE2123" s="39">
        <v>0.48449468442130372</v>
      </c>
      <c r="AF2123" s="40">
        <v>0.48345016049829026</v>
      </c>
    </row>
    <row r="2124" spans="1:32">
      <c r="A2124" s="15">
        <v>2122</v>
      </c>
      <c r="B2124" s="16">
        <v>1</v>
      </c>
      <c r="C2124" s="20">
        <v>0.17</v>
      </c>
      <c r="D2124" s="20">
        <v>0.83513781497741268</v>
      </c>
      <c r="E2124" s="20">
        <v>0.05</v>
      </c>
      <c r="F2124" s="8" t="s">
        <v>436</v>
      </c>
      <c r="G2124" s="24">
        <v>0.74876114567741259</v>
      </c>
      <c r="H2124" s="24">
        <v>0.75309628158428821</v>
      </c>
      <c r="I2124" s="25">
        <v>0.76626690769396177</v>
      </c>
      <c r="X2124" s="15">
        <v>2123</v>
      </c>
      <c r="Y2124" s="39">
        <v>0.47897760928133659</v>
      </c>
      <c r="Z2124" s="39">
        <v>0.49152350327898559</v>
      </c>
      <c r="AA2124" s="39">
        <v>0.48796193373636076</v>
      </c>
      <c r="AB2124" s="39">
        <v>0.48861069087128106</v>
      </c>
      <c r="AC2124" s="39">
        <v>0.47349940891690434</v>
      </c>
      <c r="AD2124" s="39">
        <v>0.48529175114412931</v>
      </c>
      <c r="AE2124" s="39">
        <v>0.4828042340243639</v>
      </c>
      <c r="AF2124" s="40">
        <v>0.48353654858269324</v>
      </c>
    </row>
    <row r="2125" spans="1:32">
      <c r="A2125" s="15">
        <v>2123</v>
      </c>
      <c r="B2125" s="16">
        <v>1</v>
      </c>
      <c r="C2125" s="20">
        <v>0.28000000000000003</v>
      </c>
      <c r="D2125" s="20">
        <v>0.70350376520327629</v>
      </c>
      <c r="E2125" s="20">
        <v>0.1</v>
      </c>
      <c r="F2125" s="8" t="s">
        <v>436</v>
      </c>
      <c r="G2125" s="24">
        <v>0.71683226357645324</v>
      </c>
      <c r="H2125" s="24">
        <v>0.72098253940603807</v>
      </c>
      <c r="I2125" s="25">
        <v>0.73359153999510429</v>
      </c>
      <c r="X2125" s="15">
        <v>2124</v>
      </c>
      <c r="Y2125" s="39">
        <v>0.48445385932760038</v>
      </c>
      <c r="Z2125" s="39">
        <v>0.48311530280009324</v>
      </c>
      <c r="AA2125" s="39">
        <v>0.47912975768347354</v>
      </c>
      <c r="AB2125" s="39">
        <v>0.49630660853743375</v>
      </c>
      <c r="AC2125" s="39">
        <v>0.47927879055809419</v>
      </c>
      <c r="AD2125" s="39">
        <v>0.47661182269979874</v>
      </c>
      <c r="AE2125" s="39">
        <v>0.4733164139384769</v>
      </c>
      <c r="AF2125" s="40">
        <v>0.49098620404340454</v>
      </c>
    </row>
    <row r="2126" spans="1:32">
      <c r="A2126" s="15">
        <v>2124</v>
      </c>
      <c r="B2126" s="16">
        <v>0</v>
      </c>
      <c r="C2126" s="20">
        <v>0.57999999999999996</v>
      </c>
      <c r="D2126" s="20">
        <v>0.59824342514576601</v>
      </c>
      <c r="E2126" s="20">
        <v>0.42</v>
      </c>
      <c r="F2126" s="8" t="s">
        <v>438</v>
      </c>
      <c r="G2126" s="24">
        <v>1.1064826470977667</v>
      </c>
      <c r="H2126" s="24">
        <v>1.1128888991869141</v>
      </c>
      <c r="I2126" s="25">
        <v>1.1323518071194325</v>
      </c>
      <c r="X2126" s="15">
        <v>2125</v>
      </c>
      <c r="Y2126" s="39">
        <v>0.48570442585267043</v>
      </c>
      <c r="Z2126" s="39">
        <v>0.48148449790067177</v>
      </c>
      <c r="AA2126" s="39">
        <v>0.4856920807631091</v>
      </c>
      <c r="AB2126" s="39">
        <v>0.49018021098104864</v>
      </c>
      <c r="AC2126" s="39">
        <v>0.47830697308993242</v>
      </c>
      <c r="AD2126" s="39">
        <v>0.4761367459380148</v>
      </c>
      <c r="AE2126" s="39">
        <v>0.47752793870378057</v>
      </c>
      <c r="AF2126" s="40">
        <v>0.48534473769972919</v>
      </c>
    </row>
    <row r="2127" spans="1:32">
      <c r="A2127" s="15">
        <v>2125</v>
      </c>
      <c r="B2127" s="16">
        <v>1</v>
      </c>
      <c r="C2127" s="20">
        <v>0.24</v>
      </c>
      <c r="D2127" s="20">
        <v>0.73550507276815913</v>
      </c>
      <c r="E2127" s="20">
        <v>0.22</v>
      </c>
      <c r="F2127" s="8" t="s">
        <v>436</v>
      </c>
      <c r="G2127" s="24">
        <v>0.81655582275273386</v>
      </c>
      <c r="H2127" s="24">
        <v>0.82128347253480316</v>
      </c>
      <c r="I2127" s="25">
        <v>0.83564659954965825</v>
      </c>
      <c r="X2127" s="15">
        <v>2126</v>
      </c>
      <c r="Y2127" s="39">
        <v>0.48174778716632943</v>
      </c>
      <c r="Z2127" s="39">
        <v>0.49056363230667649</v>
      </c>
      <c r="AA2127" s="39">
        <v>0.48216581546032594</v>
      </c>
      <c r="AB2127" s="39">
        <v>0.49088841289893254</v>
      </c>
      <c r="AC2127" s="39">
        <v>0.47625417237034645</v>
      </c>
      <c r="AD2127" s="39">
        <v>0.48454603124184004</v>
      </c>
      <c r="AE2127" s="39">
        <v>0.47420598986806173</v>
      </c>
      <c r="AF2127" s="40">
        <v>0.48556512501647264</v>
      </c>
    </row>
    <row r="2128" spans="1:32">
      <c r="A2128" s="15">
        <v>2126</v>
      </c>
      <c r="B2128" s="16">
        <v>0</v>
      </c>
      <c r="C2128" s="20">
        <v>0.02</v>
      </c>
      <c r="D2128" s="20">
        <v>0.99531127541355291</v>
      </c>
      <c r="E2128" s="20">
        <v>1</v>
      </c>
      <c r="F2128" s="8" t="s">
        <v>436</v>
      </c>
      <c r="G2128" s="24">
        <v>1.1037913147704943</v>
      </c>
      <c r="H2128" s="24">
        <v>1.1101819847324486</v>
      </c>
      <c r="I2128" s="25">
        <v>1.129597552425661</v>
      </c>
      <c r="X2128" s="15">
        <v>2127</v>
      </c>
      <c r="Y2128" s="39">
        <v>0.4841949585653475</v>
      </c>
      <c r="Z2128" s="39">
        <v>0.47842269618874872</v>
      </c>
      <c r="AA2128" s="39">
        <v>0.4780555670184467</v>
      </c>
      <c r="AB2128" s="39">
        <v>0.48829379416740581</v>
      </c>
      <c r="AC2128" s="39">
        <v>0.47870864864267426</v>
      </c>
      <c r="AD2128" s="39">
        <v>0.47224243414058109</v>
      </c>
      <c r="AE2128" s="39">
        <v>0.47030547628840907</v>
      </c>
      <c r="AF2128" s="40">
        <v>0.4836751964338063</v>
      </c>
    </row>
    <row r="2129" spans="1:32">
      <c r="A2129" s="15">
        <v>2127</v>
      </c>
      <c r="B2129" s="16">
        <v>0</v>
      </c>
      <c r="C2129" s="20">
        <v>0.02</v>
      </c>
      <c r="D2129" s="20">
        <v>0.99756714174924133</v>
      </c>
      <c r="E2129" s="20">
        <v>1</v>
      </c>
      <c r="F2129" s="8" t="s">
        <v>436</v>
      </c>
      <c r="G2129" s="24">
        <v>1.0377312146480855</v>
      </c>
      <c r="H2129" s="24">
        <v>1.0437394134926403</v>
      </c>
      <c r="I2129" s="25">
        <v>1.0619929912982864</v>
      </c>
      <c r="X2129" s="15">
        <v>2128</v>
      </c>
      <c r="Y2129" s="39">
        <v>0.47947028418193954</v>
      </c>
      <c r="Z2129" s="39">
        <v>0.47472352898017339</v>
      </c>
      <c r="AA2129" s="39">
        <v>0.4894609468500955</v>
      </c>
      <c r="AB2129" s="39">
        <v>0.48055187531896326</v>
      </c>
      <c r="AC2129" s="39">
        <v>0.47493076652456334</v>
      </c>
      <c r="AD2129" s="39">
        <v>0.46698579099886972</v>
      </c>
      <c r="AE2129" s="39">
        <v>0.48357804374661878</v>
      </c>
      <c r="AF2129" s="40">
        <v>0.47496657646154594</v>
      </c>
    </row>
    <row r="2130" spans="1:32">
      <c r="A2130" s="15">
        <v>2128</v>
      </c>
      <c r="B2130" s="16">
        <v>1</v>
      </c>
      <c r="C2130" s="20">
        <v>0.03</v>
      </c>
      <c r="D2130" s="20">
        <v>0.9956483904099791</v>
      </c>
      <c r="E2130" s="20">
        <v>1</v>
      </c>
      <c r="F2130" s="8" t="s">
        <v>436</v>
      </c>
      <c r="G2130" s="24">
        <v>1.0335481458389122</v>
      </c>
      <c r="H2130" s="24">
        <v>1.0395321257828198</v>
      </c>
      <c r="I2130" s="25">
        <v>1.0577121238686917</v>
      </c>
      <c r="X2130" s="15">
        <v>2129</v>
      </c>
      <c r="Y2130" s="39">
        <v>0.48655580996168662</v>
      </c>
      <c r="Z2130" s="39">
        <v>0.47699912584498028</v>
      </c>
      <c r="AA2130" s="39">
        <v>0.48704148861140989</v>
      </c>
      <c r="AB2130" s="39">
        <v>0.48858691043970603</v>
      </c>
      <c r="AC2130" s="39">
        <v>0.47879491971505805</v>
      </c>
      <c r="AD2130" s="39">
        <v>0.47104571517880189</v>
      </c>
      <c r="AE2130" s="39">
        <v>0.47789334959101387</v>
      </c>
      <c r="AF2130" s="40">
        <v>0.4857146810903592</v>
      </c>
    </row>
    <row r="2131" spans="1:32">
      <c r="A2131" s="15">
        <v>2129</v>
      </c>
      <c r="B2131" s="16">
        <v>0</v>
      </c>
      <c r="C2131" s="20">
        <v>0.01</v>
      </c>
      <c r="D2131" s="20">
        <v>0.99999999999999978</v>
      </c>
      <c r="E2131" s="20">
        <v>1</v>
      </c>
      <c r="F2131" s="8" t="s">
        <v>436</v>
      </c>
      <c r="G2131" s="24">
        <v>1.0832048535013872</v>
      </c>
      <c r="H2131" s="24">
        <v>1.0894763331074335</v>
      </c>
      <c r="I2131" s="25">
        <v>1.1085297872136071</v>
      </c>
      <c r="X2131" s="15">
        <v>2130</v>
      </c>
      <c r="Y2131" s="39">
        <v>0.4782369692739768</v>
      </c>
      <c r="Z2131" s="39">
        <v>0.48212221883533446</v>
      </c>
      <c r="AA2131" s="39">
        <v>0.49388026079706626</v>
      </c>
      <c r="AB2131" s="39">
        <v>0.48899749434420353</v>
      </c>
      <c r="AC2131" s="39">
        <v>0.47066328009139602</v>
      </c>
      <c r="AD2131" s="39">
        <v>0.47493360625222447</v>
      </c>
      <c r="AE2131" s="39">
        <v>0.48678368453654353</v>
      </c>
      <c r="AF2131" s="40">
        <v>0.48523314550771335</v>
      </c>
    </row>
    <row r="2132" spans="1:32">
      <c r="A2132" s="15">
        <v>2130</v>
      </c>
      <c r="B2132" s="16">
        <v>1</v>
      </c>
      <c r="C2132" s="20">
        <v>0.48</v>
      </c>
      <c r="D2132" s="20">
        <v>0.47407856321411462</v>
      </c>
      <c r="E2132" s="20">
        <v>0.06</v>
      </c>
      <c r="F2132" s="8" t="s">
        <v>436</v>
      </c>
      <c r="G2132" s="24">
        <v>0.82301113833965633</v>
      </c>
      <c r="H2132" s="24">
        <v>0.8277761627512088</v>
      </c>
      <c r="I2132" s="25">
        <v>0.84225283805647144</v>
      </c>
      <c r="X2132" s="15">
        <v>2131</v>
      </c>
      <c r="Y2132" s="39">
        <v>0.47535184207281361</v>
      </c>
      <c r="Z2132" s="39">
        <v>0.48177944717430221</v>
      </c>
      <c r="AA2132" s="39">
        <v>0.48247054919812676</v>
      </c>
      <c r="AB2132" s="39">
        <v>0.50169907692495308</v>
      </c>
      <c r="AC2132" s="39">
        <v>0.4718969200377845</v>
      </c>
      <c r="AD2132" s="39">
        <v>0.47576327844086447</v>
      </c>
      <c r="AE2132" s="39">
        <v>0.47456578566781782</v>
      </c>
      <c r="AF2132" s="40">
        <v>0.49842180924525614</v>
      </c>
    </row>
    <row r="2133" spans="1:32">
      <c r="A2133" s="15">
        <v>2131</v>
      </c>
      <c r="B2133" s="16">
        <v>0</v>
      </c>
      <c r="C2133" s="20">
        <v>0.14000000000000001</v>
      </c>
      <c r="D2133" s="20">
        <v>0.83782566978960316</v>
      </c>
      <c r="E2133" s="20">
        <v>0.46</v>
      </c>
      <c r="F2133" s="8" t="s">
        <v>436</v>
      </c>
      <c r="G2133" s="24">
        <v>0.88265111520141659</v>
      </c>
      <c r="H2133" s="24">
        <v>0.88776143985547118</v>
      </c>
      <c r="I2133" s="25">
        <v>0.9032871757870371</v>
      </c>
      <c r="X2133" s="15">
        <v>2132</v>
      </c>
      <c r="Y2133" s="39">
        <v>0.4826528812060647</v>
      </c>
      <c r="Z2133" s="39">
        <v>0.48470439531818321</v>
      </c>
      <c r="AA2133" s="39">
        <v>0.4864851427106528</v>
      </c>
      <c r="AB2133" s="39">
        <v>0.47941236043962432</v>
      </c>
      <c r="AC2133" s="39">
        <v>0.47659663264552854</v>
      </c>
      <c r="AD2133" s="39">
        <v>0.47614895299456972</v>
      </c>
      <c r="AE2133" s="39">
        <v>0.47571747958820526</v>
      </c>
      <c r="AF2133" s="40">
        <v>0.47462260858250449</v>
      </c>
    </row>
    <row r="2134" spans="1:32">
      <c r="A2134" s="15">
        <v>2132</v>
      </c>
      <c r="B2134" s="16">
        <v>1</v>
      </c>
      <c r="C2134" s="20">
        <v>0.89</v>
      </c>
      <c r="D2134" s="20">
        <v>0.24559627500636821</v>
      </c>
      <c r="E2134" s="20">
        <v>0.11</v>
      </c>
      <c r="F2134" s="8" t="s">
        <v>434</v>
      </c>
      <c r="G2134" s="24">
        <v>0.58240011446653317</v>
      </c>
      <c r="H2134" s="24">
        <v>0.58577206246753177</v>
      </c>
      <c r="I2134" s="25">
        <v>0.59601641635548641</v>
      </c>
      <c r="X2134" s="15">
        <v>2133</v>
      </c>
      <c r="Y2134" s="39">
        <v>0.48358650968522204</v>
      </c>
      <c r="Z2134" s="39">
        <v>0.48113398601485763</v>
      </c>
      <c r="AA2134" s="39">
        <v>0.48420546752194071</v>
      </c>
      <c r="AB2134" s="39">
        <v>0.50816565291567606</v>
      </c>
      <c r="AC2134" s="39">
        <v>0.48036167317355766</v>
      </c>
      <c r="AD2134" s="39">
        <v>0.47146824042545604</v>
      </c>
      <c r="AE2134" s="39">
        <v>0.4756714767018802</v>
      </c>
      <c r="AF2134" s="40">
        <v>0.50502352039879184</v>
      </c>
    </row>
    <row r="2135" spans="1:32">
      <c r="A2135" s="15">
        <v>2133</v>
      </c>
      <c r="B2135" s="16">
        <v>1</v>
      </c>
      <c r="C2135" s="20">
        <v>0.02</v>
      </c>
      <c r="D2135" s="20">
        <v>0.99756714174924133</v>
      </c>
      <c r="E2135" s="20">
        <v>1</v>
      </c>
      <c r="F2135" s="8" t="s">
        <v>436</v>
      </c>
      <c r="G2135" s="24">
        <v>1.0615249429063667</v>
      </c>
      <c r="H2135" s="24">
        <v>1.0676709013640189</v>
      </c>
      <c r="I2135" s="25">
        <v>1.0863430082299055</v>
      </c>
      <c r="X2135" s="15">
        <v>2134</v>
      </c>
      <c r="Y2135" s="39">
        <v>0.4797801933651249</v>
      </c>
      <c r="Z2135" s="39">
        <v>0.47137354371537166</v>
      </c>
      <c r="AA2135" s="39">
        <v>0.47630134639983607</v>
      </c>
      <c r="AB2135" s="39">
        <v>0.48196060171428362</v>
      </c>
      <c r="AC2135" s="39">
        <v>0.47396832393150029</v>
      </c>
      <c r="AD2135" s="39">
        <v>0.46829000889921873</v>
      </c>
      <c r="AE2135" s="39">
        <v>0.46959499817222711</v>
      </c>
      <c r="AF2135" s="40">
        <v>0.47671866859152767</v>
      </c>
    </row>
    <row r="2136" spans="1:32">
      <c r="A2136" s="15">
        <v>2134</v>
      </c>
      <c r="B2136" s="16">
        <v>0</v>
      </c>
      <c r="C2136" s="20">
        <v>0.2</v>
      </c>
      <c r="D2136" s="20">
        <v>0.78784341480983699</v>
      </c>
      <c r="E2136" s="20">
        <v>0.08</v>
      </c>
      <c r="F2136" s="8" t="s">
        <v>436</v>
      </c>
      <c r="G2136" s="24">
        <v>1.1403239469501762</v>
      </c>
      <c r="H2136" s="24">
        <v>1.1469261315272372</v>
      </c>
      <c r="I2136" s="25">
        <v>1.166984304198043</v>
      </c>
      <c r="X2136" s="15">
        <v>2135</v>
      </c>
      <c r="Y2136" s="39">
        <v>0.47533978509020958</v>
      </c>
      <c r="Z2136" s="39">
        <v>0.48899944472403761</v>
      </c>
      <c r="AA2136" s="39">
        <v>0.50135522465842086</v>
      </c>
      <c r="AB2136" s="39">
        <v>0.48568519210255162</v>
      </c>
      <c r="AC2136" s="39">
        <v>0.46697416809434117</v>
      </c>
      <c r="AD2136" s="39">
        <v>0.48191323617960291</v>
      </c>
      <c r="AE2136" s="39">
        <v>0.49409553990017735</v>
      </c>
      <c r="AF2136" s="40">
        <v>0.47860672472449661</v>
      </c>
    </row>
    <row r="2137" spans="1:32">
      <c r="A2137" s="15">
        <v>2135</v>
      </c>
      <c r="B2137" s="16">
        <v>0</v>
      </c>
      <c r="C2137" s="20">
        <v>0.37</v>
      </c>
      <c r="D2137" s="20">
        <v>0.6670110596653076</v>
      </c>
      <c r="E2137" s="20">
        <v>0.12</v>
      </c>
      <c r="F2137" s="8" t="s">
        <v>436</v>
      </c>
      <c r="G2137" s="24">
        <v>0.94530709527544865</v>
      </c>
      <c r="H2137" s="24">
        <v>0.95078018206074832</v>
      </c>
      <c r="I2137" s="25">
        <v>0.96740802978304241</v>
      </c>
      <c r="X2137" s="15">
        <v>2136</v>
      </c>
      <c r="Y2137" s="39">
        <v>0.48579221933161698</v>
      </c>
      <c r="Z2137" s="39">
        <v>0.48711704274461581</v>
      </c>
      <c r="AA2137" s="39">
        <v>0.46735932142489678</v>
      </c>
      <c r="AB2137" s="39">
        <v>0.48604041029841788</v>
      </c>
      <c r="AC2137" s="39">
        <v>0.4762820063140864</v>
      </c>
      <c r="AD2137" s="39">
        <v>0.48148187164396899</v>
      </c>
      <c r="AE2137" s="39">
        <v>0.45996565102040304</v>
      </c>
      <c r="AF2137" s="40">
        <v>0.48051542962944255</v>
      </c>
    </row>
    <row r="2138" spans="1:32">
      <c r="A2138" s="15">
        <v>2136</v>
      </c>
      <c r="B2138" s="16">
        <v>0</v>
      </c>
      <c r="C2138" s="20">
        <v>0.95</v>
      </c>
      <c r="D2138" s="20">
        <v>0.15570568692893463</v>
      </c>
      <c r="E2138" s="20">
        <v>0.05</v>
      </c>
      <c r="F2138" s="8" t="s">
        <v>434</v>
      </c>
      <c r="G2138" s="24">
        <v>1.3622536572504942</v>
      </c>
      <c r="H2138" s="24">
        <v>1.3701407582010603</v>
      </c>
      <c r="I2138" s="25">
        <v>1.3941026500403457</v>
      </c>
      <c r="X2138" s="15">
        <v>2137</v>
      </c>
      <c r="Y2138" s="39">
        <v>0.46690654900105449</v>
      </c>
      <c r="Z2138" s="39">
        <v>0.48172595244507144</v>
      </c>
      <c r="AA2138" s="39">
        <v>0.49063535944702291</v>
      </c>
      <c r="AB2138" s="39">
        <v>0.48418160870069116</v>
      </c>
      <c r="AC2138" s="39">
        <v>0.46275514866286516</v>
      </c>
      <c r="AD2138" s="39">
        <v>0.47509413084178548</v>
      </c>
      <c r="AE2138" s="39">
        <v>0.48415890571050013</v>
      </c>
      <c r="AF2138" s="40">
        <v>0.48217528109498486</v>
      </c>
    </row>
    <row r="2139" spans="1:32">
      <c r="A2139" s="15">
        <v>2137</v>
      </c>
      <c r="B2139" s="16">
        <v>0</v>
      </c>
      <c r="C2139" s="20">
        <v>0.09</v>
      </c>
      <c r="D2139" s="20">
        <v>0.93552193979754616</v>
      </c>
      <c r="E2139" s="20">
        <v>0.04</v>
      </c>
      <c r="F2139" s="8" t="s">
        <v>436</v>
      </c>
      <c r="G2139" s="24">
        <v>0.96886850327604124</v>
      </c>
      <c r="H2139" s="24">
        <v>0.97447800459944778</v>
      </c>
      <c r="I2139" s="25">
        <v>0.99152029489422933</v>
      </c>
      <c r="X2139" s="15">
        <v>2138</v>
      </c>
      <c r="Y2139" s="39">
        <v>0.49888776431189497</v>
      </c>
      <c r="Z2139" s="39">
        <v>0.47226544406381232</v>
      </c>
      <c r="AA2139" s="39">
        <v>0.49528186837985216</v>
      </c>
      <c r="AB2139" s="39">
        <v>0.48782622425437139</v>
      </c>
      <c r="AC2139" s="39">
        <v>0.4915566524055931</v>
      </c>
      <c r="AD2139" s="39">
        <v>0.46733205354816437</v>
      </c>
      <c r="AE2139" s="39">
        <v>0.486172121218305</v>
      </c>
      <c r="AF2139" s="40">
        <v>0.48168057315352192</v>
      </c>
    </row>
    <row r="2140" spans="1:32">
      <c r="A2140" s="15">
        <v>2138</v>
      </c>
      <c r="B2140" s="16">
        <v>0</v>
      </c>
      <c r="C2140" s="20">
        <v>0.21</v>
      </c>
      <c r="D2140" s="20">
        <v>0.80763401074173946</v>
      </c>
      <c r="E2140" s="20">
        <v>0.51</v>
      </c>
      <c r="F2140" s="8" t="s">
        <v>436</v>
      </c>
      <c r="G2140" s="24">
        <v>1.067684295578599</v>
      </c>
      <c r="H2140" s="24">
        <v>1.073865915116005</v>
      </c>
      <c r="I2140" s="25">
        <v>1.0926463643172168</v>
      </c>
      <c r="X2140" s="15">
        <v>2139</v>
      </c>
      <c r="Y2140" s="39">
        <v>0.48103172252127896</v>
      </c>
      <c r="Z2140" s="39">
        <v>0.48172600694875245</v>
      </c>
      <c r="AA2140" s="39">
        <v>0.49205747631142516</v>
      </c>
      <c r="AB2140" s="39">
        <v>0.48469793696981384</v>
      </c>
      <c r="AC2140" s="39">
        <v>0.47545366858028731</v>
      </c>
      <c r="AD2140" s="39">
        <v>0.47788278571499776</v>
      </c>
      <c r="AE2140" s="39">
        <v>0.48465694075299298</v>
      </c>
      <c r="AF2140" s="40">
        <v>0.48078351006380748</v>
      </c>
    </row>
    <row r="2141" spans="1:32">
      <c r="A2141" s="15">
        <v>2139</v>
      </c>
      <c r="B2141" s="16">
        <v>0</v>
      </c>
      <c r="C2141" s="20">
        <v>0.93</v>
      </c>
      <c r="D2141" s="20">
        <v>0.18747949848141848</v>
      </c>
      <c r="E2141" s="20">
        <v>7.0000000000000007E-2</v>
      </c>
      <c r="F2141" s="8" t="s">
        <v>434</v>
      </c>
      <c r="G2141" s="24">
        <v>0.33757813801622233</v>
      </c>
      <c r="H2141" s="24">
        <v>0.33953262926612066</v>
      </c>
      <c r="I2141" s="25">
        <v>0.34547059154458393</v>
      </c>
      <c r="X2141" s="15">
        <v>2140</v>
      </c>
      <c r="Y2141" s="39">
        <v>0.47433606334626716</v>
      </c>
      <c r="Z2141" s="39">
        <v>0.48944981449021868</v>
      </c>
      <c r="AA2141" s="39">
        <v>0.49592954529025224</v>
      </c>
      <c r="AB2141" s="39">
        <v>0.4906776044581469</v>
      </c>
      <c r="AC2141" s="39">
        <v>0.46638500734950888</v>
      </c>
      <c r="AD2141" s="39">
        <v>0.48329561735494264</v>
      </c>
      <c r="AE2141" s="39">
        <v>0.49036595967494828</v>
      </c>
      <c r="AF2141" s="40">
        <v>0.4851379551053176</v>
      </c>
    </row>
    <row r="2142" spans="1:32">
      <c r="A2142" s="15">
        <v>2140</v>
      </c>
      <c r="B2142" s="16">
        <v>0</v>
      </c>
      <c r="C2142" s="20">
        <v>0.02</v>
      </c>
      <c r="D2142" s="20">
        <v>0.99835916395484214</v>
      </c>
      <c r="E2142" s="20">
        <v>1</v>
      </c>
      <c r="F2142" s="8" t="s">
        <v>436</v>
      </c>
      <c r="G2142" s="24">
        <v>1.0379370708342259</v>
      </c>
      <c r="H2142" s="24">
        <v>1.0439464615335523</v>
      </c>
      <c r="I2142" s="25">
        <v>1.0622036603268465</v>
      </c>
      <c r="X2142" s="15">
        <v>2141</v>
      </c>
      <c r="Y2142" s="39">
        <v>0.48429152415164689</v>
      </c>
      <c r="Z2142" s="39">
        <v>0.49178442974773895</v>
      </c>
      <c r="AA2142" s="39">
        <v>0.47675404871998556</v>
      </c>
      <c r="AB2142" s="39">
        <v>0.49519376483372468</v>
      </c>
      <c r="AC2142" s="39">
        <v>0.47630820412281755</v>
      </c>
      <c r="AD2142" s="39">
        <v>0.4830591408158581</v>
      </c>
      <c r="AE2142" s="39">
        <v>0.47215527439329125</v>
      </c>
      <c r="AF2142" s="40">
        <v>0.49163721896084589</v>
      </c>
    </row>
    <row r="2143" spans="1:32">
      <c r="A2143" s="15">
        <v>2141</v>
      </c>
      <c r="B2143" s="16">
        <v>1</v>
      </c>
      <c r="C2143" s="20">
        <v>0.27</v>
      </c>
      <c r="D2143" s="20">
        <v>0.71066145755698251</v>
      </c>
      <c r="E2143" s="20">
        <v>0.25</v>
      </c>
      <c r="F2143" s="8" t="s">
        <v>436</v>
      </c>
      <c r="G2143" s="24">
        <v>1.0225931033264217</v>
      </c>
      <c r="H2143" s="24">
        <v>1.0285136563705344</v>
      </c>
      <c r="I2143" s="25">
        <v>1.0465009564648231</v>
      </c>
      <c r="X2143" s="15">
        <v>2142</v>
      </c>
      <c r="Y2143" s="39">
        <v>0.48533985302452681</v>
      </c>
      <c r="Z2143" s="39">
        <v>0.49679565442262613</v>
      </c>
      <c r="AA2143" s="39">
        <v>0.48884098512610769</v>
      </c>
      <c r="AB2143" s="39">
        <v>0.49608345739443516</v>
      </c>
      <c r="AC2143" s="39">
        <v>0.47905785080099944</v>
      </c>
      <c r="AD2143" s="39">
        <v>0.48955942102736727</v>
      </c>
      <c r="AE2143" s="39">
        <v>0.4816959379104202</v>
      </c>
      <c r="AF2143" s="40">
        <v>0.48917413035917101</v>
      </c>
    </row>
    <row r="2144" spans="1:32">
      <c r="A2144" s="15">
        <v>2142</v>
      </c>
      <c r="B2144" s="16">
        <v>0</v>
      </c>
      <c r="C2144" s="20">
        <v>0.02</v>
      </c>
      <c r="D2144" s="20">
        <v>0.99679477127711513</v>
      </c>
      <c r="E2144" s="20">
        <v>1</v>
      </c>
      <c r="F2144" s="8" t="s">
        <v>436</v>
      </c>
      <c r="G2144" s="24">
        <v>0.96204615736461629</v>
      </c>
      <c r="H2144" s="24">
        <v>0.96761615904664788</v>
      </c>
      <c r="I2144" s="25">
        <v>0.98453844502802601</v>
      </c>
      <c r="X2144" s="15">
        <v>2143</v>
      </c>
      <c r="Y2144" s="39">
        <v>0.48507859791988545</v>
      </c>
      <c r="Z2144" s="39">
        <v>0.46954921483665751</v>
      </c>
      <c r="AA2144" s="39">
        <v>0.48146034258208031</v>
      </c>
      <c r="AB2144" s="39">
        <v>0.48208119016264045</v>
      </c>
      <c r="AC2144" s="39">
        <v>0.47919894642660604</v>
      </c>
      <c r="AD2144" s="39">
        <v>0.46407504524089682</v>
      </c>
      <c r="AE2144" s="39">
        <v>0.47333228768067359</v>
      </c>
      <c r="AF2144" s="40">
        <v>0.47680949524071625</v>
      </c>
    </row>
    <row r="2145" spans="1:32">
      <c r="A2145" s="15">
        <v>2143</v>
      </c>
      <c r="B2145" s="16">
        <v>1</v>
      </c>
      <c r="C2145" s="20">
        <v>0.02</v>
      </c>
      <c r="D2145" s="20">
        <v>0.99679477127711513</v>
      </c>
      <c r="E2145" s="20">
        <v>1</v>
      </c>
      <c r="F2145" s="8" t="s">
        <v>436</v>
      </c>
      <c r="G2145" s="24">
        <v>1.0569786451790011</v>
      </c>
      <c r="H2145" s="24">
        <v>1.0630982817332866</v>
      </c>
      <c r="I2145" s="25">
        <v>1.0816904197227217</v>
      </c>
      <c r="X2145" s="15">
        <v>2144</v>
      </c>
      <c r="Y2145" s="39">
        <v>0.49109632435098133</v>
      </c>
      <c r="Z2145" s="39">
        <v>0.49325557995562075</v>
      </c>
      <c r="AA2145" s="39">
        <v>0.48199118644508759</v>
      </c>
      <c r="AB2145" s="39">
        <v>0.49258874199727898</v>
      </c>
      <c r="AC2145" s="39">
        <v>0.48595016869369961</v>
      </c>
      <c r="AD2145" s="39">
        <v>0.48661739176339736</v>
      </c>
      <c r="AE2145" s="39">
        <v>0.47639887353136512</v>
      </c>
      <c r="AF2145" s="40">
        <v>0.4876817618407292</v>
      </c>
    </row>
    <row r="2146" spans="1:32">
      <c r="A2146" s="15">
        <v>2144</v>
      </c>
      <c r="B2146" s="16">
        <v>0</v>
      </c>
      <c r="C2146" s="20">
        <v>0.95</v>
      </c>
      <c r="D2146" s="20">
        <v>0.15570568692893463</v>
      </c>
      <c r="E2146" s="20">
        <v>0.05</v>
      </c>
      <c r="F2146" s="8" t="s">
        <v>434</v>
      </c>
      <c r="G2146" s="24">
        <v>0.70212864353123328</v>
      </c>
      <c r="H2146" s="24">
        <v>0.70619378915395969</v>
      </c>
      <c r="I2146" s="25">
        <v>0.71854415468538135</v>
      </c>
      <c r="X2146" s="15">
        <v>2145</v>
      </c>
      <c r="Y2146" s="39">
        <v>0.48477936810248839</v>
      </c>
      <c r="Z2146" s="39">
        <v>0.47328401357886662</v>
      </c>
      <c r="AA2146" s="39">
        <v>0.49191398891139221</v>
      </c>
      <c r="AB2146" s="39">
        <v>0.50354252449619119</v>
      </c>
      <c r="AC2146" s="39">
        <v>0.4778832365833009</v>
      </c>
      <c r="AD2146" s="39">
        <v>0.46704620280008136</v>
      </c>
      <c r="AE2146" s="39">
        <v>0.48350429133565886</v>
      </c>
      <c r="AF2146" s="40">
        <v>0.50072140070574866</v>
      </c>
    </row>
    <row r="2147" spans="1:32">
      <c r="A2147" s="15">
        <v>2145</v>
      </c>
      <c r="B2147" s="16">
        <v>0</v>
      </c>
      <c r="C2147" s="20">
        <v>0.4</v>
      </c>
      <c r="D2147" s="20">
        <v>0.58675299374172141</v>
      </c>
      <c r="E2147" s="20">
        <v>0.27</v>
      </c>
      <c r="F2147" s="8" t="s">
        <v>436</v>
      </c>
      <c r="G2147" s="24">
        <v>0.51270995537015696</v>
      </c>
      <c r="H2147" s="24">
        <v>0.51567841513889523</v>
      </c>
      <c r="I2147" s="25">
        <v>0.52469692680162106</v>
      </c>
      <c r="X2147" s="15">
        <v>2146</v>
      </c>
      <c r="Y2147" s="39">
        <v>0.47199803466440615</v>
      </c>
      <c r="Z2147" s="39">
        <v>0.49087559197587449</v>
      </c>
      <c r="AA2147" s="39">
        <v>0.48477715969542329</v>
      </c>
      <c r="AB2147" s="39">
        <v>0.47587473152138404</v>
      </c>
      <c r="AC2147" s="39">
        <v>0.46792194639576562</v>
      </c>
      <c r="AD2147" s="39">
        <v>0.4824395544152229</v>
      </c>
      <c r="AE2147" s="39">
        <v>0.47942997658675451</v>
      </c>
      <c r="AF2147" s="40">
        <v>0.47212541359463234</v>
      </c>
    </row>
    <row r="2148" spans="1:32">
      <c r="A2148" s="15">
        <v>2146</v>
      </c>
      <c r="B2148" s="16">
        <v>0</v>
      </c>
      <c r="C2148" s="20">
        <v>0.34</v>
      </c>
      <c r="D2148" s="20">
        <v>0.71333094716384304</v>
      </c>
      <c r="E2148" s="20">
        <v>0.09</v>
      </c>
      <c r="F2148" s="8" t="s">
        <v>436</v>
      </c>
      <c r="G2148" s="24">
        <v>0.98968093158748227</v>
      </c>
      <c r="H2148" s="24">
        <v>0.99541093155829197</v>
      </c>
      <c r="I2148" s="25">
        <v>1.012819310175507</v>
      </c>
      <c r="X2148" s="15">
        <v>2147</v>
      </c>
      <c r="Y2148" s="39">
        <v>0.47945915106414327</v>
      </c>
      <c r="Z2148" s="39">
        <v>0.47789815529904456</v>
      </c>
      <c r="AA2148" s="39">
        <v>0.48649724773808667</v>
      </c>
      <c r="AB2148" s="39">
        <v>0.4840500038655674</v>
      </c>
      <c r="AC2148" s="39">
        <v>0.47435220942035317</v>
      </c>
      <c r="AD2148" s="39">
        <v>0.47162788961561924</v>
      </c>
      <c r="AE2148" s="39">
        <v>0.48203364897545736</v>
      </c>
      <c r="AF2148" s="40">
        <v>0.47931073383711259</v>
      </c>
    </row>
    <row r="2149" spans="1:32">
      <c r="A2149" s="15">
        <v>2147</v>
      </c>
      <c r="B2149" s="16">
        <v>1</v>
      </c>
      <c r="C2149" s="20">
        <v>0.02</v>
      </c>
      <c r="D2149" s="20">
        <v>0.99756714174924133</v>
      </c>
      <c r="E2149" s="20">
        <v>1</v>
      </c>
      <c r="F2149" s="8" t="s">
        <v>436</v>
      </c>
      <c r="G2149" s="24">
        <v>1.0625862799806869</v>
      </c>
      <c r="H2149" s="24">
        <v>1.0687383833090855</v>
      </c>
      <c r="I2149" s="25">
        <v>1.0874291589772502</v>
      </c>
      <c r="X2149" s="15">
        <v>2148</v>
      </c>
      <c r="Y2149" s="39">
        <v>0.48232085903902833</v>
      </c>
      <c r="Z2149" s="39">
        <v>0.47773905598872629</v>
      </c>
      <c r="AA2149" s="39">
        <v>0.48498023748120539</v>
      </c>
      <c r="AB2149" s="39">
        <v>0.48802369864358325</v>
      </c>
      <c r="AC2149" s="39">
        <v>0.47584551606684011</v>
      </c>
      <c r="AD2149" s="39">
        <v>0.47302705530096362</v>
      </c>
      <c r="AE2149" s="39">
        <v>0.47776090354052647</v>
      </c>
      <c r="AF2149" s="40">
        <v>0.4837242728112503</v>
      </c>
    </row>
    <row r="2150" spans="1:32">
      <c r="A2150" s="15">
        <v>2148</v>
      </c>
      <c r="B2150" s="16">
        <v>0</v>
      </c>
      <c r="C2150" s="20">
        <v>0.09</v>
      </c>
      <c r="D2150" s="20">
        <v>0.89108744893948078</v>
      </c>
      <c r="E2150" s="20">
        <v>0.35</v>
      </c>
      <c r="F2150" s="8" t="s">
        <v>436</v>
      </c>
      <c r="G2150" s="24">
        <v>0.93525709658236456</v>
      </c>
      <c r="H2150" s="24">
        <v>0.94067199644056476</v>
      </c>
      <c r="I2150" s="25">
        <v>0.95712306579240858</v>
      </c>
      <c r="X2150" s="15">
        <v>2149</v>
      </c>
      <c r="Y2150" s="39">
        <v>0.47001354625638886</v>
      </c>
      <c r="Z2150" s="39">
        <v>0.49282664631828016</v>
      </c>
      <c r="AA2150" s="39">
        <v>0.48220998226989453</v>
      </c>
      <c r="AB2150" s="39">
        <v>0.48447948306343203</v>
      </c>
      <c r="AC2150" s="39">
        <v>0.46503463824544194</v>
      </c>
      <c r="AD2150" s="39">
        <v>0.48877761246226242</v>
      </c>
      <c r="AE2150" s="39">
        <v>0.47419185930055857</v>
      </c>
      <c r="AF2150" s="40">
        <v>0.47851795952298226</v>
      </c>
    </row>
    <row r="2151" spans="1:32">
      <c r="A2151" s="15">
        <v>2149</v>
      </c>
      <c r="B2151" s="16">
        <v>0</v>
      </c>
      <c r="C2151" s="20">
        <v>0.1</v>
      </c>
      <c r="D2151" s="20">
        <v>0.94068580755485653</v>
      </c>
      <c r="E2151" s="20">
        <v>0.05</v>
      </c>
      <c r="F2151" s="8" t="s">
        <v>436</v>
      </c>
      <c r="G2151" s="24">
        <v>0.82140829902884926</v>
      </c>
      <c r="H2151" s="24">
        <v>0.82616404340992822</v>
      </c>
      <c r="I2151" s="25">
        <v>0.84061252494819538</v>
      </c>
      <c r="X2151" s="15">
        <v>2150</v>
      </c>
      <c r="Y2151" s="39">
        <v>0.48742841016405963</v>
      </c>
      <c r="Z2151" s="39">
        <v>0.48646501791001945</v>
      </c>
      <c r="AA2151" s="39">
        <v>0.48916935411024887</v>
      </c>
      <c r="AB2151" s="39">
        <v>0.48759746024060269</v>
      </c>
      <c r="AC2151" s="39">
        <v>0.48229905298468484</v>
      </c>
      <c r="AD2151" s="39">
        <v>0.48128598667286326</v>
      </c>
      <c r="AE2151" s="39">
        <v>0.48315292743602745</v>
      </c>
      <c r="AF2151" s="40">
        <v>0.48423358701313274</v>
      </c>
    </row>
    <row r="2152" spans="1:32">
      <c r="A2152" s="15">
        <v>2150</v>
      </c>
      <c r="B2152" s="16">
        <v>1</v>
      </c>
      <c r="C2152" s="20">
        <v>0.01</v>
      </c>
      <c r="D2152" s="20">
        <v>0.99999999999999978</v>
      </c>
      <c r="E2152" s="20">
        <v>1</v>
      </c>
      <c r="F2152" s="8" t="s">
        <v>436</v>
      </c>
      <c r="G2152" s="24">
        <v>1.0673994856434921</v>
      </c>
      <c r="H2152" s="24">
        <v>1.0735794562040735</v>
      </c>
      <c r="I2152" s="25">
        <v>1.0923548956298861</v>
      </c>
      <c r="X2152" s="15">
        <v>2151</v>
      </c>
      <c r="Y2152" s="39">
        <v>0.4708948847476408</v>
      </c>
      <c r="Z2152" s="39">
        <v>0.49182149542788267</v>
      </c>
      <c r="AA2152" s="39">
        <v>0.49053263061846542</v>
      </c>
      <c r="AB2152" s="39">
        <v>0.49223991739882128</v>
      </c>
      <c r="AC2152" s="39">
        <v>0.46513139852535168</v>
      </c>
      <c r="AD2152" s="39">
        <v>0.48530802010132701</v>
      </c>
      <c r="AE2152" s="39">
        <v>0.48137667428490638</v>
      </c>
      <c r="AF2152" s="40">
        <v>0.48912121173759515</v>
      </c>
    </row>
    <row r="2153" spans="1:32">
      <c r="A2153" s="15">
        <v>2151</v>
      </c>
      <c r="B2153" s="16">
        <v>1</v>
      </c>
      <c r="C2153" s="20">
        <v>0.32</v>
      </c>
      <c r="D2153" s="20">
        <v>0.79301463013341345</v>
      </c>
      <c r="E2153" s="20">
        <v>0.05</v>
      </c>
      <c r="F2153" s="8" t="s">
        <v>436</v>
      </c>
      <c r="G2153" s="24">
        <v>0.99367057607759579</v>
      </c>
      <c r="H2153" s="24">
        <v>0.99942367507161822</v>
      </c>
      <c r="I2153" s="25">
        <v>1.0169022310961322</v>
      </c>
      <c r="X2153" s="15">
        <v>2152</v>
      </c>
      <c r="Y2153" s="39">
        <v>0.48027799574672719</v>
      </c>
      <c r="Z2153" s="39">
        <v>0.4908177197061907</v>
      </c>
      <c r="AA2153" s="39">
        <v>0.48937752101038307</v>
      </c>
      <c r="AB2153" s="39">
        <v>0.50333837122553038</v>
      </c>
      <c r="AC2153" s="39">
        <v>0.47469687040547676</v>
      </c>
      <c r="AD2153" s="39">
        <v>0.48567150155681388</v>
      </c>
      <c r="AE2153" s="39">
        <v>0.48229161910359847</v>
      </c>
      <c r="AF2153" s="40">
        <v>0.49919478129925593</v>
      </c>
    </row>
    <row r="2154" spans="1:32">
      <c r="A2154" s="15">
        <v>2152</v>
      </c>
      <c r="B2154" s="16">
        <v>0</v>
      </c>
      <c r="C2154" s="20">
        <v>0.02</v>
      </c>
      <c r="D2154" s="20">
        <v>0.99835916395484214</v>
      </c>
      <c r="E2154" s="20">
        <v>1</v>
      </c>
      <c r="F2154" s="8" t="s">
        <v>436</v>
      </c>
      <c r="G2154" s="24">
        <v>1.0695094099825821</v>
      </c>
      <c r="H2154" s="24">
        <v>1.0757015964665138</v>
      </c>
      <c r="I2154" s="25">
        <v>1.0945141492291364</v>
      </c>
      <c r="X2154" s="15">
        <v>2153</v>
      </c>
      <c r="Y2154" s="39">
        <v>0.48496635951005918</v>
      </c>
      <c r="Z2154" s="39">
        <v>0.48681664998602397</v>
      </c>
      <c r="AA2154" s="39">
        <v>0.47030055167262191</v>
      </c>
      <c r="AB2154" s="39">
        <v>0.49339032552722528</v>
      </c>
      <c r="AC2154" s="39">
        <v>0.47740445563332817</v>
      </c>
      <c r="AD2154" s="39">
        <v>0.47690616712570161</v>
      </c>
      <c r="AE2154" s="39">
        <v>0.46321503515332124</v>
      </c>
      <c r="AF2154" s="40">
        <v>0.49133935104509679</v>
      </c>
    </row>
    <row r="2155" spans="1:32">
      <c r="A2155" s="15">
        <v>2153</v>
      </c>
      <c r="B2155" s="16">
        <v>1</v>
      </c>
      <c r="C2155" s="20">
        <v>0.93</v>
      </c>
      <c r="D2155" s="20">
        <v>0.18747949848141848</v>
      </c>
      <c r="E2155" s="20">
        <v>7.0000000000000007E-2</v>
      </c>
      <c r="F2155" s="8" t="s">
        <v>434</v>
      </c>
      <c r="G2155" s="24">
        <v>1.4367600773804421</v>
      </c>
      <c r="H2155" s="24">
        <v>1.445078551485268</v>
      </c>
      <c r="I2155" s="25">
        <v>1.4703510030510654</v>
      </c>
      <c r="X2155" s="15">
        <v>2154</v>
      </c>
      <c r="Y2155" s="39">
        <v>0.48652843798959677</v>
      </c>
      <c r="Z2155" s="39">
        <v>0.49562649648384616</v>
      </c>
      <c r="AA2155" s="39">
        <v>0.50777767796153817</v>
      </c>
      <c r="AB2155" s="39">
        <v>0.48248883273109155</v>
      </c>
      <c r="AC2155" s="39">
        <v>0.48020919978650189</v>
      </c>
      <c r="AD2155" s="39">
        <v>0.48713653759802894</v>
      </c>
      <c r="AE2155" s="39">
        <v>0.50029094882990366</v>
      </c>
      <c r="AF2155" s="40">
        <v>0.47869489910412738</v>
      </c>
    </row>
    <row r="2156" spans="1:32">
      <c r="A2156" s="15">
        <v>2154</v>
      </c>
      <c r="B2156" s="16">
        <v>1</v>
      </c>
      <c r="C2156" s="20">
        <v>0.25</v>
      </c>
      <c r="D2156" s="20">
        <v>0.68139693083865016</v>
      </c>
      <c r="E2156" s="20">
        <v>0.1</v>
      </c>
      <c r="F2156" s="8" t="s">
        <v>436</v>
      </c>
      <c r="G2156" s="24">
        <v>0.67274861118674745</v>
      </c>
      <c r="H2156" s="24">
        <v>0.67664365392166104</v>
      </c>
      <c r="I2156" s="25">
        <v>0.6884772279190492</v>
      </c>
      <c r="X2156" s="15">
        <v>2155</v>
      </c>
      <c r="Y2156" s="39">
        <v>0.4777000887079989</v>
      </c>
      <c r="Z2156" s="39">
        <v>0.45350656235994768</v>
      </c>
      <c r="AA2156" s="39">
        <v>0.5004838726247538</v>
      </c>
      <c r="AB2156" s="39">
        <v>0.47323820882317741</v>
      </c>
      <c r="AC2156" s="39">
        <v>0.47038794770504877</v>
      </c>
      <c r="AD2156" s="39">
        <v>0.44698243943554883</v>
      </c>
      <c r="AE2156" s="39">
        <v>0.49387856451253798</v>
      </c>
      <c r="AF2156" s="40">
        <v>0.46898428627071764</v>
      </c>
    </row>
    <row r="2157" spans="1:32">
      <c r="A2157" s="15">
        <v>2155</v>
      </c>
      <c r="B2157" s="16">
        <v>1</v>
      </c>
      <c r="C2157" s="20">
        <v>0.05</v>
      </c>
      <c r="D2157" s="20">
        <v>0.95461752065066696</v>
      </c>
      <c r="E2157" s="20">
        <v>0.37</v>
      </c>
      <c r="F2157" s="8" t="s">
        <v>436</v>
      </c>
      <c r="G2157" s="24">
        <v>1.1026005757849051</v>
      </c>
      <c r="H2157" s="24">
        <v>1.1089843516720772</v>
      </c>
      <c r="I2157" s="25">
        <v>1.1283789743976402</v>
      </c>
      <c r="X2157" s="15">
        <v>2156</v>
      </c>
      <c r="Y2157" s="39">
        <v>0.48555790470302262</v>
      </c>
      <c r="Z2157" s="39">
        <v>0.48277177978957519</v>
      </c>
      <c r="AA2157" s="39">
        <v>0.49434964767829925</v>
      </c>
      <c r="AB2157" s="39">
        <v>0.48755534764253877</v>
      </c>
      <c r="AC2157" s="39">
        <v>0.48210239501713503</v>
      </c>
      <c r="AD2157" s="39">
        <v>0.47673840574563908</v>
      </c>
      <c r="AE2157" s="39">
        <v>0.48765770790730861</v>
      </c>
      <c r="AF2157" s="40">
        <v>0.48605310816738012</v>
      </c>
    </row>
    <row r="2158" spans="1:32">
      <c r="A2158" s="15">
        <v>2156</v>
      </c>
      <c r="B2158" s="16">
        <v>0</v>
      </c>
      <c r="C2158" s="20">
        <v>0.93</v>
      </c>
      <c r="D2158" s="20">
        <v>0.18747949848141848</v>
      </c>
      <c r="E2158" s="20">
        <v>7.0000000000000007E-2</v>
      </c>
      <c r="F2158" s="8" t="s">
        <v>434</v>
      </c>
      <c r="G2158" s="24">
        <v>0.66345241686501411</v>
      </c>
      <c r="H2158" s="24">
        <v>0.66729363700772437</v>
      </c>
      <c r="I2158" s="25">
        <v>0.67896369197055628</v>
      </c>
      <c r="X2158" s="15">
        <v>2157</v>
      </c>
      <c r="Y2158" s="39">
        <v>0.49657474604778973</v>
      </c>
      <c r="Z2158" s="39">
        <v>0.49047409577587997</v>
      </c>
      <c r="AA2158" s="39">
        <v>0.4797896703240267</v>
      </c>
      <c r="AB2158" s="39">
        <v>0.48789949275918432</v>
      </c>
      <c r="AC2158" s="39">
        <v>0.49101174729056402</v>
      </c>
      <c r="AD2158" s="39">
        <v>0.48513647286552453</v>
      </c>
      <c r="AE2158" s="39">
        <v>0.47049254796794199</v>
      </c>
      <c r="AF2158" s="40">
        <v>0.48432490801420558</v>
      </c>
    </row>
    <row r="2159" spans="1:32">
      <c r="A2159" s="15">
        <v>2157</v>
      </c>
      <c r="B2159" s="16">
        <v>0</v>
      </c>
      <c r="C2159" s="20">
        <v>0.69</v>
      </c>
      <c r="D2159" s="20">
        <v>0.51217612152902192</v>
      </c>
      <c r="E2159" s="20">
        <v>0.06</v>
      </c>
      <c r="F2159" s="8" t="s">
        <v>438</v>
      </c>
      <c r="G2159" s="24">
        <v>2.3752506150568826</v>
      </c>
      <c r="H2159" s="24">
        <v>2.3557193791407478</v>
      </c>
      <c r="I2159" s="25">
        <v>1.6578926537592125</v>
      </c>
      <c r="X2159" s="15">
        <v>2158</v>
      </c>
      <c r="Y2159" s="39">
        <v>0.4884785126885004</v>
      </c>
      <c r="Z2159" s="39">
        <v>0.49404998944935791</v>
      </c>
      <c r="AA2159" s="39">
        <v>0.47668983465301101</v>
      </c>
      <c r="AB2159" s="39">
        <v>0.48819770735351475</v>
      </c>
      <c r="AC2159" s="39">
        <v>0.48310150202048635</v>
      </c>
      <c r="AD2159" s="39">
        <v>0.48735088659906139</v>
      </c>
      <c r="AE2159" s="39">
        <v>0.47141207397469365</v>
      </c>
      <c r="AF2159" s="40">
        <v>0.48096495128132866</v>
      </c>
    </row>
    <row r="2160" spans="1:32">
      <c r="A2160" s="15">
        <v>2158</v>
      </c>
      <c r="B2160" s="16">
        <v>1</v>
      </c>
      <c r="C2160" s="20">
        <v>0.92</v>
      </c>
      <c r="D2160" s="20">
        <v>0.20258497911151899</v>
      </c>
      <c r="E2160" s="20">
        <v>0.08</v>
      </c>
      <c r="F2160" s="8" t="s">
        <v>434</v>
      </c>
      <c r="G2160" s="24">
        <v>1.2412351904042209</v>
      </c>
      <c r="H2160" s="24">
        <v>1.2484216253225697</v>
      </c>
      <c r="I2160" s="25">
        <v>1.2702548156548394</v>
      </c>
      <c r="X2160" s="15">
        <v>2159</v>
      </c>
      <c r="Y2160" s="39">
        <v>0.49978988788730372</v>
      </c>
      <c r="Z2160" s="39">
        <v>0.48609034763385478</v>
      </c>
      <c r="AA2160" s="39">
        <v>0.48600681763516096</v>
      </c>
      <c r="AB2160" s="39">
        <v>0.4809434147463747</v>
      </c>
      <c r="AC2160" s="39">
        <v>0.49008190018157488</v>
      </c>
      <c r="AD2160" s="39">
        <v>0.47907201607756889</v>
      </c>
      <c r="AE2160" s="39">
        <v>0.47825110081654382</v>
      </c>
      <c r="AF2160" s="40">
        <v>0.47614017420863369</v>
      </c>
    </row>
    <row r="2161" spans="1:32">
      <c r="A2161" s="15">
        <v>2159</v>
      </c>
      <c r="B2161" s="16">
        <v>1</v>
      </c>
      <c r="C2161" s="20">
        <v>0.17</v>
      </c>
      <c r="D2161" s="20">
        <v>0.94130720995528039</v>
      </c>
      <c r="E2161" s="20">
        <v>0.02</v>
      </c>
      <c r="F2161" s="8" t="s">
        <v>436</v>
      </c>
      <c r="G2161" s="24">
        <v>0.96430579991843812</v>
      </c>
      <c r="H2161" s="24">
        <v>0.96988888435406651</v>
      </c>
      <c r="I2161" s="25">
        <v>0.98685091719916707</v>
      </c>
      <c r="X2161" s="15">
        <v>2160</v>
      </c>
      <c r="Y2161" s="39">
        <v>0.49271743152187297</v>
      </c>
      <c r="Z2161" s="39">
        <v>0.47735418103721983</v>
      </c>
      <c r="AA2161" s="39">
        <v>0.50312483236378114</v>
      </c>
      <c r="AB2161" s="39">
        <v>0.48756684701966474</v>
      </c>
      <c r="AC2161" s="39">
        <v>0.48570484134966291</v>
      </c>
      <c r="AD2161" s="39">
        <v>0.47127812235325478</v>
      </c>
      <c r="AE2161" s="39">
        <v>0.4950810437052332</v>
      </c>
      <c r="AF2161" s="40">
        <v>0.48391903717272317</v>
      </c>
    </row>
    <row r="2162" spans="1:32">
      <c r="A2162" s="15">
        <v>2160</v>
      </c>
      <c r="B2162" s="16">
        <v>1</v>
      </c>
      <c r="C2162" s="20">
        <v>0.02</v>
      </c>
      <c r="D2162" s="20">
        <v>0.99917029198757767</v>
      </c>
      <c r="E2162" s="20">
        <v>1</v>
      </c>
      <c r="F2162" s="8" t="s">
        <v>436</v>
      </c>
      <c r="G2162" s="24">
        <v>1.0775021868932881</v>
      </c>
      <c r="H2162" s="24">
        <v>1.0837406495153197</v>
      </c>
      <c r="I2162" s="25">
        <v>1.1026937943437523</v>
      </c>
      <c r="X2162" s="15">
        <v>2161</v>
      </c>
      <c r="Y2162" s="39">
        <v>0.48114282373309031</v>
      </c>
      <c r="Z2162" s="39">
        <v>0.48408405503825513</v>
      </c>
      <c r="AA2162" s="39">
        <v>0.48708399370801497</v>
      </c>
      <c r="AB2162" s="39">
        <v>0.49434295756266711</v>
      </c>
      <c r="AC2162" s="39">
        <v>0.4755400101098628</v>
      </c>
      <c r="AD2162" s="39">
        <v>0.47620489305675084</v>
      </c>
      <c r="AE2162" s="39">
        <v>0.48090611992102411</v>
      </c>
      <c r="AF2162" s="40">
        <v>0.48769497406181211</v>
      </c>
    </row>
    <row r="2163" spans="1:32">
      <c r="A2163" s="15">
        <v>2161</v>
      </c>
      <c r="B2163" s="16">
        <v>1</v>
      </c>
      <c r="C2163" s="20">
        <v>0.02</v>
      </c>
      <c r="D2163" s="20">
        <v>0.99756714174924133</v>
      </c>
      <c r="E2163" s="20">
        <v>1</v>
      </c>
      <c r="F2163" s="8" t="s">
        <v>436</v>
      </c>
      <c r="G2163" s="24">
        <v>1.0843296796499642</v>
      </c>
      <c r="H2163" s="24">
        <v>1.090607671712291</v>
      </c>
      <c r="I2163" s="25">
        <v>1.1096809113865682</v>
      </c>
      <c r="X2163" s="15">
        <v>2162</v>
      </c>
      <c r="Y2163" s="39">
        <v>0.47720491229495043</v>
      </c>
      <c r="Z2163" s="39">
        <v>0.4788253038475378</v>
      </c>
      <c r="AA2163" s="39">
        <v>0.48163060985647704</v>
      </c>
      <c r="AB2163" s="39">
        <v>0.47843069145559297</v>
      </c>
      <c r="AC2163" s="39">
        <v>0.4721402619427198</v>
      </c>
      <c r="AD2163" s="39">
        <v>0.4737259177267269</v>
      </c>
      <c r="AE2163" s="39">
        <v>0.4736701105600743</v>
      </c>
      <c r="AF2163" s="40">
        <v>0.47542895333396462</v>
      </c>
    </row>
    <row r="2164" spans="1:32">
      <c r="A2164" s="15">
        <v>2162</v>
      </c>
      <c r="B2164" s="16">
        <v>0</v>
      </c>
      <c r="C2164" s="20">
        <v>0.9</v>
      </c>
      <c r="D2164" s="20">
        <v>0.231595386583653</v>
      </c>
      <c r="E2164" s="20">
        <v>0.1</v>
      </c>
      <c r="F2164" s="8" t="s">
        <v>434</v>
      </c>
      <c r="G2164" s="24">
        <v>1.1977996200201244</v>
      </c>
      <c r="H2164" s="24">
        <v>1.2047345740731867</v>
      </c>
      <c r="I2164" s="25">
        <v>1.2258037375048998</v>
      </c>
      <c r="X2164" s="15">
        <v>2163</v>
      </c>
      <c r="Y2164" s="39">
        <v>0.49935386856109881</v>
      </c>
      <c r="Z2164" s="39">
        <v>0.48352020124648132</v>
      </c>
      <c r="AA2164" s="39">
        <v>0.48070257733766597</v>
      </c>
      <c r="AB2164" s="39">
        <v>0.49454330235686178</v>
      </c>
      <c r="AC2164" s="39">
        <v>0.49209313707299174</v>
      </c>
      <c r="AD2164" s="39">
        <v>0.47823539159143286</v>
      </c>
      <c r="AE2164" s="39">
        <v>0.47516578497756107</v>
      </c>
      <c r="AF2164" s="40">
        <v>0.4890852175270316</v>
      </c>
    </row>
    <row r="2165" spans="1:32">
      <c r="A2165" s="15">
        <v>2163</v>
      </c>
      <c r="B2165" s="16">
        <v>0</v>
      </c>
      <c r="C2165" s="20">
        <v>0.02</v>
      </c>
      <c r="D2165" s="20">
        <v>0.99679477127711513</v>
      </c>
      <c r="E2165" s="20">
        <v>1</v>
      </c>
      <c r="F2165" s="8" t="s">
        <v>436</v>
      </c>
      <c r="G2165" s="24">
        <v>1.1382745895458599</v>
      </c>
      <c r="H2165" s="24">
        <v>1.1448649088666629</v>
      </c>
      <c r="I2165" s="25">
        <v>1.1648870335663724</v>
      </c>
      <c r="X2165" s="15">
        <v>2164</v>
      </c>
      <c r="Y2165" s="39">
        <v>0.47758253832284125</v>
      </c>
      <c r="Z2165" s="39">
        <v>0.49031406290540835</v>
      </c>
      <c r="AA2165" s="39">
        <v>0.48181643834013388</v>
      </c>
      <c r="AB2165" s="39">
        <v>0.49302652614400899</v>
      </c>
      <c r="AC2165" s="39">
        <v>0.47373034489718441</v>
      </c>
      <c r="AD2165" s="39">
        <v>0.48311330708938299</v>
      </c>
      <c r="AE2165" s="39">
        <v>0.47892747149526155</v>
      </c>
      <c r="AF2165" s="40">
        <v>0.48680747998471213</v>
      </c>
    </row>
    <row r="2166" spans="1:32">
      <c r="A2166" s="15">
        <v>2164</v>
      </c>
      <c r="B2166" s="16">
        <v>1</v>
      </c>
      <c r="C2166" s="20">
        <v>0.02</v>
      </c>
      <c r="D2166" s="20">
        <v>0.99604261948721451</v>
      </c>
      <c r="E2166" s="20">
        <v>1</v>
      </c>
      <c r="F2166" s="8" t="s">
        <v>436</v>
      </c>
      <c r="G2166" s="24">
        <v>1.0535006301960994</v>
      </c>
      <c r="H2166" s="24">
        <v>1.0596001299314219</v>
      </c>
      <c r="I2166" s="25">
        <v>1.0781310900202568</v>
      </c>
      <c r="X2166" s="15">
        <v>2165</v>
      </c>
      <c r="Y2166" s="39">
        <v>0.47786159211218676</v>
      </c>
      <c r="Z2166" s="39">
        <v>0.4931116294607234</v>
      </c>
      <c r="AA2166" s="39">
        <v>0.49059345810375171</v>
      </c>
      <c r="AB2166" s="39">
        <v>0.48579316583504184</v>
      </c>
      <c r="AC2166" s="39">
        <v>0.4711942196655779</v>
      </c>
      <c r="AD2166" s="39">
        <v>0.48397438156263445</v>
      </c>
      <c r="AE2166" s="39">
        <v>0.48039437076381813</v>
      </c>
      <c r="AF2166" s="40">
        <v>0.48100495190493098</v>
      </c>
    </row>
    <row r="2167" spans="1:32">
      <c r="A2167" s="15">
        <v>2165</v>
      </c>
      <c r="B2167" s="16">
        <v>0</v>
      </c>
      <c r="C2167" s="20">
        <v>0.92</v>
      </c>
      <c r="D2167" s="20">
        <v>0.20258497911151899</v>
      </c>
      <c r="E2167" s="20">
        <v>0.08</v>
      </c>
      <c r="F2167" s="8" t="s">
        <v>434</v>
      </c>
      <c r="G2167" s="24">
        <v>1.2440722212920663</v>
      </c>
      <c r="H2167" s="24">
        <v>1.2512750818950833</v>
      </c>
      <c r="I2167" s="25">
        <v>1.2731581752882974</v>
      </c>
      <c r="X2167" s="15">
        <v>2166</v>
      </c>
      <c r="Y2167" s="39">
        <v>0.48100214363977017</v>
      </c>
      <c r="Z2167" s="39">
        <v>0.48873304956480118</v>
      </c>
      <c r="AA2167" s="39">
        <v>0.47526423556651054</v>
      </c>
      <c r="AB2167" s="39">
        <v>0.48310746659330428</v>
      </c>
      <c r="AC2167" s="39">
        <v>0.4740738026602922</v>
      </c>
      <c r="AD2167" s="39">
        <v>0.4815950379334456</v>
      </c>
      <c r="AE2167" s="39">
        <v>0.47172731530126316</v>
      </c>
      <c r="AF2167" s="40">
        <v>0.47754245577893512</v>
      </c>
    </row>
    <row r="2168" spans="1:32">
      <c r="A2168" s="15">
        <v>2166</v>
      </c>
      <c r="B2168" s="16">
        <v>0</v>
      </c>
      <c r="C2168" s="20">
        <v>0.24</v>
      </c>
      <c r="D2168" s="20">
        <v>0.71378857928855854</v>
      </c>
      <c r="E2168" s="20">
        <v>0.1</v>
      </c>
      <c r="F2168" s="8" t="s">
        <v>436</v>
      </c>
      <c r="G2168" s="24">
        <v>0.63156000086334796</v>
      </c>
      <c r="H2168" s="24">
        <v>0.63521657205817417</v>
      </c>
      <c r="I2168" s="25">
        <v>0.64632564293507022</v>
      </c>
      <c r="X2168" s="15">
        <v>2167</v>
      </c>
      <c r="Y2168" s="39">
        <v>0.48615286064155583</v>
      </c>
      <c r="Z2168" s="39">
        <v>0.49328169655317239</v>
      </c>
      <c r="AA2168" s="39">
        <v>0.47854407502991081</v>
      </c>
      <c r="AB2168" s="39">
        <v>0.49989334038896704</v>
      </c>
      <c r="AC2168" s="39">
        <v>0.4806956922017665</v>
      </c>
      <c r="AD2168" s="39">
        <v>0.48718351459706127</v>
      </c>
      <c r="AE2168" s="39">
        <v>0.47184989358364104</v>
      </c>
      <c r="AF2168" s="40">
        <v>0.49272474032636626</v>
      </c>
    </row>
    <row r="2169" spans="1:32">
      <c r="A2169" s="15">
        <v>2167</v>
      </c>
      <c r="B2169" s="16">
        <v>0</v>
      </c>
      <c r="C2169" s="20">
        <v>0.96</v>
      </c>
      <c r="D2169" s="20">
        <v>0.13880369068795359</v>
      </c>
      <c r="E2169" s="20">
        <v>0.04</v>
      </c>
      <c r="F2169" s="8" t="s">
        <v>434</v>
      </c>
      <c r="G2169" s="24">
        <v>0.6741292523883804</v>
      </c>
      <c r="H2169" s="24">
        <v>0.67803228868343302</v>
      </c>
      <c r="I2169" s="25">
        <v>0.68989014800754145</v>
      </c>
      <c r="X2169" s="15">
        <v>2168</v>
      </c>
      <c r="Y2169" s="39">
        <v>0.49907525900321992</v>
      </c>
      <c r="Z2169" s="39">
        <v>0.47994683978407504</v>
      </c>
      <c r="AA2169" s="39">
        <v>0.4719363834706391</v>
      </c>
      <c r="AB2169" s="39">
        <v>0.47338463190080443</v>
      </c>
      <c r="AC2169" s="39">
        <v>0.4950567478391722</v>
      </c>
      <c r="AD2169" s="39">
        <v>0.47044315775623463</v>
      </c>
      <c r="AE2169" s="39">
        <v>0.46630571272037519</v>
      </c>
      <c r="AF2169" s="40">
        <v>0.46682511594719045</v>
      </c>
    </row>
    <row r="2170" spans="1:32">
      <c r="A2170" s="15">
        <v>2168</v>
      </c>
      <c r="B2170" s="16">
        <v>1</v>
      </c>
      <c r="C2170" s="20">
        <v>0.21</v>
      </c>
      <c r="D2170" s="20">
        <v>0.89512993449180356</v>
      </c>
      <c r="E2170" s="20">
        <v>0.04</v>
      </c>
      <c r="F2170" s="8" t="s">
        <v>436</v>
      </c>
      <c r="G2170" s="24">
        <v>1.0195007842305053</v>
      </c>
      <c r="H2170" s="24">
        <v>1.0254034335363891</v>
      </c>
      <c r="I2170" s="25">
        <v>1.0433363400782623</v>
      </c>
      <c r="X2170" s="15">
        <v>2169</v>
      </c>
      <c r="Y2170" s="39">
        <v>0.48509381541798963</v>
      </c>
      <c r="Z2170" s="39">
        <v>0.49759232547000098</v>
      </c>
      <c r="AA2170" s="39">
        <v>0.4845766811613057</v>
      </c>
      <c r="AB2170" s="39">
        <v>0.49041417666819359</v>
      </c>
      <c r="AC2170" s="39">
        <v>0.47905838821943342</v>
      </c>
      <c r="AD2170" s="39">
        <v>0.49069512012075489</v>
      </c>
      <c r="AE2170" s="39">
        <v>0.4796757678085104</v>
      </c>
      <c r="AF2170" s="40">
        <v>0.48569854416010072</v>
      </c>
    </row>
    <row r="2171" spans="1:32">
      <c r="A2171" s="15">
        <v>2169</v>
      </c>
      <c r="B2171" s="16">
        <v>0</v>
      </c>
      <c r="C2171" s="20">
        <v>0.02</v>
      </c>
      <c r="D2171" s="20">
        <v>0.99917029198757767</v>
      </c>
      <c r="E2171" s="20">
        <v>1</v>
      </c>
      <c r="F2171" s="8" t="s">
        <v>436</v>
      </c>
      <c r="G2171" s="24">
        <v>1.0524879497963251</v>
      </c>
      <c r="H2171" s="24">
        <v>1.0585815863706269</v>
      </c>
      <c r="I2171" s="25">
        <v>1.0770947335227312</v>
      </c>
      <c r="X2171" s="15">
        <v>2170</v>
      </c>
      <c r="Y2171" s="39">
        <v>0.49017878961765754</v>
      </c>
      <c r="Z2171" s="39">
        <v>0.50079578814896408</v>
      </c>
      <c r="AA2171" s="39">
        <v>0.47751539647261027</v>
      </c>
      <c r="AB2171" s="39">
        <v>0.48832267081459352</v>
      </c>
      <c r="AC2171" s="39">
        <v>0.48395058210949071</v>
      </c>
      <c r="AD2171" s="39">
        <v>0.49127646967557548</v>
      </c>
      <c r="AE2171" s="39">
        <v>0.47176047575657082</v>
      </c>
      <c r="AF2171" s="40">
        <v>0.48507180334699312</v>
      </c>
    </row>
    <row r="2172" spans="1:32">
      <c r="A2172" s="15">
        <v>2170</v>
      </c>
      <c r="B2172" s="16">
        <v>0</v>
      </c>
      <c r="C2172" s="20">
        <v>0.94</v>
      </c>
      <c r="D2172" s="20">
        <v>0.17188516685452584</v>
      </c>
      <c r="E2172" s="20">
        <v>0.06</v>
      </c>
      <c r="F2172" s="8" t="s">
        <v>434</v>
      </c>
      <c r="G2172" s="24">
        <v>0.75868491372815439</v>
      </c>
      <c r="H2172" s="24">
        <v>0.76307750571893163</v>
      </c>
      <c r="I2172" s="25">
        <v>0.7764226898159553</v>
      </c>
      <c r="X2172" s="15">
        <v>2171</v>
      </c>
      <c r="Y2172" s="39">
        <v>0.49288477449595192</v>
      </c>
      <c r="Z2172" s="39">
        <v>0.48823574043697632</v>
      </c>
      <c r="AA2172" s="39">
        <v>0.49066395227619519</v>
      </c>
      <c r="AB2172" s="39">
        <v>0.48846555313054124</v>
      </c>
      <c r="AC2172" s="39">
        <v>0.48764677582594407</v>
      </c>
      <c r="AD2172" s="39">
        <v>0.48117986013630709</v>
      </c>
      <c r="AE2172" s="39">
        <v>0.48123186999782841</v>
      </c>
      <c r="AF2172" s="40">
        <v>0.48588837326781803</v>
      </c>
    </row>
    <row r="2173" spans="1:32">
      <c r="A2173" s="15">
        <v>2171</v>
      </c>
      <c r="B2173" s="16">
        <v>0</v>
      </c>
      <c r="C2173" s="20">
        <v>0.9</v>
      </c>
      <c r="D2173" s="20">
        <v>0.231595386583653</v>
      </c>
      <c r="E2173" s="20">
        <v>0.1</v>
      </c>
      <c r="F2173" s="8" t="s">
        <v>434</v>
      </c>
      <c r="G2173" s="24">
        <v>0.85141832584040167</v>
      </c>
      <c r="H2173" s="24">
        <v>0.85634782061644721</v>
      </c>
      <c r="I2173" s="25">
        <v>0.87132417522205763</v>
      </c>
      <c r="X2173" s="15">
        <v>2172</v>
      </c>
      <c r="Y2173" s="39">
        <v>0.49144123943706475</v>
      </c>
      <c r="Z2173" s="39">
        <v>0.46619742059072694</v>
      </c>
      <c r="AA2173" s="39">
        <v>0.4957993796873767</v>
      </c>
      <c r="AB2173" s="39">
        <v>0.49838594123550134</v>
      </c>
      <c r="AC2173" s="39">
        <v>0.4843330112726687</v>
      </c>
      <c r="AD2173" s="39">
        <v>0.45787553946915194</v>
      </c>
      <c r="AE2173" s="39">
        <v>0.48887620912042218</v>
      </c>
      <c r="AF2173" s="40">
        <v>0.49408697570367566</v>
      </c>
    </row>
    <row r="2174" spans="1:32">
      <c r="A2174" s="15">
        <v>2172</v>
      </c>
      <c r="B2174" s="16">
        <v>0</v>
      </c>
      <c r="C2174" s="20">
        <v>0.02</v>
      </c>
      <c r="D2174" s="20">
        <v>0.99917029198757767</v>
      </c>
      <c r="E2174" s="20">
        <v>1</v>
      </c>
      <c r="F2174" s="8" t="s">
        <v>436</v>
      </c>
      <c r="G2174" s="24">
        <v>0.98481524415039035</v>
      </c>
      <c r="H2174" s="24">
        <v>0.99051707303294056</v>
      </c>
      <c r="I2174" s="25">
        <v>1.0078398647438764</v>
      </c>
      <c r="X2174" s="15">
        <v>2173</v>
      </c>
      <c r="Y2174" s="39">
        <v>0.47363988656754713</v>
      </c>
      <c r="Z2174" s="39">
        <v>0.47065287685808077</v>
      </c>
      <c r="AA2174" s="39">
        <v>0.48894588133973382</v>
      </c>
      <c r="AB2174" s="39">
        <v>0.4803405088658968</v>
      </c>
      <c r="AC2174" s="39">
        <v>0.46792410562490372</v>
      </c>
      <c r="AD2174" s="39">
        <v>0.46519258240832384</v>
      </c>
      <c r="AE2174" s="39">
        <v>0.4826562266658575</v>
      </c>
      <c r="AF2174" s="40">
        <v>0.47725605682823652</v>
      </c>
    </row>
    <row r="2175" spans="1:32">
      <c r="A2175" s="15">
        <v>2173</v>
      </c>
      <c r="B2175" s="16">
        <v>1</v>
      </c>
      <c r="C2175" s="20">
        <v>0.35</v>
      </c>
      <c r="D2175" s="20">
        <v>0.59787902140515881</v>
      </c>
      <c r="E2175" s="20">
        <v>0.1</v>
      </c>
      <c r="F2175" s="8" t="s">
        <v>436</v>
      </c>
      <c r="G2175" s="24">
        <v>0.83032553159085309</v>
      </c>
      <c r="H2175" s="24">
        <v>0.83513290447227917</v>
      </c>
      <c r="I2175" s="25">
        <v>0.84973823914947477</v>
      </c>
      <c r="X2175" s="15">
        <v>2174</v>
      </c>
      <c r="Y2175" s="39">
        <v>0.47910072135007337</v>
      </c>
      <c r="Z2175" s="39">
        <v>0.48453071330711184</v>
      </c>
      <c r="AA2175" s="39">
        <v>0.48484075774942154</v>
      </c>
      <c r="AB2175" s="39">
        <v>0.49088694511075553</v>
      </c>
      <c r="AC2175" s="39">
        <v>0.473567898290432</v>
      </c>
      <c r="AD2175" s="39">
        <v>0.47622971987522195</v>
      </c>
      <c r="AE2175" s="39">
        <v>0.47839931483761899</v>
      </c>
      <c r="AF2175" s="40">
        <v>0.4859324155779125</v>
      </c>
    </row>
    <row r="2176" spans="1:32">
      <c r="A2176" s="15">
        <v>2174</v>
      </c>
      <c r="B2176" s="16">
        <v>0</v>
      </c>
      <c r="C2176" s="20">
        <v>0.26</v>
      </c>
      <c r="D2176" s="20">
        <v>0.78475593540369504</v>
      </c>
      <c r="E2176" s="20">
        <v>0.54</v>
      </c>
      <c r="F2176" s="8" t="s">
        <v>436</v>
      </c>
      <c r="G2176" s="24">
        <v>0.99353014904069792</v>
      </c>
      <c r="H2176" s="24">
        <v>0.99928243499802161</v>
      </c>
      <c r="I2176" s="25">
        <v>1.0167585209264185</v>
      </c>
      <c r="X2176" s="15">
        <v>2175</v>
      </c>
      <c r="Y2176" s="39">
        <v>0.4832644001715754</v>
      </c>
      <c r="Z2176" s="39">
        <v>0.50344147617379298</v>
      </c>
      <c r="AA2176" s="39">
        <v>0.48603185840298985</v>
      </c>
      <c r="AB2176" s="39">
        <v>0.4840245104386024</v>
      </c>
      <c r="AC2176" s="39">
        <v>0.47675206785252727</v>
      </c>
      <c r="AD2176" s="39">
        <v>0.49468931419867485</v>
      </c>
      <c r="AE2176" s="39">
        <v>0.47836931552369155</v>
      </c>
      <c r="AF2176" s="40">
        <v>0.47660104238275636</v>
      </c>
    </row>
    <row r="2177" spans="1:32">
      <c r="A2177" s="15">
        <v>2175</v>
      </c>
      <c r="B2177" s="16">
        <v>0</v>
      </c>
      <c r="C2177" s="20">
        <v>0.91</v>
      </c>
      <c r="D2177" s="20">
        <v>0.21727233298780477</v>
      </c>
      <c r="E2177" s="20">
        <v>0.09</v>
      </c>
      <c r="F2177" s="8" t="s">
        <v>434</v>
      </c>
      <c r="G2177" s="24">
        <v>1.0233023570230784</v>
      </c>
      <c r="H2177" s="24">
        <v>1.0292270164650528</v>
      </c>
      <c r="I2177" s="25">
        <v>1.0472267922537728</v>
      </c>
      <c r="X2177" s="15">
        <v>2176</v>
      </c>
      <c r="Y2177" s="39">
        <v>0.49061595984630996</v>
      </c>
      <c r="Z2177" s="39">
        <v>0.48435677482682638</v>
      </c>
      <c r="AA2177" s="39">
        <v>0.48801233368634395</v>
      </c>
      <c r="AB2177" s="39">
        <v>0.48634276420669792</v>
      </c>
      <c r="AC2177" s="39">
        <v>0.48399792867025715</v>
      </c>
      <c r="AD2177" s="39">
        <v>0.47813611252528498</v>
      </c>
      <c r="AE2177" s="39">
        <v>0.4789921178636718</v>
      </c>
      <c r="AF2177" s="40">
        <v>0.48254489097144315</v>
      </c>
    </row>
    <row r="2178" spans="1:32">
      <c r="A2178" s="15">
        <v>2176</v>
      </c>
      <c r="B2178" s="16">
        <v>1</v>
      </c>
      <c r="C2178" s="20">
        <v>0.38</v>
      </c>
      <c r="D2178" s="20">
        <v>0.65239958204682491</v>
      </c>
      <c r="E2178" s="20">
        <v>0.04</v>
      </c>
      <c r="F2178" s="8" t="s">
        <v>436</v>
      </c>
      <c r="G2178" s="24">
        <v>0.61164195989982184</v>
      </c>
      <c r="H2178" s="24">
        <v>0.61518321072169058</v>
      </c>
      <c r="I2178" s="25">
        <v>0.62594192545112592</v>
      </c>
      <c r="X2178" s="15">
        <v>2177</v>
      </c>
      <c r="Y2178" s="39">
        <v>0.48781822628973109</v>
      </c>
      <c r="Z2178" s="39">
        <v>0.48562798155074971</v>
      </c>
      <c r="AA2178" s="39">
        <v>0.49512058856703978</v>
      </c>
      <c r="AB2178" s="39">
        <v>0.48742269625669576</v>
      </c>
      <c r="AC2178" s="39">
        <v>0.48176024384782345</v>
      </c>
      <c r="AD2178" s="39">
        <v>0.48084694128399258</v>
      </c>
      <c r="AE2178" s="39">
        <v>0.48616346782735315</v>
      </c>
      <c r="AF2178" s="40">
        <v>0.48134677945559201</v>
      </c>
    </row>
    <row r="2179" spans="1:32">
      <c r="A2179" s="15">
        <v>2177</v>
      </c>
      <c r="B2179" s="16">
        <v>0</v>
      </c>
      <c r="C2179" s="20">
        <v>0.02</v>
      </c>
      <c r="D2179" s="20">
        <v>0.99835916395484214</v>
      </c>
      <c r="E2179" s="20">
        <v>1</v>
      </c>
      <c r="F2179" s="8" t="s">
        <v>436</v>
      </c>
      <c r="G2179" s="24">
        <v>0.97475281955764337</v>
      </c>
      <c r="H2179" s="24">
        <v>0.98039638957030684</v>
      </c>
      <c r="I2179" s="25">
        <v>0.99754218434058572</v>
      </c>
      <c r="X2179" s="15">
        <v>2178</v>
      </c>
      <c r="Y2179" s="39">
        <v>0.4941950008560092</v>
      </c>
      <c r="Z2179" s="39">
        <v>0.48930729655754457</v>
      </c>
      <c r="AA2179" s="39">
        <v>0.49043874998895182</v>
      </c>
      <c r="AB2179" s="39">
        <v>0.48559193656657346</v>
      </c>
      <c r="AC2179" s="39">
        <v>0.48648064063692614</v>
      </c>
      <c r="AD2179" s="39">
        <v>0.48030948877855856</v>
      </c>
      <c r="AE2179" s="39">
        <v>0.48470162960891716</v>
      </c>
      <c r="AF2179" s="40">
        <v>0.47990721231717842</v>
      </c>
    </row>
    <row r="2180" spans="1:32">
      <c r="A2180" s="15">
        <v>2178</v>
      </c>
      <c r="B2180" s="16">
        <v>1</v>
      </c>
      <c r="C2180" s="20">
        <v>0.92</v>
      </c>
      <c r="D2180" s="20">
        <v>0.20258497911151899</v>
      </c>
      <c r="E2180" s="20">
        <v>0.08</v>
      </c>
      <c r="F2180" s="8" t="s">
        <v>434</v>
      </c>
      <c r="G2180" s="24">
        <v>0.95886970830616691</v>
      </c>
      <c r="H2180" s="24">
        <v>0.96442131915896123</v>
      </c>
      <c r="I2180" s="25">
        <v>0.98128773175114603</v>
      </c>
      <c r="X2180" s="15">
        <v>2179</v>
      </c>
      <c r="Y2180" s="39">
        <v>0.46919964426747757</v>
      </c>
      <c r="Z2180" s="39">
        <v>0.47266705020169486</v>
      </c>
      <c r="AA2180" s="39">
        <v>0.50728111127330855</v>
      </c>
      <c r="AB2180" s="39">
        <v>0.48200882091225555</v>
      </c>
      <c r="AC2180" s="39">
        <v>0.46469046058250862</v>
      </c>
      <c r="AD2180" s="39">
        <v>0.46577054388164491</v>
      </c>
      <c r="AE2180" s="39">
        <v>0.49992544066205452</v>
      </c>
      <c r="AF2180" s="40">
        <v>0.47827975452707638</v>
      </c>
    </row>
    <row r="2181" spans="1:32">
      <c r="A2181" s="15">
        <v>2179</v>
      </c>
      <c r="B2181" s="16">
        <v>0</v>
      </c>
      <c r="C2181" s="20">
        <v>0.01</v>
      </c>
      <c r="D2181" s="20">
        <v>0.99999999999999978</v>
      </c>
      <c r="E2181" s="20">
        <v>1</v>
      </c>
      <c r="F2181" s="8" t="s">
        <v>436</v>
      </c>
      <c r="G2181" s="24">
        <v>1.0624864189727559</v>
      </c>
      <c r="H2181" s="24">
        <v>1.0686379441314089</v>
      </c>
      <c r="I2181" s="25">
        <v>1.0873269632554394</v>
      </c>
      <c r="X2181" s="15">
        <v>2180</v>
      </c>
      <c r="Y2181" s="39">
        <v>0.49954997794410355</v>
      </c>
      <c r="Z2181" s="39">
        <v>0.48798996668779621</v>
      </c>
      <c r="AA2181" s="39">
        <v>0.48295633716122771</v>
      </c>
      <c r="AB2181" s="39">
        <v>0.49116217790554706</v>
      </c>
      <c r="AC2181" s="39">
        <v>0.49163915857054263</v>
      </c>
      <c r="AD2181" s="39">
        <v>0.48254083728336572</v>
      </c>
      <c r="AE2181" s="39">
        <v>0.47530791365862873</v>
      </c>
      <c r="AF2181" s="40">
        <v>0.49051563342251109</v>
      </c>
    </row>
    <row r="2182" spans="1:32">
      <c r="A2182" s="15">
        <v>2180</v>
      </c>
      <c r="B2182" s="16">
        <v>0</v>
      </c>
      <c r="C2182" s="20">
        <v>0.93</v>
      </c>
      <c r="D2182" s="20">
        <v>0.18747949848141848</v>
      </c>
      <c r="E2182" s="20">
        <v>7.0000000000000007E-2</v>
      </c>
      <c r="F2182" s="8" t="s">
        <v>434</v>
      </c>
      <c r="G2182" s="24">
        <v>1.0674646213390409</v>
      </c>
      <c r="H2182" s="24">
        <v>1.0736449690186731</v>
      </c>
      <c r="I2182" s="25">
        <v>1.0924215541741986</v>
      </c>
      <c r="X2182" s="15">
        <v>2181</v>
      </c>
      <c r="Y2182" s="39">
        <v>0.48469640069343389</v>
      </c>
      <c r="Z2182" s="39">
        <v>0.47909265551768671</v>
      </c>
      <c r="AA2182" s="39">
        <v>0.48731008394052172</v>
      </c>
      <c r="AB2182" s="39">
        <v>0.48502656518792159</v>
      </c>
      <c r="AC2182" s="39">
        <v>0.47887716126106172</v>
      </c>
      <c r="AD2182" s="39">
        <v>0.47393863485022925</v>
      </c>
      <c r="AE2182" s="39">
        <v>0.4811109931591479</v>
      </c>
      <c r="AF2182" s="40">
        <v>0.48084017739718027</v>
      </c>
    </row>
    <row r="2183" spans="1:32">
      <c r="A2183" s="15">
        <v>2181</v>
      </c>
      <c r="B2183" s="16">
        <v>1</v>
      </c>
      <c r="C2183" s="20">
        <v>0.22</v>
      </c>
      <c r="D2183" s="20">
        <v>0.75126594492211984</v>
      </c>
      <c r="E2183" s="20">
        <v>7.0000000000000007E-2</v>
      </c>
      <c r="F2183" s="8" t="s">
        <v>436</v>
      </c>
      <c r="G2183" s="24">
        <v>1.9476411813418619</v>
      </c>
      <c r="H2183" s="24">
        <v>1.9589175266325969</v>
      </c>
      <c r="I2183" s="25">
        <v>1.6578926537592125</v>
      </c>
      <c r="X2183" s="15">
        <v>2182</v>
      </c>
      <c r="Y2183" s="39">
        <v>0.49681016448734361</v>
      </c>
      <c r="Z2183" s="39">
        <v>0.48481894869701669</v>
      </c>
      <c r="AA2183" s="39">
        <v>0.48799325249509895</v>
      </c>
      <c r="AB2183" s="39">
        <v>0.49238834063882375</v>
      </c>
      <c r="AC2183" s="39">
        <v>0.48907198923450523</v>
      </c>
      <c r="AD2183" s="39">
        <v>0.47887448644644715</v>
      </c>
      <c r="AE2183" s="39">
        <v>0.48211966585143379</v>
      </c>
      <c r="AF2183" s="40">
        <v>0.49030563349131928</v>
      </c>
    </row>
    <row r="2184" spans="1:32">
      <c r="A2184" s="15">
        <v>2182</v>
      </c>
      <c r="B2184" s="16">
        <v>1</v>
      </c>
      <c r="C2184" s="20">
        <v>0.28000000000000003</v>
      </c>
      <c r="D2184" s="20">
        <v>0.8470628198472866</v>
      </c>
      <c r="E2184" s="20">
        <v>0.08</v>
      </c>
      <c r="F2184" s="8" t="s">
        <v>436</v>
      </c>
      <c r="G2184" s="24">
        <v>1.4652092511989399</v>
      </c>
      <c r="H2184" s="24">
        <v>1.4736924387583215</v>
      </c>
      <c r="I2184" s="25">
        <v>1.4994653081591729</v>
      </c>
      <c r="X2184" s="15">
        <v>2183</v>
      </c>
      <c r="Y2184" s="39">
        <v>0.48923241505001436</v>
      </c>
      <c r="Z2184" s="39">
        <v>0.47040315570487073</v>
      </c>
      <c r="AA2184" s="39">
        <v>0.49046855094444713</v>
      </c>
      <c r="AB2184" s="39">
        <v>0.48337806429441693</v>
      </c>
      <c r="AC2184" s="39">
        <v>0.48273834226372497</v>
      </c>
      <c r="AD2184" s="39">
        <v>0.46246363754619135</v>
      </c>
      <c r="AE2184" s="39">
        <v>0.4846005341310255</v>
      </c>
      <c r="AF2184" s="40">
        <v>0.47760103588435926</v>
      </c>
    </row>
    <row r="2185" spans="1:32">
      <c r="A2185" s="15">
        <v>2183</v>
      </c>
      <c r="B2185" s="16">
        <v>0</v>
      </c>
      <c r="C2185" s="20">
        <v>0.21</v>
      </c>
      <c r="D2185" s="20">
        <v>0.78907547791688937</v>
      </c>
      <c r="E2185" s="20">
        <v>0.09</v>
      </c>
      <c r="F2185" s="8" t="s">
        <v>436</v>
      </c>
      <c r="G2185" s="24">
        <v>0.98876234766518545</v>
      </c>
      <c r="H2185" s="24">
        <v>0.99448702926956012</v>
      </c>
      <c r="I2185" s="25">
        <v>1.0118792500967231</v>
      </c>
      <c r="X2185" s="15">
        <v>2184</v>
      </c>
      <c r="Y2185" s="39">
        <v>0.47976821879176101</v>
      </c>
      <c r="Z2185" s="39">
        <v>0.48339004158578269</v>
      </c>
      <c r="AA2185" s="39">
        <v>0.48128490325817253</v>
      </c>
      <c r="AB2185" s="39">
        <v>0.49691718311156885</v>
      </c>
      <c r="AC2185" s="39">
        <v>0.47245039391606991</v>
      </c>
      <c r="AD2185" s="39">
        <v>0.479043063220701</v>
      </c>
      <c r="AE2185" s="39">
        <v>0.47442218239459133</v>
      </c>
      <c r="AF2185" s="40">
        <v>0.49336179138708297</v>
      </c>
    </row>
    <row r="2186" spans="1:32">
      <c r="A2186" s="15">
        <v>2184</v>
      </c>
      <c r="B2186" s="16">
        <v>1</v>
      </c>
      <c r="C2186" s="20">
        <v>0.06</v>
      </c>
      <c r="D2186" s="20">
        <v>0.95566321087372963</v>
      </c>
      <c r="E2186" s="20">
        <v>0.48</v>
      </c>
      <c r="F2186" s="8" t="s">
        <v>436</v>
      </c>
      <c r="G2186" s="24">
        <v>1.0430573969099057</v>
      </c>
      <c r="H2186" s="24">
        <v>1.0490964329902106</v>
      </c>
      <c r="I2186" s="25">
        <v>1.0674436977553996</v>
      </c>
      <c r="X2186" s="15">
        <v>2185</v>
      </c>
      <c r="Y2186" s="39">
        <v>0.48329857531331966</v>
      </c>
      <c r="Z2186" s="39">
        <v>0.49633107941056204</v>
      </c>
      <c r="AA2186" s="39">
        <v>0.49682544621894431</v>
      </c>
      <c r="AB2186" s="39">
        <v>0.50118695435465899</v>
      </c>
      <c r="AC2186" s="39">
        <v>0.47532132661677257</v>
      </c>
      <c r="AD2186" s="39">
        <v>0.48508140800242139</v>
      </c>
      <c r="AE2186" s="39">
        <v>0.48616702627329922</v>
      </c>
      <c r="AF2186" s="40">
        <v>0.49623567009378</v>
      </c>
    </row>
    <row r="2187" spans="1:32">
      <c r="A2187" s="15">
        <v>2185</v>
      </c>
      <c r="B2187" s="16">
        <v>0</v>
      </c>
      <c r="C2187" s="20">
        <v>0.55000000000000004</v>
      </c>
      <c r="D2187" s="20">
        <v>0.53137088002619892</v>
      </c>
      <c r="E2187" s="20">
        <v>0.22</v>
      </c>
      <c r="F2187" s="8" t="s">
        <v>438</v>
      </c>
      <c r="G2187" s="24">
        <v>1.7742225674872993</v>
      </c>
      <c r="H2187" s="24">
        <v>1.7844948632701483</v>
      </c>
      <c r="I2187" s="25">
        <v>1.6578926537592125</v>
      </c>
      <c r="X2187" s="15">
        <v>2186</v>
      </c>
      <c r="Y2187" s="39">
        <v>0.49531231458411235</v>
      </c>
      <c r="Z2187" s="39">
        <v>0.48041878280776201</v>
      </c>
      <c r="AA2187" s="39">
        <v>0.49554138292669098</v>
      </c>
      <c r="AB2187" s="39">
        <v>0.49495984045244124</v>
      </c>
      <c r="AC2187" s="39">
        <v>0.48977144169778497</v>
      </c>
      <c r="AD2187" s="39">
        <v>0.47641772028875884</v>
      </c>
      <c r="AE2187" s="39">
        <v>0.48650400315019365</v>
      </c>
      <c r="AF2187" s="40">
        <v>0.49132731124702428</v>
      </c>
    </row>
    <row r="2188" spans="1:32">
      <c r="A2188" s="15">
        <v>2186</v>
      </c>
      <c r="B2188" s="16">
        <v>1</v>
      </c>
      <c r="C2188" s="20">
        <v>0.95</v>
      </c>
      <c r="D2188" s="20">
        <v>0.15570568692893463</v>
      </c>
      <c r="E2188" s="20">
        <v>0.05</v>
      </c>
      <c r="F2188" s="8" t="s">
        <v>434</v>
      </c>
      <c r="G2188" s="24">
        <v>0.68546593352546858</v>
      </c>
      <c r="H2188" s="24">
        <v>0.68943460631053655</v>
      </c>
      <c r="I2188" s="25">
        <v>0.70149187660761447</v>
      </c>
      <c r="X2188" s="15">
        <v>2187</v>
      </c>
      <c r="Y2188" s="39">
        <v>0.48629800296426601</v>
      </c>
      <c r="Z2188" s="39">
        <v>0.49592863623378036</v>
      </c>
      <c r="AA2188" s="39">
        <v>0.48885387948926856</v>
      </c>
      <c r="AB2188" s="39">
        <v>0.49843773880198389</v>
      </c>
      <c r="AC2188" s="39">
        <v>0.4804400554206732</v>
      </c>
      <c r="AD2188" s="39">
        <v>0.48554105515975643</v>
      </c>
      <c r="AE2188" s="39">
        <v>0.48008438694494554</v>
      </c>
      <c r="AF2188" s="40">
        <v>0.49096996304924029</v>
      </c>
    </row>
    <row r="2189" spans="1:32">
      <c r="A2189" s="15">
        <v>2187</v>
      </c>
      <c r="B2189" s="16">
        <v>1</v>
      </c>
      <c r="C2189" s="20">
        <v>0.13</v>
      </c>
      <c r="D2189" s="20">
        <v>0.87022318144283317</v>
      </c>
      <c r="E2189" s="20">
        <v>0.09</v>
      </c>
      <c r="F2189" s="8" t="s">
        <v>436</v>
      </c>
      <c r="G2189" s="24">
        <v>1.1485346101952585</v>
      </c>
      <c r="H2189" s="24">
        <v>1.1551843324166784</v>
      </c>
      <c r="I2189" s="25">
        <v>1.1753869297499251</v>
      </c>
      <c r="X2189" s="15">
        <v>2188</v>
      </c>
      <c r="Y2189" s="39">
        <v>0.48434965584987555</v>
      </c>
      <c r="Z2189" s="39">
        <v>0.50336333516507126</v>
      </c>
      <c r="AA2189" s="39">
        <v>0.48061139599374492</v>
      </c>
      <c r="AB2189" s="39">
        <v>0.49847054068730517</v>
      </c>
      <c r="AC2189" s="39">
        <v>0.47750691163905978</v>
      </c>
      <c r="AD2189" s="39">
        <v>0.49417437836991068</v>
      </c>
      <c r="AE2189" s="39">
        <v>0.47612014087020649</v>
      </c>
      <c r="AF2189" s="40">
        <v>0.49427110948601133</v>
      </c>
    </row>
    <row r="2190" spans="1:32">
      <c r="A2190" s="15">
        <v>2188</v>
      </c>
      <c r="B2190" s="16">
        <v>1</v>
      </c>
      <c r="C2190" s="20">
        <v>0.14000000000000001</v>
      </c>
      <c r="D2190" s="20">
        <v>0.9175148692299715</v>
      </c>
      <c r="E2190" s="20">
        <v>0.31</v>
      </c>
      <c r="F2190" s="8" t="s">
        <v>436</v>
      </c>
      <c r="G2190" s="24">
        <v>1.7992845637874351</v>
      </c>
      <c r="H2190" s="24">
        <v>1.8097019621316095</v>
      </c>
      <c r="I2190" s="25">
        <v>1.6578926537592125</v>
      </c>
      <c r="X2190" s="15">
        <v>2189</v>
      </c>
      <c r="Y2190" s="39">
        <v>0.48797858499961527</v>
      </c>
      <c r="Z2190" s="39">
        <v>0.49759152288363401</v>
      </c>
      <c r="AA2190" s="39">
        <v>0.47794816790420841</v>
      </c>
      <c r="AB2190" s="39">
        <v>0.487797834513366</v>
      </c>
      <c r="AC2190" s="39">
        <v>0.48061977424745883</v>
      </c>
      <c r="AD2190" s="39">
        <v>0.48755031637089946</v>
      </c>
      <c r="AE2190" s="39">
        <v>0.46856663145451949</v>
      </c>
      <c r="AF2190" s="40">
        <v>0.48265492574769597</v>
      </c>
    </row>
    <row r="2191" spans="1:32">
      <c r="A2191" s="15">
        <v>2189</v>
      </c>
      <c r="B2191" s="16">
        <v>1</v>
      </c>
      <c r="C2191" s="20">
        <v>0.06</v>
      </c>
      <c r="D2191" s="20">
        <v>0.94834333561584583</v>
      </c>
      <c r="E2191" s="20">
        <v>0.5</v>
      </c>
      <c r="F2191" s="8" t="s">
        <v>436</v>
      </c>
      <c r="G2191" s="24">
        <v>1.1118054363080758</v>
      </c>
      <c r="H2191" s="24">
        <v>1.1182425059880712</v>
      </c>
      <c r="I2191" s="25">
        <v>1.13779904119673</v>
      </c>
      <c r="X2191" s="15">
        <v>2190</v>
      </c>
      <c r="Y2191" s="39">
        <v>0.47555685624676153</v>
      </c>
      <c r="Z2191" s="39">
        <v>0.47675139730260463</v>
      </c>
      <c r="AA2191" s="39">
        <v>0.48904220288068168</v>
      </c>
      <c r="AB2191" s="39">
        <v>0.50343847279823017</v>
      </c>
      <c r="AC2191" s="39">
        <v>0.46953079699575395</v>
      </c>
      <c r="AD2191" s="39">
        <v>0.47021302025781081</v>
      </c>
      <c r="AE2191" s="39">
        <v>0.47922934886794222</v>
      </c>
      <c r="AF2191" s="40">
        <v>0.49870582438330513</v>
      </c>
    </row>
    <row r="2192" spans="1:32">
      <c r="A2192" s="15">
        <v>2190</v>
      </c>
      <c r="B2192" s="16">
        <v>1</v>
      </c>
      <c r="C2192" s="20">
        <v>0.02</v>
      </c>
      <c r="D2192" s="20">
        <v>0.99835916395484214</v>
      </c>
      <c r="E2192" s="20">
        <v>1</v>
      </c>
      <c r="F2192" s="8" t="s">
        <v>436</v>
      </c>
      <c r="G2192" s="24">
        <v>1.5725401753593844</v>
      </c>
      <c r="H2192" s="24">
        <v>1.5816447815726746</v>
      </c>
      <c r="I2192" s="25">
        <v>1.6093055901117732</v>
      </c>
      <c r="X2192" s="15">
        <v>2191</v>
      </c>
      <c r="Y2192" s="39">
        <v>0.50052226566401581</v>
      </c>
      <c r="Z2192" s="39">
        <v>0.47698000911876454</v>
      </c>
      <c r="AA2192" s="39">
        <v>0.48952697891804092</v>
      </c>
      <c r="AB2192" s="39">
        <v>0.49625172694341785</v>
      </c>
      <c r="AC2192" s="39">
        <v>0.49451293908426192</v>
      </c>
      <c r="AD2192" s="39">
        <v>0.47009373864582255</v>
      </c>
      <c r="AE2192" s="39">
        <v>0.48171758904875933</v>
      </c>
      <c r="AF2192" s="40">
        <v>0.49159884487448802</v>
      </c>
    </row>
    <row r="2193" spans="1:32">
      <c r="A2193" s="15">
        <v>2191</v>
      </c>
      <c r="B2193" s="16">
        <v>1</v>
      </c>
      <c r="C2193" s="20">
        <v>0.02</v>
      </c>
      <c r="D2193" s="20">
        <v>0.99835916395484214</v>
      </c>
      <c r="E2193" s="20">
        <v>1</v>
      </c>
      <c r="F2193" s="8" t="s">
        <v>436</v>
      </c>
      <c r="G2193" s="24">
        <v>1.079798659630016</v>
      </c>
      <c r="H2193" s="24">
        <v>1.0860504182430022</v>
      </c>
      <c r="I2193" s="25">
        <v>1.1050439577740194</v>
      </c>
      <c r="X2193" s="15">
        <v>2192</v>
      </c>
      <c r="Y2193" s="39">
        <v>0.47471027641814367</v>
      </c>
      <c r="Z2193" s="39">
        <v>0.49846067286504042</v>
      </c>
      <c r="AA2193" s="39">
        <v>0.49049311557955283</v>
      </c>
      <c r="AB2193" s="39">
        <v>0.47703098720954429</v>
      </c>
      <c r="AC2193" s="39">
        <v>0.46651982964432365</v>
      </c>
      <c r="AD2193" s="39">
        <v>0.48976666787364193</v>
      </c>
      <c r="AE2193" s="39">
        <v>0.48300768721982629</v>
      </c>
      <c r="AF2193" s="40">
        <v>0.4731233940945449</v>
      </c>
    </row>
    <row r="2194" spans="1:32">
      <c r="A2194" s="15">
        <v>2192</v>
      </c>
      <c r="B2194" s="16">
        <v>0</v>
      </c>
      <c r="C2194" s="20">
        <v>0.02</v>
      </c>
      <c r="D2194" s="20">
        <v>0.99917029198757767</v>
      </c>
      <c r="E2194" s="20">
        <v>1</v>
      </c>
      <c r="F2194" s="8" t="s">
        <v>436</v>
      </c>
      <c r="G2194" s="24">
        <v>0.97889772554834242</v>
      </c>
      <c r="H2194" s="24">
        <v>0.98456529350867539</v>
      </c>
      <c r="I2194" s="25">
        <v>1.0017839967189532</v>
      </c>
      <c r="X2194" s="15">
        <v>2193</v>
      </c>
      <c r="Y2194" s="39">
        <v>0.49172482568277137</v>
      </c>
      <c r="Z2194" s="39">
        <v>0.48749081026203783</v>
      </c>
      <c r="AA2194" s="39">
        <v>0.49195530373593682</v>
      </c>
      <c r="AB2194" s="39">
        <v>0.49283186451561606</v>
      </c>
      <c r="AC2194" s="39">
        <v>0.4827852767680848</v>
      </c>
      <c r="AD2194" s="39">
        <v>0.48028441378574238</v>
      </c>
      <c r="AE2194" s="39">
        <v>0.48294708804709335</v>
      </c>
      <c r="AF2194" s="40">
        <v>0.49014292481521632</v>
      </c>
    </row>
    <row r="2195" spans="1:32">
      <c r="A2195" s="15">
        <v>2193</v>
      </c>
      <c r="B2195" s="16">
        <v>0</v>
      </c>
      <c r="C2195" s="20">
        <v>0.02</v>
      </c>
      <c r="D2195" s="20">
        <v>0.99835916395484214</v>
      </c>
      <c r="E2195" s="20">
        <v>1</v>
      </c>
      <c r="F2195" s="8" t="s">
        <v>436</v>
      </c>
      <c r="G2195" s="24">
        <v>0.97535948074743417</v>
      </c>
      <c r="H2195" s="24">
        <v>0.98100656317353196</v>
      </c>
      <c r="I2195" s="25">
        <v>0.99816302904734244</v>
      </c>
      <c r="X2195" s="15">
        <v>2194</v>
      </c>
      <c r="Y2195" s="39">
        <v>0.47528501546218249</v>
      </c>
      <c r="Z2195" s="39">
        <v>0.47949150198045143</v>
      </c>
      <c r="AA2195" s="39">
        <v>0.48289364511849858</v>
      </c>
      <c r="AB2195" s="39">
        <v>0.48401891645952788</v>
      </c>
      <c r="AC2195" s="39">
        <v>0.47209961827075542</v>
      </c>
      <c r="AD2195" s="39">
        <v>0.46962616633355098</v>
      </c>
      <c r="AE2195" s="39">
        <v>0.47532525158529193</v>
      </c>
      <c r="AF2195" s="40">
        <v>0.47659665055232531</v>
      </c>
    </row>
    <row r="2196" spans="1:32">
      <c r="A2196" s="15">
        <v>2194</v>
      </c>
      <c r="B2196" s="16">
        <v>0</v>
      </c>
      <c r="C2196" s="20">
        <v>0.2</v>
      </c>
      <c r="D2196" s="20">
        <v>0.8100263444068776</v>
      </c>
      <c r="E2196" s="20">
        <v>0.08</v>
      </c>
      <c r="F2196" s="8" t="s">
        <v>436</v>
      </c>
      <c r="G2196" s="24">
        <v>0.89854490591659175</v>
      </c>
      <c r="H2196" s="24">
        <v>0.9037472515618844</v>
      </c>
      <c r="I2196" s="25">
        <v>0.91955255752213483</v>
      </c>
      <c r="X2196" s="15">
        <v>2195</v>
      </c>
      <c r="Y2196" s="39">
        <v>0.49276360077182779</v>
      </c>
      <c r="Z2196" s="39">
        <v>0.48877178195065873</v>
      </c>
      <c r="AA2196" s="39">
        <v>0.4935418843383777</v>
      </c>
      <c r="AB2196" s="39">
        <v>0.48804043812213821</v>
      </c>
      <c r="AC2196" s="39">
        <v>0.48556763686770571</v>
      </c>
      <c r="AD2196" s="39">
        <v>0.48258206312214685</v>
      </c>
      <c r="AE2196" s="39">
        <v>0.48571225794327355</v>
      </c>
      <c r="AF2196" s="40">
        <v>0.48605825089122201</v>
      </c>
    </row>
    <row r="2197" spans="1:32">
      <c r="A2197" s="15">
        <v>2195</v>
      </c>
      <c r="B2197" s="16">
        <v>0</v>
      </c>
      <c r="C2197" s="20">
        <v>0.1</v>
      </c>
      <c r="D2197" s="20">
        <v>0.90896955811971114</v>
      </c>
      <c r="E2197" s="20">
        <v>0.1</v>
      </c>
      <c r="F2197" s="8" t="s">
        <v>436</v>
      </c>
      <c r="G2197" s="24">
        <v>1.1194202047836888</v>
      </c>
      <c r="H2197" s="24">
        <v>1.1259013620294342</v>
      </c>
      <c r="I2197" s="25">
        <v>1.1455918401771505</v>
      </c>
      <c r="X2197" s="15">
        <v>2196</v>
      </c>
      <c r="Y2197" s="39">
        <v>0.48704265512186207</v>
      </c>
      <c r="Z2197" s="39">
        <v>0.48922645179027879</v>
      </c>
      <c r="AA2197" s="39">
        <v>0.48506218178634841</v>
      </c>
      <c r="AB2197" s="39">
        <v>0.4856407410734655</v>
      </c>
      <c r="AC2197" s="39">
        <v>0.48073998356637404</v>
      </c>
      <c r="AD2197" s="39">
        <v>0.48273191697317047</v>
      </c>
      <c r="AE2197" s="39">
        <v>0.47634758414763606</v>
      </c>
      <c r="AF2197" s="40">
        <v>0.48112856252659547</v>
      </c>
    </row>
    <row r="2198" spans="1:32">
      <c r="A2198" s="15">
        <v>2196</v>
      </c>
      <c r="B2198" s="16">
        <v>0</v>
      </c>
      <c r="C2198" s="20">
        <v>0.83</v>
      </c>
      <c r="D2198" s="20">
        <v>0.32436397807848893</v>
      </c>
      <c r="E2198" s="20">
        <v>0.17</v>
      </c>
      <c r="F2198" s="8" t="s">
        <v>434</v>
      </c>
      <c r="G2198" s="24">
        <v>1.372011083105301</v>
      </c>
      <c r="H2198" s="24">
        <v>1.3799546770609141</v>
      </c>
      <c r="I2198" s="25">
        <v>1.4040882009466384</v>
      </c>
      <c r="X2198" s="15">
        <v>2197</v>
      </c>
      <c r="Y2198" s="39">
        <v>0.48048316128580287</v>
      </c>
      <c r="Z2198" s="39">
        <v>0.49579341096794532</v>
      </c>
      <c r="AA2198" s="39">
        <v>0.48591635879377693</v>
      </c>
      <c r="AB2198" s="39">
        <v>0.48274553317923863</v>
      </c>
      <c r="AC2198" s="39">
        <v>0.47099347973163075</v>
      </c>
      <c r="AD2198" s="39">
        <v>0.48455125436583163</v>
      </c>
      <c r="AE2198" s="39">
        <v>0.47952297750086653</v>
      </c>
      <c r="AF2198" s="40">
        <v>0.47657010611206335</v>
      </c>
    </row>
    <row r="2199" spans="1:32">
      <c r="A2199" s="15">
        <v>2197</v>
      </c>
      <c r="B2199" s="16">
        <v>0</v>
      </c>
      <c r="C2199" s="20">
        <v>0.17</v>
      </c>
      <c r="D2199" s="20">
        <v>0.84155366803085696</v>
      </c>
      <c r="E2199" s="20">
        <v>0.06</v>
      </c>
      <c r="F2199" s="8" t="s">
        <v>436</v>
      </c>
      <c r="G2199" s="24">
        <v>0.864275252131675</v>
      </c>
      <c r="H2199" s="24">
        <v>0.86927918522912528</v>
      </c>
      <c r="I2199" s="25">
        <v>0.88448169175257974</v>
      </c>
      <c r="X2199" s="15">
        <v>2198</v>
      </c>
      <c r="Y2199" s="39">
        <v>0.49797861639507612</v>
      </c>
      <c r="Z2199" s="39">
        <v>0.4720055275022893</v>
      </c>
      <c r="AA2199" s="39">
        <v>0.48478290213134684</v>
      </c>
      <c r="AB2199" s="39">
        <v>0.48104356625722239</v>
      </c>
      <c r="AC2199" s="39">
        <v>0.48987681091609214</v>
      </c>
      <c r="AD2199" s="39">
        <v>0.46743517317212829</v>
      </c>
      <c r="AE2199" s="39">
        <v>0.47871958237349982</v>
      </c>
      <c r="AF2199" s="40">
        <v>0.47619027789667562</v>
      </c>
    </row>
    <row r="2200" spans="1:32">
      <c r="A2200" s="15">
        <v>2198</v>
      </c>
      <c r="B2200" s="16">
        <v>0</v>
      </c>
      <c r="C2200" s="20">
        <v>0.89</v>
      </c>
      <c r="D2200" s="20">
        <v>0.24559627500636821</v>
      </c>
      <c r="E2200" s="20">
        <v>0.11</v>
      </c>
      <c r="F2200" s="8" t="s">
        <v>434</v>
      </c>
      <c r="G2200" s="24">
        <v>2.1203389757416242</v>
      </c>
      <c r="H2200" s="24">
        <v>2.1326151971795961</v>
      </c>
      <c r="I2200" s="25">
        <v>1.6578926537592125</v>
      </c>
      <c r="X2200" s="15">
        <v>2199</v>
      </c>
      <c r="Y2200" s="39">
        <v>0.47637543801452242</v>
      </c>
      <c r="Z2200" s="39">
        <v>0.50158342810692114</v>
      </c>
      <c r="AA2200" s="39">
        <v>0.48573695574907794</v>
      </c>
      <c r="AB2200" s="39">
        <v>0.49385338079822794</v>
      </c>
      <c r="AC2200" s="39">
        <v>0.46903374226920069</v>
      </c>
      <c r="AD2200" s="39">
        <v>0.4931797579446266</v>
      </c>
      <c r="AE2200" s="39">
        <v>0.47787318329191525</v>
      </c>
      <c r="AF2200" s="40">
        <v>0.48921710582298156</v>
      </c>
    </row>
    <row r="2201" spans="1:32">
      <c r="A2201" s="15">
        <v>2199</v>
      </c>
      <c r="B2201" s="16">
        <v>1</v>
      </c>
      <c r="C2201" s="20">
        <v>0.9</v>
      </c>
      <c r="D2201" s="20">
        <v>0.231595386583653</v>
      </c>
      <c r="E2201" s="20">
        <v>0.1</v>
      </c>
      <c r="F2201" s="8" t="s">
        <v>434</v>
      </c>
      <c r="G2201" s="24">
        <v>0.71084024035566273</v>
      </c>
      <c r="H2201" s="24">
        <v>0.71495582390030565</v>
      </c>
      <c r="I2201" s="25">
        <v>0.72745942546067344</v>
      </c>
      <c r="X2201" s="15">
        <v>2200</v>
      </c>
      <c r="Y2201" s="39">
        <v>0.48745178421626123</v>
      </c>
      <c r="Z2201" s="39">
        <v>0.48053328165885517</v>
      </c>
      <c r="AA2201" s="39">
        <v>0.48600387124358008</v>
      </c>
      <c r="AB2201" s="39">
        <v>0.48840096587258502</v>
      </c>
      <c r="AC2201" s="39">
        <v>0.47992071080175092</v>
      </c>
      <c r="AD2201" s="39">
        <v>0.47529719679117549</v>
      </c>
      <c r="AE2201" s="39">
        <v>0.48025999688450988</v>
      </c>
      <c r="AF2201" s="40">
        <v>0.48335500307677537</v>
      </c>
    </row>
    <row r="2202" spans="1:32">
      <c r="A2202" s="15">
        <v>2200</v>
      </c>
      <c r="B2202" s="16">
        <v>1</v>
      </c>
      <c r="C2202" s="20">
        <v>0.94</v>
      </c>
      <c r="D2202" s="20">
        <v>0.17188516685452584</v>
      </c>
      <c r="E2202" s="20">
        <v>0.06</v>
      </c>
      <c r="F2202" s="8" t="s">
        <v>434</v>
      </c>
      <c r="G2202" s="24">
        <v>0.48741414793715804</v>
      </c>
      <c r="H2202" s="24">
        <v>0.49023615143779359</v>
      </c>
      <c r="I2202" s="25">
        <v>0.49880971263298302</v>
      </c>
      <c r="X2202" s="15">
        <v>2201</v>
      </c>
      <c r="Y2202" s="39">
        <v>0.48263549409515233</v>
      </c>
      <c r="Z2202" s="39">
        <v>0.480076680976463</v>
      </c>
      <c r="AA2202" s="39">
        <v>0.48532991620033789</v>
      </c>
      <c r="AB2202" s="39">
        <v>0.49111091536802842</v>
      </c>
      <c r="AC2202" s="39">
        <v>0.47762455067722831</v>
      </c>
      <c r="AD2202" s="39">
        <v>0.47403575913964163</v>
      </c>
      <c r="AE2202" s="39">
        <v>0.47797685089703557</v>
      </c>
      <c r="AF2202" s="40">
        <v>0.48797278347324141</v>
      </c>
    </row>
    <row r="2203" spans="1:32">
      <c r="A2203" s="15">
        <v>2201</v>
      </c>
      <c r="B2203" s="16">
        <v>0</v>
      </c>
      <c r="C2203" s="20">
        <v>0.38</v>
      </c>
      <c r="D2203" s="20">
        <v>0.64468929937409292</v>
      </c>
      <c r="E2203" s="20">
        <v>0.19</v>
      </c>
      <c r="F2203" s="8" t="s">
        <v>436</v>
      </c>
      <c r="G2203" s="24">
        <v>0.80116808794886296</v>
      </c>
      <c r="H2203" s="24">
        <v>0.80580664667424629</v>
      </c>
      <c r="I2203" s="25">
        <v>0.8198991051281771</v>
      </c>
      <c r="X2203" s="15">
        <v>2202</v>
      </c>
      <c r="Y2203" s="39">
        <v>0.48882783246922606</v>
      </c>
      <c r="Z2203" s="39">
        <v>0.49987421324459258</v>
      </c>
      <c r="AA2203" s="39">
        <v>0.48550508167837936</v>
      </c>
      <c r="AB2203" s="39">
        <v>0.48544733895322123</v>
      </c>
      <c r="AC2203" s="39">
        <v>0.48170400327734431</v>
      </c>
      <c r="AD2203" s="39">
        <v>0.49183094511635783</v>
      </c>
      <c r="AE2203" s="39">
        <v>0.47882696650490636</v>
      </c>
      <c r="AF2203" s="40">
        <v>0.48035144999210228</v>
      </c>
    </row>
    <row r="2204" spans="1:32">
      <c r="A2204" s="15">
        <v>2202</v>
      </c>
      <c r="B2204" s="16">
        <v>1</v>
      </c>
      <c r="C2204" s="20">
        <v>0.94</v>
      </c>
      <c r="D2204" s="20">
        <v>0.17188516685452584</v>
      </c>
      <c r="E2204" s="20">
        <v>0.06</v>
      </c>
      <c r="F2204" s="8" t="s">
        <v>434</v>
      </c>
      <c r="G2204" s="24">
        <v>0.81950640576354561</v>
      </c>
      <c r="H2204" s="24">
        <v>0.82425113866809019</v>
      </c>
      <c r="I2204" s="25">
        <v>0.83866616611322975</v>
      </c>
      <c r="X2204" s="15">
        <v>2203</v>
      </c>
      <c r="Y2204" s="39">
        <v>0.4822389882307348</v>
      </c>
      <c r="Z2204" s="39">
        <v>0.50293754747164998</v>
      </c>
      <c r="AA2204" s="39">
        <v>0.47905130859147149</v>
      </c>
      <c r="AB2204" s="39">
        <v>0.5036560401060417</v>
      </c>
      <c r="AC2204" s="39">
        <v>0.47667768883442496</v>
      </c>
      <c r="AD2204" s="39">
        <v>0.49348563487926417</v>
      </c>
      <c r="AE2204" s="39">
        <v>0.46978986097364811</v>
      </c>
      <c r="AF2204" s="40">
        <v>0.49864072937009568</v>
      </c>
    </row>
    <row r="2205" spans="1:32">
      <c r="A2205" s="15">
        <v>2203</v>
      </c>
      <c r="B2205" s="16">
        <v>0</v>
      </c>
      <c r="C2205" s="20">
        <v>0.23</v>
      </c>
      <c r="D2205" s="20">
        <v>0.8849783536136846</v>
      </c>
      <c r="E2205" s="20">
        <v>0.04</v>
      </c>
      <c r="F2205" s="8" t="s">
        <v>436</v>
      </c>
      <c r="G2205" s="24">
        <v>0.94543064025137913</v>
      </c>
      <c r="H2205" s="24">
        <v>0.95090444233055371</v>
      </c>
      <c r="I2205" s="25">
        <v>0.9675344631953714</v>
      </c>
      <c r="X2205" s="15">
        <v>2204</v>
      </c>
      <c r="Y2205" s="39">
        <v>0.47252431607905776</v>
      </c>
      <c r="Z2205" s="39">
        <v>0.47110225204432044</v>
      </c>
      <c r="AA2205" s="39">
        <v>0.47987435798640987</v>
      </c>
      <c r="AB2205" s="39">
        <v>0.49931017526568222</v>
      </c>
      <c r="AC2205" s="39">
        <v>0.46566445898831232</v>
      </c>
      <c r="AD2205" s="39">
        <v>0.46577112793607589</v>
      </c>
      <c r="AE2205" s="39">
        <v>0.47434770511802149</v>
      </c>
      <c r="AF2205" s="40">
        <v>0.49585368680243086</v>
      </c>
    </row>
    <row r="2206" spans="1:32">
      <c r="A2206" s="15">
        <v>2204</v>
      </c>
      <c r="B2206" s="16">
        <v>0</v>
      </c>
      <c r="C2206" s="20">
        <v>0.31</v>
      </c>
      <c r="D2206" s="20">
        <v>0.77465060112577744</v>
      </c>
      <c r="E2206" s="20">
        <v>0.06</v>
      </c>
      <c r="F2206" s="8" t="s">
        <v>436</v>
      </c>
      <c r="G2206" s="24">
        <v>0.54871489242125537</v>
      </c>
      <c r="H2206" s="24">
        <v>0.55189181158500378</v>
      </c>
      <c r="I2206" s="25">
        <v>0.5615436461261134</v>
      </c>
      <c r="X2206" s="15">
        <v>2205</v>
      </c>
      <c r="Y2206" s="39">
        <v>0.4734366137988516</v>
      </c>
      <c r="Z2206" s="39">
        <v>0.49587924801845518</v>
      </c>
      <c r="AA2206" s="39">
        <v>0.47992738350740832</v>
      </c>
      <c r="AB2206" s="39">
        <v>0.47720525887407356</v>
      </c>
      <c r="AC2206" s="39">
        <v>0.46588857183754584</v>
      </c>
      <c r="AD2206" s="39">
        <v>0.48711636504691241</v>
      </c>
      <c r="AE2206" s="39">
        <v>0.47189211684862786</v>
      </c>
      <c r="AF2206" s="40">
        <v>0.47398469473232635</v>
      </c>
    </row>
    <row r="2207" spans="1:32">
      <c r="A2207" s="15">
        <v>2205</v>
      </c>
      <c r="B2207" s="16">
        <v>0</v>
      </c>
      <c r="C2207" s="20">
        <v>0.11</v>
      </c>
      <c r="D2207" s="20">
        <v>0.91471048578037351</v>
      </c>
      <c r="E2207" s="20">
        <v>0.46</v>
      </c>
      <c r="F2207" s="8" t="s">
        <v>436</v>
      </c>
      <c r="G2207" s="24">
        <v>1.0617586536726884</v>
      </c>
      <c r="H2207" s="24">
        <v>1.0679059652560212</v>
      </c>
      <c r="I2207" s="25">
        <v>1.0865821830685547</v>
      </c>
      <c r="X2207" s="15">
        <v>2206</v>
      </c>
      <c r="Y2207" s="39">
        <v>0.47994491975811365</v>
      </c>
      <c r="Z2207" s="39">
        <v>0.48999183078632891</v>
      </c>
      <c r="AA2207" s="39">
        <v>0.48976631334774384</v>
      </c>
      <c r="AB2207" s="39">
        <v>0.47905929109798684</v>
      </c>
      <c r="AC2207" s="39">
        <v>0.4727172371481832</v>
      </c>
      <c r="AD2207" s="39">
        <v>0.48333324418019619</v>
      </c>
      <c r="AE2207" s="39">
        <v>0.48502059270840647</v>
      </c>
      <c r="AF2207" s="40">
        <v>0.47375081661416679</v>
      </c>
    </row>
    <row r="2208" spans="1:32">
      <c r="A2208" s="15">
        <v>2206</v>
      </c>
      <c r="B2208" s="16">
        <v>0</v>
      </c>
      <c r="C2208" s="20">
        <v>0.92</v>
      </c>
      <c r="D2208" s="20">
        <v>0.20258497911151899</v>
      </c>
      <c r="E2208" s="20">
        <v>0.08</v>
      </c>
      <c r="F2208" s="8" t="s">
        <v>434</v>
      </c>
      <c r="G2208" s="24">
        <v>0.60287938646048311</v>
      </c>
      <c r="H2208" s="24">
        <v>0.60636990421884707</v>
      </c>
      <c r="I2208" s="25">
        <v>0.61697448624629292</v>
      </c>
      <c r="X2208" s="15">
        <v>2207</v>
      </c>
      <c r="Y2208" s="39">
        <v>0.49001130914456859</v>
      </c>
      <c r="Z2208" s="39">
        <v>0.50200847244098956</v>
      </c>
      <c r="AA2208" s="39">
        <v>0.48855977296998787</v>
      </c>
      <c r="AB2208" s="39">
        <v>0.48712921254464958</v>
      </c>
      <c r="AC2208" s="39">
        <v>0.48197915237323286</v>
      </c>
      <c r="AD2208" s="39">
        <v>0.4949019238487698</v>
      </c>
      <c r="AE2208" s="39">
        <v>0.4820248812302248</v>
      </c>
      <c r="AF2208" s="40">
        <v>0.48025611555661352</v>
      </c>
    </row>
    <row r="2209" spans="1:32">
      <c r="A2209" s="15">
        <v>2207</v>
      </c>
      <c r="B2209" s="16">
        <v>1</v>
      </c>
      <c r="C2209" s="20">
        <v>0.13</v>
      </c>
      <c r="D2209" s="20">
        <v>0.87702943760582475</v>
      </c>
      <c r="E2209" s="20">
        <v>0.08</v>
      </c>
      <c r="F2209" s="8" t="s">
        <v>436</v>
      </c>
      <c r="G2209" s="24">
        <v>0.86476017969785102</v>
      </c>
      <c r="H2209" s="24">
        <v>0.86976692040212822</v>
      </c>
      <c r="I2209" s="25">
        <v>0.88497795674807855</v>
      </c>
      <c r="X2209" s="15">
        <v>2208</v>
      </c>
      <c r="Y2209" s="39">
        <v>0.49323626171091317</v>
      </c>
      <c r="Z2209" s="39">
        <v>0.48558223078707458</v>
      </c>
      <c r="AA2209" s="39">
        <v>0.48586610114739237</v>
      </c>
      <c r="AB2209" s="39">
        <v>0.49818130197002913</v>
      </c>
      <c r="AC2209" s="39">
        <v>0.48588618238306608</v>
      </c>
      <c r="AD2209" s="39">
        <v>0.47567941798256147</v>
      </c>
      <c r="AE2209" s="39">
        <v>0.47764077834829199</v>
      </c>
      <c r="AF2209" s="40">
        <v>0.49361353399639557</v>
      </c>
    </row>
    <row r="2210" spans="1:32">
      <c r="A2210" s="15">
        <v>2208</v>
      </c>
      <c r="B2210" s="16">
        <v>0</v>
      </c>
      <c r="C2210" s="20">
        <v>0.34</v>
      </c>
      <c r="D2210" s="20">
        <v>0.77335771621315896</v>
      </c>
      <c r="E2210" s="20">
        <v>0.09</v>
      </c>
      <c r="F2210" s="8" t="s">
        <v>436</v>
      </c>
      <c r="G2210" s="24">
        <v>1.8456251506352388</v>
      </c>
      <c r="H2210" s="24">
        <v>1.8563108491484983</v>
      </c>
      <c r="I2210" s="25">
        <v>1.6578926537592125</v>
      </c>
      <c r="X2210" s="15">
        <v>2209</v>
      </c>
      <c r="Y2210" s="39">
        <v>0.49926124934549043</v>
      </c>
      <c r="Z2210" s="39">
        <v>0.47762393723582791</v>
      </c>
      <c r="AA2210" s="39">
        <v>0.48769567404843822</v>
      </c>
      <c r="AB2210" s="39">
        <v>0.49003595083294799</v>
      </c>
      <c r="AC2210" s="39">
        <v>0.48920902911308523</v>
      </c>
      <c r="AD2210" s="39">
        <v>0.46852421179942277</v>
      </c>
      <c r="AE2210" s="39">
        <v>0.48047431389408068</v>
      </c>
      <c r="AF2210" s="40">
        <v>0.48516768527068366</v>
      </c>
    </row>
    <row r="2211" spans="1:32">
      <c r="A2211" s="15">
        <v>2209</v>
      </c>
      <c r="B2211" s="16">
        <v>0</v>
      </c>
      <c r="C2211" s="20">
        <v>0.14000000000000001</v>
      </c>
      <c r="D2211" s="20">
        <v>0.83807641909172581</v>
      </c>
      <c r="E2211" s="20">
        <v>0.15</v>
      </c>
      <c r="F2211" s="8" t="s">
        <v>436</v>
      </c>
      <c r="G2211" s="24">
        <v>0.70380532235516058</v>
      </c>
      <c r="H2211" s="24">
        <v>0.70788017552029336</v>
      </c>
      <c r="I2211" s="25">
        <v>0.72026003364761615</v>
      </c>
      <c r="X2211" s="15">
        <v>2210</v>
      </c>
      <c r="Y2211" s="39">
        <v>0.46493029460333729</v>
      </c>
      <c r="Z2211" s="39">
        <v>0.47887346623596283</v>
      </c>
      <c r="AA2211" s="39">
        <v>0.4827685749686958</v>
      </c>
      <c r="AB2211" s="39">
        <v>0.47514105884608043</v>
      </c>
      <c r="AC2211" s="39">
        <v>0.45974617882704688</v>
      </c>
      <c r="AD2211" s="39">
        <v>0.47102939373075164</v>
      </c>
      <c r="AE2211" s="39">
        <v>0.47593385680156897</v>
      </c>
      <c r="AF2211" s="40">
        <v>0.47266124805587983</v>
      </c>
    </row>
    <row r="2212" spans="1:32">
      <c r="A2212" s="15">
        <v>2210</v>
      </c>
      <c r="B2212" s="16">
        <v>1</v>
      </c>
      <c r="C2212" s="20">
        <v>0.38</v>
      </c>
      <c r="D2212" s="20">
        <v>0.59492056664944049</v>
      </c>
      <c r="E2212" s="20">
        <v>0.09</v>
      </c>
      <c r="F2212" s="8" t="s">
        <v>436</v>
      </c>
      <c r="G2212" s="24">
        <v>0.41158202878239608</v>
      </c>
      <c r="H2212" s="24">
        <v>0.41396498366981221</v>
      </c>
      <c r="I2212" s="25">
        <v>0.42120466623860997</v>
      </c>
      <c r="X2212" s="15">
        <v>2211</v>
      </c>
      <c r="Y2212" s="39">
        <v>0.5107244226251737</v>
      </c>
      <c r="Z2212" s="39">
        <v>0.48832738018086191</v>
      </c>
      <c r="AA2212" s="39">
        <v>0.47312028869563949</v>
      </c>
      <c r="AB2212" s="39">
        <v>0.50209537377342195</v>
      </c>
      <c r="AC2212" s="39">
        <v>0.50579781919188227</v>
      </c>
      <c r="AD2212" s="39">
        <v>0.483521278894877</v>
      </c>
      <c r="AE2212" s="39">
        <v>0.46940570709994522</v>
      </c>
      <c r="AF2212" s="40">
        <v>0.49609082600811211</v>
      </c>
    </row>
    <row r="2213" spans="1:32">
      <c r="A2213" s="15">
        <v>2211</v>
      </c>
      <c r="B2213" s="16">
        <v>1</v>
      </c>
      <c r="C2213" s="20">
        <v>0.9</v>
      </c>
      <c r="D2213" s="20">
        <v>0.23159538658365303</v>
      </c>
      <c r="E2213" s="20">
        <v>0.1</v>
      </c>
      <c r="F2213" s="8" t="s">
        <v>434</v>
      </c>
      <c r="G2213" s="24">
        <v>0.56140436762241086</v>
      </c>
      <c r="H2213" s="24">
        <v>0.56465475560849532</v>
      </c>
      <c r="I2213" s="25">
        <v>0.57452979662121106</v>
      </c>
      <c r="X2213" s="15">
        <v>2212</v>
      </c>
      <c r="Y2213" s="39">
        <v>0.48130039201567232</v>
      </c>
      <c r="Z2213" s="39">
        <v>0.47961366409772871</v>
      </c>
      <c r="AA2213" s="39">
        <v>0.49668574785314568</v>
      </c>
      <c r="AB2213" s="39">
        <v>0.47802590669363748</v>
      </c>
      <c r="AC2213" s="39">
        <v>0.47343450795144393</v>
      </c>
      <c r="AD2213" s="39">
        <v>0.47323305402954929</v>
      </c>
      <c r="AE2213" s="39">
        <v>0.48634563146638293</v>
      </c>
      <c r="AF2213" s="40">
        <v>0.4746318253051473</v>
      </c>
    </row>
    <row r="2214" spans="1:32">
      <c r="A2214" s="15">
        <v>2212</v>
      </c>
      <c r="B2214" s="16">
        <v>1</v>
      </c>
      <c r="C2214" s="20">
        <v>0.02</v>
      </c>
      <c r="D2214" s="20">
        <v>0.99756714174924133</v>
      </c>
      <c r="E2214" s="20">
        <v>1</v>
      </c>
      <c r="F2214" s="8" t="s">
        <v>436</v>
      </c>
      <c r="G2214" s="24">
        <v>1.0752615616746375</v>
      </c>
      <c r="H2214" s="24">
        <v>1.0814870516485886</v>
      </c>
      <c r="I2214" s="25">
        <v>1.1004007841261305</v>
      </c>
      <c r="X2214" s="15">
        <v>2213</v>
      </c>
      <c r="Y2214" s="39">
        <v>0.4960190909465278</v>
      </c>
      <c r="Z2214" s="39">
        <v>0.48886024618107321</v>
      </c>
      <c r="AA2214" s="39">
        <v>0.4899543572728195</v>
      </c>
      <c r="AB2214" s="39">
        <v>0.48624492469202379</v>
      </c>
      <c r="AC2214" s="39">
        <v>0.49056643308347475</v>
      </c>
      <c r="AD2214" s="39">
        <v>0.48093713105817082</v>
      </c>
      <c r="AE2214" s="39">
        <v>0.48065958993021635</v>
      </c>
      <c r="AF2214" s="40">
        <v>0.4802105783067156</v>
      </c>
    </row>
    <row r="2215" spans="1:32">
      <c r="A2215" s="15">
        <v>2213</v>
      </c>
      <c r="B2215" s="16">
        <v>0</v>
      </c>
      <c r="C2215" s="20">
        <v>0.6</v>
      </c>
      <c r="D2215" s="20">
        <v>0.46466257836853198</v>
      </c>
      <c r="E2215" s="20">
        <v>0.05</v>
      </c>
      <c r="F2215" s="8" t="s">
        <v>438</v>
      </c>
      <c r="G2215" s="24">
        <v>0.64139096552135166</v>
      </c>
      <c r="H2215" s="24">
        <v>0.64510445549212425</v>
      </c>
      <c r="I2215" s="25">
        <v>0.6563864519549103</v>
      </c>
      <c r="X2215" s="15">
        <v>2214</v>
      </c>
      <c r="Y2215" s="39">
        <v>0.47322159963075061</v>
      </c>
      <c r="Z2215" s="39">
        <v>0.48386474956185793</v>
      </c>
      <c r="AA2215" s="39">
        <v>0.49274121909569985</v>
      </c>
      <c r="AB2215" s="39">
        <v>0.49244047633879112</v>
      </c>
      <c r="AC2215" s="39">
        <v>0.46688742007010775</v>
      </c>
      <c r="AD2215" s="39">
        <v>0.47751975890231424</v>
      </c>
      <c r="AE2215" s="39">
        <v>0.48534572385222202</v>
      </c>
      <c r="AF2215" s="40">
        <v>0.48778999240762194</v>
      </c>
    </row>
    <row r="2216" spans="1:32">
      <c r="A2216" s="15">
        <v>2214</v>
      </c>
      <c r="B2216" s="16">
        <v>0</v>
      </c>
      <c r="C2216" s="20">
        <v>0.87</v>
      </c>
      <c r="D2216" s="20">
        <v>0.27276032039195819</v>
      </c>
      <c r="E2216" s="20">
        <v>0.13</v>
      </c>
      <c r="F2216" s="8" t="s">
        <v>434</v>
      </c>
      <c r="G2216" s="24">
        <v>0.51282198372851162</v>
      </c>
      <c r="H2216" s="24">
        <v>0.51579109211284868</v>
      </c>
      <c r="I2216" s="25">
        <v>0.52481157434206316</v>
      </c>
      <c r="X2216" s="15">
        <v>2215</v>
      </c>
      <c r="Y2216" s="39">
        <v>0.49201166587005818</v>
      </c>
      <c r="Z2216" s="39">
        <v>0.48175817841976598</v>
      </c>
      <c r="AA2216" s="39">
        <v>0.48963767706343175</v>
      </c>
      <c r="AB2216" s="39">
        <v>0.48611584551057097</v>
      </c>
      <c r="AC2216" s="39">
        <v>0.48577507175281215</v>
      </c>
      <c r="AD2216" s="39">
        <v>0.47427114648448038</v>
      </c>
      <c r="AE2216" s="39">
        <v>0.48430796191392356</v>
      </c>
      <c r="AF2216" s="40">
        <v>0.48450643712542113</v>
      </c>
    </row>
    <row r="2217" spans="1:32">
      <c r="A2217" s="15">
        <v>2215</v>
      </c>
      <c r="B2217" s="16">
        <v>0</v>
      </c>
      <c r="C2217" s="20">
        <v>0.46</v>
      </c>
      <c r="D2217" s="20">
        <v>0.56945423932860706</v>
      </c>
      <c r="E2217" s="20">
        <v>0.08</v>
      </c>
      <c r="F2217" s="8" t="s">
        <v>436</v>
      </c>
      <c r="G2217" s="24">
        <v>0.91116663820227239</v>
      </c>
      <c r="H2217" s="24">
        <v>0.9164420604557123</v>
      </c>
      <c r="I2217" s="25">
        <v>0.93246938129714463</v>
      </c>
      <c r="X2217" s="15">
        <v>2216</v>
      </c>
      <c r="Y2217" s="39">
        <v>0.49386457945216244</v>
      </c>
      <c r="Z2217" s="39">
        <v>0.4934823497858607</v>
      </c>
      <c r="AA2217" s="39">
        <v>0.48047502981972756</v>
      </c>
      <c r="AB2217" s="39">
        <v>0.47639636515657141</v>
      </c>
      <c r="AC2217" s="39">
        <v>0.48696496943259304</v>
      </c>
      <c r="AD2217" s="39">
        <v>0.48668150545466643</v>
      </c>
      <c r="AE2217" s="39">
        <v>0.47309605162777268</v>
      </c>
      <c r="AF2217" s="40">
        <v>0.46832992481286734</v>
      </c>
    </row>
    <row r="2218" spans="1:32">
      <c r="A2218" s="15">
        <v>2216</v>
      </c>
      <c r="B2218" s="16">
        <v>1</v>
      </c>
      <c r="C2218" s="20">
        <v>0.02</v>
      </c>
      <c r="D2218" s="20">
        <v>0.99679477127711513</v>
      </c>
      <c r="E2218" s="20">
        <v>1</v>
      </c>
      <c r="F2218" s="8" t="s">
        <v>436</v>
      </c>
      <c r="G2218" s="24">
        <v>1.5739827245228191</v>
      </c>
      <c r="H2218" s="24">
        <v>1.5830956827275449</v>
      </c>
      <c r="I2218" s="25">
        <v>1.6107818655475952</v>
      </c>
      <c r="X2218" s="15">
        <v>2217</v>
      </c>
      <c r="Y2218" s="39">
        <v>0.49098828978570441</v>
      </c>
      <c r="Z2218" s="39">
        <v>0.47870744355158662</v>
      </c>
      <c r="AA2218" s="39">
        <v>0.48530012087191904</v>
      </c>
      <c r="AB2218" s="39">
        <v>0.49104840177588605</v>
      </c>
      <c r="AC2218" s="39">
        <v>0.48177212660965424</v>
      </c>
      <c r="AD2218" s="39">
        <v>0.47261843946309018</v>
      </c>
      <c r="AE2218" s="39">
        <v>0.47921598536946353</v>
      </c>
      <c r="AF2218" s="40">
        <v>0.48421801128573694</v>
      </c>
    </row>
    <row r="2219" spans="1:32">
      <c r="A2219" s="15">
        <v>2217</v>
      </c>
      <c r="B2219" s="16">
        <v>0</v>
      </c>
      <c r="C2219" s="20">
        <v>0.51</v>
      </c>
      <c r="D2219" s="20">
        <v>0.6644901284221566</v>
      </c>
      <c r="E2219" s="20">
        <v>0.49</v>
      </c>
      <c r="F2219" s="8" t="s">
        <v>438</v>
      </c>
      <c r="G2219" s="24">
        <v>0.70720330757754468</v>
      </c>
      <c r="H2219" s="24">
        <v>0.71129783420975523</v>
      </c>
      <c r="I2219" s="25">
        <v>0.72373746252300253</v>
      </c>
      <c r="X2219" s="15">
        <v>2218</v>
      </c>
      <c r="Y2219" s="39">
        <v>0.50378931065357757</v>
      </c>
      <c r="Z2219" s="39">
        <v>0.46481229081680919</v>
      </c>
      <c r="AA2219" s="39">
        <v>0.48415186562763468</v>
      </c>
      <c r="AB2219" s="39">
        <v>0.48262307649852298</v>
      </c>
      <c r="AC2219" s="39">
        <v>0.49539783057341252</v>
      </c>
      <c r="AD2219" s="39">
        <v>0.45911868608529249</v>
      </c>
      <c r="AE2219" s="39">
        <v>0.47727803910588495</v>
      </c>
      <c r="AF2219" s="40">
        <v>0.47921677478790431</v>
      </c>
    </row>
    <row r="2220" spans="1:32">
      <c r="A2220" s="15">
        <v>2218</v>
      </c>
      <c r="B2220" s="16">
        <v>1</v>
      </c>
      <c r="C2220" s="20">
        <v>0.93</v>
      </c>
      <c r="D2220" s="20">
        <v>0.18747949848141848</v>
      </c>
      <c r="E2220" s="20">
        <v>7.0000000000000007E-2</v>
      </c>
      <c r="F2220" s="8" t="s">
        <v>434</v>
      </c>
      <c r="G2220" s="24">
        <v>0.86621591203881998</v>
      </c>
      <c r="H2220" s="24">
        <v>0.87123108106176539</v>
      </c>
      <c r="I2220" s="25">
        <v>0.88646772357930903</v>
      </c>
      <c r="X2220" s="15">
        <v>2219</v>
      </c>
      <c r="Y2220" s="39">
        <v>0.49460643973062612</v>
      </c>
      <c r="Z2220" s="39">
        <v>0.47910280720066484</v>
      </c>
      <c r="AA2220" s="39">
        <v>0.4735677800985113</v>
      </c>
      <c r="AB2220" s="39">
        <v>0.48340784420270133</v>
      </c>
      <c r="AC2220" s="39">
        <v>0.48764890329191507</v>
      </c>
      <c r="AD2220" s="39">
        <v>0.47225586645092499</v>
      </c>
      <c r="AE2220" s="39">
        <v>0.4673132119206172</v>
      </c>
      <c r="AF2220" s="40">
        <v>0.47745786181265487</v>
      </c>
    </row>
    <row r="2221" spans="1:32">
      <c r="A2221" s="15">
        <v>2219</v>
      </c>
      <c r="B2221" s="16">
        <v>0</v>
      </c>
      <c r="C2221" s="20">
        <v>0.02</v>
      </c>
      <c r="D2221" s="20">
        <v>0.99917029198757767</v>
      </c>
      <c r="E2221" s="20">
        <v>1</v>
      </c>
      <c r="F2221" s="8" t="s">
        <v>436</v>
      </c>
      <c r="G2221" s="24">
        <v>1.0585514940351328</v>
      </c>
      <c r="H2221" s="24">
        <v>1.0646802369828146</v>
      </c>
      <c r="I2221" s="25">
        <v>1.0833000412104494</v>
      </c>
      <c r="X2221" s="15">
        <v>2220</v>
      </c>
      <c r="Y2221" s="39">
        <v>0.48645739765247625</v>
      </c>
      <c r="Z2221" s="39">
        <v>0.47978480106963667</v>
      </c>
      <c r="AA2221" s="39">
        <v>0.50009894876409533</v>
      </c>
      <c r="AB2221" s="39">
        <v>0.48237672434118334</v>
      </c>
      <c r="AC2221" s="39">
        <v>0.47906645173734502</v>
      </c>
      <c r="AD2221" s="39">
        <v>0.47233840154782103</v>
      </c>
      <c r="AE2221" s="39">
        <v>0.491302800268622</v>
      </c>
      <c r="AF2221" s="40">
        <v>0.47645724338554446</v>
      </c>
    </row>
    <row r="2222" spans="1:32">
      <c r="A2222" s="15">
        <v>2220</v>
      </c>
      <c r="B2222" s="16">
        <v>0</v>
      </c>
      <c r="C2222" s="20">
        <v>0.02</v>
      </c>
      <c r="D2222" s="20">
        <v>0.99604261948721451</v>
      </c>
      <c r="E2222" s="20">
        <v>1</v>
      </c>
      <c r="F2222" s="8" t="s">
        <v>436</v>
      </c>
      <c r="G2222" s="24">
        <v>1.0372191625080565</v>
      </c>
      <c r="H2222" s="24">
        <v>1.0432243967014254</v>
      </c>
      <c r="I2222" s="25">
        <v>1.061468967566308</v>
      </c>
      <c r="X2222" s="15">
        <v>2221</v>
      </c>
      <c r="Y2222" s="39">
        <v>0.4914966856331015</v>
      </c>
      <c r="Z2222" s="39">
        <v>0.48173094173407982</v>
      </c>
      <c r="AA2222" s="39">
        <v>0.49777350590475244</v>
      </c>
      <c r="AB2222" s="39">
        <v>0.49742431097597178</v>
      </c>
      <c r="AC2222" s="39">
        <v>0.48320001228764708</v>
      </c>
      <c r="AD2222" s="39">
        <v>0.47505548800312869</v>
      </c>
      <c r="AE2222" s="39">
        <v>0.49325283989125818</v>
      </c>
      <c r="AF2222" s="40">
        <v>0.49364651349700245</v>
      </c>
    </row>
    <row r="2223" spans="1:32">
      <c r="A2223" s="15">
        <v>2221</v>
      </c>
      <c r="B2223" s="16">
        <v>1</v>
      </c>
      <c r="C2223" s="20">
        <v>0.02</v>
      </c>
      <c r="D2223" s="20">
        <v>0.99531127541355291</v>
      </c>
      <c r="E2223" s="20">
        <v>1</v>
      </c>
      <c r="F2223" s="8" t="s">
        <v>436</v>
      </c>
      <c r="G2223" s="24">
        <v>1.0248320687177626</v>
      </c>
      <c r="H2223" s="24">
        <v>1.0307655847999793</v>
      </c>
      <c r="I2223" s="25">
        <v>1.0487922680489792</v>
      </c>
      <c r="X2223" s="15">
        <v>2222</v>
      </c>
      <c r="Y2223" s="39">
        <v>0.49210333967899378</v>
      </c>
      <c r="Z2223" s="39">
        <v>0.49159741269305307</v>
      </c>
      <c r="AA2223" s="39">
        <v>0.46867787940973155</v>
      </c>
      <c r="AB2223" s="39">
        <v>0.48881753685387996</v>
      </c>
      <c r="AC2223" s="39">
        <v>0.48562212617657874</v>
      </c>
      <c r="AD2223" s="39">
        <v>0.4829344331803484</v>
      </c>
      <c r="AE2223" s="39">
        <v>0.46095110117416493</v>
      </c>
      <c r="AF2223" s="40">
        <v>0.48344992272540938</v>
      </c>
    </row>
    <row r="2224" spans="1:32">
      <c r="A2224" s="15">
        <v>2222</v>
      </c>
      <c r="B2224" s="16">
        <v>1</v>
      </c>
      <c r="C2224" s="20">
        <v>0.05</v>
      </c>
      <c r="D2224" s="20">
        <v>0.96607260075843382</v>
      </c>
      <c r="E2224" s="20">
        <v>0.54</v>
      </c>
      <c r="F2224" s="8" t="s">
        <v>436</v>
      </c>
      <c r="G2224" s="24">
        <v>0.95521136051955924</v>
      </c>
      <c r="H2224" s="24">
        <v>0.96074179047248831</v>
      </c>
      <c r="I2224" s="25">
        <v>0.97754385312991121</v>
      </c>
      <c r="X2224" s="15">
        <v>2223</v>
      </c>
      <c r="Y2224" s="39">
        <v>0.47610933563104463</v>
      </c>
      <c r="Z2224" s="39">
        <v>0.49157902193122721</v>
      </c>
      <c r="AA2224" s="39">
        <v>0.46893679381914877</v>
      </c>
      <c r="AB2224" s="39">
        <v>0.50993581212151762</v>
      </c>
      <c r="AC2224" s="39">
        <v>0.47069785364642647</v>
      </c>
      <c r="AD2224" s="39">
        <v>0.48428526684911682</v>
      </c>
      <c r="AE2224" s="39">
        <v>0.46231864018024099</v>
      </c>
      <c r="AF2224" s="40">
        <v>0.506712794739135</v>
      </c>
    </row>
    <row r="2225" spans="1:32">
      <c r="A2225" s="15">
        <v>2223</v>
      </c>
      <c r="B2225" s="16">
        <v>1</v>
      </c>
      <c r="C2225" s="20">
        <v>0.32</v>
      </c>
      <c r="D2225" s="20">
        <v>0.66871881756696105</v>
      </c>
      <c r="E2225" s="20">
        <v>0.1</v>
      </c>
      <c r="F2225" s="8" t="s">
        <v>436</v>
      </c>
      <c r="G2225" s="24">
        <v>0.90141765771993854</v>
      </c>
      <c r="H2225" s="24">
        <v>0.90663663586488219</v>
      </c>
      <c r="I2225" s="25">
        <v>0.9224924732130475</v>
      </c>
      <c r="X2225" s="15">
        <v>2224</v>
      </c>
      <c r="Y2225" s="39">
        <v>0.48734110260622721</v>
      </c>
      <c r="Z2225" s="39">
        <v>0.47585052908097591</v>
      </c>
      <c r="AA2225" s="39">
        <v>0.50358265241436584</v>
      </c>
      <c r="AB2225" s="39">
        <v>0.48882484951436367</v>
      </c>
      <c r="AC2225" s="39">
        <v>0.48098585000961791</v>
      </c>
      <c r="AD2225" s="39">
        <v>0.46997538333796784</v>
      </c>
      <c r="AE2225" s="39">
        <v>0.49498651777644287</v>
      </c>
      <c r="AF2225" s="40">
        <v>0.48160340980997929</v>
      </c>
    </row>
    <row r="2226" spans="1:32">
      <c r="A2226" s="15">
        <v>2224</v>
      </c>
      <c r="B2226" s="16">
        <v>1</v>
      </c>
      <c r="C2226" s="20">
        <v>0.03</v>
      </c>
      <c r="D2226" s="20">
        <v>0.99642335770206691</v>
      </c>
      <c r="E2226" s="20">
        <v>1</v>
      </c>
      <c r="F2226" s="8" t="s">
        <v>436</v>
      </c>
      <c r="G2226" s="24">
        <v>1.0075695816250672</v>
      </c>
      <c r="H2226" s="24">
        <v>1.0134031523133895</v>
      </c>
      <c r="I2226" s="25">
        <v>1.0311261903151252</v>
      </c>
      <c r="X2226" s="15">
        <v>2225</v>
      </c>
      <c r="Y2226" s="39">
        <v>0.46842958167415077</v>
      </c>
      <c r="Z2226" s="39">
        <v>0.49532671130134981</v>
      </c>
      <c r="AA2226" s="39">
        <v>0.47093416720930875</v>
      </c>
      <c r="AB2226" s="39">
        <v>0.49718623267900242</v>
      </c>
      <c r="AC2226" s="39">
        <v>0.45932624547992545</v>
      </c>
      <c r="AD2226" s="39">
        <v>0.48930278775838448</v>
      </c>
      <c r="AE2226" s="39">
        <v>0.46374344263291567</v>
      </c>
      <c r="AF2226" s="40">
        <v>0.49296551946584177</v>
      </c>
    </row>
    <row r="2227" spans="1:32">
      <c r="A2227" s="15">
        <v>2225</v>
      </c>
      <c r="B2227" s="16">
        <v>1</v>
      </c>
      <c r="C2227" s="20">
        <v>0.6</v>
      </c>
      <c r="D2227" s="20">
        <v>0.57868535190624271</v>
      </c>
      <c r="E2227" s="20">
        <v>0.4</v>
      </c>
      <c r="F2227" s="8" t="s">
        <v>438</v>
      </c>
      <c r="G2227" s="24">
        <v>1.5193716070286922</v>
      </c>
      <c r="H2227" s="24">
        <v>1.5281683808030022</v>
      </c>
      <c r="I2227" s="25">
        <v>1.5548939600793208</v>
      </c>
      <c r="X2227" s="15">
        <v>2226</v>
      </c>
      <c r="Y2227" s="39">
        <v>0.49654023025383698</v>
      </c>
      <c r="Z2227" s="39">
        <v>0.4766733239838144</v>
      </c>
      <c r="AA2227" s="39">
        <v>0.48699877357900034</v>
      </c>
      <c r="AB2227" s="39">
        <v>0.4984095535630651</v>
      </c>
      <c r="AC2227" s="39">
        <v>0.48935880403893628</v>
      </c>
      <c r="AD2227" s="39">
        <v>0.47051177842445013</v>
      </c>
      <c r="AE2227" s="39">
        <v>0.47861289572564059</v>
      </c>
      <c r="AF2227" s="40">
        <v>0.49641128118775285</v>
      </c>
    </row>
    <row r="2228" spans="1:32">
      <c r="A2228" s="15">
        <v>2226</v>
      </c>
      <c r="B2228" s="16">
        <v>0</v>
      </c>
      <c r="C2228" s="20">
        <v>0.02</v>
      </c>
      <c r="D2228" s="20">
        <v>0.99835916395484214</v>
      </c>
      <c r="E2228" s="20">
        <v>1</v>
      </c>
      <c r="F2228" s="8" t="s">
        <v>436</v>
      </c>
      <c r="G2228" s="24">
        <v>1.0557953270679701</v>
      </c>
      <c r="H2228" s="24">
        <v>1.0619081125124432</v>
      </c>
      <c r="I2228" s="25">
        <v>1.080479436066595</v>
      </c>
      <c r="X2228" s="15">
        <v>2227</v>
      </c>
      <c r="Y2228" s="39">
        <v>0.48703682726816194</v>
      </c>
      <c r="Z2228" s="39">
        <v>0.4857465239273896</v>
      </c>
      <c r="AA2228" s="39">
        <v>0.47827650960735962</v>
      </c>
      <c r="AB2228" s="39">
        <v>0.48215545596630988</v>
      </c>
      <c r="AC2228" s="39">
        <v>0.48099123745203798</v>
      </c>
      <c r="AD2228" s="39">
        <v>0.4775239851126824</v>
      </c>
      <c r="AE2228" s="39">
        <v>0.47238072292482275</v>
      </c>
      <c r="AF2228" s="40">
        <v>0.47847949113793053</v>
      </c>
    </row>
    <row r="2229" spans="1:32">
      <c r="A2229" s="15">
        <v>2227</v>
      </c>
      <c r="B2229" s="16">
        <v>1</v>
      </c>
      <c r="C2229" s="20">
        <v>0.1</v>
      </c>
      <c r="D2229" s="20">
        <v>0.94564497130986569</v>
      </c>
      <c r="E2229" s="20">
        <v>0.06</v>
      </c>
      <c r="F2229" s="8" t="s">
        <v>436</v>
      </c>
      <c r="G2229" s="24">
        <v>0.76429871063551869</v>
      </c>
      <c r="H2229" s="24">
        <v>0.76872380507742799</v>
      </c>
      <c r="I2229" s="25">
        <v>0.78216773524394179</v>
      </c>
      <c r="X2229" s="15">
        <v>2228</v>
      </c>
      <c r="Y2229" s="39">
        <v>0.48065479225612068</v>
      </c>
      <c r="Z2229" s="39">
        <v>0.48634899161331724</v>
      </c>
      <c r="AA2229" s="39">
        <v>0.48614058168173163</v>
      </c>
      <c r="AB2229" s="39">
        <v>0.48550320853382228</v>
      </c>
      <c r="AC2229" s="39">
        <v>0.47533498865183232</v>
      </c>
      <c r="AD2229" s="39">
        <v>0.48207262352182773</v>
      </c>
      <c r="AE2229" s="39">
        <v>0.48176599437573303</v>
      </c>
      <c r="AF2229" s="40">
        <v>0.47580588161889664</v>
      </c>
    </row>
    <row r="2230" spans="1:32">
      <c r="A2230" s="15">
        <v>2228</v>
      </c>
      <c r="B2230" s="16">
        <v>0</v>
      </c>
      <c r="C2230" s="20">
        <v>0.86</v>
      </c>
      <c r="D2230" s="20">
        <v>0.28597383862931031</v>
      </c>
      <c r="E2230" s="20">
        <v>0.14000000000000001</v>
      </c>
      <c r="F2230" s="8" t="s">
        <v>434</v>
      </c>
      <c r="G2230" s="24">
        <v>0.71933737860263802</v>
      </c>
      <c r="H2230" s="24">
        <v>0.72350215840877607</v>
      </c>
      <c r="I2230" s="25">
        <v>0.73615522369532571</v>
      </c>
      <c r="X2230" s="15">
        <v>2229</v>
      </c>
      <c r="Y2230" s="39">
        <v>0.49022866756524586</v>
      </c>
      <c r="Z2230" s="39">
        <v>0.48180242630828374</v>
      </c>
      <c r="AA2230" s="39">
        <v>0.48081576618134142</v>
      </c>
      <c r="AB2230" s="39">
        <v>0.49264666598696144</v>
      </c>
      <c r="AC2230" s="39">
        <v>0.48166702538861911</v>
      </c>
      <c r="AD2230" s="39">
        <v>0.47683636361381126</v>
      </c>
      <c r="AE2230" s="39">
        <v>0.47486366509989703</v>
      </c>
      <c r="AF2230" s="40">
        <v>0.48700496058526782</v>
      </c>
    </row>
    <row r="2231" spans="1:32">
      <c r="A2231" s="15">
        <v>2229</v>
      </c>
      <c r="B2231" s="16">
        <v>1</v>
      </c>
      <c r="C2231" s="20">
        <v>0.91</v>
      </c>
      <c r="D2231" s="20">
        <v>0.21727233298780477</v>
      </c>
      <c r="E2231" s="20">
        <v>0.09</v>
      </c>
      <c r="F2231" s="8" t="s">
        <v>434</v>
      </c>
      <c r="G2231" s="24">
        <v>0.70678623817775699</v>
      </c>
      <c r="H2231" s="24">
        <v>0.71087835008460265</v>
      </c>
      <c r="I2231" s="25">
        <v>0.72331064219302943</v>
      </c>
      <c r="X2231" s="15">
        <v>2230</v>
      </c>
      <c r="Y2231" s="39">
        <v>0.47599479982993503</v>
      </c>
      <c r="Z2231" s="39">
        <v>0.47746846991429326</v>
      </c>
      <c r="AA2231" s="39">
        <v>0.486973719222701</v>
      </c>
      <c r="AB2231" s="39">
        <v>0.49249001658426111</v>
      </c>
      <c r="AC2231" s="39">
        <v>0.46675108091819922</v>
      </c>
      <c r="AD2231" s="39">
        <v>0.46947519715240876</v>
      </c>
      <c r="AE2231" s="39">
        <v>0.48130448876795923</v>
      </c>
      <c r="AF2231" s="40">
        <v>0.48743229671936578</v>
      </c>
    </row>
    <row r="2232" spans="1:32">
      <c r="A2232" s="15">
        <v>2230</v>
      </c>
      <c r="B2232" s="16">
        <v>1</v>
      </c>
      <c r="C2232" s="20">
        <v>0.03</v>
      </c>
      <c r="D2232" s="20">
        <v>0.99721793853459939</v>
      </c>
      <c r="E2232" s="20">
        <v>1</v>
      </c>
      <c r="F2232" s="8" t="s">
        <v>436</v>
      </c>
      <c r="G2232" s="24">
        <v>1.0749019419930184</v>
      </c>
      <c r="H2232" s="24">
        <v>1.0811253498608084</v>
      </c>
      <c r="I2232" s="25">
        <v>1.1000327566677466</v>
      </c>
      <c r="X2232" s="15">
        <v>2231</v>
      </c>
      <c r="Y2232" s="39">
        <v>0.50839894035290001</v>
      </c>
      <c r="Z2232" s="39">
        <v>0.48787897893348792</v>
      </c>
      <c r="AA2232" s="39">
        <v>0.48513489015548661</v>
      </c>
      <c r="AB2232" s="39">
        <v>0.4941392425037075</v>
      </c>
      <c r="AC2232" s="39">
        <v>0.49958640341198723</v>
      </c>
      <c r="AD2232" s="39">
        <v>0.47963723243768508</v>
      </c>
      <c r="AE2232" s="39">
        <v>0.47672814020811716</v>
      </c>
      <c r="AF2232" s="40">
        <v>0.490374346925117</v>
      </c>
    </row>
    <row r="2233" spans="1:32">
      <c r="A2233" s="15">
        <v>2231</v>
      </c>
      <c r="B2233" s="16">
        <v>0</v>
      </c>
      <c r="C2233" s="20">
        <v>0.94</v>
      </c>
      <c r="D2233" s="20">
        <v>0.17188516685452584</v>
      </c>
      <c r="E2233" s="20">
        <v>0.06</v>
      </c>
      <c r="F2233" s="8" t="s">
        <v>434</v>
      </c>
      <c r="G2233" s="24">
        <v>0.43389105631761887</v>
      </c>
      <c r="H2233" s="24">
        <v>0.4364031747799263</v>
      </c>
      <c r="I2233" s="25">
        <v>0.44403527068671989</v>
      </c>
      <c r="X2233" s="15">
        <v>2232</v>
      </c>
      <c r="Y2233" s="39">
        <v>0.48003053963438941</v>
      </c>
      <c r="Z2233" s="39">
        <v>0.48150649744821922</v>
      </c>
      <c r="AA2233" s="39">
        <v>0.49034256466515214</v>
      </c>
      <c r="AB2233" s="39">
        <v>0.50062375528792291</v>
      </c>
      <c r="AC2233" s="39">
        <v>0.47576799514254492</v>
      </c>
      <c r="AD2233" s="39">
        <v>0.47356696673334681</v>
      </c>
      <c r="AE2233" s="39">
        <v>0.48235834286184787</v>
      </c>
      <c r="AF2233" s="40">
        <v>0.49613747235963124</v>
      </c>
    </row>
    <row r="2234" spans="1:32">
      <c r="A2234" s="15">
        <v>2232</v>
      </c>
      <c r="B2234" s="16">
        <v>1</v>
      </c>
      <c r="C2234" s="20">
        <v>0.02</v>
      </c>
      <c r="D2234" s="20">
        <v>0.99917029198757767</v>
      </c>
      <c r="E2234" s="20">
        <v>1</v>
      </c>
      <c r="F2234" s="8" t="s">
        <v>436</v>
      </c>
      <c r="G2234" s="24">
        <v>1.1217081660276738</v>
      </c>
      <c r="H2234" s="24">
        <v>1.1282025699850036</v>
      </c>
      <c r="I2234" s="25">
        <v>1.1479332931190842</v>
      </c>
      <c r="X2234" s="15">
        <v>2233</v>
      </c>
      <c r="Y2234" s="39">
        <v>0.47613826534001491</v>
      </c>
      <c r="Z2234" s="39">
        <v>0.48970636607386558</v>
      </c>
      <c r="AA2234" s="39">
        <v>0.47436531878417681</v>
      </c>
      <c r="AB2234" s="39">
        <v>0.50135161589348387</v>
      </c>
      <c r="AC2234" s="39">
        <v>0.47107801499238239</v>
      </c>
      <c r="AD2234" s="39">
        <v>0.48303589562102422</v>
      </c>
      <c r="AE2234" s="39">
        <v>0.46918625992017698</v>
      </c>
      <c r="AF2234" s="40">
        <v>0.49734139506956138</v>
      </c>
    </row>
    <row r="2235" spans="1:32">
      <c r="A2235" s="15">
        <v>2233</v>
      </c>
      <c r="B2235" s="16">
        <v>0</v>
      </c>
      <c r="C2235" s="20">
        <v>0.15</v>
      </c>
      <c r="D2235" s="20">
        <v>0.84372018641156765</v>
      </c>
      <c r="E2235" s="20">
        <v>0.44</v>
      </c>
      <c r="F2235" s="8" t="s">
        <v>436</v>
      </c>
      <c r="G2235" s="24">
        <v>0.88652192612316194</v>
      </c>
      <c r="H2235" s="24">
        <v>0.89165466178440156</v>
      </c>
      <c r="I2235" s="25">
        <v>0.90724848485388299</v>
      </c>
      <c r="X2235" s="15">
        <v>2234</v>
      </c>
      <c r="Y2235" s="39">
        <v>0.48664521062846172</v>
      </c>
      <c r="Z2235" s="39">
        <v>0.49036413503730852</v>
      </c>
      <c r="AA2235" s="39">
        <v>0.46973800479370026</v>
      </c>
      <c r="AB2235" s="39">
        <v>0.49904868416257919</v>
      </c>
      <c r="AC2235" s="39">
        <v>0.48064446885162798</v>
      </c>
      <c r="AD2235" s="39">
        <v>0.48175914190821989</v>
      </c>
      <c r="AE2235" s="39">
        <v>0.46473342945358581</v>
      </c>
      <c r="AF2235" s="40">
        <v>0.49447096775159582</v>
      </c>
    </row>
    <row r="2236" spans="1:32">
      <c r="A2236" s="15">
        <v>2234</v>
      </c>
      <c r="B2236" s="16">
        <v>0</v>
      </c>
      <c r="C2236" s="20">
        <v>0.3</v>
      </c>
      <c r="D2236" s="20">
        <v>0.73197691820967592</v>
      </c>
      <c r="E2236" s="20">
        <v>7.0000000000000007E-2</v>
      </c>
      <c r="F2236" s="8" t="s">
        <v>436</v>
      </c>
      <c r="G2236" s="24">
        <v>0.83169841123956501</v>
      </c>
      <c r="H2236" s="24">
        <v>0.83651373274371987</v>
      </c>
      <c r="I2236" s="25">
        <v>0.85114321622277456</v>
      </c>
      <c r="X2236" s="15">
        <v>2235</v>
      </c>
      <c r="Y2236" s="39">
        <v>0.49097746093340161</v>
      </c>
      <c r="Z2236" s="39">
        <v>0.48833396488555264</v>
      </c>
      <c r="AA2236" s="39">
        <v>0.48141196528932156</v>
      </c>
      <c r="AB2236" s="39">
        <v>0.48952440134875502</v>
      </c>
      <c r="AC2236" s="39">
        <v>0.48336017952251764</v>
      </c>
      <c r="AD2236" s="39">
        <v>0.48187914815634775</v>
      </c>
      <c r="AE2236" s="39">
        <v>0.47244633034764855</v>
      </c>
      <c r="AF2236" s="40">
        <v>0.48310574475682588</v>
      </c>
    </row>
    <row r="2237" spans="1:32">
      <c r="A2237" s="15">
        <v>2235</v>
      </c>
      <c r="B2237" s="16">
        <v>1</v>
      </c>
      <c r="C2237" s="20">
        <v>0.28000000000000003</v>
      </c>
      <c r="D2237" s="20">
        <v>0.72090221283460898</v>
      </c>
      <c r="E2237" s="20">
        <v>0.05</v>
      </c>
      <c r="F2237" s="8" t="s">
        <v>436</v>
      </c>
      <c r="G2237" s="24">
        <v>1.0885133178980479</v>
      </c>
      <c r="H2237" s="24">
        <v>1.0948155321579278</v>
      </c>
      <c r="I2237" s="25">
        <v>1.1139623615683469</v>
      </c>
      <c r="X2237" s="15">
        <v>2236</v>
      </c>
      <c r="Y2237" s="39">
        <v>0.49341619480106369</v>
      </c>
      <c r="Z2237" s="39">
        <v>0.48759531132622563</v>
      </c>
      <c r="AA2237" s="39">
        <v>0.49190362044520886</v>
      </c>
      <c r="AB2237" s="39">
        <v>0.48775903659616304</v>
      </c>
      <c r="AC2237" s="39">
        <v>0.48543431168331047</v>
      </c>
      <c r="AD2237" s="39">
        <v>0.48063472579092142</v>
      </c>
      <c r="AE2237" s="39">
        <v>0.4839417484631417</v>
      </c>
      <c r="AF2237" s="40">
        <v>0.48640879129785369</v>
      </c>
    </row>
    <row r="2238" spans="1:32">
      <c r="A2238" s="15">
        <v>2236</v>
      </c>
      <c r="B2238" s="16">
        <v>0</v>
      </c>
      <c r="C2238" s="20">
        <v>0.92</v>
      </c>
      <c r="D2238" s="20">
        <v>0.20258497911151899</v>
      </c>
      <c r="E2238" s="20">
        <v>0.08</v>
      </c>
      <c r="F2238" s="8" t="s">
        <v>434</v>
      </c>
      <c r="G2238" s="24">
        <v>0.86269793597140176</v>
      </c>
      <c r="H2238" s="24">
        <v>0.8676927368109052</v>
      </c>
      <c r="I2238" s="25">
        <v>0.88286749851677182</v>
      </c>
      <c r="X2238" s="15">
        <v>2237</v>
      </c>
      <c r="Y2238" s="39">
        <v>0.48255255395819807</v>
      </c>
      <c r="Z2238" s="39">
        <v>0.4897683452785771</v>
      </c>
      <c r="AA2238" s="39">
        <v>0.49307243288833064</v>
      </c>
      <c r="AB2238" s="39">
        <v>0.49398358520113878</v>
      </c>
      <c r="AC2238" s="39">
        <v>0.47687106683933733</v>
      </c>
      <c r="AD2238" s="39">
        <v>0.48468308381335057</v>
      </c>
      <c r="AE2238" s="39">
        <v>0.48405965650485555</v>
      </c>
      <c r="AF2238" s="40">
        <v>0.48982650634581282</v>
      </c>
    </row>
    <row r="2239" spans="1:32">
      <c r="A2239" s="15">
        <v>2237</v>
      </c>
      <c r="B2239" s="16">
        <v>0</v>
      </c>
      <c r="C2239" s="20">
        <v>0.92</v>
      </c>
      <c r="D2239" s="20">
        <v>0.20258497911151899</v>
      </c>
      <c r="E2239" s="20">
        <v>0.08</v>
      </c>
      <c r="F2239" s="8" t="s">
        <v>434</v>
      </c>
      <c r="G2239" s="24">
        <v>0.37799549936313132</v>
      </c>
      <c r="H2239" s="24">
        <v>0.38018399681840992</v>
      </c>
      <c r="I2239" s="25">
        <v>0.38683289603278764</v>
      </c>
      <c r="X2239" s="15">
        <v>2238</v>
      </c>
      <c r="Y2239" s="39">
        <v>0.47616600767214545</v>
      </c>
      <c r="Z2239" s="39">
        <v>0.47925774988273817</v>
      </c>
      <c r="AA2239" s="39">
        <v>0.48080330207311578</v>
      </c>
      <c r="AB2239" s="39">
        <v>0.48041777668660074</v>
      </c>
      <c r="AC2239" s="39">
        <v>0.46980855947457323</v>
      </c>
      <c r="AD2239" s="39">
        <v>0.47150318132474772</v>
      </c>
      <c r="AE2239" s="39">
        <v>0.47445458846433292</v>
      </c>
      <c r="AF2239" s="40">
        <v>0.47530783320888298</v>
      </c>
    </row>
    <row r="2240" spans="1:32">
      <c r="A2240" s="15">
        <v>2238</v>
      </c>
      <c r="B2240" s="16">
        <v>0</v>
      </c>
      <c r="C2240" s="20">
        <v>0.89</v>
      </c>
      <c r="D2240" s="20">
        <v>0.24559627500636821</v>
      </c>
      <c r="E2240" s="20">
        <v>0.11</v>
      </c>
      <c r="F2240" s="8" t="s">
        <v>434</v>
      </c>
      <c r="G2240" s="24">
        <v>0.95295933197949922</v>
      </c>
      <c r="H2240" s="24">
        <v>0.9584767232620276</v>
      </c>
      <c r="I2240" s="25">
        <v>0.97523917298539187</v>
      </c>
      <c r="X2240" s="15">
        <v>2239</v>
      </c>
      <c r="Y2240" s="39">
        <v>0.47565381381338506</v>
      </c>
      <c r="Z2240" s="39">
        <v>0.47816626625157604</v>
      </c>
      <c r="AA2240" s="39">
        <v>0.48876008433459467</v>
      </c>
      <c r="AB2240" s="39">
        <v>0.4899340828493044</v>
      </c>
      <c r="AC2240" s="39">
        <v>0.46961721562776404</v>
      </c>
      <c r="AD2240" s="39">
        <v>0.47094945318514131</v>
      </c>
      <c r="AE2240" s="39">
        <v>0.48256859830822219</v>
      </c>
      <c r="AF2240" s="40">
        <v>0.48530140604044786</v>
      </c>
    </row>
    <row r="2241" spans="1:32">
      <c r="A2241" s="15">
        <v>2239</v>
      </c>
      <c r="B2241" s="16">
        <v>0</v>
      </c>
      <c r="C2241" s="20">
        <v>0.91</v>
      </c>
      <c r="D2241" s="20">
        <v>0.21727233298780477</v>
      </c>
      <c r="E2241" s="20">
        <v>0.09</v>
      </c>
      <c r="F2241" s="8" t="s">
        <v>434</v>
      </c>
      <c r="G2241" s="24">
        <v>0.38337662670051575</v>
      </c>
      <c r="H2241" s="24">
        <v>0.38559627950950687</v>
      </c>
      <c r="I2241" s="25">
        <v>0.39233983216125695</v>
      </c>
      <c r="X2241" s="15">
        <v>2240</v>
      </c>
      <c r="Y2241" s="39">
        <v>0.48548421295622252</v>
      </c>
      <c r="Z2241" s="39">
        <v>0.49223819425474918</v>
      </c>
      <c r="AA2241" s="39">
        <v>0.47060788773898438</v>
      </c>
      <c r="AB2241" s="39">
        <v>0.48502144170142353</v>
      </c>
      <c r="AC2241" s="39">
        <v>0.48053394406810551</v>
      </c>
      <c r="AD2241" s="39">
        <v>0.48493141563041053</v>
      </c>
      <c r="AE2241" s="39">
        <v>0.46519357118908539</v>
      </c>
      <c r="AF2241" s="40">
        <v>0.47987404826196306</v>
      </c>
    </row>
    <row r="2242" spans="1:32">
      <c r="A2242" s="15">
        <v>2240</v>
      </c>
      <c r="B2242" s="16">
        <v>0</v>
      </c>
      <c r="C2242" s="20">
        <v>0.56000000000000005</v>
      </c>
      <c r="D2242" s="20">
        <v>0.4619161928037816</v>
      </c>
      <c r="E2242" s="20">
        <v>7.0000000000000007E-2</v>
      </c>
      <c r="F2242" s="8" t="s">
        <v>438</v>
      </c>
      <c r="G2242" s="24">
        <v>0.78867303266699929</v>
      </c>
      <c r="H2242" s="24">
        <v>0.79323924821175218</v>
      </c>
      <c r="I2242" s="25">
        <v>0.80711192001905041</v>
      </c>
      <c r="X2242" s="15">
        <v>2241</v>
      </c>
      <c r="Y2242" s="39">
        <v>0.48075249393607639</v>
      </c>
      <c r="Z2242" s="39">
        <v>0.4903463610870758</v>
      </c>
      <c r="AA2242" s="39">
        <v>0.48334729743135268</v>
      </c>
      <c r="AB2242" s="39">
        <v>0.48979604099755597</v>
      </c>
      <c r="AC2242" s="39">
        <v>0.47504148850693756</v>
      </c>
      <c r="AD2242" s="39">
        <v>0.48361991945325072</v>
      </c>
      <c r="AE2242" s="39">
        <v>0.47647784853908881</v>
      </c>
      <c r="AF2242" s="40">
        <v>0.48676924131152732</v>
      </c>
    </row>
    <row r="2243" spans="1:32">
      <c r="A2243" s="15">
        <v>2241</v>
      </c>
      <c r="B2243" s="16">
        <v>0</v>
      </c>
      <c r="C2243" s="20">
        <v>0.91</v>
      </c>
      <c r="D2243" s="20">
        <v>0.21727233298780477</v>
      </c>
      <c r="E2243" s="20">
        <v>0.09</v>
      </c>
      <c r="F2243" s="8" t="s">
        <v>434</v>
      </c>
      <c r="G2243" s="24">
        <v>1.0181711135346942</v>
      </c>
      <c r="H2243" s="24">
        <v>1.0240660643866573</v>
      </c>
      <c r="I2243" s="25">
        <v>1.0419755821673953</v>
      </c>
      <c r="X2243" s="15">
        <v>2242</v>
      </c>
      <c r="Y2243" s="39">
        <v>0.48266812003383086</v>
      </c>
      <c r="Z2243" s="39">
        <v>0.49192072341242421</v>
      </c>
      <c r="AA2243" s="39">
        <v>0.49147296184666855</v>
      </c>
      <c r="AB2243" s="39">
        <v>0.50384786748580479</v>
      </c>
      <c r="AC2243" s="39">
        <v>0.47857851608189794</v>
      </c>
      <c r="AD2243" s="39">
        <v>0.48384718633129387</v>
      </c>
      <c r="AE2243" s="39">
        <v>0.48428133226459347</v>
      </c>
      <c r="AF2243" s="40">
        <v>0.49836700659625116</v>
      </c>
    </row>
    <row r="2244" spans="1:32">
      <c r="A2244" s="15">
        <v>2242</v>
      </c>
      <c r="B2244" s="16">
        <v>1</v>
      </c>
      <c r="C2244" s="20">
        <v>0.31</v>
      </c>
      <c r="D2244" s="20">
        <v>0.69240244790220906</v>
      </c>
      <c r="E2244" s="20">
        <v>7.0000000000000007E-2</v>
      </c>
      <c r="F2244" s="8" t="s">
        <v>436</v>
      </c>
      <c r="G2244" s="24">
        <v>1.352737407901679</v>
      </c>
      <c r="H2244" s="24">
        <v>1.3605694121976055</v>
      </c>
      <c r="I2244" s="25">
        <v>1.3843639142586377</v>
      </c>
      <c r="X2244" s="15">
        <v>2243</v>
      </c>
      <c r="Y2244" s="39">
        <v>0.48339750247147462</v>
      </c>
      <c r="Z2244" s="39">
        <v>0.48916689276391823</v>
      </c>
      <c r="AA2244" s="39">
        <v>0.4774790289575534</v>
      </c>
      <c r="AB2244" s="39">
        <v>0.48708550854163279</v>
      </c>
      <c r="AC2244" s="39">
        <v>0.47581180490137998</v>
      </c>
      <c r="AD2244" s="39">
        <v>0.48369987363424333</v>
      </c>
      <c r="AE2244" s="39">
        <v>0.47073591967772749</v>
      </c>
      <c r="AF2244" s="40">
        <v>0.4830151210660012</v>
      </c>
    </row>
    <row r="2245" spans="1:32">
      <c r="A2245" s="15">
        <v>2243</v>
      </c>
      <c r="B2245" s="16">
        <v>0</v>
      </c>
      <c r="C2245" s="20">
        <v>0.08</v>
      </c>
      <c r="D2245" s="20">
        <v>0.92470250237819873</v>
      </c>
      <c r="E2245" s="20">
        <v>0.11</v>
      </c>
      <c r="F2245" s="8" t="s">
        <v>436</v>
      </c>
      <c r="G2245" s="24">
        <v>1.0780758505292616</v>
      </c>
      <c r="H2245" s="24">
        <v>1.0843176345173138</v>
      </c>
      <c r="I2245" s="25">
        <v>1.1032808700259396</v>
      </c>
      <c r="X2245" s="15">
        <v>2244</v>
      </c>
      <c r="Y2245" s="39">
        <v>0.4938461591862176</v>
      </c>
      <c r="Z2245" s="39">
        <v>0.47738712589978499</v>
      </c>
      <c r="AA2245" s="39">
        <v>0.49374775698408579</v>
      </c>
      <c r="AB2245" s="39">
        <v>0.48283140311751649</v>
      </c>
      <c r="AC2245" s="39">
        <v>0.4904719004870754</v>
      </c>
      <c r="AD2245" s="39">
        <v>0.46954930521361954</v>
      </c>
      <c r="AE2245" s="39">
        <v>0.48526346922748931</v>
      </c>
      <c r="AF2245" s="40">
        <v>0.47806467996671553</v>
      </c>
    </row>
    <row r="2246" spans="1:32">
      <c r="A2246" s="15">
        <v>2244</v>
      </c>
      <c r="B2246" s="16">
        <v>1</v>
      </c>
      <c r="C2246" s="20">
        <v>0.27</v>
      </c>
      <c r="D2246" s="20">
        <v>0.85284738485207801</v>
      </c>
      <c r="E2246" s="20">
        <v>0.04</v>
      </c>
      <c r="F2246" s="8" t="s">
        <v>436</v>
      </c>
      <c r="G2246" s="24">
        <v>1.0089423215270863</v>
      </c>
      <c r="H2246" s="24">
        <v>1.0147838400290399</v>
      </c>
      <c r="I2246" s="25">
        <v>1.0325310243745056</v>
      </c>
      <c r="X2246" s="15">
        <v>2245</v>
      </c>
      <c r="Y2246" s="39">
        <v>0.48995415800588427</v>
      </c>
      <c r="Z2246" s="39">
        <v>0.48932204202403556</v>
      </c>
      <c r="AA2246" s="39">
        <v>0.48524155356123522</v>
      </c>
      <c r="AB2246" s="39">
        <v>0.50148849965174314</v>
      </c>
      <c r="AC2246" s="39">
        <v>0.48292598655175117</v>
      </c>
      <c r="AD2246" s="39">
        <v>0.48340341242087176</v>
      </c>
      <c r="AE2246" s="39">
        <v>0.47883553711989224</v>
      </c>
      <c r="AF2246" s="40">
        <v>0.50173066009960277</v>
      </c>
    </row>
    <row r="2247" spans="1:32">
      <c r="A2247" s="15">
        <v>2245</v>
      </c>
      <c r="B2247" s="16">
        <v>0</v>
      </c>
      <c r="C2247" s="20">
        <v>0.02</v>
      </c>
      <c r="D2247" s="20">
        <v>0.99679477127711513</v>
      </c>
      <c r="E2247" s="20">
        <v>1</v>
      </c>
      <c r="F2247" s="8" t="s">
        <v>436</v>
      </c>
      <c r="G2247" s="24">
        <v>1.0325721200343674</v>
      </c>
      <c r="H2247" s="24">
        <v>1.0385504490380042</v>
      </c>
      <c r="I2247" s="25">
        <v>1.0567132789374403</v>
      </c>
      <c r="X2247" s="15">
        <v>2246</v>
      </c>
      <c r="Y2247" s="39">
        <v>0.4846173276933658</v>
      </c>
      <c r="Z2247" s="39">
        <v>0.50927142903716605</v>
      </c>
      <c r="AA2247" s="39">
        <v>0.48778547487702784</v>
      </c>
      <c r="AB2247" s="39">
        <v>0.48936425711722958</v>
      </c>
      <c r="AC2247" s="39">
        <v>0.47374995954666083</v>
      </c>
      <c r="AD2247" s="39">
        <v>0.5037248237753813</v>
      </c>
      <c r="AE2247" s="39">
        <v>0.47972540898448029</v>
      </c>
      <c r="AF2247" s="40">
        <v>0.48349335640378083</v>
      </c>
    </row>
    <row r="2248" spans="1:32">
      <c r="A2248" s="15">
        <v>2246</v>
      </c>
      <c r="B2248" s="16">
        <v>1</v>
      </c>
      <c r="C2248" s="20">
        <v>0.02</v>
      </c>
      <c r="D2248" s="20">
        <v>0.99835916395484214</v>
      </c>
      <c r="E2248" s="20">
        <v>1</v>
      </c>
      <c r="F2248" s="8" t="s">
        <v>436</v>
      </c>
      <c r="G2248" s="24">
        <v>1.0221332342005671</v>
      </c>
      <c r="H2248" s="24">
        <v>1.0280511247198261</v>
      </c>
      <c r="I2248" s="25">
        <v>1.046030335766825</v>
      </c>
      <c r="X2248" s="15">
        <v>2247</v>
      </c>
      <c r="Y2248" s="39">
        <v>0.50230729355949766</v>
      </c>
      <c r="Z2248" s="39">
        <v>0.49310578936427257</v>
      </c>
      <c r="AA2248" s="39">
        <v>0.48068625246665664</v>
      </c>
      <c r="AB2248" s="39">
        <v>0.48516750912015921</v>
      </c>
      <c r="AC2248" s="39">
        <v>0.4932376603599955</v>
      </c>
      <c r="AD2248" s="39">
        <v>0.48492048185369696</v>
      </c>
      <c r="AE2248" s="39">
        <v>0.47491382673201754</v>
      </c>
      <c r="AF2248" s="40">
        <v>0.48016448473661921</v>
      </c>
    </row>
    <row r="2249" spans="1:32">
      <c r="A2249" s="15">
        <v>2247</v>
      </c>
      <c r="B2249" s="16">
        <v>0</v>
      </c>
      <c r="C2249" s="20">
        <v>0.02</v>
      </c>
      <c r="D2249" s="20">
        <v>0.99835916395484214</v>
      </c>
      <c r="E2249" s="20">
        <v>1</v>
      </c>
      <c r="F2249" s="8" t="s">
        <v>436</v>
      </c>
      <c r="G2249" s="24">
        <v>1.122635549652351</v>
      </c>
      <c r="H2249" s="24">
        <v>1.1291353229241465</v>
      </c>
      <c r="I2249" s="25">
        <v>1.1488823586340751</v>
      </c>
      <c r="X2249" s="15">
        <v>2248</v>
      </c>
      <c r="Y2249" s="39">
        <v>0.49118864608835106</v>
      </c>
      <c r="Z2249" s="39">
        <v>0.49855916470355321</v>
      </c>
      <c r="AA2249" s="39">
        <v>0.48919209986086071</v>
      </c>
      <c r="AB2249" s="39">
        <v>0.48511395992746692</v>
      </c>
      <c r="AC2249" s="39">
        <v>0.48414783086995916</v>
      </c>
      <c r="AD2249" s="39">
        <v>0.48888338743260906</v>
      </c>
      <c r="AE2249" s="39">
        <v>0.48250835646644807</v>
      </c>
      <c r="AF2249" s="40">
        <v>0.47895044124240094</v>
      </c>
    </row>
    <row r="2250" spans="1:32">
      <c r="A2250" s="15">
        <v>2248</v>
      </c>
      <c r="B2250" s="16">
        <v>1</v>
      </c>
      <c r="C2250" s="20">
        <v>0.02</v>
      </c>
      <c r="D2250" s="20">
        <v>0.99835916395484214</v>
      </c>
      <c r="E2250" s="20">
        <v>1</v>
      </c>
      <c r="F2250" s="8" t="s">
        <v>436</v>
      </c>
      <c r="G2250" s="24">
        <v>1.118860502286535</v>
      </c>
      <c r="H2250" s="24">
        <v>1.12533841899769</v>
      </c>
      <c r="I2250" s="25">
        <v>1.1450190520401078</v>
      </c>
      <c r="X2250" s="15">
        <v>2249</v>
      </c>
      <c r="Y2250" s="39">
        <v>0.49597871301691987</v>
      </c>
      <c r="Z2250" s="39">
        <v>0.49773707499358866</v>
      </c>
      <c r="AA2250" s="39">
        <v>0.48075236241253338</v>
      </c>
      <c r="AB2250" s="39">
        <v>0.48884921262109216</v>
      </c>
      <c r="AC2250" s="39">
        <v>0.48956493708304866</v>
      </c>
      <c r="AD2250" s="39">
        <v>0.49032972052981799</v>
      </c>
      <c r="AE2250" s="39">
        <v>0.47607227359848125</v>
      </c>
      <c r="AF2250" s="40">
        <v>0.48330945159017469</v>
      </c>
    </row>
    <row r="2251" spans="1:32">
      <c r="A2251" s="15">
        <v>2249</v>
      </c>
      <c r="B2251" s="16">
        <v>1</v>
      </c>
      <c r="C2251" s="20">
        <v>0.91</v>
      </c>
      <c r="D2251" s="20">
        <v>0.21727233298780477</v>
      </c>
      <c r="E2251" s="20">
        <v>0.09</v>
      </c>
      <c r="F2251" s="8" t="s">
        <v>434</v>
      </c>
      <c r="G2251" s="24">
        <v>0.43161472756156027</v>
      </c>
      <c r="H2251" s="24">
        <v>0.43411366666141921</v>
      </c>
      <c r="I2251" s="25">
        <v>0.44170572219603027</v>
      </c>
      <c r="X2251" s="15">
        <v>2250</v>
      </c>
      <c r="Y2251" s="39">
        <v>0.49036916638504369</v>
      </c>
      <c r="Z2251" s="39">
        <v>0.48396327402531347</v>
      </c>
      <c r="AA2251" s="39">
        <v>0.48923206186467993</v>
      </c>
      <c r="AB2251" s="39">
        <v>0.48745507375278052</v>
      </c>
      <c r="AC2251" s="39">
        <v>0.48358738449468824</v>
      </c>
      <c r="AD2251" s="39">
        <v>0.48075769619453956</v>
      </c>
      <c r="AE2251" s="39">
        <v>0.48520411172397293</v>
      </c>
      <c r="AF2251" s="40">
        <v>0.48013560213885026</v>
      </c>
    </row>
    <row r="2252" spans="1:32">
      <c r="A2252" s="15">
        <v>2250</v>
      </c>
      <c r="B2252" s="16">
        <v>1</v>
      </c>
      <c r="C2252" s="20">
        <v>0.02</v>
      </c>
      <c r="D2252" s="20">
        <v>0.99835916395484214</v>
      </c>
      <c r="E2252" s="20">
        <v>1</v>
      </c>
      <c r="F2252" s="8" t="s">
        <v>436</v>
      </c>
      <c r="G2252" s="24">
        <v>1.0564113755319642</v>
      </c>
      <c r="H2252" s="24">
        <v>1.0625277277397931</v>
      </c>
      <c r="I2252" s="25">
        <v>1.0811098875185963</v>
      </c>
      <c r="X2252" s="15">
        <v>2251</v>
      </c>
      <c r="Y2252" s="39">
        <v>0.47554620959686567</v>
      </c>
      <c r="Z2252" s="39">
        <v>0.50105604487336142</v>
      </c>
      <c r="AA2252" s="39">
        <v>0.49212981785589383</v>
      </c>
      <c r="AB2252" s="39">
        <v>0.48695719452552205</v>
      </c>
      <c r="AC2252" s="39">
        <v>0.46730289526388069</v>
      </c>
      <c r="AD2252" s="39">
        <v>0.49512872169959116</v>
      </c>
      <c r="AE2252" s="39">
        <v>0.48601651586720906</v>
      </c>
      <c r="AF2252" s="40">
        <v>0.47936266416582668</v>
      </c>
    </row>
    <row r="2253" spans="1:32">
      <c r="A2253" s="15">
        <v>2251</v>
      </c>
      <c r="B2253" s="16">
        <v>0</v>
      </c>
      <c r="C2253" s="20">
        <v>0.01</v>
      </c>
      <c r="D2253" s="20">
        <v>0.99999999999999978</v>
      </c>
      <c r="E2253" s="20">
        <v>1</v>
      </c>
      <c r="F2253" s="8" t="s">
        <v>436</v>
      </c>
      <c r="G2253" s="24">
        <v>1.0700677680813522</v>
      </c>
      <c r="H2253" s="24">
        <v>1.0762631873161508</v>
      </c>
      <c r="I2253" s="25">
        <v>1.0950855615362525</v>
      </c>
      <c r="X2253" s="15">
        <v>2252</v>
      </c>
      <c r="Y2253" s="39">
        <v>0.4776001372400378</v>
      </c>
      <c r="Z2253" s="39">
        <v>0.50214858440467836</v>
      </c>
      <c r="AA2253" s="39">
        <v>0.49124350020109581</v>
      </c>
      <c r="AB2253" s="39">
        <v>0.48621984736248391</v>
      </c>
      <c r="AC2253" s="39">
        <v>0.47130756647296368</v>
      </c>
      <c r="AD2253" s="39">
        <v>0.49369008460893576</v>
      </c>
      <c r="AE2253" s="39">
        <v>0.48365666736255664</v>
      </c>
      <c r="AF2253" s="40">
        <v>0.48011247572731097</v>
      </c>
    </row>
    <row r="2254" spans="1:32">
      <c r="A2254" s="15">
        <v>2252</v>
      </c>
      <c r="B2254" s="16">
        <v>0</v>
      </c>
      <c r="C2254" s="20">
        <v>0.03</v>
      </c>
      <c r="D2254" s="20">
        <v>0.9948936026028764</v>
      </c>
      <c r="E2254" s="20">
        <v>1</v>
      </c>
      <c r="F2254" s="8" t="s">
        <v>436</v>
      </c>
      <c r="G2254" s="24">
        <v>1.0098531027716324</v>
      </c>
      <c r="H2254" s="24">
        <v>1.0156998944645086</v>
      </c>
      <c r="I2254" s="25">
        <v>1.0334630993517837</v>
      </c>
      <c r="X2254" s="15">
        <v>2253</v>
      </c>
      <c r="Y2254" s="39">
        <v>0.49138385558011699</v>
      </c>
      <c r="Z2254" s="39">
        <v>0.4829058974578303</v>
      </c>
      <c r="AA2254" s="39">
        <v>0.48181395563185303</v>
      </c>
      <c r="AB2254" s="39">
        <v>0.50223674745950675</v>
      </c>
      <c r="AC2254" s="39">
        <v>0.48412814114892599</v>
      </c>
      <c r="AD2254" s="39">
        <v>0.47667266977483252</v>
      </c>
      <c r="AE2254" s="39">
        <v>0.47384381464949826</v>
      </c>
      <c r="AF2254" s="40">
        <v>0.49734885106652621</v>
      </c>
    </row>
    <row r="2255" spans="1:32">
      <c r="A2255" s="15">
        <v>2253</v>
      </c>
      <c r="B2255" s="16">
        <v>0</v>
      </c>
      <c r="C2255" s="20">
        <v>0.28000000000000003</v>
      </c>
      <c r="D2255" s="20">
        <v>0.80152563614922756</v>
      </c>
      <c r="E2255" s="20">
        <v>0.04</v>
      </c>
      <c r="F2255" s="8" t="s">
        <v>436</v>
      </c>
      <c r="G2255" s="24">
        <v>1.6584996573844974</v>
      </c>
      <c r="H2255" s="24">
        <v>1.6681019470569454</v>
      </c>
      <c r="I2255" s="25">
        <v>1.6578926537592125</v>
      </c>
      <c r="X2255" s="15">
        <v>2254</v>
      </c>
      <c r="Y2255" s="39">
        <v>0.49165496809847625</v>
      </c>
      <c r="Z2255" s="39">
        <v>0.49338444381340579</v>
      </c>
      <c r="AA2255" s="39">
        <v>0.46909583427387763</v>
      </c>
      <c r="AB2255" s="39">
        <v>0.5058162394961494</v>
      </c>
      <c r="AC2255" s="39">
        <v>0.48499066769110771</v>
      </c>
      <c r="AD2255" s="39">
        <v>0.48381550022137543</v>
      </c>
      <c r="AE2255" s="39">
        <v>0.46062809035205693</v>
      </c>
      <c r="AF2255" s="40">
        <v>0.50062347291628928</v>
      </c>
    </row>
    <row r="2256" spans="1:32">
      <c r="A2256" s="15">
        <v>2254</v>
      </c>
      <c r="B2256" s="16">
        <v>1</v>
      </c>
      <c r="C2256" s="20">
        <v>0.8</v>
      </c>
      <c r="D2256" s="20">
        <v>0.36115643774699402</v>
      </c>
      <c r="E2256" s="20">
        <v>0.2</v>
      </c>
      <c r="F2256" s="8" t="s">
        <v>434</v>
      </c>
      <c r="G2256" s="24">
        <v>0.4149028449539941</v>
      </c>
      <c r="H2256" s="24">
        <v>0.41730502651938189</v>
      </c>
      <c r="I2256" s="25">
        <v>0.42460312187899762</v>
      </c>
      <c r="X2256" s="15">
        <v>2255</v>
      </c>
      <c r="Y2256" s="39">
        <v>0.48986194967887392</v>
      </c>
      <c r="Z2256" s="39">
        <v>0.49879942566058971</v>
      </c>
      <c r="AA2256" s="39">
        <v>0.48983960588126629</v>
      </c>
      <c r="AB2256" s="39">
        <v>0.48866563983480998</v>
      </c>
      <c r="AC2256" s="39">
        <v>0.48216575200601169</v>
      </c>
      <c r="AD2256" s="39">
        <v>0.49268489305387803</v>
      </c>
      <c r="AE2256" s="39">
        <v>0.48643812192056596</v>
      </c>
      <c r="AF2256" s="40">
        <v>0.48235232276197493</v>
      </c>
    </row>
    <row r="2257" spans="1:32">
      <c r="A2257" s="15">
        <v>2255</v>
      </c>
      <c r="B2257" s="16">
        <v>0</v>
      </c>
      <c r="C2257" s="20">
        <v>0.41</v>
      </c>
      <c r="D2257" s="20">
        <v>0.59299892639204688</v>
      </c>
      <c r="E2257" s="20">
        <v>0.06</v>
      </c>
      <c r="F2257" s="8" t="s">
        <v>436</v>
      </c>
      <c r="G2257" s="24">
        <v>0.89720950825889523</v>
      </c>
      <c r="H2257" s="24">
        <v>0.90240412229261946</v>
      </c>
      <c r="I2257" s="25">
        <v>0.9181859387551059</v>
      </c>
      <c r="X2257" s="15">
        <v>2256</v>
      </c>
      <c r="Y2257" s="39">
        <v>0.48808466792959082</v>
      </c>
      <c r="Z2257" s="39">
        <v>0.48440462287513464</v>
      </c>
      <c r="AA2257" s="39">
        <v>0.48622974590807688</v>
      </c>
      <c r="AB2257" s="39">
        <v>0.50125115466092407</v>
      </c>
      <c r="AC2257" s="39">
        <v>0.48228762927306901</v>
      </c>
      <c r="AD2257" s="39">
        <v>0.47506552616716013</v>
      </c>
      <c r="AE2257" s="39">
        <v>0.47723959866633192</v>
      </c>
      <c r="AF2257" s="40">
        <v>0.49694537197746985</v>
      </c>
    </row>
    <row r="2258" spans="1:32">
      <c r="A2258" s="15">
        <v>2256</v>
      </c>
      <c r="B2258" s="16">
        <v>1</v>
      </c>
      <c r="C2258" s="20">
        <v>0.02</v>
      </c>
      <c r="D2258" s="20">
        <v>0.99917029198757767</v>
      </c>
      <c r="E2258" s="20">
        <v>1</v>
      </c>
      <c r="F2258" s="8" t="s">
        <v>436</v>
      </c>
      <c r="G2258" s="24">
        <v>0.98611523686574476</v>
      </c>
      <c r="H2258" s="24">
        <v>0.99182459237428444</v>
      </c>
      <c r="I2258" s="25">
        <v>1.0091702508139471</v>
      </c>
      <c r="X2258" s="15">
        <v>2257</v>
      </c>
      <c r="Y2258" s="39">
        <v>0.49485109746049233</v>
      </c>
      <c r="Z2258" s="39">
        <v>0.49476963661897799</v>
      </c>
      <c r="AA2258" s="39">
        <v>0.48621537438078782</v>
      </c>
      <c r="AB2258" s="39">
        <v>0.49793985880861752</v>
      </c>
      <c r="AC2258" s="39">
        <v>0.48853073889439896</v>
      </c>
      <c r="AD2258" s="39">
        <v>0.48733607713388932</v>
      </c>
      <c r="AE2258" s="39">
        <v>0.47838166007327421</v>
      </c>
      <c r="AF2258" s="40">
        <v>0.49548362988351091</v>
      </c>
    </row>
    <row r="2259" spans="1:32">
      <c r="A2259" s="15">
        <v>2257</v>
      </c>
      <c r="B2259" s="16">
        <v>1</v>
      </c>
      <c r="C2259" s="20">
        <v>0.02</v>
      </c>
      <c r="D2259" s="20">
        <v>0.99835916395484214</v>
      </c>
      <c r="E2259" s="20">
        <v>1</v>
      </c>
      <c r="F2259" s="8" t="s">
        <v>436</v>
      </c>
      <c r="G2259" s="24">
        <v>1.0489234692811051</v>
      </c>
      <c r="H2259" s="24">
        <v>1.0549964684230828</v>
      </c>
      <c r="I2259" s="25">
        <v>1.0734469167553937</v>
      </c>
      <c r="X2259" s="15">
        <v>2258</v>
      </c>
      <c r="Y2259" s="39">
        <v>0.46963965028998428</v>
      </c>
      <c r="Z2259" s="39">
        <v>0.480074605654984</v>
      </c>
      <c r="AA2259" s="39">
        <v>0.48821271527287047</v>
      </c>
      <c r="AB2259" s="39">
        <v>0.48607085636386327</v>
      </c>
      <c r="AC2259" s="39">
        <v>0.46484529659562057</v>
      </c>
      <c r="AD2259" s="39">
        <v>0.47380514139523822</v>
      </c>
      <c r="AE2259" s="39">
        <v>0.48005562189787404</v>
      </c>
      <c r="AF2259" s="40">
        <v>0.4835350334412995</v>
      </c>
    </row>
    <row r="2260" spans="1:32">
      <c r="A2260" s="15">
        <v>2258</v>
      </c>
      <c r="B2260" s="16">
        <v>0</v>
      </c>
      <c r="C2260" s="20">
        <v>0.91</v>
      </c>
      <c r="D2260" s="20">
        <v>0.21727233298780477</v>
      </c>
      <c r="E2260" s="20">
        <v>0.09</v>
      </c>
      <c r="F2260" s="8" t="s">
        <v>434</v>
      </c>
      <c r="G2260" s="24">
        <v>0.69713924351185474</v>
      </c>
      <c r="H2260" s="24">
        <v>0.70117550178204868</v>
      </c>
      <c r="I2260" s="25">
        <v>0.71343810431649035</v>
      </c>
      <c r="X2260" s="15">
        <v>2259</v>
      </c>
      <c r="Y2260" s="39">
        <v>0.48730933556165962</v>
      </c>
      <c r="Z2260" s="39">
        <v>0.48610100238919818</v>
      </c>
      <c r="AA2260" s="39">
        <v>0.48095827337849106</v>
      </c>
      <c r="AB2260" s="39">
        <v>0.49419598796027131</v>
      </c>
      <c r="AC2260" s="39">
        <v>0.48117279303540245</v>
      </c>
      <c r="AD2260" s="39">
        <v>0.47744651776337721</v>
      </c>
      <c r="AE2260" s="39">
        <v>0.47417500381319322</v>
      </c>
      <c r="AF2260" s="40">
        <v>0.48945516467142697</v>
      </c>
    </row>
    <row r="2261" spans="1:32">
      <c r="A2261" s="15">
        <v>2259</v>
      </c>
      <c r="B2261" s="16">
        <v>0</v>
      </c>
      <c r="C2261" s="20">
        <v>0.16</v>
      </c>
      <c r="D2261" s="20">
        <v>0.89919382242963108</v>
      </c>
      <c r="E2261" s="20">
        <v>0.41</v>
      </c>
      <c r="F2261" s="8" t="s">
        <v>436</v>
      </c>
      <c r="G2261" s="24">
        <v>0.9138444467718968</v>
      </c>
      <c r="H2261" s="24">
        <v>0.91913537285342528</v>
      </c>
      <c r="I2261" s="25">
        <v>0.93520979605275545</v>
      </c>
      <c r="X2261" s="15">
        <v>2260</v>
      </c>
      <c r="Y2261" s="39">
        <v>0.48782597334858396</v>
      </c>
      <c r="Z2261" s="39">
        <v>0.48278649423517611</v>
      </c>
      <c r="AA2261" s="39">
        <v>0.48962023680230959</v>
      </c>
      <c r="AB2261" s="39">
        <v>0.50276026454572975</v>
      </c>
      <c r="AC2261" s="39">
        <v>0.48399219056625703</v>
      </c>
      <c r="AD2261" s="39">
        <v>0.47472828804167788</v>
      </c>
      <c r="AE2261" s="39">
        <v>0.48273695682669554</v>
      </c>
      <c r="AF2261" s="40">
        <v>0.49826804316297335</v>
      </c>
    </row>
    <row r="2262" spans="1:32">
      <c r="A2262" s="15">
        <v>2260</v>
      </c>
      <c r="B2262" s="16">
        <v>0</v>
      </c>
      <c r="C2262" s="20">
        <v>0.09</v>
      </c>
      <c r="D2262" s="20">
        <v>0.92773960151061596</v>
      </c>
      <c r="E2262" s="20">
        <v>0.04</v>
      </c>
      <c r="F2262" s="8" t="s">
        <v>436</v>
      </c>
      <c r="G2262" s="24">
        <v>1.1187196882421511</v>
      </c>
      <c r="H2262" s="24">
        <v>1.1251967896759327</v>
      </c>
      <c r="I2262" s="25">
        <v>1.1448749458148142</v>
      </c>
      <c r="X2262" s="15">
        <v>2261</v>
      </c>
      <c r="Y2262" s="39">
        <v>0.48548791363192922</v>
      </c>
      <c r="Z2262" s="39">
        <v>0.49520707896492044</v>
      </c>
      <c r="AA2262" s="39">
        <v>0.49654805097735549</v>
      </c>
      <c r="AB2262" s="39">
        <v>0.49690034039498776</v>
      </c>
      <c r="AC2262" s="39">
        <v>0.47729906676252204</v>
      </c>
      <c r="AD2262" s="39">
        <v>0.49005154024969011</v>
      </c>
      <c r="AE2262" s="39">
        <v>0.48746853413876268</v>
      </c>
      <c r="AF2262" s="40">
        <v>0.49348135745831251</v>
      </c>
    </row>
    <row r="2263" spans="1:32">
      <c r="A2263" s="15">
        <v>2261</v>
      </c>
      <c r="B2263" s="16">
        <v>1</v>
      </c>
      <c r="C2263" s="20">
        <v>0.18</v>
      </c>
      <c r="D2263" s="20">
        <v>0.86562680768216127</v>
      </c>
      <c r="E2263" s="20">
        <v>0.05</v>
      </c>
      <c r="F2263" s="8" t="s">
        <v>436</v>
      </c>
      <c r="G2263" s="24">
        <v>0.75126407411294815</v>
      </c>
      <c r="H2263" s="24">
        <v>0.75561370133657524</v>
      </c>
      <c r="I2263" s="25">
        <v>0.76882835368184343</v>
      </c>
      <c r="X2263" s="15">
        <v>2262</v>
      </c>
      <c r="Y2263" s="39">
        <v>0.47538556095101242</v>
      </c>
      <c r="Z2263" s="39">
        <v>0.50236900918976979</v>
      </c>
      <c r="AA2263" s="39">
        <v>0.49416077112303747</v>
      </c>
      <c r="AB2263" s="39">
        <v>0.48665342267786199</v>
      </c>
      <c r="AC2263" s="39">
        <v>0.46903567006724078</v>
      </c>
      <c r="AD2263" s="39">
        <v>0.49463497950748425</v>
      </c>
      <c r="AE2263" s="39">
        <v>0.48575968918545492</v>
      </c>
      <c r="AF2263" s="40">
        <v>0.48407776006572656</v>
      </c>
    </row>
    <row r="2264" spans="1:32">
      <c r="A2264" s="15">
        <v>2262</v>
      </c>
      <c r="B2264" s="16">
        <v>1</v>
      </c>
      <c r="C2264" s="20">
        <v>0.92</v>
      </c>
      <c r="D2264" s="20">
        <v>0.20258497911151899</v>
      </c>
      <c r="E2264" s="20">
        <v>0.08</v>
      </c>
      <c r="F2264" s="8" t="s">
        <v>434</v>
      </c>
      <c r="G2264" s="24">
        <v>2.3294627937491885</v>
      </c>
      <c r="H2264" s="24">
        <v>2.3429497887130855</v>
      </c>
      <c r="I2264" s="25">
        <v>1.6578926537592125</v>
      </c>
      <c r="X2264" s="15">
        <v>2263</v>
      </c>
      <c r="Y2264" s="39">
        <v>0.48834988642064175</v>
      </c>
      <c r="Z2264" s="39">
        <v>0.47970225219974727</v>
      </c>
      <c r="AA2264" s="39">
        <v>0.48885018225733312</v>
      </c>
      <c r="AB2264" s="39">
        <v>0.48444167659405479</v>
      </c>
      <c r="AC2264" s="39">
        <v>0.47843805709900711</v>
      </c>
      <c r="AD2264" s="39">
        <v>0.47242938866160727</v>
      </c>
      <c r="AE2264" s="39">
        <v>0.48127089987454474</v>
      </c>
      <c r="AF2264" s="40">
        <v>0.4801439048791688</v>
      </c>
    </row>
    <row r="2265" spans="1:32">
      <c r="A2265" s="15">
        <v>2263</v>
      </c>
      <c r="B2265" s="16">
        <v>0</v>
      </c>
      <c r="C2265" s="20">
        <v>0.28000000000000003</v>
      </c>
      <c r="D2265" s="20">
        <v>0.65593156262086938</v>
      </c>
      <c r="E2265" s="20">
        <v>0.25</v>
      </c>
      <c r="F2265" s="8" t="s">
        <v>436</v>
      </c>
      <c r="G2265" s="24">
        <v>0.78283452228391981</v>
      </c>
      <c r="H2265" s="24">
        <v>0.78736693434387595</v>
      </c>
      <c r="I2265" s="25">
        <v>0.80113690739638843</v>
      </c>
      <c r="X2265" s="15">
        <v>2264</v>
      </c>
      <c r="Y2265" s="39">
        <v>0.48784237374820616</v>
      </c>
      <c r="Z2265" s="39">
        <v>0.48013051936913492</v>
      </c>
      <c r="AA2265" s="39">
        <v>0.48290751387646014</v>
      </c>
      <c r="AB2265" s="39">
        <v>0.48963128214384927</v>
      </c>
      <c r="AC2265" s="39">
        <v>0.4830197206034394</v>
      </c>
      <c r="AD2265" s="39">
        <v>0.47545553163759996</v>
      </c>
      <c r="AE2265" s="39">
        <v>0.47617943908692734</v>
      </c>
      <c r="AF2265" s="40">
        <v>0.48465671289398016</v>
      </c>
    </row>
    <row r="2266" spans="1:32">
      <c r="A2266" s="15">
        <v>2264</v>
      </c>
      <c r="B2266" s="16">
        <v>1</v>
      </c>
      <c r="C2266" s="20">
        <v>0.39</v>
      </c>
      <c r="D2266" s="20">
        <v>0.60509772883298107</v>
      </c>
      <c r="E2266" s="20">
        <v>7.0000000000000007E-2</v>
      </c>
      <c r="F2266" s="8" t="s">
        <v>436</v>
      </c>
      <c r="G2266" s="24">
        <v>2.2996698159517885</v>
      </c>
      <c r="H2266" s="24">
        <v>2.3129843171791076</v>
      </c>
      <c r="I2266" s="25">
        <v>1.6578926537592125</v>
      </c>
      <c r="X2266" s="15">
        <v>2265</v>
      </c>
      <c r="Y2266" s="39">
        <v>0.48865913908968872</v>
      </c>
      <c r="Z2266" s="39">
        <v>0.48520183277903572</v>
      </c>
      <c r="AA2266" s="39">
        <v>0.48363200056700423</v>
      </c>
      <c r="AB2266" s="39">
        <v>0.48314934137508986</v>
      </c>
      <c r="AC2266" s="39">
        <v>0.48268627368159073</v>
      </c>
      <c r="AD2266" s="39">
        <v>0.47777004775724879</v>
      </c>
      <c r="AE2266" s="39">
        <v>0.47706832622358086</v>
      </c>
      <c r="AF2266" s="40">
        <v>0.481816143632319</v>
      </c>
    </row>
    <row r="2267" spans="1:32">
      <c r="A2267" s="15">
        <v>2265</v>
      </c>
      <c r="B2267" s="16">
        <v>0</v>
      </c>
      <c r="C2267" s="20">
        <v>0.24</v>
      </c>
      <c r="D2267" s="20">
        <v>0.78377060130621512</v>
      </c>
      <c r="E2267" s="20">
        <v>0.11</v>
      </c>
      <c r="F2267" s="8" t="s">
        <v>436</v>
      </c>
      <c r="G2267" s="24">
        <v>1.1011489889265096</v>
      </c>
      <c r="H2267" s="24">
        <v>1.1075243604962994</v>
      </c>
      <c r="I2267" s="25">
        <v>1.1268934499688512</v>
      </c>
      <c r="X2267" s="15">
        <v>2266</v>
      </c>
      <c r="Y2267" s="39">
        <v>0.48772476171008156</v>
      </c>
      <c r="Z2267" s="39">
        <v>0.48832940514443646</v>
      </c>
      <c r="AA2267" s="39">
        <v>0.48598174643854614</v>
      </c>
      <c r="AB2267" s="39">
        <v>0.46831093535075902</v>
      </c>
      <c r="AC2267" s="39">
        <v>0.47916788040097175</v>
      </c>
      <c r="AD2267" s="39">
        <v>0.4814154307223999</v>
      </c>
      <c r="AE2267" s="39">
        <v>0.47728546404669503</v>
      </c>
      <c r="AF2267" s="40">
        <v>0.4623181633745852</v>
      </c>
    </row>
    <row r="2268" spans="1:32">
      <c r="A2268" s="15">
        <v>2266</v>
      </c>
      <c r="B2268" s="16">
        <v>1</v>
      </c>
      <c r="C2268" s="20">
        <v>0.44</v>
      </c>
      <c r="D2268" s="20">
        <v>0.54082540383199329</v>
      </c>
      <c r="E2268" s="20">
        <v>0.21</v>
      </c>
      <c r="F2268" s="8" t="s">
        <v>436</v>
      </c>
      <c r="G2268" s="24">
        <v>0.91722118862562874</v>
      </c>
      <c r="H2268" s="24">
        <v>0.92253166518055296</v>
      </c>
      <c r="I2268" s="25">
        <v>0.93866548489729218</v>
      </c>
      <c r="X2268" s="15">
        <v>2267</v>
      </c>
      <c r="Y2268" s="39">
        <v>0.47346682310430011</v>
      </c>
      <c r="Z2268" s="39">
        <v>0.47714082956273202</v>
      </c>
      <c r="AA2268" s="39">
        <v>0.48292938700114113</v>
      </c>
      <c r="AB2268" s="39">
        <v>0.49037366814379063</v>
      </c>
      <c r="AC2268" s="39">
        <v>0.46592115870515433</v>
      </c>
      <c r="AD2268" s="39">
        <v>0.47001398952182805</v>
      </c>
      <c r="AE2268" s="39">
        <v>0.47334508288505117</v>
      </c>
      <c r="AF2268" s="40">
        <v>0.48517887591505188</v>
      </c>
    </row>
    <row r="2269" spans="1:32">
      <c r="A2269" s="15">
        <v>2267</v>
      </c>
      <c r="B2269" s="16">
        <v>0</v>
      </c>
      <c r="C2269" s="20">
        <v>0.16</v>
      </c>
      <c r="D2269" s="20">
        <v>0.88802070689827262</v>
      </c>
      <c r="E2269" s="20">
        <v>0.09</v>
      </c>
      <c r="F2269" s="8" t="s">
        <v>436</v>
      </c>
      <c r="G2269" s="24">
        <v>0.79663595262785236</v>
      </c>
      <c r="H2269" s="24">
        <v>0.80124827144658672</v>
      </c>
      <c r="I2269" s="25">
        <v>0.81526101013923435</v>
      </c>
      <c r="X2269" s="15">
        <v>2268</v>
      </c>
      <c r="Y2269" s="39">
        <v>0.48734526570933484</v>
      </c>
      <c r="Z2269" s="39">
        <v>0.47300223544150127</v>
      </c>
      <c r="AA2269" s="39">
        <v>0.4895582958130556</v>
      </c>
      <c r="AB2269" s="39">
        <v>0.4918992090314166</v>
      </c>
      <c r="AC2269" s="39">
        <v>0.48478288944594461</v>
      </c>
      <c r="AD2269" s="39">
        <v>0.46587168364239984</v>
      </c>
      <c r="AE2269" s="39">
        <v>0.48034143260360374</v>
      </c>
      <c r="AF2269" s="40">
        <v>0.48766071848699344</v>
      </c>
    </row>
    <row r="2270" spans="1:32">
      <c r="A2270" s="15">
        <v>2268</v>
      </c>
      <c r="B2270" s="16">
        <v>1</v>
      </c>
      <c r="C2270" s="20">
        <v>0.17</v>
      </c>
      <c r="D2270" s="20">
        <v>0.8686586943777751</v>
      </c>
      <c r="E2270" s="20">
        <v>0.37</v>
      </c>
      <c r="F2270" s="8" t="s">
        <v>436</v>
      </c>
      <c r="G2270" s="24">
        <v>1.1050371743765162</v>
      </c>
      <c r="H2270" s="24">
        <v>1.1114350575475747</v>
      </c>
      <c r="I2270" s="25">
        <v>1.1308725397740809</v>
      </c>
      <c r="X2270" s="15">
        <v>2269</v>
      </c>
      <c r="Y2270" s="39">
        <v>0.47916700270498458</v>
      </c>
      <c r="Z2270" s="39">
        <v>0.47976819454993136</v>
      </c>
      <c r="AA2270" s="39">
        <v>0.47641434712863534</v>
      </c>
      <c r="AB2270" s="39">
        <v>0.48950608660027622</v>
      </c>
      <c r="AC2270" s="39">
        <v>0.47383173776887516</v>
      </c>
      <c r="AD2270" s="39">
        <v>0.47107915218951296</v>
      </c>
      <c r="AE2270" s="39">
        <v>0.46878890226053177</v>
      </c>
      <c r="AF2270" s="40">
        <v>0.4865574955200298</v>
      </c>
    </row>
    <row r="2271" spans="1:32">
      <c r="A2271" s="15">
        <v>2269</v>
      </c>
      <c r="B2271" s="16">
        <v>1</v>
      </c>
      <c r="C2271" s="20">
        <v>0.95</v>
      </c>
      <c r="D2271" s="20">
        <v>0.15570568692893463</v>
      </c>
      <c r="E2271" s="20">
        <v>0.05</v>
      </c>
      <c r="F2271" s="8" t="s">
        <v>434</v>
      </c>
      <c r="G2271" s="24">
        <v>0.69551379607282193</v>
      </c>
      <c r="H2271" s="24">
        <v>0.69954064341725086</v>
      </c>
      <c r="I2271" s="25">
        <v>0.71177465451021082</v>
      </c>
      <c r="X2271" s="15">
        <v>2270</v>
      </c>
      <c r="Y2271" s="39">
        <v>0.48592524453664476</v>
      </c>
      <c r="Z2271" s="39">
        <v>0.48826695507004825</v>
      </c>
      <c r="AA2271" s="39">
        <v>0.48647894506415101</v>
      </c>
      <c r="AB2271" s="39">
        <v>0.48191587821869797</v>
      </c>
      <c r="AC2271" s="39">
        <v>0.47953624580147691</v>
      </c>
      <c r="AD2271" s="39">
        <v>0.48377897167857115</v>
      </c>
      <c r="AE2271" s="39">
        <v>0.48234823019764611</v>
      </c>
      <c r="AF2271" s="40">
        <v>0.47408207839040212</v>
      </c>
    </row>
    <row r="2272" spans="1:32">
      <c r="A2272" s="15">
        <v>2270</v>
      </c>
      <c r="B2272" s="16">
        <v>1</v>
      </c>
      <c r="C2272" s="20">
        <v>0.02</v>
      </c>
      <c r="D2272" s="20">
        <v>0.99917029198757767</v>
      </c>
      <c r="E2272" s="20">
        <v>1</v>
      </c>
      <c r="F2272" s="8" t="s">
        <v>436</v>
      </c>
      <c r="G2272" s="24">
        <v>1.0483367317582002</v>
      </c>
      <c r="H2272" s="24">
        <v>1.054406333839689</v>
      </c>
      <c r="I2272" s="25">
        <v>1.0728464615235751</v>
      </c>
      <c r="X2272" s="15">
        <v>2271</v>
      </c>
      <c r="Y2272" s="39">
        <v>0.48272771813022619</v>
      </c>
      <c r="Z2272" s="39">
        <v>0.48748529085918485</v>
      </c>
      <c r="AA2272" s="39">
        <v>0.50076649181221122</v>
      </c>
      <c r="AB2272" s="39">
        <v>0.48675056028496899</v>
      </c>
      <c r="AC2272" s="39">
        <v>0.47583856289391396</v>
      </c>
      <c r="AD2272" s="39">
        <v>0.47588625747763524</v>
      </c>
      <c r="AE2272" s="39">
        <v>0.49386495316877244</v>
      </c>
      <c r="AF2272" s="40">
        <v>0.48077069389466343</v>
      </c>
    </row>
    <row r="2273" spans="1:32">
      <c r="A2273" s="15">
        <v>2271</v>
      </c>
      <c r="B2273" s="16">
        <v>1</v>
      </c>
      <c r="C2273" s="20">
        <v>0.2</v>
      </c>
      <c r="D2273" s="20">
        <v>0.82974182125697493</v>
      </c>
      <c r="E2273" s="20">
        <v>0.09</v>
      </c>
      <c r="F2273" s="8" t="s">
        <v>436</v>
      </c>
      <c r="G2273" s="24">
        <v>0.89816161715894538</v>
      </c>
      <c r="H2273" s="24">
        <v>0.90336174366016841</v>
      </c>
      <c r="I2273" s="25">
        <v>0.91916030761337408</v>
      </c>
      <c r="X2273" s="15">
        <v>2272</v>
      </c>
      <c r="Y2273" s="39">
        <v>0.48263890404872711</v>
      </c>
      <c r="Z2273" s="39">
        <v>0.48906895439650622</v>
      </c>
      <c r="AA2273" s="39">
        <v>0.49555931287336297</v>
      </c>
      <c r="AB2273" s="39">
        <v>0.48922272172586811</v>
      </c>
      <c r="AC2273" s="39">
        <v>0.47453935643074824</v>
      </c>
      <c r="AD2273" s="39">
        <v>0.48323400701225599</v>
      </c>
      <c r="AE2273" s="39">
        <v>0.48837523848151893</v>
      </c>
      <c r="AF2273" s="40">
        <v>0.48982616372050986</v>
      </c>
    </row>
    <row r="2274" spans="1:32">
      <c r="A2274" s="15">
        <v>2272</v>
      </c>
      <c r="B2274" s="16">
        <v>1</v>
      </c>
      <c r="C2274" s="20">
        <v>0.82</v>
      </c>
      <c r="D2274" s="20">
        <v>0.33679095075427212</v>
      </c>
      <c r="E2274" s="20">
        <v>0.19</v>
      </c>
      <c r="F2274" s="8" t="s">
        <v>434</v>
      </c>
      <c r="G2274" s="24">
        <v>1.4463973344210268</v>
      </c>
      <c r="H2274" s="24">
        <v>1.4547716057841396</v>
      </c>
      <c r="I2274" s="25">
        <v>1.4802135756401649</v>
      </c>
      <c r="X2274" s="15">
        <v>2273</v>
      </c>
      <c r="Y2274" s="39">
        <v>0.47910493802488158</v>
      </c>
      <c r="Z2274" s="39">
        <v>0.47482431938773917</v>
      </c>
      <c r="AA2274" s="39">
        <v>0.47963529596523741</v>
      </c>
      <c r="AB2274" s="39">
        <v>0.47751436263050229</v>
      </c>
      <c r="AC2274" s="39">
        <v>0.47066834472745767</v>
      </c>
      <c r="AD2274" s="39">
        <v>0.46900651489137868</v>
      </c>
      <c r="AE2274" s="39">
        <v>0.4741058664683182</v>
      </c>
      <c r="AF2274" s="40">
        <v>0.47480553638067197</v>
      </c>
    </row>
    <row r="2275" spans="1:32">
      <c r="A2275" s="15">
        <v>2273</v>
      </c>
      <c r="B2275" s="16">
        <v>1</v>
      </c>
      <c r="C2275" s="20">
        <v>0.11</v>
      </c>
      <c r="D2275" s="20">
        <v>0.91292182803384825</v>
      </c>
      <c r="E2275" s="20">
        <v>0.08</v>
      </c>
      <c r="F2275" s="8" t="s">
        <v>436</v>
      </c>
      <c r="G2275" s="24">
        <v>1.2748025244251509</v>
      </c>
      <c r="H2275" s="24">
        <v>1.2821833056391805</v>
      </c>
      <c r="I2275" s="25">
        <v>1.3046069416809272</v>
      </c>
      <c r="X2275" s="15">
        <v>2274</v>
      </c>
      <c r="Y2275" s="39">
        <v>0.49385409432646954</v>
      </c>
      <c r="Z2275" s="39">
        <v>0.49173692736364405</v>
      </c>
      <c r="AA2275" s="39">
        <v>0.48402098809300376</v>
      </c>
      <c r="AB2275" s="39">
        <v>0.48769769224643744</v>
      </c>
      <c r="AC2275" s="39">
        <v>0.48707013327506471</v>
      </c>
      <c r="AD2275" s="39">
        <v>0.48470415697382291</v>
      </c>
      <c r="AE2275" s="39">
        <v>0.47743581526410289</v>
      </c>
      <c r="AF2275" s="40">
        <v>0.48209937892053562</v>
      </c>
    </row>
    <row r="2276" spans="1:32">
      <c r="A2276" s="15">
        <v>2274</v>
      </c>
      <c r="B2276" s="16">
        <v>0</v>
      </c>
      <c r="C2276" s="20">
        <v>0.23</v>
      </c>
      <c r="D2276" s="20">
        <v>0.75775309383018563</v>
      </c>
      <c r="E2276" s="20">
        <v>0.11</v>
      </c>
      <c r="F2276" s="8" t="s">
        <v>436</v>
      </c>
      <c r="G2276" s="24">
        <v>1.1963139313351421</v>
      </c>
      <c r="H2276" s="24">
        <v>1.2032402836299509</v>
      </c>
      <c r="I2276" s="25">
        <v>1.2242833139612779</v>
      </c>
      <c r="X2276" s="15">
        <v>2275</v>
      </c>
      <c r="Y2276" s="39">
        <v>0.49643461428059066</v>
      </c>
      <c r="Z2276" s="39">
        <v>0.47595812336679216</v>
      </c>
      <c r="AA2276" s="39">
        <v>0.48180108823700168</v>
      </c>
      <c r="AB2276" s="39">
        <v>0.48023084051206399</v>
      </c>
      <c r="AC2276" s="39">
        <v>0.48957942017522421</v>
      </c>
      <c r="AD2276" s="39">
        <v>0.46798732410780863</v>
      </c>
      <c r="AE2276" s="39">
        <v>0.47643452959095073</v>
      </c>
      <c r="AF2276" s="40">
        <v>0.47625526586220518</v>
      </c>
    </row>
    <row r="2277" spans="1:32">
      <c r="A2277" s="15">
        <v>2275</v>
      </c>
      <c r="B2277" s="16">
        <v>1</v>
      </c>
      <c r="C2277" s="20">
        <v>0.63</v>
      </c>
      <c r="D2277" s="20">
        <v>0.44752938499022737</v>
      </c>
      <c r="E2277" s="20">
        <v>0.11</v>
      </c>
      <c r="F2277" s="8" t="s">
        <v>438</v>
      </c>
      <c r="G2277" s="24">
        <v>0.48699539605475578</v>
      </c>
      <c r="H2277" s="24">
        <v>0.48981497508888161</v>
      </c>
      <c r="I2277" s="25">
        <v>0.49838117048456648</v>
      </c>
      <c r="X2277" s="15">
        <v>2276</v>
      </c>
      <c r="Y2277" s="39">
        <v>0.47195277414244957</v>
      </c>
      <c r="Z2277" s="39">
        <v>0.48915788929835508</v>
      </c>
      <c r="AA2277" s="39">
        <v>0.4742782548468702</v>
      </c>
      <c r="AB2277" s="39">
        <v>0.4815489824777312</v>
      </c>
      <c r="AC2277" s="39">
        <v>0.46526370386467486</v>
      </c>
      <c r="AD2277" s="39">
        <v>0.48082221453076307</v>
      </c>
      <c r="AE2277" s="39">
        <v>0.46593662689184506</v>
      </c>
      <c r="AF2277" s="40">
        <v>0.47526253576021588</v>
      </c>
    </row>
    <row r="2278" spans="1:32">
      <c r="A2278" s="15">
        <v>2276</v>
      </c>
      <c r="B2278" s="16">
        <v>1</v>
      </c>
      <c r="C2278" s="20">
        <v>0.28000000000000003</v>
      </c>
      <c r="D2278" s="20">
        <v>0.81583236486442134</v>
      </c>
      <c r="E2278" s="20">
        <v>0.06</v>
      </c>
      <c r="F2278" s="8" t="s">
        <v>436</v>
      </c>
      <c r="G2278" s="24">
        <v>1.2000904387735898</v>
      </c>
      <c r="H2278" s="24">
        <v>1.2070386560824871</v>
      </c>
      <c r="I2278" s="25">
        <v>1.2281481147638416</v>
      </c>
      <c r="X2278" s="15">
        <v>2277</v>
      </c>
      <c r="Y2278" s="39">
        <v>0.49681274687682297</v>
      </c>
      <c r="Z2278" s="39">
        <v>0.4871105270486526</v>
      </c>
      <c r="AA2278" s="39">
        <v>0.49815306759534944</v>
      </c>
      <c r="AB2278" s="39">
        <v>0.49188633601070841</v>
      </c>
      <c r="AC2278" s="39">
        <v>0.48949069385569877</v>
      </c>
      <c r="AD2278" s="39">
        <v>0.48213467074151789</v>
      </c>
      <c r="AE2278" s="39">
        <v>0.49289976660921203</v>
      </c>
      <c r="AF2278" s="40">
        <v>0.48744825380442997</v>
      </c>
    </row>
    <row r="2279" spans="1:32">
      <c r="A2279" s="15">
        <v>2277</v>
      </c>
      <c r="B2279" s="16">
        <v>1</v>
      </c>
      <c r="C2279" s="20">
        <v>0.01</v>
      </c>
      <c r="D2279" s="20">
        <v>0.99999999999999978</v>
      </c>
      <c r="E2279" s="20">
        <v>1</v>
      </c>
      <c r="F2279" s="8" t="s">
        <v>436</v>
      </c>
      <c r="G2279" s="24">
        <v>1.0943353155345528</v>
      </c>
      <c r="H2279" s="24">
        <v>1.1006712376746417</v>
      </c>
      <c r="I2279" s="25">
        <v>1.1199204753824525</v>
      </c>
      <c r="X2279" s="15">
        <v>2278</v>
      </c>
      <c r="Y2279" s="39">
        <v>0.48245533201512886</v>
      </c>
      <c r="Z2279" s="39">
        <v>0.49291973879429313</v>
      </c>
      <c r="AA2279" s="39">
        <v>0.48516554912251281</v>
      </c>
      <c r="AB2279" s="39">
        <v>0.49760963629772442</v>
      </c>
      <c r="AC2279" s="39">
        <v>0.47689727541000559</v>
      </c>
      <c r="AD2279" s="39">
        <v>0.48778906923241222</v>
      </c>
      <c r="AE2279" s="39">
        <v>0.47850836613800757</v>
      </c>
      <c r="AF2279" s="40">
        <v>0.49388168592733606</v>
      </c>
    </row>
    <row r="2280" spans="1:32">
      <c r="A2280" s="15">
        <v>2278</v>
      </c>
      <c r="B2280" s="16">
        <v>0</v>
      </c>
      <c r="C2280" s="20">
        <v>0.93</v>
      </c>
      <c r="D2280" s="20">
        <v>0.18747949848141848</v>
      </c>
      <c r="E2280" s="20">
        <v>7.0000000000000007E-2</v>
      </c>
      <c r="F2280" s="8" t="s">
        <v>434</v>
      </c>
      <c r="G2280" s="24">
        <v>2.1346542909473056</v>
      </c>
      <c r="H2280" s="24">
        <v>2.1470133944062324</v>
      </c>
      <c r="I2280" s="25">
        <v>1.6578926537592125</v>
      </c>
      <c r="X2280" s="15">
        <v>2279</v>
      </c>
      <c r="Y2280" s="39">
        <v>0.48679092242861299</v>
      </c>
      <c r="Z2280" s="39">
        <v>0.46861158220056887</v>
      </c>
      <c r="AA2280" s="39">
        <v>0.4692606999230331</v>
      </c>
      <c r="AB2280" s="39">
        <v>0.50082744867048035</v>
      </c>
      <c r="AC2280" s="39">
        <v>0.48194189228674839</v>
      </c>
      <c r="AD2280" s="39">
        <v>0.45976996147129523</v>
      </c>
      <c r="AE2280" s="39">
        <v>0.46328911303513953</v>
      </c>
      <c r="AF2280" s="40">
        <v>0.49425029604307291</v>
      </c>
    </row>
    <row r="2281" spans="1:32">
      <c r="A2281" s="15">
        <v>2279</v>
      </c>
      <c r="B2281" s="16">
        <v>0</v>
      </c>
      <c r="C2281" s="20">
        <v>0.14000000000000001</v>
      </c>
      <c r="D2281" s="20">
        <v>0.88524622711322332</v>
      </c>
      <c r="E2281" s="20">
        <v>7.0000000000000007E-2</v>
      </c>
      <c r="F2281" s="8" t="s">
        <v>436</v>
      </c>
      <c r="G2281" s="24">
        <v>0.72182092634110673</v>
      </c>
      <c r="H2281" s="24">
        <v>0.72600008525470727</v>
      </c>
      <c r="I2281" s="25">
        <v>0.7386968358725241</v>
      </c>
      <c r="X2281" s="15">
        <v>2280</v>
      </c>
      <c r="Y2281" s="39">
        <v>0.49282845261821834</v>
      </c>
      <c r="Z2281" s="39">
        <v>0.48699852837777441</v>
      </c>
      <c r="AA2281" s="39">
        <v>0.48098954639257607</v>
      </c>
      <c r="AB2281" s="39">
        <v>0.48073680983796052</v>
      </c>
      <c r="AC2281" s="39">
        <v>0.4840721256054038</v>
      </c>
      <c r="AD2281" s="39">
        <v>0.47881839772534607</v>
      </c>
      <c r="AE2281" s="39">
        <v>0.47409714823576493</v>
      </c>
      <c r="AF2281" s="40">
        <v>0.4762355465265346</v>
      </c>
    </row>
    <row r="2282" spans="1:32">
      <c r="A2282" s="15">
        <v>2280</v>
      </c>
      <c r="B2282" s="16">
        <v>0</v>
      </c>
      <c r="C2282" s="20">
        <v>0.36</v>
      </c>
      <c r="D2282" s="20">
        <v>0.64874565418338015</v>
      </c>
      <c r="E2282" s="20">
        <v>0.09</v>
      </c>
      <c r="F2282" s="8" t="s">
        <v>436</v>
      </c>
      <c r="G2282" s="24">
        <v>1.1989140023046663</v>
      </c>
      <c r="H2282" s="24">
        <v>1.2058554083467021</v>
      </c>
      <c r="I2282" s="25">
        <v>1.2269441736401006</v>
      </c>
      <c r="X2282" s="15">
        <v>2281</v>
      </c>
      <c r="Y2282" s="39">
        <v>0.47902202969773866</v>
      </c>
      <c r="Z2282" s="39">
        <v>0.48162664985515863</v>
      </c>
      <c r="AA2282" s="39">
        <v>0.49266427026500847</v>
      </c>
      <c r="AB2282" s="39">
        <v>0.47499257006379025</v>
      </c>
      <c r="AC2282" s="39">
        <v>0.47401871640786647</v>
      </c>
      <c r="AD2282" s="39">
        <v>0.47453887519825877</v>
      </c>
      <c r="AE2282" s="39">
        <v>0.4845968945774547</v>
      </c>
      <c r="AF2282" s="40">
        <v>0.47101384320680273</v>
      </c>
    </row>
    <row r="2283" spans="1:32">
      <c r="A2283" s="15">
        <v>2281</v>
      </c>
      <c r="B2283" s="16">
        <v>1</v>
      </c>
      <c r="C2283" s="20">
        <v>0.94</v>
      </c>
      <c r="D2283" s="20">
        <v>0.17188516685452584</v>
      </c>
      <c r="E2283" s="20">
        <v>0.06</v>
      </c>
      <c r="F2283" s="8" t="s">
        <v>434</v>
      </c>
      <c r="G2283" s="24">
        <v>1.2645533284966219</v>
      </c>
      <c r="H2283" s="24">
        <v>1.2718747694824053</v>
      </c>
      <c r="I2283" s="25">
        <v>1.2941181232962631</v>
      </c>
      <c r="X2283" s="15">
        <v>2282</v>
      </c>
      <c r="Y2283" s="39">
        <v>0.48967011689138112</v>
      </c>
      <c r="Z2283" s="39">
        <v>0.50131289383026212</v>
      </c>
      <c r="AA2283" s="39">
        <v>0.48961215739833885</v>
      </c>
      <c r="AB2283" s="39">
        <v>0.4935265909573589</v>
      </c>
      <c r="AC2283" s="39">
        <v>0.48412542109097134</v>
      </c>
      <c r="AD2283" s="39">
        <v>0.49300063345628914</v>
      </c>
      <c r="AE2283" s="39">
        <v>0.48055922254200117</v>
      </c>
      <c r="AF2283" s="40">
        <v>0.48994075358552069</v>
      </c>
    </row>
    <row r="2284" spans="1:32">
      <c r="A2284" s="15">
        <v>2282</v>
      </c>
      <c r="B2284" s="16">
        <v>1</v>
      </c>
      <c r="C2284" s="20">
        <v>0.26</v>
      </c>
      <c r="D2284" s="20">
        <v>0.73723900281028687</v>
      </c>
      <c r="E2284" s="20">
        <v>7.0000000000000007E-2</v>
      </c>
      <c r="F2284" s="8" t="s">
        <v>436</v>
      </c>
      <c r="G2284" s="24">
        <v>0.99551456158930007</v>
      </c>
      <c r="H2284" s="24">
        <v>1.0012783367887448</v>
      </c>
      <c r="I2284" s="25">
        <v>1.0187893283153766</v>
      </c>
      <c r="X2284" s="15">
        <v>2283</v>
      </c>
      <c r="Y2284" s="39">
        <v>0.47178181494287214</v>
      </c>
      <c r="Z2284" s="39">
        <v>0.48564250397127257</v>
      </c>
      <c r="AA2284" s="39">
        <v>0.49459402159055704</v>
      </c>
      <c r="AB2284" s="39">
        <v>0.47964280805190995</v>
      </c>
      <c r="AC2284" s="39">
        <v>0.46723021086372152</v>
      </c>
      <c r="AD2284" s="39">
        <v>0.47901986907361488</v>
      </c>
      <c r="AE2284" s="39">
        <v>0.48838052833379236</v>
      </c>
      <c r="AF2284" s="40">
        <v>0.47315103383397955</v>
      </c>
    </row>
    <row r="2285" spans="1:32">
      <c r="A2285" s="15">
        <v>2283</v>
      </c>
      <c r="B2285" s="16">
        <v>0</v>
      </c>
      <c r="C2285" s="20">
        <v>0.21</v>
      </c>
      <c r="D2285" s="20">
        <v>0.84978759122156555</v>
      </c>
      <c r="E2285" s="20">
        <v>0.09</v>
      </c>
      <c r="F2285" s="8" t="s">
        <v>436</v>
      </c>
      <c r="G2285" s="24">
        <v>0.74102483669022978</v>
      </c>
      <c r="H2285" s="24">
        <v>0.74531518134281738</v>
      </c>
      <c r="I2285" s="25">
        <v>0.75834972662921729</v>
      </c>
      <c r="X2285" s="15">
        <v>2284</v>
      </c>
      <c r="Y2285" s="39">
        <v>0.49756730487688133</v>
      </c>
      <c r="Z2285" s="39">
        <v>0.50217028641948025</v>
      </c>
      <c r="AA2285" s="39">
        <v>0.47321938454131912</v>
      </c>
      <c r="AB2285" s="39">
        <v>0.48401949319979937</v>
      </c>
      <c r="AC2285" s="39">
        <v>0.48934016147076342</v>
      </c>
      <c r="AD2285" s="39">
        <v>0.49616172048605894</v>
      </c>
      <c r="AE2285" s="39">
        <v>0.46608772981615343</v>
      </c>
      <c r="AF2285" s="40">
        <v>0.47903540182413923</v>
      </c>
    </row>
    <row r="2286" spans="1:32">
      <c r="A2286" s="15">
        <v>2284</v>
      </c>
      <c r="B2286" s="16">
        <v>0</v>
      </c>
      <c r="C2286" s="20">
        <v>0.96</v>
      </c>
      <c r="D2286" s="20">
        <v>0.13880369068795359</v>
      </c>
      <c r="E2286" s="20">
        <v>0.04</v>
      </c>
      <c r="F2286" s="8" t="s">
        <v>434</v>
      </c>
      <c r="G2286" s="24">
        <v>0.42082170761961551</v>
      </c>
      <c r="H2286" s="24">
        <v>0.4232581578890055</v>
      </c>
      <c r="I2286" s="25">
        <v>0.43066036539120967</v>
      </c>
      <c r="X2286" s="15">
        <v>2285</v>
      </c>
      <c r="Y2286" s="39">
        <v>0.49238316634507828</v>
      </c>
      <c r="Z2286" s="39">
        <v>0.48825649044390063</v>
      </c>
      <c r="AA2286" s="39">
        <v>0.48811913558192344</v>
      </c>
      <c r="AB2286" s="39">
        <v>0.48525537844818778</v>
      </c>
      <c r="AC2286" s="39">
        <v>0.48692636998567757</v>
      </c>
      <c r="AD2286" s="39">
        <v>0.48173812027898028</v>
      </c>
      <c r="AE2286" s="39">
        <v>0.48149037068315742</v>
      </c>
      <c r="AF2286" s="40">
        <v>0.48235579510862492</v>
      </c>
    </row>
    <row r="2287" spans="1:32">
      <c r="A2287" s="15">
        <v>2285</v>
      </c>
      <c r="B2287" s="16">
        <v>0</v>
      </c>
      <c r="C2287" s="20">
        <v>0.02</v>
      </c>
      <c r="D2287" s="20">
        <v>0.99756714174924133</v>
      </c>
      <c r="E2287" s="20">
        <v>1</v>
      </c>
      <c r="F2287" s="8" t="s">
        <v>436</v>
      </c>
      <c r="G2287" s="24">
        <v>1.0999922214179907</v>
      </c>
      <c r="H2287" s="24">
        <v>1.1063608955991795</v>
      </c>
      <c r="I2287" s="25">
        <v>1.1257096376586229</v>
      </c>
      <c r="X2287" s="15">
        <v>2286</v>
      </c>
      <c r="Y2287" s="39">
        <v>0.49405826639798095</v>
      </c>
      <c r="Z2287" s="39">
        <v>0.48934518711445207</v>
      </c>
      <c r="AA2287" s="39">
        <v>0.47704454355656223</v>
      </c>
      <c r="AB2287" s="39">
        <v>0.48462096214712796</v>
      </c>
      <c r="AC2287" s="39">
        <v>0.48868188674185331</v>
      </c>
      <c r="AD2287" s="39">
        <v>0.48054892590137688</v>
      </c>
      <c r="AE2287" s="39">
        <v>0.4738369623316312</v>
      </c>
      <c r="AF2287" s="40">
        <v>0.47750959582703767</v>
      </c>
    </row>
    <row r="2288" spans="1:32">
      <c r="A2288" s="15">
        <v>2286</v>
      </c>
      <c r="B2288" s="16">
        <v>0</v>
      </c>
      <c r="C2288" s="20">
        <v>7.0000000000000007E-2</v>
      </c>
      <c r="D2288" s="20">
        <v>0.92820413003025026</v>
      </c>
      <c r="E2288" s="20">
        <v>0.21</v>
      </c>
      <c r="F2288" s="8" t="s">
        <v>436</v>
      </c>
      <c r="G2288" s="24">
        <v>0.86904403149511111</v>
      </c>
      <c r="H2288" s="24">
        <v>0.87407557460781093</v>
      </c>
      <c r="I2288" s="25">
        <v>0.88936196343519891</v>
      </c>
      <c r="X2288" s="15">
        <v>2287</v>
      </c>
      <c r="Y2288" s="39">
        <v>0.50579813084170655</v>
      </c>
      <c r="Z2288" s="39">
        <v>0.47251500594719031</v>
      </c>
      <c r="AA2288" s="39">
        <v>0.48787489523520222</v>
      </c>
      <c r="AB2288" s="39">
        <v>0.49118399849609573</v>
      </c>
      <c r="AC2288" s="39">
        <v>0.49758434048200817</v>
      </c>
      <c r="AD2288" s="39">
        <v>0.4673605944643332</v>
      </c>
      <c r="AE2288" s="39">
        <v>0.48010911573152754</v>
      </c>
      <c r="AF2288" s="40">
        <v>0.48794315752190648</v>
      </c>
    </row>
    <row r="2289" spans="1:32">
      <c r="A2289" s="15">
        <v>2287</v>
      </c>
      <c r="B2289" s="16">
        <v>1</v>
      </c>
      <c r="C2289" s="20">
        <v>0.01</v>
      </c>
      <c r="D2289" s="20">
        <v>0.99999999999999978</v>
      </c>
      <c r="E2289" s="20">
        <v>1</v>
      </c>
      <c r="F2289" s="8" t="s">
        <v>436</v>
      </c>
      <c r="G2289" s="24">
        <v>1.0614477575415826</v>
      </c>
      <c r="H2289" s="24">
        <v>1.0675932691156749</v>
      </c>
      <c r="I2289" s="25">
        <v>1.0862640182994934</v>
      </c>
      <c r="X2289" s="15">
        <v>2288</v>
      </c>
      <c r="Y2289" s="39">
        <v>0.48010674601232894</v>
      </c>
      <c r="Z2289" s="39">
        <v>0.49331585456436644</v>
      </c>
      <c r="AA2289" s="39">
        <v>0.49524783495715036</v>
      </c>
      <c r="AB2289" s="39">
        <v>0.49183895152044921</v>
      </c>
      <c r="AC2289" s="39">
        <v>0.47186926532532197</v>
      </c>
      <c r="AD2289" s="39">
        <v>0.48645150144156357</v>
      </c>
      <c r="AE2289" s="39">
        <v>0.48763033034525477</v>
      </c>
      <c r="AF2289" s="40">
        <v>0.48888835623404864</v>
      </c>
    </row>
    <row r="2290" spans="1:32">
      <c r="A2290" s="15">
        <v>2288</v>
      </c>
      <c r="B2290" s="16">
        <v>0</v>
      </c>
      <c r="C2290" s="20">
        <v>0.39</v>
      </c>
      <c r="D2290" s="20">
        <v>0.65864103153435316</v>
      </c>
      <c r="E2290" s="20">
        <v>0.09</v>
      </c>
      <c r="F2290" s="8" t="s">
        <v>436</v>
      </c>
      <c r="G2290" s="24">
        <v>0.8850196601367406</v>
      </c>
      <c r="H2290" s="24">
        <v>0.89014369806138283</v>
      </c>
      <c r="I2290" s="25">
        <v>0.90571109643757097</v>
      </c>
      <c r="X2290" s="15">
        <v>2289</v>
      </c>
      <c r="Y2290" s="39">
        <v>0.497577055226747</v>
      </c>
      <c r="Z2290" s="39">
        <v>0.50289744148710547</v>
      </c>
      <c r="AA2290" s="39">
        <v>0.48693708278074377</v>
      </c>
      <c r="AB2290" s="39">
        <v>0.47311748811658894</v>
      </c>
      <c r="AC2290" s="39">
        <v>0.48891178481859093</v>
      </c>
      <c r="AD2290" s="39">
        <v>0.49458276202822066</v>
      </c>
      <c r="AE2290" s="39">
        <v>0.47872007372275127</v>
      </c>
      <c r="AF2290" s="40">
        <v>0.46900265239133077</v>
      </c>
    </row>
    <row r="2291" spans="1:32">
      <c r="A2291" s="15">
        <v>2289</v>
      </c>
      <c r="B2291" s="16">
        <v>0</v>
      </c>
      <c r="C2291" s="20">
        <v>0.96</v>
      </c>
      <c r="D2291" s="20">
        <v>0.13880369068795359</v>
      </c>
      <c r="E2291" s="20">
        <v>0.04</v>
      </c>
      <c r="F2291" s="8" t="s">
        <v>434</v>
      </c>
      <c r="G2291" s="24">
        <v>1.2379140035196976</v>
      </c>
      <c r="H2291" s="24">
        <v>1.2450812096137414</v>
      </c>
      <c r="I2291" s="25">
        <v>1.2668559806343938</v>
      </c>
      <c r="X2291" s="15">
        <v>2290</v>
      </c>
      <c r="Y2291" s="39">
        <v>0.48774711088711942</v>
      </c>
      <c r="Z2291" s="39">
        <v>0.4914721267236723</v>
      </c>
      <c r="AA2291" s="39">
        <v>0.48289541881664449</v>
      </c>
      <c r="AB2291" s="39">
        <v>0.48736138710620991</v>
      </c>
      <c r="AC2291" s="39">
        <v>0.48366490983586741</v>
      </c>
      <c r="AD2291" s="39">
        <v>0.48397057730331555</v>
      </c>
      <c r="AE2291" s="39">
        <v>0.47584786282330988</v>
      </c>
      <c r="AF2291" s="40">
        <v>0.48208047962299699</v>
      </c>
    </row>
    <row r="2292" spans="1:32">
      <c r="A2292" s="15">
        <v>2290</v>
      </c>
      <c r="B2292" s="16">
        <v>0</v>
      </c>
      <c r="C2292" s="20">
        <v>0.95</v>
      </c>
      <c r="D2292" s="20">
        <v>0.15570568692893463</v>
      </c>
      <c r="E2292" s="20">
        <v>0.05</v>
      </c>
      <c r="F2292" s="8" t="s">
        <v>434</v>
      </c>
      <c r="G2292" s="24">
        <v>2.8839197808191241</v>
      </c>
      <c r="H2292" s="24">
        <v>2.3557193791407478</v>
      </c>
      <c r="I2292" s="25">
        <v>1.6578926537592125</v>
      </c>
      <c r="X2292" s="15">
        <v>2291</v>
      </c>
      <c r="Y2292" s="39">
        <v>0.48702465023024</v>
      </c>
      <c r="Z2292" s="39">
        <v>0.48754169483190196</v>
      </c>
      <c r="AA2292" s="39">
        <v>0.48849917442504276</v>
      </c>
      <c r="AB2292" s="39">
        <v>0.48759219948313665</v>
      </c>
      <c r="AC2292" s="39">
        <v>0.47670828762531309</v>
      </c>
      <c r="AD2292" s="39">
        <v>0.48038432452856966</v>
      </c>
      <c r="AE2292" s="39">
        <v>0.4805250603817442</v>
      </c>
      <c r="AF2292" s="40">
        <v>0.48256131181361078</v>
      </c>
    </row>
    <row r="2293" spans="1:32">
      <c r="A2293" s="15">
        <v>2291</v>
      </c>
      <c r="B2293" s="16">
        <v>0</v>
      </c>
      <c r="C2293" s="20">
        <v>0.87</v>
      </c>
      <c r="D2293" s="20">
        <v>0.27276032039195819</v>
      </c>
      <c r="E2293" s="20">
        <v>0.13</v>
      </c>
      <c r="F2293" s="8" t="s">
        <v>434</v>
      </c>
      <c r="G2293" s="24">
        <v>0.41190326697162005</v>
      </c>
      <c r="H2293" s="24">
        <v>0.41428808174615345</v>
      </c>
      <c r="I2293" s="25">
        <v>0.42153341485932955</v>
      </c>
      <c r="X2293" s="15">
        <v>2292</v>
      </c>
      <c r="Y2293" s="39">
        <v>0.50291108556528241</v>
      </c>
      <c r="Z2293" s="39">
        <v>0.47345854583337338</v>
      </c>
      <c r="AA2293" s="39">
        <v>0.50097066595698847</v>
      </c>
      <c r="AB2293" s="39">
        <v>0.48515796937849448</v>
      </c>
      <c r="AC2293" s="39">
        <v>0.49563405955037437</v>
      </c>
      <c r="AD2293" s="39">
        <v>0.46633557043985147</v>
      </c>
      <c r="AE2293" s="39">
        <v>0.4949792616714444</v>
      </c>
      <c r="AF2293" s="40">
        <v>0.48150305714154762</v>
      </c>
    </row>
    <row r="2294" spans="1:32">
      <c r="A2294" s="15">
        <v>2292</v>
      </c>
      <c r="B2294" s="16">
        <v>0</v>
      </c>
      <c r="C2294" s="20">
        <v>0.42</v>
      </c>
      <c r="D2294" s="20">
        <v>0.70510934620552213</v>
      </c>
      <c r="E2294" s="20">
        <v>7.0000000000000007E-2</v>
      </c>
      <c r="F2294" s="8" t="s">
        <v>436</v>
      </c>
      <c r="G2294" s="24">
        <v>0.75548482320950694</v>
      </c>
      <c r="H2294" s="24">
        <v>0.75985888749302699</v>
      </c>
      <c r="I2294" s="25">
        <v>0.77314778235017556</v>
      </c>
      <c r="X2294" s="15">
        <v>2293</v>
      </c>
      <c r="Y2294" s="39">
        <v>0.48389453677325212</v>
      </c>
      <c r="Z2294" s="39">
        <v>0.50019579415242765</v>
      </c>
      <c r="AA2294" s="39">
        <v>0.47616548180956936</v>
      </c>
      <c r="AB2294" s="39">
        <v>0.48869758923555839</v>
      </c>
      <c r="AC2294" s="39">
        <v>0.47674450171456556</v>
      </c>
      <c r="AD2294" s="39">
        <v>0.49246836064977773</v>
      </c>
      <c r="AE2294" s="39">
        <v>0.46948495648181532</v>
      </c>
      <c r="AF2294" s="40">
        <v>0.48269731735716337</v>
      </c>
    </row>
    <row r="2295" spans="1:32">
      <c r="A2295" s="15">
        <v>2293</v>
      </c>
      <c r="B2295" s="16">
        <v>1</v>
      </c>
      <c r="C2295" s="20">
        <v>0.02</v>
      </c>
      <c r="D2295" s="20">
        <v>0.99917029198757767</v>
      </c>
      <c r="E2295" s="20">
        <v>1</v>
      </c>
      <c r="F2295" s="8" t="s">
        <v>436</v>
      </c>
      <c r="G2295" s="24">
        <v>1.0593996140007682</v>
      </c>
      <c r="H2295" s="24">
        <v>1.0655332673465623</v>
      </c>
      <c r="I2295" s="25">
        <v>1.0841679899110099</v>
      </c>
      <c r="X2295" s="15">
        <v>2294</v>
      </c>
      <c r="Y2295" s="39">
        <v>0.48537629400949922</v>
      </c>
      <c r="Z2295" s="39">
        <v>0.47930879208996757</v>
      </c>
      <c r="AA2295" s="39">
        <v>0.48466664808548438</v>
      </c>
      <c r="AB2295" s="39">
        <v>0.47320345534589031</v>
      </c>
      <c r="AC2295" s="39">
        <v>0.47826784891173402</v>
      </c>
      <c r="AD2295" s="39">
        <v>0.47293109421571411</v>
      </c>
      <c r="AE2295" s="39">
        <v>0.47773133544802993</v>
      </c>
      <c r="AF2295" s="40">
        <v>0.46812179664043679</v>
      </c>
    </row>
    <row r="2296" spans="1:32">
      <c r="A2296" s="15">
        <v>2294</v>
      </c>
      <c r="B2296" s="16">
        <v>0</v>
      </c>
      <c r="C2296" s="20">
        <v>0.12</v>
      </c>
      <c r="D2296" s="20">
        <v>0.92067621218962381</v>
      </c>
      <c r="E2296" s="20">
        <v>7.0000000000000007E-2</v>
      </c>
      <c r="F2296" s="8" t="s">
        <v>436</v>
      </c>
      <c r="G2296" s="24">
        <v>0.97163255556990447</v>
      </c>
      <c r="H2296" s="24">
        <v>0.97725806005054849</v>
      </c>
      <c r="I2296" s="25">
        <v>0.99434896972084152</v>
      </c>
      <c r="X2296" s="15">
        <v>2295</v>
      </c>
      <c r="Y2296" s="39">
        <v>0.48776393852853178</v>
      </c>
      <c r="Z2296" s="39">
        <v>0.48006246629809024</v>
      </c>
      <c r="AA2296" s="39">
        <v>0.47333516564608435</v>
      </c>
      <c r="AB2296" s="39">
        <v>0.50707414227839143</v>
      </c>
      <c r="AC2296" s="39">
        <v>0.48181156084397997</v>
      </c>
      <c r="AD2296" s="39">
        <v>0.47174335271202222</v>
      </c>
      <c r="AE2296" s="39">
        <v>0.46871400610235975</v>
      </c>
      <c r="AF2296" s="40">
        <v>0.50274758089710025</v>
      </c>
    </row>
    <row r="2297" spans="1:32">
      <c r="A2297" s="15">
        <v>2295</v>
      </c>
      <c r="B2297" s="16">
        <v>0</v>
      </c>
      <c r="C2297" s="20">
        <v>0.9</v>
      </c>
      <c r="D2297" s="20">
        <v>0.23159538658365303</v>
      </c>
      <c r="E2297" s="20">
        <v>0.1</v>
      </c>
      <c r="F2297" s="8" t="s">
        <v>434</v>
      </c>
      <c r="G2297" s="24">
        <v>0.38775425084527981</v>
      </c>
      <c r="H2297" s="24">
        <v>0.38999924898064947</v>
      </c>
      <c r="I2297" s="25">
        <v>0.39681980355910507</v>
      </c>
      <c r="X2297" s="15">
        <v>2296</v>
      </c>
      <c r="Y2297" s="39">
        <v>0.49130219831883182</v>
      </c>
      <c r="Z2297" s="39">
        <v>0.47105733876099309</v>
      </c>
      <c r="AA2297" s="39">
        <v>0.48182614356857123</v>
      </c>
      <c r="AB2297" s="39">
        <v>0.48920940516629935</v>
      </c>
      <c r="AC2297" s="39">
        <v>0.48314725644877377</v>
      </c>
      <c r="AD2297" s="39">
        <v>0.46531152059872327</v>
      </c>
      <c r="AE2297" s="39">
        <v>0.47358665316151816</v>
      </c>
      <c r="AF2297" s="40">
        <v>0.48575927005723574</v>
      </c>
    </row>
    <row r="2298" spans="1:32">
      <c r="A2298" s="15">
        <v>2296</v>
      </c>
      <c r="B2298" s="16">
        <v>0</v>
      </c>
      <c r="C2298" s="20">
        <v>0.44</v>
      </c>
      <c r="D2298" s="20">
        <v>0.58258368711632813</v>
      </c>
      <c r="E2298" s="20">
        <v>0.09</v>
      </c>
      <c r="F2298" s="8" t="s">
        <v>436</v>
      </c>
      <c r="G2298" s="24">
        <v>0.84480466875449411</v>
      </c>
      <c r="H2298" s="24">
        <v>0.84969587214419517</v>
      </c>
      <c r="I2298" s="25">
        <v>0.86455589324986515</v>
      </c>
      <c r="X2298" s="15">
        <v>2297</v>
      </c>
      <c r="Y2298" s="39">
        <v>0.48751509040649788</v>
      </c>
      <c r="Z2298" s="39">
        <v>0.49838659854382611</v>
      </c>
      <c r="AA2298" s="39">
        <v>0.49151628515306162</v>
      </c>
      <c r="AB2298" s="39">
        <v>0.49241668036388136</v>
      </c>
      <c r="AC2298" s="39">
        <v>0.47705062224450179</v>
      </c>
      <c r="AD2298" s="39">
        <v>0.4911596282504701</v>
      </c>
      <c r="AE2298" s="39">
        <v>0.48345517194151683</v>
      </c>
      <c r="AF2298" s="40">
        <v>0.48779701494276723</v>
      </c>
    </row>
    <row r="2299" spans="1:32">
      <c r="A2299" s="15">
        <v>2297</v>
      </c>
      <c r="B2299" s="16">
        <v>1</v>
      </c>
      <c r="C2299" s="20">
        <v>0.1</v>
      </c>
      <c r="D2299" s="20">
        <v>0.88921763510822238</v>
      </c>
      <c r="E2299" s="20">
        <v>0.45</v>
      </c>
      <c r="F2299" s="8" t="s">
        <v>436</v>
      </c>
      <c r="G2299" s="24">
        <v>1.1720854395401512</v>
      </c>
      <c r="H2299" s="24">
        <v>1.1788715150519615</v>
      </c>
      <c r="I2299" s="25">
        <v>1.1994883688803071</v>
      </c>
      <c r="X2299" s="15">
        <v>2298</v>
      </c>
      <c r="Y2299" s="39">
        <v>0.50034336942178437</v>
      </c>
      <c r="Z2299" s="39">
        <v>0.48348159831898146</v>
      </c>
      <c r="AA2299" s="39">
        <v>0.48001069182022704</v>
      </c>
      <c r="AB2299" s="39">
        <v>0.48698021247421308</v>
      </c>
      <c r="AC2299" s="39">
        <v>0.49275268939659217</v>
      </c>
      <c r="AD2299" s="39">
        <v>0.47783324282545125</v>
      </c>
      <c r="AE2299" s="39">
        <v>0.47212552000118357</v>
      </c>
      <c r="AF2299" s="40">
        <v>0.48604744807807293</v>
      </c>
    </row>
    <row r="2300" spans="1:32">
      <c r="A2300" s="15">
        <v>2298</v>
      </c>
      <c r="B2300" s="16">
        <v>0</v>
      </c>
      <c r="C2300" s="20">
        <v>0.02</v>
      </c>
      <c r="D2300" s="20">
        <v>0.99756714174924133</v>
      </c>
      <c r="E2300" s="20">
        <v>1</v>
      </c>
      <c r="F2300" s="8" t="s">
        <v>436</v>
      </c>
      <c r="G2300" s="24">
        <v>1.0716398339126429</v>
      </c>
      <c r="H2300" s="24">
        <v>1.0778443550073238</v>
      </c>
      <c r="I2300" s="25">
        <v>1.0966943816923047</v>
      </c>
      <c r="X2300" s="15">
        <v>2299</v>
      </c>
      <c r="Y2300" s="39">
        <v>0.4894044167962866</v>
      </c>
      <c r="Z2300" s="39">
        <v>0.4780762889205119</v>
      </c>
      <c r="AA2300" s="39">
        <v>0.49034771336058569</v>
      </c>
      <c r="AB2300" s="39">
        <v>0.47685884609630425</v>
      </c>
      <c r="AC2300" s="39">
        <v>0.48147367460878743</v>
      </c>
      <c r="AD2300" s="39">
        <v>0.47135915909109716</v>
      </c>
      <c r="AE2300" s="39">
        <v>0.48474051030149307</v>
      </c>
      <c r="AF2300" s="40">
        <v>0.47269215755619315</v>
      </c>
    </row>
    <row r="2301" spans="1:32">
      <c r="A2301" s="15">
        <v>2299</v>
      </c>
      <c r="B2301" s="16">
        <v>0</v>
      </c>
      <c r="C2301" s="20">
        <v>0.94</v>
      </c>
      <c r="D2301" s="20">
        <v>0.17188516685452584</v>
      </c>
      <c r="E2301" s="20">
        <v>0.06</v>
      </c>
      <c r="F2301" s="8" t="s">
        <v>434</v>
      </c>
      <c r="G2301" s="24">
        <v>1.5370176811401048</v>
      </c>
      <c r="H2301" s="24">
        <v>1.5459166211792343</v>
      </c>
      <c r="I2301" s="25">
        <v>1.5729525929562409</v>
      </c>
      <c r="X2301" s="15">
        <v>2300</v>
      </c>
      <c r="Y2301" s="39">
        <v>0.49530676257764616</v>
      </c>
      <c r="Z2301" s="39">
        <v>0.48749345020435547</v>
      </c>
      <c r="AA2301" s="39">
        <v>0.48451594711018969</v>
      </c>
      <c r="AB2301" s="39">
        <v>0.49753182850404531</v>
      </c>
      <c r="AC2301" s="39">
        <v>0.48842361156099606</v>
      </c>
      <c r="AD2301" s="39">
        <v>0.48342487771595655</v>
      </c>
      <c r="AE2301" s="39">
        <v>0.47913377419509229</v>
      </c>
      <c r="AF2301" s="40">
        <v>0.4919364653501116</v>
      </c>
    </row>
    <row r="2302" spans="1:32">
      <c r="A2302" s="15">
        <v>2300</v>
      </c>
      <c r="B2302" s="16">
        <v>0</v>
      </c>
      <c r="C2302" s="20">
        <v>0.6</v>
      </c>
      <c r="D2302" s="20">
        <v>0.45666148879483281</v>
      </c>
      <c r="E2302" s="20">
        <v>0.06</v>
      </c>
      <c r="F2302" s="8" t="s">
        <v>438</v>
      </c>
      <c r="G2302" s="24">
        <v>0.97320203251551574</v>
      </c>
      <c r="H2302" s="24">
        <v>0.97883662386705472</v>
      </c>
      <c r="I2302" s="25">
        <v>0.9959551404640129</v>
      </c>
      <c r="X2302" s="15">
        <v>2301</v>
      </c>
      <c r="Y2302" s="39">
        <v>0.48848965625649521</v>
      </c>
      <c r="Z2302" s="39">
        <v>0.49137771903149852</v>
      </c>
      <c r="AA2302" s="39">
        <v>0.47564316280332536</v>
      </c>
      <c r="AB2302" s="39">
        <v>0.49489822802292738</v>
      </c>
      <c r="AC2302" s="39">
        <v>0.48172287580905215</v>
      </c>
      <c r="AD2302" s="39">
        <v>0.48412398691696479</v>
      </c>
      <c r="AE2302" s="39">
        <v>0.46795134086516665</v>
      </c>
      <c r="AF2302" s="40">
        <v>0.49099192110193857</v>
      </c>
    </row>
    <row r="2303" spans="1:32">
      <c r="A2303" s="15">
        <v>2301</v>
      </c>
      <c r="B2303" s="16">
        <v>1</v>
      </c>
      <c r="C2303" s="20">
        <v>7.0000000000000007E-2</v>
      </c>
      <c r="D2303" s="20">
        <v>0.94426221155326895</v>
      </c>
      <c r="E2303" s="20">
        <v>0.4</v>
      </c>
      <c r="F2303" s="8" t="s">
        <v>436</v>
      </c>
      <c r="G2303" s="24">
        <v>1.0970990216244834</v>
      </c>
      <c r="H2303" s="24">
        <v>1.1034509449173775</v>
      </c>
      <c r="I2303" s="25">
        <v>1.1227487959110105</v>
      </c>
      <c r="X2303" s="15">
        <v>2302</v>
      </c>
      <c r="Y2303" s="39">
        <v>0.48051576671786533</v>
      </c>
      <c r="Z2303" s="39">
        <v>0.49114839172840058</v>
      </c>
      <c r="AA2303" s="39">
        <v>0.48770019253275632</v>
      </c>
      <c r="AB2303" s="39">
        <v>0.49624588821645194</v>
      </c>
      <c r="AC2303" s="39">
        <v>0.47053836774158453</v>
      </c>
      <c r="AD2303" s="39">
        <v>0.48369797340614279</v>
      </c>
      <c r="AE2303" s="39">
        <v>0.48205021974940621</v>
      </c>
      <c r="AF2303" s="40">
        <v>0.49333185545390523</v>
      </c>
    </row>
    <row r="2304" spans="1:32">
      <c r="A2304" s="15">
        <v>2302</v>
      </c>
      <c r="B2304" s="16">
        <v>0</v>
      </c>
      <c r="C2304" s="20">
        <v>0.93</v>
      </c>
      <c r="D2304" s="20">
        <v>0.18747949848141848</v>
      </c>
      <c r="E2304" s="20">
        <v>7.0000000000000007E-2</v>
      </c>
      <c r="F2304" s="8" t="s">
        <v>434</v>
      </c>
      <c r="G2304" s="24">
        <v>0.49701336664439277</v>
      </c>
      <c r="H2304" s="24">
        <v>0.49989094717107452</v>
      </c>
      <c r="I2304" s="25">
        <v>0.50863335756639649</v>
      </c>
      <c r="X2304" s="15">
        <v>2303</v>
      </c>
      <c r="Y2304" s="39">
        <v>0.48818598560408072</v>
      </c>
      <c r="Z2304" s="39">
        <v>0.49144370797523834</v>
      </c>
      <c r="AA2304" s="39">
        <v>0.49213808824063454</v>
      </c>
      <c r="AB2304" s="39">
        <v>0.49352114642735129</v>
      </c>
      <c r="AC2304" s="39">
        <v>0.48164889723418025</v>
      </c>
      <c r="AD2304" s="39">
        <v>0.48530289679511918</v>
      </c>
      <c r="AE2304" s="39">
        <v>0.48578735217705094</v>
      </c>
      <c r="AF2304" s="40">
        <v>0.48892565238421265</v>
      </c>
    </row>
    <row r="2305" spans="1:32">
      <c r="A2305" s="15">
        <v>2303</v>
      </c>
      <c r="B2305" s="16">
        <v>0</v>
      </c>
      <c r="C2305" s="20">
        <v>0.93</v>
      </c>
      <c r="D2305" s="20">
        <v>0.18747949848141848</v>
      </c>
      <c r="E2305" s="20">
        <v>7.0000000000000007E-2</v>
      </c>
      <c r="F2305" s="8" t="s">
        <v>434</v>
      </c>
      <c r="G2305" s="24">
        <v>1.772349111183724</v>
      </c>
      <c r="H2305" s="24">
        <v>1.7826105601327882</v>
      </c>
      <c r="I2305" s="25">
        <v>1.6578926537592125</v>
      </c>
      <c r="X2305" s="15">
        <v>2304</v>
      </c>
      <c r="Y2305" s="39">
        <v>0.4842393003035127</v>
      </c>
      <c r="Z2305" s="39">
        <v>0.49824292424840216</v>
      </c>
      <c r="AA2305" s="39">
        <v>0.50112818906222967</v>
      </c>
      <c r="AB2305" s="39">
        <v>0.48430093260307094</v>
      </c>
      <c r="AC2305" s="39">
        <v>0.47524546531082978</v>
      </c>
      <c r="AD2305" s="39">
        <v>0.49181951980841737</v>
      </c>
      <c r="AE2305" s="39">
        <v>0.49209922875543732</v>
      </c>
      <c r="AF2305" s="40">
        <v>0.4812328714969803</v>
      </c>
    </row>
    <row r="2306" spans="1:32">
      <c r="A2306" s="15">
        <v>2304</v>
      </c>
      <c r="B2306" s="16">
        <v>0</v>
      </c>
      <c r="C2306" s="20">
        <v>0.03</v>
      </c>
      <c r="D2306" s="20">
        <v>0.99275631294341449</v>
      </c>
      <c r="E2306" s="20">
        <v>1</v>
      </c>
      <c r="F2306" s="8" t="s">
        <v>436</v>
      </c>
      <c r="G2306" s="24">
        <v>0.92996672764247834</v>
      </c>
      <c r="H2306" s="24">
        <v>0.9353509976149208</v>
      </c>
      <c r="I2306" s="25">
        <v>0.95170900995961127</v>
      </c>
      <c r="X2306" s="15">
        <v>2305</v>
      </c>
      <c r="Y2306" s="39">
        <v>0.46624728579837826</v>
      </c>
      <c r="Z2306" s="39">
        <v>0.48576019505925233</v>
      </c>
      <c r="AA2306" s="39">
        <v>0.48947914867226683</v>
      </c>
      <c r="AB2306" s="39">
        <v>0.47250744030312442</v>
      </c>
      <c r="AC2306" s="39">
        <v>0.46237448116794294</v>
      </c>
      <c r="AD2306" s="39">
        <v>0.47853181868729444</v>
      </c>
      <c r="AE2306" s="39">
        <v>0.48470049028071882</v>
      </c>
      <c r="AF2306" s="40">
        <v>0.47064642732968925</v>
      </c>
    </row>
    <row r="2307" spans="1:32">
      <c r="A2307" s="15">
        <v>2305</v>
      </c>
      <c r="B2307" s="16">
        <v>1</v>
      </c>
      <c r="C2307" s="20">
        <v>0.12</v>
      </c>
      <c r="D2307" s="20">
        <v>0.93008435957798308</v>
      </c>
      <c r="E2307" s="20">
        <v>0.05</v>
      </c>
      <c r="F2307" s="8" t="s">
        <v>436</v>
      </c>
      <c r="G2307" s="24">
        <v>1.0653177280025952</v>
      </c>
      <c r="H2307" s="24">
        <v>1.0714856457178192</v>
      </c>
      <c r="I2307" s="25">
        <v>1.0902244672559416</v>
      </c>
      <c r="X2307" s="15">
        <v>2306</v>
      </c>
      <c r="Y2307" s="39">
        <v>0.49298480008336115</v>
      </c>
      <c r="Z2307" s="39">
        <v>0.4896552062441113</v>
      </c>
      <c r="AA2307" s="39">
        <v>0.49606315034079496</v>
      </c>
      <c r="AB2307" s="39">
        <v>0.48981936657189451</v>
      </c>
      <c r="AC2307" s="39">
        <v>0.48600324247970428</v>
      </c>
      <c r="AD2307" s="39">
        <v>0.48129859633532196</v>
      </c>
      <c r="AE2307" s="39">
        <v>0.4888194260158738</v>
      </c>
      <c r="AF2307" s="40">
        <v>0.48447726179908984</v>
      </c>
    </row>
    <row r="2308" spans="1:32">
      <c r="A2308" s="15">
        <v>2306</v>
      </c>
      <c r="B2308" s="16">
        <v>0</v>
      </c>
      <c r="C2308" s="20">
        <v>0.52</v>
      </c>
      <c r="D2308" s="20">
        <v>0.47161807292475916</v>
      </c>
      <c r="E2308" s="20">
        <v>0.06</v>
      </c>
      <c r="F2308" s="8" t="s">
        <v>438</v>
      </c>
      <c r="G2308" s="24">
        <v>0.50222935472625174</v>
      </c>
      <c r="H2308" s="24">
        <v>0.50513713449250952</v>
      </c>
      <c r="I2308" s="25">
        <v>0.51397129354388182</v>
      </c>
      <c r="X2308" s="15">
        <v>2307</v>
      </c>
      <c r="Y2308" s="39">
        <v>0.48823644349994128</v>
      </c>
      <c r="Z2308" s="39">
        <v>0.48405230228844243</v>
      </c>
      <c r="AA2308" s="39">
        <v>0.47917609361771041</v>
      </c>
      <c r="AB2308" s="39">
        <v>0.48695379709610459</v>
      </c>
      <c r="AC2308" s="39">
        <v>0.47964651613943693</v>
      </c>
      <c r="AD2308" s="39">
        <v>0.47599189588710344</v>
      </c>
      <c r="AE2308" s="39">
        <v>0.47333575349821538</v>
      </c>
      <c r="AF2308" s="40">
        <v>0.47896269303863653</v>
      </c>
    </row>
    <row r="2309" spans="1:32">
      <c r="A2309" s="15">
        <v>2307</v>
      </c>
      <c r="B2309" s="16">
        <v>1</v>
      </c>
      <c r="C2309" s="20">
        <v>0.34</v>
      </c>
      <c r="D2309" s="20">
        <v>0.59921363107622239</v>
      </c>
      <c r="E2309" s="20">
        <v>0.1</v>
      </c>
      <c r="F2309" s="8" t="s">
        <v>436</v>
      </c>
      <c r="G2309" s="24">
        <v>1.5161150500027842</v>
      </c>
      <c r="H2309" s="24">
        <v>1.5248929691431736</v>
      </c>
      <c r="I2309" s="25">
        <v>1.5515612659399713</v>
      </c>
      <c r="X2309" s="15">
        <v>2308</v>
      </c>
      <c r="Y2309" s="39">
        <v>0.49961708880615063</v>
      </c>
      <c r="Z2309" s="39">
        <v>0.48623817482695514</v>
      </c>
      <c r="AA2309" s="39">
        <v>0.49113458052024578</v>
      </c>
      <c r="AB2309" s="39">
        <v>0.48385123351616888</v>
      </c>
      <c r="AC2309" s="39">
        <v>0.49486559289763632</v>
      </c>
      <c r="AD2309" s="39">
        <v>0.47804998434444146</v>
      </c>
      <c r="AE2309" s="39">
        <v>0.48519263523545131</v>
      </c>
      <c r="AF2309" s="40">
        <v>0.48062955812844782</v>
      </c>
    </row>
    <row r="2310" spans="1:32">
      <c r="A2310" s="15">
        <v>2308</v>
      </c>
      <c r="B2310" s="16">
        <v>1</v>
      </c>
      <c r="C2310" s="20">
        <v>0.12</v>
      </c>
      <c r="D2310" s="20">
        <v>0.88923225664038485</v>
      </c>
      <c r="E2310" s="20">
        <v>0.47</v>
      </c>
      <c r="F2310" s="8" t="s">
        <v>436</v>
      </c>
      <c r="G2310" s="24">
        <v>0.92487195219737972</v>
      </c>
      <c r="H2310" s="24">
        <v>0.93022672472047263</v>
      </c>
      <c r="I2310" s="25">
        <v>0.94649512052604712</v>
      </c>
      <c r="X2310" s="15">
        <v>2309</v>
      </c>
      <c r="Y2310" s="39">
        <v>0.48444518814225962</v>
      </c>
      <c r="Z2310" s="39">
        <v>0.49292662459307446</v>
      </c>
      <c r="AA2310" s="39">
        <v>0.47838070125432391</v>
      </c>
      <c r="AB2310" s="39">
        <v>0.4821121658566106</v>
      </c>
      <c r="AC2310" s="39">
        <v>0.4791173059477975</v>
      </c>
      <c r="AD2310" s="39">
        <v>0.48367474361165641</v>
      </c>
      <c r="AE2310" s="39">
        <v>0.47309351430944591</v>
      </c>
      <c r="AF2310" s="40">
        <v>0.47839276453221036</v>
      </c>
    </row>
    <row r="2311" spans="1:32">
      <c r="A2311" s="15">
        <v>2309</v>
      </c>
      <c r="B2311" s="16">
        <v>0</v>
      </c>
      <c r="C2311" s="20">
        <v>0.74</v>
      </c>
      <c r="D2311" s="20">
        <v>0.44445731633098506</v>
      </c>
      <c r="E2311" s="20">
        <v>0.05</v>
      </c>
      <c r="F2311" s="8" t="s">
        <v>438</v>
      </c>
      <c r="G2311" s="24">
        <v>1.9456130551738207</v>
      </c>
      <c r="H2311" s="24">
        <v>1.9568776581317362</v>
      </c>
      <c r="I2311" s="25">
        <v>1.6578926537592125</v>
      </c>
      <c r="X2311" s="15">
        <v>2310</v>
      </c>
      <c r="Y2311" s="39">
        <v>0.47655802013386495</v>
      </c>
      <c r="Z2311" s="39">
        <v>0.4821553420227524</v>
      </c>
      <c r="AA2311" s="39">
        <v>0.48498826076808388</v>
      </c>
      <c r="AB2311" s="39">
        <v>0.49008910365815256</v>
      </c>
      <c r="AC2311" s="39">
        <v>0.46982534000144721</v>
      </c>
      <c r="AD2311" s="39">
        <v>0.4748255404158907</v>
      </c>
      <c r="AE2311" s="39">
        <v>0.47710586601363181</v>
      </c>
      <c r="AF2311" s="40">
        <v>0.48757116714340215</v>
      </c>
    </row>
    <row r="2312" spans="1:32">
      <c r="A2312" s="15">
        <v>2310</v>
      </c>
      <c r="B2312" s="16">
        <v>1</v>
      </c>
      <c r="C2312" s="20">
        <v>0.86</v>
      </c>
      <c r="D2312" s="20">
        <v>0.28597383862931031</v>
      </c>
      <c r="E2312" s="20">
        <v>0.14000000000000001</v>
      </c>
      <c r="F2312" s="8" t="s">
        <v>434</v>
      </c>
      <c r="G2312" s="24">
        <v>0.68959385938445827</v>
      </c>
      <c r="H2312" s="24">
        <v>0.69358643180656743</v>
      </c>
      <c r="I2312" s="25">
        <v>0.70571631186499717</v>
      </c>
      <c r="X2312" s="15">
        <v>2311</v>
      </c>
      <c r="Y2312" s="39">
        <v>0.47740132988054584</v>
      </c>
      <c r="Z2312" s="39">
        <v>0.48675229163948652</v>
      </c>
      <c r="AA2312" s="39">
        <v>0.49248824145830133</v>
      </c>
      <c r="AB2312" s="39">
        <v>0.49841934096144236</v>
      </c>
      <c r="AC2312" s="39">
        <v>0.47259331875434735</v>
      </c>
      <c r="AD2312" s="39">
        <v>0.47774329450149622</v>
      </c>
      <c r="AE2312" s="39">
        <v>0.48521561419322273</v>
      </c>
      <c r="AF2312" s="40">
        <v>0.49437416961762892</v>
      </c>
    </row>
    <row r="2313" spans="1:32">
      <c r="A2313" s="15">
        <v>2311</v>
      </c>
      <c r="B2313" s="16">
        <v>1</v>
      </c>
      <c r="C2313" s="20">
        <v>0.32</v>
      </c>
      <c r="D2313" s="20">
        <v>0.70281390401658772</v>
      </c>
      <c r="E2313" s="20">
        <v>0.06</v>
      </c>
      <c r="F2313" s="8" t="s">
        <v>436</v>
      </c>
      <c r="G2313" s="24">
        <v>0.83524689098896965</v>
      </c>
      <c r="H2313" s="24">
        <v>0.84008275728509885</v>
      </c>
      <c r="I2313" s="25">
        <v>0.85477465813223819</v>
      </c>
      <c r="X2313" s="15">
        <v>2312</v>
      </c>
      <c r="Y2313" s="39">
        <v>0.46597432354276092</v>
      </c>
      <c r="Z2313" s="39">
        <v>0.48568332344660098</v>
      </c>
      <c r="AA2313" s="39">
        <v>0.48146708684890022</v>
      </c>
      <c r="AB2313" s="39">
        <v>0.49491020408694331</v>
      </c>
      <c r="AC2313" s="39">
        <v>0.46040196521026022</v>
      </c>
      <c r="AD2313" s="39">
        <v>0.47885028568979748</v>
      </c>
      <c r="AE2313" s="39">
        <v>0.47457732887415643</v>
      </c>
      <c r="AF2313" s="40">
        <v>0.49158025537718603</v>
      </c>
    </row>
    <row r="2314" spans="1:32">
      <c r="A2314" s="15">
        <v>2312</v>
      </c>
      <c r="B2314" s="16">
        <v>0</v>
      </c>
      <c r="C2314" s="20">
        <v>0.94</v>
      </c>
      <c r="D2314" s="20">
        <v>0.17188516685452584</v>
      </c>
      <c r="E2314" s="20">
        <v>0.06</v>
      </c>
      <c r="F2314" s="8" t="s">
        <v>434</v>
      </c>
      <c r="G2314" s="24">
        <v>0.58721684217721859</v>
      </c>
      <c r="H2314" s="24">
        <v>0.5906166778021581</v>
      </c>
      <c r="I2314" s="25">
        <v>0.60094575740019496</v>
      </c>
      <c r="X2314" s="15">
        <v>2313</v>
      </c>
      <c r="Y2314" s="39">
        <v>0.49958389076505255</v>
      </c>
      <c r="Z2314" s="39">
        <v>0.49060133799344791</v>
      </c>
      <c r="AA2314" s="39">
        <v>0.48299529534464974</v>
      </c>
      <c r="AB2314" s="39">
        <v>0.48361330686445098</v>
      </c>
      <c r="AC2314" s="39">
        <v>0.49266205963802157</v>
      </c>
      <c r="AD2314" s="39">
        <v>0.48252678081229677</v>
      </c>
      <c r="AE2314" s="39">
        <v>0.47610525426064754</v>
      </c>
      <c r="AF2314" s="40">
        <v>0.48014938155808612</v>
      </c>
    </row>
    <row r="2315" spans="1:32">
      <c r="A2315" s="15">
        <v>2313</v>
      </c>
      <c r="B2315" s="16">
        <v>1</v>
      </c>
      <c r="C2315" s="20">
        <v>0.3</v>
      </c>
      <c r="D2315" s="20">
        <v>0.72675448745595039</v>
      </c>
      <c r="E2315" s="20">
        <v>0.08</v>
      </c>
      <c r="F2315" s="8" t="s">
        <v>436</v>
      </c>
      <c r="G2315" s="24">
        <v>0.55975974422256347</v>
      </c>
      <c r="H2315" s="24">
        <v>0.56300061025896464</v>
      </c>
      <c r="I2315" s="25">
        <v>0.57284672252715929</v>
      </c>
      <c r="X2315" s="15">
        <v>2314</v>
      </c>
      <c r="Y2315" s="39">
        <v>0.48298917786322926</v>
      </c>
      <c r="Z2315" s="39">
        <v>0.47235374570589034</v>
      </c>
      <c r="AA2315" s="39">
        <v>0.47692606306448709</v>
      </c>
      <c r="AB2315" s="39">
        <v>0.4994956845580743</v>
      </c>
      <c r="AC2315" s="39">
        <v>0.4747554258631852</v>
      </c>
      <c r="AD2315" s="39">
        <v>0.46738309519036675</v>
      </c>
      <c r="AE2315" s="39">
        <v>0.4729091088925878</v>
      </c>
      <c r="AF2315" s="40">
        <v>0.49533134301611498</v>
      </c>
    </row>
    <row r="2316" spans="1:32">
      <c r="A2316" s="15">
        <v>2314</v>
      </c>
      <c r="B2316" s="16">
        <v>1</v>
      </c>
      <c r="C2316" s="20">
        <v>0.02</v>
      </c>
      <c r="D2316" s="20">
        <v>0.99835916395484214</v>
      </c>
      <c r="E2316" s="20">
        <v>1</v>
      </c>
      <c r="F2316" s="8" t="s">
        <v>436</v>
      </c>
      <c r="G2316" s="24">
        <v>1.1162622596090932</v>
      </c>
      <c r="H2316" s="24">
        <v>1.1227251331583656</v>
      </c>
      <c r="I2316" s="25">
        <v>1.1423600633981683</v>
      </c>
      <c r="X2316" s="15">
        <v>2315</v>
      </c>
      <c r="Y2316" s="39">
        <v>0.50320985003518415</v>
      </c>
      <c r="Z2316" s="39">
        <v>0.49893480504537391</v>
      </c>
      <c r="AA2316" s="39">
        <v>0.47232941729915606</v>
      </c>
      <c r="AB2316" s="39">
        <v>0.48053208605267494</v>
      </c>
      <c r="AC2316" s="39">
        <v>0.49629306585142929</v>
      </c>
      <c r="AD2316" s="39">
        <v>0.49123474963362568</v>
      </c>
      <c r="AE2316" s="39">
        <v>0.46617649216915646</v>
      </c>
      <c r="AF2316" s="40">
        <v>0.48031670834142087</v>
      </c>
    </row>
    <row r="2317" spans="1:32">
      <c r="A2317" s="15">
        <v>2315</v>
      </c>
      <c r="B2317" s="16">
        <v>0</v>
      </c>
      <c r="C2317" s="20">
        <v>0.38</v>
      </c>
      <c r="D2317" s="20">
        <v>0.68750720427214851</v>
      </c>
      <c r="E2317" s="20">
        <v>0.41</v>
      </c>
      <c r="F2317" s="8" t="s">
        <v>436</v>
      </c>
      <c r="G2317" s="24">
        <v>1.1233110959325416</v>
      </c>
      <c r="H2317" s="24">
        <v>1.1298147804448613</v>
      </c>
      <c r="I2317" s="25">
        <v>1.1495736989394771</v>
      </c>
      <c r="X2317" s="15">
        <v>2316</v>
      </c>
      <c r="Y2317" s="39">
        <v>0.49131430845454527</v>
      </c>
      <c r="Z2317" s="39">
        <v>0.48716811041157682</v>
      </c>
      <c r="AA2317" s="39">
        <v>0.47569664845099852</v>
      </c>
      <c r="AB2317" s="39">
        <v>0.48638003426466886</v>
      </c>
      <c r="AC2317" s="39">
        <v>0.48180908941135636</v>
      </c>
      <c r="AD2317" s="39">
        <v>0.47993331791409755</v>
      </c>
      <c r="AE2317" s="39">
        <v>0.46882015793568721</v>
      </c>
      <c r="AF2317" s="40">
        <v>0.47975646228221308</v>
      </c>
    </row>
    <row r="2318" spans="1:32">
      <c r="A2318" s="15">
        <v>2316</v>
      </c>
      <c r="B2318" s="16">
        <v>0</v>
      </c>
      <c r="C2318" s="20">
        <v>0.56000000000000005</v>
      </c>
      <c r="D2318" s="20">
        <v>0.46360319447219339</v>
      </c>
      <c r="E2318" s="20">
        <v>0.1</v>
      </c>
      <c r="F2318" s="8" t="s">
        <v>438</v>
      </c>
      <c r="G2318" s="24">
        <v>1.1383387102007185</v>
      </c>
      <c r="H2318" s="24">
        <v>1.1449294007637458</v>
      </c>
      <c r="I2318" s="25">
        <v>1.1649526533387145</v>
      </c>
      <c r="X2318" s="15">
        <v>2317</v>
      </c>
      <c r="Y2318" s="39">
        <v>0.47684892528538181</v>
      </c>
      <c r="Z2318" s="39">
        <v>0.48567790496975011</v>
      </c>
      <c r="AA2318" s="39">
        <v>0.46306714780283104</v>
      </c>
      <c r="AB2318" s="39">
        <v>0.49231278469515977</v>
      </c>
      <c r="AC2318" s="39">
        <v>0.47027351781558063</v>
      </c>
      <c r="AD2318" s="39">
        <v>0.47892510461925497</v>
      </c>
      <c r="AE2318" s="39">
        <v>0.45446169676930359</v>
      </c>
      <c r="AF2318" s="40">
        <v>0.48625329087697239</v>
      </c>
    </row>
    <row r="2319" spans="1:32">
      <c r="A2319" s="15">
        <v>2317</v>
      </c>
      <c r="B2319" s="16">
        <v>1</v>
      </c>
      <c r="C2319" s="20">
        <v>0.02</v>
      </c>
      <c r="D2319" s="20">
        <v>0.99917029198757767</v>
      </c>
      <c r="E2319" s="20">
        <v>1</v>
      </c>
      <c r="F2319" s="8" t="s">
        <v>436</v>
      </c>
      <c r="G2319" s="24">
        <v>1.0447931566546027</v>
      </c>
      <c r="H2319" s="24">
        <v>1.0508422423407644</v>
      </c>
      <c r="I2319" s="25">
        <v>1.0692200389287458</v>
      </c>
      <c r="X2319" s="15">
        <v>2318</v>
      </c>
      <c r="Y2319" s="39">
        <v>0.49690049617006088</v>
      </c>
      <c r="Z2319" s="39">
        <v>0.47424615693654576</v>
      </c>
      <c r="AA2319" s="39">
        <v>0.49083308730690711</v>
      </c>
      <c r="AB2319" s="39">
        <v>0.48210160716391465</v>
      </c>
      <c r="AC2319" s="39">
        <v>0.48740468461421804</v>
      </c>
      <c r="AD2319" s="39">
        <v>0.46678253010907456</v>
      </c>
      <c r="AE2319" s="39">
        <v>0.48334392652466585</v>
      </c>
      <c r="AF2319" s="40">
        <v>0.47927788818032574</v>
      </c>
    </row>
    <row r="2320" spans="1:32">
      <c r="A2320" s="15">
        <v>2318</v>
      </c>
      <c r="B2320" s="16">
        <v>1</v>
      </c>
      <c r="C2320" s="20">
        <v>0.95</v>
      </c>
      <c r="D2320" s="20">
        <v>0.15570568692893463</v>
      </c>
      <c r="E2320" s="20">
        <v>0.05</v>
      </c>
      <c r="F2320" s="8" t="s">
        <v>434</v>
      </c>
      <c r="G2320" s="24">
        <v>1.0385593081837454</v>
      </c>
      <c r="H2320" s="24">
        <v>1.0445723014784949</v>
      </c>
      <c r="I2320" s="25">
        <v>1.0628404453582554</v>
      </c>
      <c r="X2320" s="15">
        <v>2319</v>
      </c>
      <c r="Y2320" s="39">
        <v>0.49777262954894408</v>
      </c>
      <c r="Z2320" s="39">
        <v>0.48534721737410852</v>
      </c>
      <c r="AA2320" s="39">
        <v>0.48365144566137436</v>
      </c>
      <c r="AB2320" s="39">
        <v>0.48177336935079762</v>
      </c>
      <c r="AC2320" s="39">
        <v>0.49123216738606695</v>
      </c>
      <c r="AD2320" s="39">
        <v>0.47731447727793475</v>
      </c>
      <c r="AE2320" s="39">
        <v>0.47606449330686179</v>
      </c>
      <c r="AF2320" s="40">
        <v>0.4778972319099502</v>
      </c>
    </row>
    <row r="2321" spans="1:32">
      <c r="A2321" s="15">
        <v>2319</v>
      </c>
      <c r="B2321" s="16">
        <v>0</v>
      </c>
      <c r="C2321" s="20">
        <v>0.2</v>
      </c>
      <c r="D2321" s="20">
        <v>0.84357841980380566</v>
      </c>
      <c r="E2321" s="20">
        <v>0.08</v>
      </c>
      <c r="F2321" s="8" t="s">
        <v>436</v>
      </c>
      <c r="G2321" s="24">
        <v>0.85700500581221739</v>
      </c>
      <c r="H2321" s="24">
        <v>0.86196684603925999</v>
      </c>
      <c r="I2321" s="25">
        <v>0.87704146973045005</v>
      </c>
      <c r="X2321" s="15">
        <v>2320</v>
      </c>
      <c r="Y2321" s="39">
        <v>0.4952524317405298</v>
      </c>
      <c r="Z2321" s="39">
        <v>0.48029687785643227</v>
      </c>
      <c r="AA2321" s="39">
        <v>0.47560992482284709</v>
      </c>
      <c r="AB2321" s="39">
        <v>0.4972017777407069</v>
      </c>
      <c r="AC2321" s="39">
        <v>0.48961593624582361</v>
      </c>
      <c r="AD2321" s="39">
        <v>0.47218652388990195</v>
      </c>
      <c r="AE2321" s="39">
        <v>0.46919656400662163</v>
      </c>
      <c r="AF2321" s="40">
        <v>0.49432766975093279</v>
      </c>
    </row>
    <row r="2322" spans="1:32">
      <c r="A2322" s="15">
        <v>2320</v>
      </c>
      <c r="B2322" s="16">
        <v>1</v>
      </c>
      <c r="C2322" s="20">
        <v>0.91</v>
      </c>
      <c r="D2322" s="20">
        <v>0.21727233298780477</v>
      </c>
      <c r="E2322" s="20">
        <v>0.09</v>
      </c>
      <c r="F2322" s="8" t="s">
        <v>434</v>
      </c>
      <c r="G2322" s="24">
        <v>0.62279441618442422</v>
      </c>
      <c r="H2322" s="24">
        <v>0.6264002368814372</v>
      </c>
      <c r="I2322" s="25">
        <v>0.63735512208897083</v>
      </c>
      <c r="X2322" s="15">
        <v>2321</v>
      </c>
      <c r="Y2322" s="39">
        <v>0.48086839294455497</v>
      </c>
      <c r="Z2322" s="39">
        <v>0.49327998518111144</v>
      </c>
      <c r="AA2322" s="39">
        <v>0.4882161470494229</v>
      </c>
      <c r="AB2322" s="39">
        <v>0.48691236824720585</v>
      </c>
      <c r="AC2322" s="39">
        <v>0.47466452882466359</v>
      </c>
      <c r="AD2322" s="39">
        <v>0.48371914543868288</v>
      </c>
      <c r="AE2322" s="39">
        <v>0.48084544845765209</v>
      </c>
      <c r="AF2322" s="40">
        <v>0.48206836702112044</v>
      </c>
    </row>
    <row r="2323" spans="1:32">
      <c r="A2323" s="15">
        <v>2321</v>
      </c>
      <c r="B2323" s="16">
        <v>0</v>
      </c>
      <c r="C2323" s="20">
        <v>0.39</v>
      </c>
      <c r="D2323" s="20">
        <v>0.59407499273236763</v>
      </c>
      <c r="E2323" s="20">
        <v>0.1</v>
      </c>
      <c r="F2323" s="8" t="s">
        <v>436</v>
      </c>
      <c r="G2323" s="24">
        <v>0.45575292711353615</v>
      </c>
      <c r="H2323" s="24">
        <v>0.4583916202273543</v>
      </c>
      <c r="I2323" s="25">
        <v>0.46640826403433372</v>
      </c>
      <c r="X2323" s="15">
        <v>2322</v>
      </c>
      <c r="Y2323" s="39">
        <v>0.48580630409195918</v>
      </c>
      <c r="Z2323" s="39">
        <v>0.50157005241333974</v>
      </c>
      <c r="AA2323" s="39">
        <v>0.48383412937910564</v>
      </c>
      <c r="AB2323" s="39">
        <v>0.48906135091258324</v>
      </c>
      <c r="AC2323" s="39">
        <v>0.47877134217266848</v>
      </c>
      <c r="AD2323" s="39">
        <v>0.49632383377971323</v>
      </c>
      <c r="AE2323" s="39">
        <v>0.4768944422424507</v>
      </c>
      <c r="AF2323" s="40">
        <v>0.48646740611136202</v>
      </c>
    </row>
    <row r="2324" spans="1:32">
      <c r="A2324" s="15">
        <v>2322</v>
      </c>
      <c r="B2324" s="16">
        <v>1</v>
      </c>
      <c r="C2324" s="20">
        <v>0.02</v>
      </c>
      <c r="D2324" s="20">
        <v>0.99679477127711513</v>
      </c>
      <c r="E2324" s="20">
        <v>1</v>
      </c>
      <c r="F2324" s="8" t="s">
        <v>436</v>
      </c>
      <c r="G2324" s="24">
        <v>1.5495769702997151</v>
      </c>
      <c r="H2324" s="24">
        <v>1.5585486254172309</v>
      </c>
      <c r="I2324" s="25">
        <v>1.5858055137077072</v>
      </c>
      <c r="X2324" s="15">
        <v>2323</v>
      </c>
      <c r="Y2324" s="39">
        <v>0.47617374038384985</v>
      </c>
      <c r="Z2324" s="39">
        <v>0.47979818102188349</v>
      </c>
      <c r="AA2324" s="39">
        <v>0.47643461832549266</v>
      </c>
      <c r="AB2324" s="39">
        <v>0.47794964794388556</v>
      </c>
      <c r="AC2324" s="39">
        <v>0.47044830823518063</v>
      </c>
      <c r="AD2324" s="39">
        <v>0.47337899025100205</v>
      </c>
      <c r="AE2324" s="39">
        <v>0.47023584827540471</v>
      </c>
      <c r="AF2324" s="40">
        <v>0.47133515289166333</v>
      </c>
    </row>
    <row r="2325" spans="1:32">
      <c r="A2325" s="15">
        <v>2323</v>
      </c>
      <c r="B2325" s="16">
        <v>0</v>
      </c>
      <c r="C2325" s="20">
        <v>0.02</v>
      </c>
      <c r="D2325" s="20">
        <v>0.99679477127711513</v>
      </c>
      <c r="E2325" s="20">
        <v>1</v>
      </c>
      <c r="F2325" s="8" t="s">
        <v>436</v>
      </c>
      <c r="G2325" s="24">
        <v>0.98246308085784018</v>
      </c>
      <c r="H2325" s="24">
        <v>0.98815129131533286</v>
      </c>
      <c r="I2325" s="25">
        <v>1.0054327087329393</v>
      </c>
      <c r="X2325" s="15">
        <v>2324</v>
      </c>
      <c r="Y2325" s="39">
        <v>0.49004334247254211</v>
      </c>
      <c r="Z2325" s="39">
        <v>0.48337365303130791</v>
      </c>
      <c r="AA2325" s="39">
        <v>0.48057830187744471</v>
      </c>
      <c r="AB2325" s="39">
        <v>0.49001875878858597</v>
      </c>
      <c r="AC2325" s="39">
        <v>0.4820279565471855</v>
      </c>
      <c r="AD2325" s="39">
        <v>0.47490189826778195</v>
      </c>
      <c r="AE2325" s="39">
        <v>0.47354848291423646</v>
      </c>
      <c r="AF2325" s="40">
        <v>0.4836732299374813</v>
      </c>
    </row>
    <row r="2326" spans="1:32">
      <c r="A2326" s="15">
        <v>2324</v>
      </c>
      <c r="B2326" s="16">
        <v>0</v>
      </c>
      <c r="C2326" s="20">
        <v>0.02</v>
      </c>
      <c r="D2326" s="20">
        <v>0.99604261948721451</v>
      </c>
      <c r="E2326" s="20">
        <v>1</v>
      </c>
      <c r="F2326" s="8" t="s">
        <v>436</v>
      </c>
      <c r="G2326" s="24">
        <v>1.0801911091691618</v>
      </c>
      <c r="H2326" s="24">
        <v>1.0864451399648043</v>
      </c>
      <c r="I2326" s="25">
        <v>1.105445582640004</v>
      </c>
      <c r="X2326" s="15">
        <v>2325</v>
      </c>
      <c r="Y2326" s="39">
        <v>0.48390633503592784</v>
      </c>
      <c r="Z2326" s="39">
        <v>0.51229208239523993</v>
      </c>
      <c r="AA2326" s="39">
        <v>0.4904230116745138</v>
      </c>
      <c r="AB2326" s="39">
        <v>0.49421914066264488</v>
      </c>
      <c r="AC2326" s="39">
        <v>0.47926323372147273</v>
      </c>
      <c r="AD2326" s="39">
        <v>0.50265792158263223</v>
      </c>
      <c r="AE2326" s="39">
        <v>0.48317976002346275</v>
      </c>
      <c r="AF2326" s="40">
        <v>0.4905670184624748</v>
      </c>
    </row>
    <row r="2327" spans="1:32">
      <c r="A2327" s="15">
        <v>2325</v>
      </c>
      <c r="B2327" s="16">
        <v>1</v>
      </c>
      <c r="C2327" s="20">
        <v>0.41</v>
      </c>
      <c r="D2327" s="20">
        <v>0.64824176158251323</v>
      </c>
      <c r="E2327" s="20">
        <v>0.1</v>
      </c>
      <c r="F2327" s="8" t="s">
        <v>436</v>
      </c>
      <c r="G2327" s="24">
        <v>0.72399841121384356</v>
      </c>
      <c r="H2327" s="24">
        <v>0.72819017720903889</v>
      </c>
      <c r="I2327" s="25">
        <v>0.74092522954601381</v>
      </c>
      <c r="X2327" s="15">
        <v>2326</v>
      </c>
      <c r="Y2327" s="39">
        <v>0.49418937366286375</v>
      </c>
      <c r="Z2327" s="39">
        <v>0.49925190326076829</v>
      </c>
      <c r="AA2327" s="39">
        <v>0.49606781526699911</v>
      </c>
      <c r="AB2327" s="39">
        <v>0.48424617800243841</v>
      </c>
      <c r="AC2327" s="39">
        <v>0.48777002180364892</v>
      </c>
      <c r="AD2327" s="39">
        <v>0.4915156073864152</v>
      </c>
      <c r="AE2327" s="39">
        <v>0.48757569453025462</v>
      </c>
      <c r="AF2327" s="40">
        <v>0.47667156623745494</v>
      </c>
    </row>
    <row r="2328" spans="1:32">
      <c r="A2328" s="15">
        <v>2326</v>
      </c>
      <c r="B2328" s="16">
        <v>1</v>
      </c>
      <c r="C2328" s="20">
        <v>0.02</v>
      </c>
      <c r="D2328" s="20">
        <v>0.99756714174924133</v>
      </c>
      <c r="E2328" s="20">
        <v>1</v>
      </c>
      <c r="F2328" s="8" t="s">
        <v>436</v>
      </c>
      <c r="G2328" s="24">
        <v>1.1571594607979747</v>
      </c>
      <c r="H2328" s="24">
        <v>1.16385911870283</v>
      </c>
      <c r="I2328" s="25">
        <v>1.1842134262085342</v>
      </c>
      <c r="X2328" s="15">
        <v>2327</v>
      </c>
      <c r="Y2328" s="39">
        <v>0.49761014980388096</v>
      </c>
      <c r="Z2328" s="39">
        <v>0.48228892415722474</v>
      </c>
      <c r="AA2328" s="39">
        <v>0.47600841102241759</v>
      </c>
      <c r="AB2328" s="39">
        <v>0.4976759963171124</v>
      </c>
      <c r="AC2328" s="39">
        <v>0.49138992927604969</v>
      </c>
      <c r="AD2328" s="39">
        <v>0.47640412108807673</v>
      </c>
      <c r="AE2328" s="39">
        <v>0.47097855919948339</v>
      </c>
      <c r="AF2328" s="40">
        <v>0.49277967792829552</v>
      </c>
    </row>
    <row r="2329" spans="1:32">
      <c r="A2329" s="15">
        <v>2327</v>
      </c>
      <c r="B2329" s="16">
        <v>0</v>
      </c>
      <c r="C2329" s="20">
        <v>0.22</v>
      </c>
      <c r="D2329" s="20">
        <v>0.80039758954462803</v>
      </c>
      <c r="E2329" s="20">
        <v>0.06</v>
      </c>
      <c r="F2329" s="8" t="s">
        <v>436</v>
      </c>
      <c r="G2329" s="24">
        <v>1.1277079583784628</v>
      </c>
      <c r="H2329" s="24">
        <v>1.1342370996020141</v>
      </c>
      <c r="I2329" s="25">
        <v>1.1540733584229343</v>
      </c>
      <c r="X2329" s="15">
        <v>2328</v>
      </c>
      <c r="Y2329" s="39">
        <v>0.47047343539601133</v>
      </c>
      <c r="Z2329" s="39">
        <v>0.47505202241752714</v>
      </c>
      <c r="AA2329" s="39">
        <v>0.48662747308568449</v>
      </c>
      <c r="AB2329" s="39">
        <v>0.48646268102971718</v>
      </c>
      <c r="AC2329" s="39">
        <v>0.46671534549783666</v>
      </c>
      <c r="AD2329" s="39">
        <v>0.46942887704115255</v>
      </c>
      <c r="AE2329" s="39">
        <v>0.47911274894902761</v>
      </c>
      <c r="AF2329" s="40">
        <v>0.48277194711351779</v>
      </c>
    </row>
    <row r="2330" spans="1:32">
      <c r="A2330" s="15">
        <v>2328</v>
      </c>
      <c r="B2330" s="16">
        <v>0</v>
      </c>
      <c r="C2330" s="20">
        <v>0.02</v>
      </c>
      <c r="D2330" s="20">
        <v>0.99756714174924133</v>
      </c>
      <c r="E2330" s="20">
        <v>1</v>
      </c>
      <c r="F2330" s="8" t="s">
        <v>436</v>
      </c>
      <c r="G2330" s="24">
        <v>0.94271358484799828</v>
      </c>
      <c r="H2330" s="24">
        <v>0.9481716558699349</v>
      </c>
      <c r="I2330" s="25">
        <v>0.96475388402937023</v>
      </c>
      <c r="X2330" s="15">
        <v>2329</v>
      </c>
      <c r="Y2330" s="39">
        <v>0.4921060743709349</v>
      </c>
      <c r="Z2330" s="39">
        <v>0.47831357929672236</v>
      </c>
      <c r="AA2330" s="39">
        <v>0.48588512548443147</v>
      </c>
      <c r="AB2330" s="39">
        <v>0.49403340398101347</v>
      </c>
      <c r="AC2330" s="39">
        <v>0.48547181004676937</v>
      </c>
      <c r="AD2330" s="39">
        <v>0.47098379626360526</v>
      </c>
      <c r="AE2330" s="39">
        <v>0.47824987443314187</v>
      </c>
      <c r="AF2330" s="40">
        <v>0.48873225869914677</v>
      </c>
    </row>
    <row r="2331" spans="1:32">
      <c r="A2331" s="15">
        <v>2329</v>
      </c>
      <c r="B2331" s="16">
        <v>0</v>
      </c>
      <c r="C2331" s="20">
        <v>0.33</v>
      </c>
      <c r="D2331" s="20">
        <v>0.67002551612742778</v>
      </c>
      <c r="E2331" s="20">
        <v>0.1</v>
      </c>
      <c r="F2331" s="8" t="s">
        <v>436</v>
      </c>
      <c r="G2331" s="24">
        <v>1.5513779766760296</v>
      </c>
      <c r="H2331" s="24">
        <v>1.5603600591607447</v>
      </c>
      <c r="I2331" s="25">
        <v>1.5876486269550794</v>
      </c>
      <c r="X2331" s="15">
        <v>2330</v>
      </c>
      <c r="Y2331" s="39">
        <v>0.48641234796317445</v>
      </c>
      <c r="Z2331" s="39">
        <v>0.50256825956703821</v>
      </c>
      <c r="AA2331" s="39">
        <v>0.47218324343724549</v>
      </c>
      <c r="AB2331" s="39">
        <v>0.49064347161320243</v>
      </c>
      <c r="AC2331" s="39">
        <v>0.47745824325104769</v>
      </c>
      <c r="AD2331" s="39">
        <v>0.49605065626116274</v>
      </c>
      <c r="AE2331" s="39">
        <v>0.46496374179312827</v>
      </c>
      <c r="AF2331" s="40">
        <v>0.4855154533337141</v>
      </c>
    </row>
    <row r="2332" spans="1:32">
      <c r="A2332" s="15">
        <v>2330</v>
      </c>
      <c r="B2332" s="16">
        <v>1</v>
      </c>
      <c r="C2332" s="20">
        <v>0.5</v>
      </c>
      <c r="D2332" s="20">
        <v>0.47229416112213712</v>
      </c>
      <c r="E2332" s="20">
        <v>0.1</v>
      </c>
      <c r="F2332" s="8" t="s">
        <v>438</v>
      </c>
      <c r="G2332" s="24">
        <v>0.81656332210849958</v>
      </c>
      <c r="H2332" s="24">
        <v>0.82129101530992443</v>
      </c>
      <c r="I2332" s="25">
        <v>0.83565427423762173</v>
      </c>
      <c r="X2332" s="15">
        <v>2331</v>
      </c>
      <c r="Y2332" s="39">
        <v>0.48277112381314219</v>
      </c>
      <c r="Z2332" s="39">
        <v>0.49031034467862578</v>
      </c>
      <c r="AA2332" s="39">
        <v>0.48250117388689584</v>
      </c>
      <c r="AB2332" s="39">
        <v>0.48047222506744081</v>
      </c>
      <c r="AC2332" s="39">
        <v>0.47627439511252745</v>
      </c>
      <c r="AD2332" s="39">
        <v>0.48028653158611756</v>
      </c>
      <c r="AE2332" s="39">
        <v>0.47704952572894965</v>
      </c>
      <c r="AF2332" s="40">
        <v>0.47853175328345571</v>
      </c>
    </row>
    <row r="2333" spans="1:32">
      <c r="A2333" s="15">
        <v>2331</v>
      </c>
      <c r="B2333" s="16">
        <v>1</v>
      </c>
      <c r="C2333" s="20">
        <v>0.4</v>
      </c>
      <c r="D2333" s="20">
        <v>0.66560024220138403</v>
      </c>
      <c r="E2333" s="20">
        <v>7.0000000000000007E-2</v>
      </c>
      <c r="F2333" s="8" t="s">
        <v>436</v>
      </c>
      <c r="G2333" s="24">
        <v>1.1112033582916845</v>
      </c>
      <c r="H2333" s="24">
        <v>1.1176369420936496</v>
      </c>
      <c r="I2333" s="25">
        <v>1.1371828868162923</v>
      </c>
      <c r="X2333" s="15">
        <v>2332</v>
      </c>
      <c r="Y2333" s="39">
        <v>0.48658676501490444</v>
      </c>
      <c r="Z2333" s="39">
        <v>0.48312313270509227</v>
      </c>
      <c r="AA2333" s="39">
        <v>0.48681920281451796</v>
      </c>
      <c r="AB2333" s="39">
        <v>0.475494510147498</v>
      </c>
      <c r="AC2333" s="39">
        <v>0.47659792141204577</v>
      </c>
      <c r="AD2333" s="39">
        <v>0.47570556732629954</v>
      </c>
      <c r="AE2333" s="39">
        <v>0.47804980392758356</v>
      </c>
      <c r="AF2333" s="40">
        <v>0.47277611995415281</v>
      </c>
    </row>
    <row r="2334" spans="1:32">
      <c r="A2334" s="15">
        <v>2332</v>
      </c>
      <c r="B2334" s="16">
        <v>0</v>
      </c>
      <c r="C2334" s="20">
        <v>0.38</v>
      </c>
      <c r="D2334" s="20">
        <v>0.60769374342250215</v>
      </c>
      <c r="E2334" s="20">
        <v>7.0000000000000007E-2</v>
      </c>
      <c r="F2334" s="8" t="s">
        <v>436</v>
      </c>
      <c r="G2334" s="24">
        <v>0.46022973288432373</v>
      </c>
      <c r="H2334" s="24">
        <v>0.46289434556081827</v>
      </c>
      <c r="I2334" s="25">
        <v>0.4709897358883845</v>
      </c>
      <c r="X2334" s="15">
        <v>2333</v>
      </c>
      <c r="Y2334" s="39">
        <v>0.48990852562468684</v>
      </c>
      <c r="Z2334" s="39">
        <v>0.4971718815624267</v>
      </c>
      <c r="AA2334" s="39">
        <v>0.48149542137496865</v>
      </c>
      <c r="AB2334" s="39">
        <v>0.49003453816664</v>
      </c>
      <c r="AC2334" s="39">
        <v>0.48514621070195563</v>
      </c>
      <c r="AD2334" s="39">
        <v>0.49078113141861418</v>
      </c>
      <c r="AE2334" s="39">
        <v>0.47736594336111809</v>
      </c>
      <c r="AF2334" s="40">
        <v>0.48701807587141838</v>
      </c>
    </row>
    <row r="2335" spans="1:32">
      <c r="A2335" s="15">
        <v>2333</v>
      </c>
      <c r="B2335" s="16">
        <v>1</v>
      </c>
      <c r="C2335" s="20">
        <v>0.3</v>
      </c>
      <c r="D2335" s="20">
        <v>0.71599248881707045</v>
      </c>
      <c r="E2335" s="20">
        <v>0.13</v>
      </c>
      <c r="F2335" s="8" t="s">
        <v>436</v>
      </c>
      <c r="G2335" s="24">
        <v>0.97208173142137211</v>
      </c>
      <c r="H2335" s="24">
        <v>0.97770983651554078</v>
      </c>
      <c r="I2335" s="25">
        <v>0.99480864713960437</v>
      </c>
      <c r="X2335" s="15">
        <v>2334</v>
      </c>
      <c r="Y2335" s="39">
        <v>0.48900653702586466</v>
      </c>
      <c r="Z2335" s="39">
        <v>0.49031983998227724</v>
      </c>
      <c r="AA2335" s="39">
        <v>0.4855435647885305</v>
      </c>
      <c r="AB2335" s="39">
        <v>0.49067181199084886</v>
      </c>
      <c r="AC2335" s="39">
        <v>0.48322609188115351</v>
      </c>
      <c r="AD2335" s="39">
        <v>0.48367828658016498</v>
      </c>
      <c r="AE2335" s="39">
        <v>0.47821037538725525</v>
      </c>
      <c r="AF2335" s="40">
        <v>0.4864880685266203</v>
      </c>
    </row>
    <row r="2336" spans="1:32">
      <c r="A2336" s="15">
        <v>2334</v>
      </c>
      <c r="B2336" s="16">
        <v>1</v>
      </c>
      <c r="C2336" s="20">
        <v>0.92</v>
      </c>
      <c r="D2336" s="20">
        <v>0.20258497911151899</v>
      </c>
      <c r="E2336" s="20">
        <v>0.08</v>
      </c>
      <c r="F2336" s="8" t="s">
        <v>434</v>
      </c>
      <c r="G2336" s="24">
        <v>0.66280004287811023</v>
      </c>
      <c r="H2336" s="24">
        <v>0.66663748594195948</v>
      </c>
      <c r="I2336" s="25">
        <v>0.67829606571819168</v>
      </c>
      <c r="X2336" s="15">
        <v>2335</v>
      </c>
      <c r="Y2336" s="39">
        <v>0.48861330620215909</v>
      </c>
      <c r="Z2336" s="39">
        <v>0.4963078259788295</v>
      </c>
      <c r="AA2336" s="39">
        <v>0.49296438791319441</v>
      </c>
      <c r="AB2336" s="39">
        <v>0.48082330813669188</v>
      </c>
      <c r="AC2336" s="39">
        <v>0.48257518987461595</v>
      </c>
      <c r="AD2336" s="39">
        <v>0.48738906152450817</v>
      </c>
      <c r="AE2336" s="39">
        <v>0.4859230062432523</v>
      </c>
      <c r="AF2336" s="40">
        <v>0.47907326639555042</v>
      </c>
    </row>
    <row r="2337" spans="1:32">
      <c r="A2337" s="15">
        <v>2335</v>
      </c>
      <c r="B2337" s="16">
        <v>1</v>
      </c>
      <c r="C2337" s="20">
        <v>0.02</v>
      </c>
      <c r="D2337" s="20">
        <v>0.99756714174924133</v>
      </c>
      <c r="E2337" s="20">
        <v>1</v>
      </c>
      <c r="F2337" s="8" t="s">
        <v>436</v>
      </c>
      <c r="G2337" s="24">
        <v>1.0515898440170166</v>
      </c>
      <c r="H2337" s="24">
        <v>1.057678280788104</v>
      </c>
      <c r="I2337" s="25">
        <v>1.0761756303584369</v>
      </c>
      <c r="X2337" s="15">
        <v>2336</v>
      </c>
      <c r="Y2337" s="39">
        <v>0.49018680160805433</v>
      </c>
      <c r="Z2337" s="39">
        <v>0.49083071836124759</v>
      </c>
      <c r="AA2337" s="39">
        <v>0.4854494199103031</v>
      </c>
      <c r="AB2337" s="39">
        <v>0.49882927365867924</v>
      </c>
      <c r="AC2337" s="39">
        <v>0.48354232055065688</v>
      </c>
      <c r="AD2337" s="39">
        <v>0.48488972303830119</v>
      </c>
      <c r="AE2337" s="39">
        <v>0.4775282087047501</v>
      </c>
      <c r="AF2337" s="40">
        <v>0.49588672370816034</v>
      </c>
    </row>
    <row r="2338" spans="1:32">
      <c r="A2338" s="15">
        <v>2336</v>
      </c>
      <c r="B2338" s="16">
        <v>0</v>
      </c>
      <c r="C2338" s="20">
        <v>0.42</v>
      </c>
      <c r="D2338" s="20">
        <v>0.61889873780803528</v>
      </c>
      <c r="E2338" s="20">
        <v>0.05</v>
      </c>
      <c r="F2338" s="8" t="s">
        <v>436</v>
      </c>
      <c r="G2338" s="24">
        <v>1.1707524071031836</v>
      </c>
      <c r="H2338" s="24">
        <v>1.17753076469745</v>
      </c>
      <c r="I2338" s="25">
        <v>1.1981241706320036</v>
      </c>
      <c r="X2338" s="15">
        <v>2337</v>
      </c>
      <c r="Y2338" s="39">
        <v>0.48839231824528551</v>
      </c>
      <c r="Z2338" s="39">
        <v>0.49049249972753889</v>
      </c>
      <c r="AA2338" s="39">
        <v>0.48844693027459357</v>
      </c>
      <c r="AB2338" s="39">
        <v>0.48684038066231106</v>
      </c>
      <c r="AC2338" s="39">
        <v>0.48241143797953762</v>
      </c>
      <c r="AD2338" s="39">
        <v>0.48420152393529381</v>
      </c>
      <c r="AE2338" s="39">
        <v>0.48268052093251984</v>
      </c>
      <c r="AF2338" s="40">
        <v>0.48216816168280302</v>
      </c>
    </row>
    <row r="2339" spans="1:32">
      <c r="A2339" s="15">
        <v>2337</v>
      </c>
      <c r="B2339" s="16">
        <v>0</v>
      </c>
      <c r="C2339" s="20">
        <v>0.96</v>
      </c>
      <c r="D2339" s="20">
        <v>0.13880369068795359</v>
      </c>
      <c r="E2339" s="20">
        <v>0.04</v>
      </c>
      <c r="F2339" s="8" t="s">
        <v>434</v>
      </c>
      <c r="G2339" s="24">
        <v>1.5607162627856135</v>
      </c>
      <c r="H2339" s="24">
        <v>1.5697524115632393</v>
      </c>
      <c r="I2339" s="25">
        <v>1.5972052387820439</v>
      </c>
      <c r="X2339" s="15">
        <v>2338</v>
      </c>
      <c r="Y2339" s="39">
        <v>0.50220258617652591</v>
      </c>
      <c r="Z2339" s="39">
        <v>0.49653028832928803</v>
      </c>
      <c r="AA2339" s="39">
        <v>0.47871216793980403</v>
      </c>
      <c r="AB2339" s="39">
        <v>0.47373211371096074</v>
      </c>
      <c r="AC2339" s="39">
        <v>0.49156732037977702</v>
      </c>
      <c r="AD2339" s="39">
        <v>0.48519353466458176</v>
      </c>
      <c r="AE2339" s="39">
        <v>0.47121983901176795</v>
      </c>
      <c r="AF2339" s="40">
        <v>0.46755684954788679</v>
      </c>
    </row>
    <row r="2340" spans="1:32">
      <c r="A2340" s="15">
        <v>2338</v>
      </c>
      <c r="B2340" s="16">
        <v>0</v>
      </c>
      <c r="C2340" s="20">
        <v>0.09</v>
      </c>
      <c r="D2340" s="20">
        <v>0.93676611986484326</v>
      </c>
      <c r="E2340" s="20">
        <v>7.0000000000000007E-2</v>
      </c>
      <c r="F2340" s="8" t="s">
        <v>436</v>
      </c>
      <c r="G2340" s="24">
        <v>0.96053834944826888</v>
      </c>
      <c r="H2340" s="24">
        <v>0.9660996213073435</v>
      </c>
      <c r="I2340" s="25">
        <v>0.98299538511349116</v>
      </c>
      <c r="X2340" s="15">
        <v>2339</v>
      </c>
      <c r="Y2340" s="39">
        <v>0.49140434052942161</v>
      </c>
      <c r="Z2340" s="39">
        <v>0.4884311683521203</v>
      </c>
      <c r="AA2340" s="39">
        <v>0.48732065178811235</v>
      </c>
      <c r="AB2340" s="39">
        <v>0.47902553049693464</v>
      </c>
      <c r="AC2340" s="39">
        <v>0.48570203092907793</v>
      </c>
      <c r="AD2340" s="39">
        <v>0.48404483868120535</v>
      </c>
      <c r="AE2340" s="39">
        <v>0.48057284708706577</v>
      </c>
      <c r="AF2340" s="40">
        <v>0.47537558123884327</v>
      </c>
    </row>
    <row r="2341" spans="1:32">
      <c r="A2341" s="15">
        <v>2339</v>
      </c>
      <c r="B2341" s="16">
        <v>0</v>
      </c>
      <c r="C2341" s="20">
        <v>0.24</v>
      </c>
      <c r="D2341" s="20">
        <v>0.75829962842429133</v>
      </c>
      <c r="E2341" s="20">
        <v>0.06</v>
      </c>
      <c r="F2341" s="8" t="s">
        <v>436</v>
      </c>
      <c r="G2341" s="24">
        <v>0.97486018140615116</v>
      </c>
      <c r="H2341" s="24">
        <v>0.98050437301651261</v>
      </c>
      <c r="I2341" s="25">
        <v>0.99765205626988562</v>
      </c>
      <c r="X2341" s="15">
        <v>2340</v>
      </c>
      <c r="Y2341" s="39">
        <v>0.48780698563455432</v>
      </c>
      <c r="Z2341" s="39">
        <v>0.48925828712064368</v>
      </c>
      <c r="AA2341" s="39">
        <v>0.48689810496488994</v>
      </c>
      <c r="AB2341" s="39">
        <v>0.48192963517431486</v>
      </c>
      <c r="AC2341" s="39">
        <v>0.48439562853296864</v>
      </c>
      <c r="AD2341" s="39">
        <v>0.48198965055117965</v>
      </c>
      <c r="AE2341" s="39">
        <v>0.47723280282633973</v>
      </c>
      <c r="AF2341" s="40">
        <v>0.47785591702310393</v>
      </c>
    </row>
    <row r="2342" spans="1:32">
      <c r="A2342" s="15">
        <v>2340</v>
      </c>
      <c r="B2342" s="16">
        <v>1</v>
      </c>
      <c r="C2342" s="20">
        <v>0.02</v>
      </c>
      <c r="D2342" s="20">
        <v>0.99679477127711513</v>
      </c>
      <c r="E2342" s="20">
        <v>1</v>
      </c>
      <c r="F2342" s="8" t="s">
        <v>436</v>
      </c>
      <c r="G2342" s="24">
        <v>1.043102698194845</v>
      </c>
      <c r="H2342" s="24">
        <v>1.0491419965580262</v>
      </c>
      <c r="I2342" s="25">
        <v>1.0674900581678295</v>
      </c>
      <c r="X2342" s="15">
        <v>2341</v>
      </c>
      <c r="Y2342" s="39">
        <v>0.47777160496794913</v>
      </c>
      <c r="Z2342" s="39">
        <v>0.47471313787688807</v>
      </c>
      <c r="AA2342" s="39">
        <v>0.49049703386885274</v>
      </c>
      <c r="AB2342" s="39">
        <v>0.47961958874002159</v>
      </c>
      <c r="AC2342" s="39">
        <v>0.47022449493588248</v>
      </c>
      <c r="AD2342" s="39">
        <v>0.47089477049247142</v>
      </c>
      <c r="AE2342" s="39">
        <v>0.48364408532805925</v>
      </c>
      <c r="AF2342" s="40">
        <v>0.4741403318739818</v>
      </c>
    </row>
    <row r="2343" spans="1:32">
      <c r="A2343" s="15">
        <v>2341</v>
      </c>
      <c r="B2343" s="16">
        <v>0</v>
      </c>
      <c r="C2343" s="20">
        <v>0.88</v>
      </c>
      <c r="D2343" s="20">
        <v>0.25930874124763043</v>
      </c>
      <c r="E2343" s="20">
        <v>0.12</v>
      </c>
      <c r="F2343" s="8" t="s">
        <v>434</v>
      </c>
      <c r="G2343" s="24">
        <v>0.64166011352203622</v>
      </c>
      <c r="H2343" s="24">
        <v>0.64537516179103083</v>
      </c>
      <c r="I2343" s="25">
        <v>0.65666189253751417</v>
      </c>
      <c r="X2343" s="15">
        <v>2342</v>
      </c>
      <c r="Y2343" s="39">
        <v>0.47164572099080215</v>
      </c>
      <c r="Z2343" s="39">
        <v>0.49133939207242044</v>
      </c>
      <c r="AA2343" s="39">
        <v>0.48559192832312892</v>
      </c>
      <c r="AB2343" s="39">
        <v>0.48888538885631494</v>
      </c>
      <c r="AC2343" s="39">
        <v>0.4644553048984818</v>
      </c>
      <c r="AD2343" s="39">
        <v>0.48337883396991027</v>
      </c>
      <c r="AE2343" s="39">
        <v>0.47728029715008641</v>
      </c>
      <c r="AF2343" s="40">
        <v>0.48172335503254532</v>
      </c>
    </row>
    <row r="2344" spans="1:32">
      <c r="A2344" s="15">
        <v>2342</v>
      </c>
      <c r="B2344" s="16">
        <v>1</v>
      </c>
      <c r="C2344" s="20">
        <v>0.16</v>
      </c>
      <c r="D2344" s="20">
        <v>0.86613585613012078</v>
      </c>
      <c r="E2344" s="20">
        <v>0.08</v>
      </c>
      <c r="F2344" s="8" t="s">
        <v>436</v>
      </c>
      <c r="G2344" s="24">
        <v>0.74407374448129004</v>
      </c>
      <c r="H2344" s="24">
        <v>0.74838174153173254</v>
      </c>
      <c r="I2344" s="25">
        <v>0.76146991677047537</v>
      </c>
      <c r="X2344" s="15">
        <v>2343</v>
      </c>
      <c r="Y2344" s="39">
        <v>0.48946757197780161</v>
      </c>
      <c r="Z2344" s="39">
        <v>0.47800326586942238</v>
      </c>
      <c r="AA2344" s="39">
        <v>0.47342273710266991</v>
      </c>
      <c r="AB2344" s="39">
        <v>0.48758899457989385</v>
      </c>
      <c r="AC2344" s="39">
        <v>0.48367124546639273</v>
      </c>
      <c r="AD2344" s="39">
        <v>0.47163797595856755</v>
      </c>
      <c r="AE2344" s="39">
        <v>0.46796911799246116</v>
      </c>
      <c r="AF2344" s="40">
        <v>0.48391294493698472</v>
      </c>
    </row>
    <row r="2345" spans="1:32">
      <c r="A2345" s="15">
        <v>2343</v>
      </c>
      <c r="B2345" s="16">
        <v>1</v>
      </c>
      <c r="C2345" s="20">
        <v>0.91</v>
      </c>
      <c r="D2345" s="20">
        <v>0.21727233298780477</v>
      </c>
      <c r="E2345" s="20">
        <v>0.09</v>
      </c>
      <c r="F2345" s="8" t="s">
        <v>434</v>
      </c>
      <c r="G2345" s="24">
        <v>1.1035476809319118</v>
      </c>
      <c r="H2345" s="24">
        <v>1.1099369403161299</v>
      </c>
      <c r="I2345" s="25">
        <v>1.1293482225169471</v>
      </c>
      <c r="X2345" s="15">
        <v>2344</v>
      </c>
      <c r="Y2345" s="39">
        <v>0.49650980276941631</v>
      </c>
      <c r="Z2345" s="39">
        <v>0.48462219974849013</v>
      </c>
      <c r="AA2345" s="39">
        <v>0.49242770714420925</v>
      </c>
      <c r="AB2345" s="39">
        <v>0.49002863021294718</v>
      </c>
      <c r="AC2345" s="39">
        <v>0.49043269321839955</v>
      </c>
      <c r="AD2345" s="39">
        <v>0.47766281090678975</v>
      </c>
      <c r="AE2345" s="39">
        <v>0.48496792585591875</v>
      </c>
      <c r="AF2345" s="40">
        <v>0.48752235111983699</v>
      </c>
    </row>
    <row r="2346" spans="1:32">
      <c r="A2346" s="15">
        <v>2344</v>
      </c>
      <c r="B2346" s="16">
        <v>1</v>
      </c>
      <c r="C2346" s="20">
        <v>0.03</v>
      </c>
      <c r="D2346" s="20">
        <v>0.9948936026028764</v>
      </c>
      <c r="E2346" s="20">
        <v>1</v>
      </c>
      <c r="F2346" s="8" t="s">
        <v>436</v>
      </c>
      <c r="G2346" s="24">
        <v>1.0492366590490774</v>
      </c>
      <c r="H2346" s="24">
        <v>1.0553114714798675</v>
      </c>
      <c r="I2346" s="25">
        <v>1.0737674287857133</v>
      </c>
      <c r="X2346" s="15">
        <v>2345</v>
      </c>
      <c r="Y2346" s="39">
        <v>0.49325217411723121</v>
      </c>
      <c r="Z2346" s="39">
        <v>0.48156029676905032</v>
      </c>
      <c r="AA2346" s="39">
        <v>0.49057067906994084</v>
      </c>
      <c r="AB2346" s="39">
        <v>0.50316276566464668</v>
      </c>
      <c r="AC2346" s="39">
        <v>0.48722120117550405</v>
      </c>
      <c r="AD2346" s="39">
        <v>0.47618642492605379</v>
      </c>
      <c r="AE2346" s="39">
        <v>0.48313867390893206</v>
      </c>
      <c r="AF2346" s="40">
        <v>0.49795518449283266</v>
      </c>
    </row>
    <row r="2347" spans="1:32">
      <c r="A2347" s="15">
        <v>2345</v>
      </c>
      <c r="B2347" s="16">
        <v>1</v>
      </c>
      <c r="C2347" s="20">
        <v>0.85</v>
      </c>
      <c r="D2347" s="20">
        <v>0.29896847351441952</v>
      </c>
      <c r="E2347" s="20">
        <v>0.15</v>
      </c>
      <c r="F2347" s="8" t="s">
        <v>434</v>
      </c>
      <c r="G2347" s="24">
        <v>1.7563471032688391</v>
      </c>
      <c r="H2347" s="24">
        <v>1.7665159046767023</v>
      </c>
      <c r="I2347" s="25">
        <v>1.6578926537592125</v>
      </c>
      <c r="X2347" s="15">
        <v>2346</v>
      </c>
      <c r="Y2347" s="39">
        <v>0.49501879635511953</v>
      </c>
      <c r="Z2347" s="39">
        <v>0.47183301359503094</v>
      </c>
      <c r="AA2347" s="39">
        <v>0.49169842614410858</v>
      </c>
      <c r="AB2347" s="39">
        <v>0.47711261550108219</v>
      </c>
      <c r="AC2347" s="39">
        <v>0.48559579963599303</v>
      </c>
      <c r="AD2347" s="39">
        <v>0.46714047318788848</v>
      </c>
      <c r="AE2347" s="39">
        <v>0.48456885633132335</v>
      </c>
      <c r="AF2347" s="40">
        <v>0.47331306254292849</v>
      </c>
    </row>
    <row r="2348" spans="1:32">
      <c r="A2348" s="15">
        <v>2346</v>
      </c>
      <c r="B2348" s="16">
        <v>0</v>
      </c>
      <c r="C2348" s="20">
        <v>0.91</v>
      </c>
      <c r="D2348" s="20">
        <v>0.21727233298780477</v>
      </c>
      <c r="E2348" s="20">
        <v>0.09</v>
      </c>
      <c r="F2348" s="8" t="s">
        <v>434</v>
      </c>
      <c r="G2348" s="24">
        <v>0.9063827493982678</v>
      </c>
      <c r="H2348" s="24">
        <v>0.9116304741566541</v>
      </c>
      <c r="I2348" s="25">
        <v>0.92757364692075683</v>
      </c>
      <c r="X2348" s="15">
        <v>2347</v>
      </c>
      <c r="Y2348" s="39">
        <v>0.49552926081712667</v>
      </c>
      <c r="Z2348" s="39">
        <v>0.50146558022774734</v>
      </c>
      <c r="AA2348" s="39">
        <v>0.49831559856932084</v>
      </c>
      <c r="AB2348" s="39">
        <v>0.49004336266089321</v>
      </c>
      <c r="AC2348" s="39">
        <v>0.48587167817286525</v>
      </c>
      <c r="AD2348" s="39">
        <v>0.49171460422850416</v>
      </c>
      <c r="AE2348" s="39">
        <v>0.48876832372709039</v>
      </c>
      <c r="AF2348" s="40">
        <v>0.48584527138487116</v>
      </c>
    </row>
    <row r="2349" spans="1:32">
      <c r="A2349" s="15">
        <v>2347</v>
      </c>
      <c r="B2349" s="16">
        <v>1</v>
      </c>
      <c r="C2349" s="20">
        <v>0.02</v>
      </c>
      <c r="D2349" s="20">
        <v>0.99756714174924133</v>
      </c>
      <c r="E2349" s="20">
        <v>1</v>
      </c>
      <c r="F2349" s="8" t="s">
        <v>436</v>
      </c>
      <c r="G2349" s="24">
        <v>0.96894069322249177</v>
      </c>
      <c r="H2349" s="24">
        <v>0.97455061250726116</v>
      </c>
      <c r="I2349" s="25">
        <v>0.9915941726152524</v>
      </c>
      <c r="X2349" s="15">
        <v>2348</v>
      </c>
      <c r="Y2349" s="39">
        <v>0.476192758153971</v>
      </c>
      <c r="Z2349" s="39">
        <v>0.48915350627737963</v>
      </c>
      <c r="AA2349" s="39">
        <v>0.48042235871215472</v>
      </c>
      <c r="AB2349" s="39">
        <v>0.48300927108057212</v>
      </c>
      <c r="AC2349" s="39">
        <v>0.46845895537153476</v>
      </c>
      <c r="AD2349" s="39">
        <v>0.48267410877147099</v>
      </c>
      <c r="AE2349" s="39">
        <v>0.47242432451000221</v>
      </c>
      <c r="AF2349" s="40">
        <v>0.47947984335309551</v>
      </c>
    </row>
    <row r="2350" spans="1:32">
      <c r="A2350" s="15">
        <v>2348</v>
      </c>
      <c r="B2350" s="16">
        <v>0</v>
      </c>
      <c r="C2350" s="20">
        <v>0.94</v>
      </c>
      <c r="D2350" s="20">
        <v>0.17188516685452584</v>
      </c>
      <c r="E2350" s="20">
        <v>0.06</v>
      </c>
      <c r="F2350" s="8" t="s">
        <v>434</v>
      </c>
      <c r="G2350" s="24">
        <v>0.9304569341151816</v>
      </c>
      <c r="H2350" s="24">
        <v>0.93584404225797235</v>
      </c>
      <c r="I2350" s="25">
        <v>0.95221067728054321</v>
      </c>
      <c r="X2350" s="15">
        <v>2349</v>
      </c>
      <c r="Y2350" s="39">
        <v>0.49388536625325319</v>
      </c>
      <c r="Z2350" s="39">
        <v>0.48756198483246782</v>
      </c>
      <c r="AA2350" s="39">
        <v>0.49941902479516342</v>
      </c>
      <c r="AB2350" s="39">
        <v>0.48501931027219164</v>
      </c>
      <c r="AC2350" s="39">
        <v>0.48708974106607256</v>
      </c>
      <c r="AD2350" s="39">
        <v>0.4798545538026292</v>
      </c>
      <c r="AE2350" s="39">
        <v>0.49562094582929583</v>
      </c>
      <c r="AF2350" s="40">
        <v>0.48322584525711826</v>
      </c>
    </row>
    <row r="2351" spans="1:32">
      <c r="A2351" s="15">
        <v>2349</v>
      </c>
      <c r="B2351" s="16">
        <v>0</v>
      </c>
      <c r="C2351" s="20">
        <v>0.79</v>
      </c>
      <c r="D2351" s="20">
        <v>0.3731124369664075</v>
      </c>
      <c r="E2351" s="20">
        <v>0.21</v>
      </c>
      <c r="F2351" s="8" t="s">
        <v>438</v>
      </c>
      <c r="G2351" s="24">
        <v>0.55172309094406691</v>
      </c>
      <c r="H2351" s="24">
        <v>0.55491742680939837</v>
      </c>
      <c r="I2351" s="25">
        <v>0.56462217523130476</v>
      </c>
      <c r="X2351" s="15">
        <v>2350</v>
      </c>
      <c r="Y2351" s="39">
        <v>0.50896441707255613</v>
      </c>
      <c r="Z2351" s="39">
        <v>0.47750869902703635</v>
      </c>
      <c r="AA2351" s="39">
        <v>0.47640115274646816</v>
      </c>
      <c r="AB2351" s="39">
        <v>0.4773443371512705</v>
      </c>
      <c r="AC2351" s="39">
        <v>0.50136328462903479</v>
      </c>
      <c r="AD2351" s="39">
        <v>0.47086150758036022</v>
      </c>
      <c r="AE2351" s="39">
        <v>0.46822618539702854</v>
      </c>
      <c r="AF2351" s="40">
        <v>0.4735810812172454</v>
      </c>
    </row>
    <row r="2352" spans="1:32">
      <c r="A2352" s="15">
        <v>2350</v>
      </c>
      <c r="B2352" s="16">
        <v>0</v>
      </c>
      <c r="C2352" s="20">
        <v>0.52</v>
      </c>
      <c r="D2352" s="20">
        <v>0.47349232105281369</v>
      </c>
      <c r="E2352" s="20">
        <v>0.11</v>
      </c>
      <c r="F2352" s="8" t="s">
        <v>438</v>
      </c>
      <c r="G2352" s="24">
        <v>0.77347326175690179</v>
      </c>
      <c r="H2352" s="24">
        <v>0.77795147450793467</v>
      </c>
      <c r="I2352" s="25">
        <v>0.79155678401850416</v>
      </c>
      <c r="X2352" s="15">
        <v>2351</v>
      </c>
      <c r="Y2352" s="39">
        <v>0.4892748900217409</v>
      </c>
      <c r="Z2352" s="39">
        <v>0.48071420433051504</v>
      </c>
      <c r="AA2352" s="39">
        <v>0.48452001556733665</v>
      </c>
      <c r="AB2352" s="39">
        <v>0.49753370820414511</v>
      </c>
      <c r="AC2352" s="39">
        <v>0.48133572131357932</v>
      </c>
      <c r="AD2352" s="39">
        <v>0.47612110657960843</v>
      </c>
      <c r="AE2352" s="39">
        <v>0.47781147301910976</v>
      </c>
      <c r="AF2352" s="40">
        <v>0.49082179886069932</v>
      </c>
    </row>
    <row r="2353" spans="1:32">
      <c r="A2353" s="15">
        <v>2351</v>
      </c>
      <c r="B2353" s="16">
        <v>1</v>
      </c>
      <c r="C2353" s="20">
        <v>0.2</v>
      </c>
      <c r="D2353" s="20">
        <v>0.8619027353734523</v>
      </c>
      <c r="E2353" s="20">
        <v>0.11</v>
      </c>
      <c r="F2353" s="8" t="s">
        <v>436</v>
      </c>
      <c r="G2353" s="24">
        <v>0.73911696580833142</v>
      </c>
      <c r="H2353" s="24">
        <v>0.74339626437551043</v>
      </c>
      <c r="I2353" s="25">
        <v>0.75639725042316497</v>
      </c>
      <c r="X2353" s="15">
        <v>2352</v>
      </c>
      <c r="Y2353" s="39">
        <v>0.49294168209254791</v>
      </c>
      <c r="Z2353" s="39">
        <v>0.49405342449511819</v>
      </c>
      <c r="AA2353" s="39">
        <v>0.49088894076200362</v>
      </c>
      <c r="AB2353" s="39">
        <v>0.49466663514542025</v>
      </c>
      <c r="AC2353" s="39">
        <v>0.48616282429681845</v>
      </c>
      <c r="AD2353" s="39">
        <v>0.48439104042806957</v>
      </c>
      <c r="AE2353" s="39">
        <v>0.48433993301465028</v>
      </c>
      <c r="AF2353" s="40">
        <v>0.48968360192578902</v>
      </c>
    </row>
    <row r="2354" spans="1:32">
      <c r="A2354" s="15">
        <v>2352</v>
      </c>
      <c r="B2354" s="16">
        <v>1</v>
      </c>
      <c r="C2354" s="20">
        <v>0.02</v>
      </c>
      <c r="D2354" s="20">
        <v>0.99917029198757767</v>
      </c>
      <c r="E2354" s="20">
        <v>1</v>
      </c>
      <c r="F2354" s="8" t="s">
        <v>436</v>
      </c>
      <c r="G2354" s="24">
        <v>0.99818036269647248</v>
      </c>
      <c r="H2354" s="24">
        <v>1.003959572203863</v>
      </c>
      <c r="I2354" s="25">
        <v>1.0215174548784505</v>
      </c>
      <c r="X2354" s="15">
        <v>2353</v>
      </c>
      <c r="Y2354" s="39">
        <v>0.48302302909126271</v>
      </c>
      <c r="Z2354" s="39">
        <v>0.46723492124796506</v>
      </c>
      <c r="AA2354" s="39">
        <v>0.49276940736731945</v>
      </c>
      <c r="AB2354" s="39">
        <v>0.49429069938144399</v>
      </c>
      <c r="AC2354" s="39">
        <v>0.47789472907349279</v>
      </c>
      <c r="AD2354" s="39">
        <v>0.45950993222341596</v>
      </c>
      <c r="AE2354" s="39">
        <v>0.48669246143519607</v>
      </c>
      <c r="AF2354" s="40">
        <v>0.49097886808832292</v>
      </c>
    </row>
    <row r="2355" spans="1:32">
      <c r="A2355" s="15">
        <v>2353</v>
      </c>
      <c r="B2355" s="16">
        <v>1</v>
      </c>
      <c r="C2355" s="20">
        <v>0.3</v>
      </c>
      <c r="D2355" s="20">
        <v>0.70579417027313551</v>
      </c>
      <c r="E2355" s="20">
        <v>0.06</v>
      </c>
      <c r="F2355" s="8" t="s">
        <v>436</v>
      </c>
      <c r="G2355" s="24">
        <v>1.0637433300474433</v>
      </c>
      <c r="H2355" s="24">
        <v>1.0699021324003832</v>
      </c>
      <c r="I2355" s="25">
        <v>1.0886132604518246</v>
      </c>
      <c r="X2355" s="15">
        <v>2354</v>
      </c>
      <c r="Y2355" s="39">
        <v>0.4831596222510795</v>
      </c>
      <c r="Z2355" s="39">
        <v>0.48503737288165</v>
      </c>
      <c r="AA2355" s="39">
        <v>0.49299517417360511</v>
      </c>
      <c r="AB2355" s="39">
        <v>0.4944970149974518</v>
      </c>
      <c r="AC2355" s="39">
        <v>0.47477025438623499</v>
      </c>
      <c r="AD2355" s="39">
        <v>0.47649929983088218</v>
      </c>
      <c r="AE2355" s="39">
        <v>0.48569041654022765</v>
      </c>
      <c r="AF2355" s="40">
        <v>0.49143272663532472</v>
      </c>
    </row>
    <row r="2356" spans="1:32">
      <c r="A2356" s="15">
        <v>2354</v>
      </c>
      <c r="B2356" s="16">
        <v>1</v>
      </c>
      <c r="C2356" s="20">
        <v>0.98</v>
      </c>
      <c r="D2356" s="20">
        <v>0.10185764172235329</v>
      </c>
      <c r="E2356" s="20">
        <v>0.02</v>
      </c>
      <c r="F2356" s="8" t="s">
        <v>434</v>
      </c>
      <c r="G2356" s="24">
        <v>0.46007330453553663</v>
      </c>
      <c r="H2356" s="24">
        <v>0.46273701153182112</v>
      </c>
      <c r="I2356" s="25">
        <v>0.47082965030195584</v>
      </c>
      <c r="X2356" s="15">
        <v>2355</v>
      </c>
      <c r="Y2356" s="39">
        <v>0.48676759679712828</v>
      </c>
      <c r="Z2356" s="39">
        <v>0.5073971767057448</v>
      </c>
      <c r="AA2356" s="39">
        <v>0.48535791110639914</v>
      </c>
      <c r="AB2356" s="39">
        <v>0.48537620118137009</v>
      </c>
      <c r="AC2356" s="39">
        <v>0.47997272292368781</v>
      </c>
      <c r="AD2356" s="39">
        <v>0.50074002917936389</v>
      </c>
      <c r="AE2356" s="39">
        <v>0.48123713475397228</v>
      </c>
      <c r="AF2356" s="40">
        <v>0.4765196399041402</v>
      </c>
    </row>
    <row r="2357" spans="1:32">
      <c r="A2357" s="15">
        <v>2355</v>
      </c>
      <c r="B2357" s="16">
        <v>0</v>
      </c>
      <c r="C2357" s="20">
        <v>0.94</v>
      </c>
      <c r="D2357" s="20">
        <v>0.17188516685452584</v>
      </c>
      <c r="E2357" s="20">
        <v>0.06</v>
      </c>
      <c r="F2357" s="8" t="s">
        <v>434</v>
      </c>
      <c r="G2357" s="24">
        <v>1.5529398028770354</v>
      </c>
      <c r="H2357" s="24">
        <v>1.561930927936787</v>
      </c>
      <c r="I2357" s="25">
        <v>1.5892469680820316</v>
      </c>
      <c r="X2357" s="15">
        <v>2356</v>
      </c>
      <c r="Y2357" s="39">
        <v>0.49336598293974143</v>
      </c>
      <c r="Z2357" s="39">
        <v>0.49202588030005551</v>
      </c>
      <c r="AA2357" s="39">
        <v>0.48813022876176809</v>
      </c>
      <c r="AB2357" s="39">
        <v>0.49005664806963545</v>
      </c>
      <c r="AC2357" s="39">
        <v>0.48671575397347955</v>
      </c>
      <c r="AD2357" s="39">
        <v>0.48486851666147168</v>
      </c>
      <c r="AE2357" s="39">
        <v>0.47998749240456451</v>
      </c>
      <c r="AF2357" s="40">
        <v>0.48524454663017202</v>
      </c>
    </row>
    <row r="2358" spans="1:32">
      <c r="A2358" s="15">
        <v>2356</v>
      </c>
      <c r="B2358" s="16">
        <v>1</v>
      </c>
      <c r="C2358" s="20">
        <v>0.19</v>
      </c>
      <c r="D2358" s="20">
        <v>0.82838808237225292</v>
      </c>
      <c r="E2358" s="20">
        <v>0.06</v>
      </c>
      <c r="F2358" s="8" t="s">
        <v>436</v>
      </c>
      <c r="G2358" s="24">
        <v>0.98267030667226962</v>
      </c>
      <c r="H2358" s="24">
        <v>0.988359716914332</v>
      </c>
      <c r="I2358" s="25">
        <v>1.0056447794111976</v>
      </c>
      <c r="X2358" s="15">
        <v>2357</v>
      </c>
      <c r="Y2358" s="39">
        <v>0.48709885078316284</v>
      </c>
      <c r="Z2358" s="39">
        <v>0.49387172867640239</v>
      </c>
      <c r="AA2358" s="39">
        <v>0.48181340794661759</v>
      </c>
      <c r="AB2358" s="39">
        <v>0.47958089221302702</v>
      </c>
      <c r="AC2358" s="39">
        <v>0.48143186920061487</v>
      </c>
      <c r="AD2358" s="39">
        <v>0.48845273586821203</v>
      </c>
      <c r="AE2358" s="39">
        <v>0.47602914128382257</v>
      </c>
      <c r="AF2358" s="40">
        <v>0.4762772973087479</v>
      </c>
    </row>
    <row r="2359" spans="1:32">
      <c r="A2359" s="15">
        <v>2357</v>
      </c>
      <c r="B2359" s="16">
        <v>0</v>
      </c>
      <c r="C2359" s="20">
        <v>0.02</v>
      </c>
      <c r="D2359" s="20">
        <v>0.99756714174924133</v>
      </c>
      <c r="E2359" s="20">
        <v>1</v>
      </c>
      <c r="F2359" s="8" t="s">
        <v>436</v>
      </c>
      <c r="G2359" s="24">
        <v>0.99373544337436026</v>
      </c>
      <c r="H2359" s="24">
        <v>0.99948891793347305</v>
      </c>
      <c r="I2359" s="25">
        <v>1.0169686149665949</v>
      </c>
      <c r="X2359" s="15">
        <v>2358</v>
      </c>
      <c r="Y2359" s="39">
        <v>0.46621499813291317</v>
      </c>
      <c r="Z2359" s="39">
        <v>0.49682914443132686</v>
      </c>
      <c r="AA2359" s="39">
        <v>0.48297920083789803</v>
      </c>
      <c r="AB2359" s="39">
        <v>0.47750133418180513</v>
      </c>
      <c r="AC2359" s="39">
        <v>0.46066543884346806</v>
      </c>
      <c r="AD2359" s="39">
        <v>0.48923687626461748</v>
      </c>
      <c r="AE2359" s="39">
        <v>0.47596775890754106</v>
      </c>
      <c r="AF2359" s="40">
        <v>0.47413282040721594</v>
      </c>
    </row>
    <row r="2360" spans="1:32">
      <c r="A2360" s="15">
        <v>2358</v>
      </c>
      <c r="B2360" s="16">
        <v>0</v>
      </c>
      <c r="C2360" s="20">
        <v>0.02</v>
      </c>
      <c r="D2360" s="20">
        <v>0.99604261948721451</v>
      </c>
      <c r="E2360" s="20">
        <v>1</v>
      </c>
      <c r="F2360" s="8" t="s">
        <v>436</v>
      </c>
      <c r="G2360" s="24">
        <v>0.93457789447979989</v>
      </c>
      <c r="H2360" s="24">
        <v>0.93998886193119735</v>
      </c>
      <c r="I2360" s="25">
        <v>0.95642798419284103</v>
      </c>
      <c r="X2360" s="15">
        <v>2359</v>
      </c>
      <c r="Y2360" s="39">
        <v>0.48838212480511822</v>
      </c>
      <c r="Z2360" s="39">
        <v>0.48539917199036597</v>
      </c>
      <c r="AA2360" s="39">
        <v>0.48056758152772194</v>
      </c>
      <c r="AB2360" s="39">
        <v>0.48355583967321747</v>
      </c>
      <c r="AC2360" s="39">
        <v>0.4837302611626243</v>
      </c>
      <c r="AD2360" s="39">
        <v>0.47692017223468847</v>
      </c>
      <c r="AE2360" s="39">
        <v>0.47518212422729322</v>
      </c>
      <c r="AF2360" s="40">
        <v>0.48033646036410099</v>
      </c>
    </row>
    <row r="2361" spans="1:32">
      <c r="A2361" s="15">
        <v>2359</v>
      </c>
      <c r="B2361" s="16">
        <v>1</v>
      </c>
      <c r="C2361" s="20">
        <v>0.34</v>
      </c>
      <c r="D2361" s="20">
        <v>0.76226485434284041</v>
      </c>
      <c r="E2361" s="20">
        <v>7.0000000000000007E-2</v>
      </c>
      <c r="F2361" s="8" t="s">
        <v>436</v>
      </c>
      <c r="G2361" s="24">
        <v>0.69168751989581989</v>
      </c>
      <c r="H2361" s="24">
        <v>0.69569221407786819</v>
      </c>
      <c r="I2361" s="25">
        <v>0.70785892139416906</v>
      </c>
      <c r="X2361" s="15">
        <v>2360</v>
      </c>
      <c r="Y2361" s="39">
        <v>0.49792731153325165</v>
      </c>
      <c r="Z2361" s="39">
        <v>0.47596406676060038</v>
      </c>
      <c r="AA2361" s="39">
        <v>0.48770902542589983</v>
      </c>
      <c r="AB2361" s="39">
        <v>0.46481207435845989</v>
      </c>
      <c r="AC2361" s="39">
        <v>0.48995527247514559</v>
      </c>
      <c r="AD2361" s="39">
        <v>0.47123483035160962</v>
      </c>
      <c r="AE2361" s="39">
        <v>0.47983539273147735</v>
      </c>
      <c r="AF2361" s="40">
        <v>0.46276717594966782</v>
      </c>
    </row>
    <row r="2362" spans="1:32">
      <c r="A2362" s="15">
        <v>2360</v>
      </c>
      <c r="B2362" s="16">
        <v>1</v>
      </c>
      <c r="C2362" s="20">
        <v>0.14000000000000001</v>
      </c>
      <c r="D2362" s="20">
        <v>0.91036798351074077</v>
      </c>
      <c r="E2362" s="20">
        <v>0.15</v>
      </c>
      <c r="F2362" s="8" t="s">
        <v>436</v>
      </c>
      <c r="G2362" s="24">
        <v>1.2783941374938177</v>
      </c>
      <c r="H2362" s="24">
        <v>1.2857957132307303</v>
      </c>
      <c r="I2362" s="25">
        <v>1.3082825253508981</v>
      </c>
      <c r="X2362" s="15">
        <v>2361</v>
      </c>
      <c r="Y2362" s="39">
        <v>0.48198952199358858</v>
      </c>
      <c r="Z2362" s="39">
        <v>0.49142937758805316</v>
      </c>
      <c r="AA2362" s="39">
        <v>0.49590154664088398</v>
      </c>
      <c r="AB2362" s="39">
        <v>0.4992045453997464</v>
      </c>
      <c r="AC2362" s="39">
        <v>0.47336600650324528</v>
      </c>
      <c r="AD2362" s="39">
        <v>0.4860898901476578</v>
      </c>
      <c r="AE2362" s="39">
        <v>0.48841672501283284</v>
      </c>
      <c r="AF2362" s="40">
        <v>0.49637669881409685</v>
      </c>
    </row>
    <row r="2363" spans="1:32">
      <c r="A2363" s="15">
        <v>2361</v>
      </c>
      <c r="B2363" s="16">
        <v>0</v>
      </c>
      <c r="C2363" s="20">
        <v>0.95</v>
      </c>
      <c r="D2363" s="20">
        <v>0.15570568692893463</v>
      </c>
      <c r="E2363" s="20">
        <v>0.05</v>
      </c>
      <c r="F2363" s="8" t="s">
        <v>434</v>
      </c>
      <c r="G2363" s="24">
        <v>0.334544673013426</v>
      </c>
      <c r="H2363" s="24">
        <v>0.3364816012752716</v>
      </c>
      <c r="I2363" s="25">
        <v>0.34236620523833716</v>
      </c>
      <c r="X2363" s="15">
        <v>2362</v>
      </c>
      <c r="Y2363" s="39">
        <v>0.49261460167945359</v>
      </c>
      <c r="Z2363" s="39">
        <v>0.48514529622804825</v>
      </c>
      <c r="AA2363" s="39">
        <v>0.49512704410872854</v>
      </c>
      <c r="AB2363" s="39">
        <v>0.49018651151293835</v>
      </c>
      <c r="AC2363" s="39">
        <v>0.4858100761524089</v>
      </c>
      <c r="AD2363" s="39">
        <v>0.47745296498079504</v>
      </c>
      <c r="AE2363" s="39">
        <v>0.48537628211185724</v>
      </c>
      <c r="AF2363" s="40">
        <v>0.48284802556671674</v>
      </c>
    </row>
    <row r="2364" spans="1:32">
      <c r="A2364" s="15">
        <v>2362</v>
      </c>
      <c r="B2364" s="16">
        <v>1</v>
      </c>
      <c r="C2364" s="20">
        <v>0.08</v>
      </c>
      <c r="D2364" s="20">
        <v>0.92108091941521009</v>
      </c>
      <c r="E2364" s="20">
        <v>0.08</v>
      </c>
      <c r="F2364" s="8" t="s">
        <v>436</v>
      </c>
      <c r="G2364" s="24">
        <v>0.95488251682369285</v>
      </c>
      <c r="H2364" s="24">
        <v>0.96041104285556256</v>
      </c>
      <c r="I2364" s="25">
        <v>0.97720732118858278</v>
      </c>
      <c r="X2364" s="15">
        <v>2363</v>
      </c>
      <c r="Y2364" s="39">
        <v>0.49111437968740196</v>
      </c>
      <c r="Z2364" s="39">
        <v>0.47922250421829676</v>
      </c>
      <c r="AA2364" s="39">
        <v>0.4852395563103476</v>
      </c>
      <c r="AB2364" s="39">
        <v>0.48263999232561022</v>
      </c>
      <c r="AC2364" s="39">
        <v>0.48823581232006957</v>
      </c>
      <c r="AD2364" s="39">
        <v>0.47136519613941058</v>
      </c>
      <c r="AE2364" s="39">
        <v>0.47678930248352036</v>
      </c>
      <c r="AF2364" s="40">
        <v>0.47861846588080975</v>
      </c>
    </row>
    <row r="2365" spans="1:32">
      <c r="A2365" s="15">
        <v>2363</v>
      </c>
      <c r="B2365" s="16">
        <v>0</v>
      </c>
      <c r="C2365" s="20">
        <v>0.51</v>
      </c>
      <c r="D2365" s="20">
        <v>0.46789782893496085</v>
      </c>
      <c r="E2365" s="20">
        <v>0.08</v>
      </c>
      <c r="F2365" s="8" t="s">
        <v>438</v>
      </c>
      <c r="G2365" s="24">
        <v>0.94257911228542623</v>
      </c>
      <c r="H2365" s="24">
        <v>0.94803640474555073</v>
      </c>
      <c r="I2365" s="25">
        <v>0.96461626754741647</v>
      </c>
      <c r="X2365" s="15">
        <v>2364</v>
      </c>
      <c r="Y2365" s="39">
        <v>0.47665498958439362</v>
      </c>
      <c r="Z2365" s="39">
        <v>0.49673222815115803</v>
      </c>
      <c r="AA2365" s="39">
        <v>0.47916260390622306</v>
      </c>
      <c r="AB2365" s="39">
        <v>0.50209416600402179</v>
      </c>
      <c r="AC2365" s="39">
        <v>0.47231387782159034</v>
      </c>
      <c r="AD2365" s="39">
        <v>0.48949701362969422</v>
      </c>
      <c r="AE2365" s="39">
        <v>0.47055955383508991</v>
      </c>
      <c r="AF2365" s="40">
        <v>0.49777512316732608</v>
      </c>
    </row>
    <row r="2366" spans="1:32">
      <c r="A2366" s="15">
        <v>2364</v>
      </c>
      <c r="B2366" s="16">
        <v>0</v>
      </c>
      <c r="C2366" s="20">
        <v>0.02</v>
      </c>
      <c r="D2366" s="20">
        <v>0.99756714174924133</v>
      </c>
      <c r="E2366" s="20">
        <v>1</v>
      </c>
      <c r="F2366" s="8" t="s">
        <v>436</v>
      </c>
      <c r="G2366" s="24">
        <v>1.0155682814553135</v>
      </c>
      <c r="H2366" s="24">
        <v>1.0214481625739282</v>
      </c>
      <c r="I2366" s="25">
        <v>1.0393118968249764</v>
      </c>
      <c r="X2366" s="15">
        <v>2365</v>
      </c>
      <c r="Y2366" s="39">
        <v>0.49343476928124008</v>
      </c>
      <c r="Z2366" s="39">
        <v>0.47837284207806852</v>
      </c>
      <c r="AA2366" s="39">
        <v>0.48463925480477793</v>
      </c>
      <c r="AB2366" s="39">
        <v>0.49647995022183561</v>
      </c>
      <c r="AC2366" s="39">
        <v>0.48571650860211057</v>
      </c>
      <c r="AD2366" s="39">
        <v>0.47134910475872888</v>
      </c>
      <c r="AE2366" s="39">
        <v>0.4786695598876114</v>
      </c>
      <c r="AF2366" s="40">
        <v>0.49209421160052297</v>
      </c>
    </row>
    <row r="2367" spans="1:32">
      <c r="A2367" s="15">
        <v>2365</v>
      </c>
      <c r="B2367" s="16">
        <v>1</v>
      </c>
      <c r="C2367" s="20">
        <v>0.3</v>
      </c>
      <c r="D2367" s="20">
        <v>0.71729044988916546</v>
      </c>
      <c r="E2367" s="20">
        <v>0.05</v>
      </c>
      <c r="F2367" s="8" t="s">
        <v>436</v>
      </c>
      <c r="G2367" s="24">
        <v>0.79427646879823099</v>
      </c>
      <c r="H2367" s="24">
        <v>0.79887512680786688</v>
      </c>
      <c r="I2367" s="25">
        <v>0.81284636243974384</v>
      </c>
      <c r="X2367" s="15">
        <v>2366</v>
      </c>
      <c r="Y2367" s="39">
        <v>0.49794030854388199</v>
      </c>
      <c r="Z2367" s="39">
        <v>0.47003669069204135</v>
      </c>
      <c r="AA2367" s="39">
        <v>0.48730438867482156</v>
      </c>
      <c r="AB2367" s="39">
        <v>0.50498591051024644</v>
      </c>
      <c r="AC2367" s="39">
        <v>0.48695237371781236</v>
      </c>
      <c r="AD2367" s="39">
        <v>0.46474980102309377</v>
      </c>
      <c r="AE2367" s="39">
        <v>0.48148704744434756</v>
      </c>
      <c r="AF2367" s="40">
        <v>0.50041872158681433</v>
      </c>
    </row>
    <row r="2368" spans="1:32">
      <c r="A2368" s="15">
        <v>2366</v>
      </c>
      <c r="B2368" s="16">
        <v>1</v>
      </c>
      <c r="C2368" s="20">
        <v>0.54</v>
      </c>
      <c r="D2368" s="20">
        <v>0.51802491240041693</v>
      </c>
      <c r="E2368" s="20">
        <v>0.11</v>
      </c>
      <c r="F2368" s="8" t="s">
        <v>438</v>
      </c>
      <c r="G2368" s="24">
        <v>0.88810618290472998</v>
      </c>
      <c r="H2368" s="24">
        <v>0.89324809100834202</v>
      </c>
      <c r="I2368" s="25">
        <v>0.90886978098017568</v>
      </c>
      <c r="X2368" s="15">
        <v>2367</v>
      </c>
      <c r="Y2368" s="39">
        <v>0.4898432221974513</v>
      </c>
      <c r="Z2368" s="39">
        <v>0.46565801351700514</v>
      </c>
      <c r="AA2368" s="39">
        <v>0.48159969416696369</v>
      </c>
      <c r="AB2368" s="39">
        <v>0.49785876717500716</v>
      </c>
      <c r="AC2368" s="39">
        <v>0.48231540252647681</v>
      </c>
      <c r="AD2368" s="39">
        <v>0.45981039174084493</v>
      </c>
      <c r="AE2368" s="39">
        <v>0.4740869986281101</v>
      </c>
      <c r="AF2368" s="40">
        <v>0.48935860276627158</v>
      </c>
    </row>
    <row r="2369" spans="1:32">
      <c r="A2369" s="15">
        <v>2367</v>
      </c>
      <c r="B2369" s="16">
        <v>1</v>
      </c>
      <c r="C2369" s="20">
        <v>0.08</v>
      </c>
      <c r="D2369" s="20">
        <v>0.9403830820834872</v>
      </c>
      <c r="E2369" s="20">
        <v>7.0000000000000007E-2</v>
      </c>
      <c r="F2369" s="8" t="s">
        <v>436</v>
      </c>
      <c r="G2369" s="24">
        <v>0.96047639890965431</v>
      </c>
      <c r="H2369" s="24">
        <v>0.96603731209092358</v>
      </c>
      <c r="I2369" s="25">
        <v>0.98293198619391819</v>
      </c>
      <c r="X2369" s="15">
        <v>2368</v>
      </c>
      <c r="Y2369" s="39">
        <v>0.47963192860505932</v>
      </c>
      <c r="Z2369" s="39">
        <v>0.48605616774821386</v>
      </c>
      <c r="AA2369" s="39">
        <v>0.4799810877176347</v>
      </c>
      <c r="AB2369" s="39">
        <v>0.47338545585326142</v>
      </c>
      <c r="AC2369" s="39">
        <v>0.47465804180037474</v>
      </c>
      <c r="AD2369" s="39">
        <v>0.4794650042189274</v>
      </c>
      <c r="AE2369" s="39">
        <v>0.47251105811806038</v>
      </c>
      <c r="AF2369" s="40">
        <v>0.46947806121322211</v>
      </c>
    </row>
    <row r="2370" spans="1:32">
      <c r="A2370" s="15">
        <v>2368</v>
      </c>
      <c r="B2370" s="16">
        <v>0</v>
      </c>
      <c r="C2370" s="20">
        <v>0.92</v>
      </c>
      <c r="D2370" s="20">
        <v>0.20258497911151899</v>
      </c>
      <c r="E2370" s="20">
        <v>0.08</v>
      </c>
      <c r="F2370" s="8" t="s">
        <v>434</v>
      </c>
      <c r="G2370" s="24">
        <v>1.1387127502954677</v>
      </c>
      <c r="H2370" s="24">
        <v>1.1453056064551672</v>
      </c>
      <c r="I2370" s="25">
        <v>1.1653354383542185</v>
      </c>
      <c r="X2370" s="15">
        <v>2369</v>
      </c>
      <c r="Y2370" s="39">
        <v>0.48767359872110655</v>
      </c>
      <c r="Z2370" s="39">
        <v>0.49084713978917455</v>
      </c>
      <c r="AA2370" s="39">
        <v>0.48663814612371681</v>
      </c>
      <c r="AB2370" s="39">
        <v>0.49247925561549538</v>
      </c>
      <c r="AC2370" s="39">
        <v>0.48143118617185265</v>
      </c>
      <c r="AD2370" s="39">
        <v>0.48535191579683079</v>
      </c>
      <c r="AE2370" s="39">
        <v>0.47951528627105433</v>
      </c>
      <c r="AF2370" s="40">
        <v>0.48782092193459453</v>
      </c>
    </row>
    <row r="2371" spans="1:32">
      <c r="A2371" s="15">
        <v>2369</v>
      </c>
      <c r="B2371" s="16">
        <v>0</v>
      </c>
      <c r="C2371" s="20">
        <v>0.24</v>
      </c>
      <c r="D2371" s="20">
        <v>0.84402824691016221</v>
      </c>
      <c r="E2371" s="20">
        <v>0.46</v>
      </c>
      <c r="F2371" s="8" t="s">
        <v>436</v>
      </c>
      <c r="G2371" s="24">
        <v>0.98554817425694763</v>
      </c>
      <c r="H2371" s="24">
        <v>0.99125424661772921</v>
      </c>
      <c r="I2371" s="25">
        <v>1.0085899304885397</v>
      </c>
      <c r="X2371" s="15">
        <v>2370</v>
      </c>
      <c r="Y2371" s="39">
        <v>0.47998551130111072</v>
      </c>
      <c r="Z2371" s="39">
        <v>0.48611187550143398</v>
      </c>
      <c r="AA2371" s="39">
        <v>0.4765468480871542</v>
      </c>
      <c r="AB2371" s="39">
        <v>0.49172128266273357</v>
      </c>
      <c r="AC2371" s="39">
        <v>0.47417800649719644</v>
      </c>
      <c r="AD2371" s="39">
        <v>0.48240204897856709</v>
      </c>
      <c r="AE2371" s="39">
        <v>0.47220472108177158</v>
      </c>
      <c r="AF2371" s="40">
        <v>0.48549886797965824</v>
      </c>
    </row>
    <row r="2372" spans="1:32">
      <c r="A2372" s="15">
        <v>2370</v>
      </c>
      <c r="B2372" s="16">
        <v>0</v>
      </c>
      <c r="C2372" s="20">
        <v>0.11</v>
      </c>
      <c r="D2372" s="20">
        <v>0.90363620965096614</v>
      </c>
      <c r="E2372" s="20">
        <v>0.18</v>
      </c>
      <c r="F2372" s="8" t="s">
        <v>436</v>
      </c>
      <c r="G2372" s="24">
        <v>0.91037195844862251</v>
      </c>
      <c r="H2372" s="24">
        <v>0.91564277970913643</v>
      </c>
      <c r="I2372" s="25">
        <v>0.93165612222120076</v>
      </c>
      <c r="X2372" s="15">
        <v>2371</v>
      </c>
      <c r="Y2372" s="39">
        <v>0.49714562113958838</v>
      </c>
      <c r="Z2372" s="39">
        <v>0.50797607686278057</v>
      </c>
      <c r="AA2372" s="39">
        <v>0.48096110224999006</v>
      </c>
      <c r="AB2372" s="39">
        <v>0.47456820054244192</v>
      </c>
      <c r="AC2372" s="39">
        <v>0.49205136539205085</v>
      </c>
      <c r="AD2372" s="39">
        <v>0.50053455370789435</v>
      </c>
      <c r="AE2372" s="39">
        <v>0.47397069517226476</v>
      </c>
      <c r="AF2372" s="40">
        <v>0.47189488859324052</v>
      </c>
    </row>
    <row r="2373" spans="1:32">
      <c r="A2373" s="15">
        <v>2371</v>
      </c>
      <c r="B2373" s="16">
        <v>0</v>
      </c>
      <c r="C2373" s="20">
        <v>0.93</v>
      </c>
      <c r="D2373" s="20">
        <v>0.18747949848141848</v>
      </c>
      <c r="E2373" s="20">
        <v>7.0000000000000007E-2</v>
      </c>
      <c r="F2373" s="8" t="s">
        <v>434</v>
      </c>
      <c r="G2373" s="24">
        <v>0.55176312442487208</v>
      </c>
      <c r="H2373" s="24">
        <v>0.5549576920738386</v>
      </c>
      <c r="I2373" s="25">
        <v>0.56466314468026446</v>
      </c>
      <c r="X2373" s="15">
        <v>2372</v>
      </c>
      <c r="Y2373" s="39">
        <v>0.48919852427257382</v>
      </c>
      <c r="Z2373" s="39">
        <v>0.48661584995666873</v>
      </c>
      <c r="AA2373" s="39">
        <v>0.49009127807114128</v>
      </c>
      <c r="AB2373" s="39">
        <v>0.49426842432102747</v>
      </c>
      <c r="AC2373" s="39">
        <v>0.48501980840432762</v>
      </c>
      <c r="AD2373" s="39">
        <v>0.48004773364902797</v>
      </c>
      <c r="AE2373" s="39">
        <v>0.4824575892971848</v>
      </c>
      <c r="AF2373" s="40">
        <v>0.48919047404780369</v>
      </c>
    </row>
    <row r="2374" spans="1:32">
      <c r="A2374" s="15">
        <v>2372</v>
      </c>
      <c r="B2374" s="16">
        <v>1</v>
      </c>
      <c r="C2374" s="20">
        <v>0.17</v>
      </c>
      <c r="D2374" s="20">
        <v>0.8271995623829338</v>
      </c>
      <c r="E2374" s="20">
        <v>0.09</v>
      </c>
      <c r="F2374" s="8" t="s">
        <v>436</v>
      </c>
      <c r="G2374" s="24">
        <v>1.1301753694453376</v>
      </c>
      <c r="H2374" s="24">
        <v>1.1367187963491419</v>
      </c>
      <c r="I2374" s="25">
        <v>1.1565984566590528</v>
      </c>
      <c r="X2374" s="15">
        <v>2373</v>
      </c>
      <c r="Y2374" s="39">
        <v>0.47412538611816146</v>
      </c>
      <c r="Z2374" s="39">
        <v>0.48962068669110015</v>
      </c>
      <c r="AA2374" s="39">
        <v>0.48847940718444671</v>
      </c>
      <c r="AB2374" s="39">
        <v>0.49103696610346714</v>
      </c>
      <c r="AC2374" s="39">
        <v>0.46708950833436702</v>
      </c>
      <c r="AD2374" s="39">
        <v>0.48106878484247589</v>
      </c>
      <c r="AE2374" s="39">
        <v>0.48261885068786675</v>
      </c>
      <c r="AF2374" s="40">
        <v>0.48728624426301009</v>
      </c>
    </row>
    <row r="2375" spans="1:32">
      <c r="A2375" s="15">
        <v>2373</v>
      </c>
      <c r="B2375" s="16">
        <v>0</v>
      </c>
      <c r="C2375" s="20">
        <v>0.7</v>
      </c>
      <c r="D2375" s="20">
        <v>0.41785624632083535</v>
      </c>
      <c r="E2375" s="20">
        <v>0.11</v>
      </c>
      <c r="F2375" s="8" t="s">
        <v>438</v>
      </c>
      <c r="G2375" s="24">
        <v>0.93389116227991087</v>
      </c>
      <c r="H2375" s="24">
        <v>0.9392981537271643</v>
      </c>
      <c r="I2375" s="25">
        <v>0.95572519644502496</v>
      </c>
      <c r="X2375" s="15">
        <v>2374</v>
      </c>
      <c r="Y2375" s="39">
        <v>0.46810838517402442</v>
      </c>
      <c r="Z2375" s="39">
        <v>0.47051984659731438</v>
      </c>
      <c r="AA2375" s="39">
        <v>0.48801900035605067</v>
      </c>
      <c r="AB2375" s="39">
        <v>0.47955976588078697</v>
      </c>
      <c r="AC2375" s="39">
        <v>0.46149971076640101</v>
      </c>
      <c r="AD2375" s="39">
        <v>0.46353972783077502</v>
      </c>
      <c r="AE2375" s="39">
        <v>0.47967941307566725</v>
      </c>
      <c r="AF2375" s="40">
        <v>0.47629313816683089</v>
      </c>
    </row>
    <row r="2376" spans="1:32">
      <c r="A2376" s="15">
        <v>2374</v>
      </c>
      <c r="B2376" s="16">
        <v>0</v>
      </c>
      <c r="C2376" s="20">
        <v>0.93</v>
      </c>
      <c r="D2376" s="20">
        <v>0.18747949848141848</v>
      </c>
      <c r="E2376" s="20">
        <v>7.0000000000000007E-2</v>
      </c>
      <c r="F2376" s="8" t="s">
        <v>434</v>
      </c>
      <c r="G2376" s="24">
        <v>0.48678657900578531</v>
      </c>
      <c r="H2376" s="24">
        <v>0.48960494904249968</v>
      </c>
      <c r="I2376" s="25">
        <v>0.49816747136928502</v>
      </c>
      <c r="X2376" s="15">
        <v>2375</v>
      </c>
      <c r="Y2376" s="39">
        <v>0.48325725982490181</v>
      </c>
      <c r="Z2376" s="39">
        <v>0.49194511939708646</v>
      </c>
      <c r="AA2376" s="39">
        <v>0.48347498144378859</v>
      </c>
      <c r="AB2376" s="39">
        <v>0.50308782800596985</v>
      </c>
      <c r="AC2376" s="39">
        <v>0.47958571070547407</v>
      </c>
      <c r="AD2376" s="39">
        <v>0.48440789615936891</v>
      </c>
      <c r="AE2376" s="39">
        <v>0.47575271652652013</v>
      </c>
      <c r="AF2376" s="40">
        <v>0.49654924488386981</v>
      </c>
    </row>
    <row r="2377" spans="1:32">
      <c r="A2377" s="15">
        <v>2375</v>
      </c>
      <c r="B2377" s="16">
        <v>0</v>
      </c>
      <c r="C2377" s="20">
        <v>0.02</v>
      </c>
      <c r="D2377" s="20">
        <v>0.99835916395484214</v>
      </c>
      <c r="E2377" s="20">
        <v>1</v>
      </c>
      <c r="F2377" s="8" t="s">
        <v>436</v>
      </c>
      <c r="G2377" s="24">
        <v>1.0582534987954928</v>
      </c>
      <c r="H2377" s="24">
        <v>1.0643805164268023</v>
      </c>
      <c r="I2377" s="25">
        <v>1.082995078950983</v>
      </c>
      <c r="X2377" s="15">
        <v>2376</v>
      </c>
      <c r="Y2377" s="39">
        <v>0.49237747314155839</v>
      </c>
      <c r="Z2377" s="39">
        <v>0.47861134541019595</v>
      </c>
      <c r="AA2377" s="39">
        <v>0.49206576950456593</v>
      </c>
      <c r="AB2377" s="39">
        <v>0.48379296133874578</v>
      </c>
      <c r="AC2377" s="39">
        <v>0.48455426348707542</v>
      </c>
      <c r="AD2377" s="39">
        <v>0.47106756358903462</v>
      </c>
      <c r="AE2377" s="39">
        <v>0.48516968681117278</v>
      </c>
      <c r="AF2377" s="40">
        <v>0.47808013214514283</v>
      </c>
    </row>
    <row r="2378" spans="1:32">
      <c r="A2378" s="15">
        <v>2376</v>
      </c>
      <c r="B2378" s="16">
        <v>1</v>
      </c>
      <c r="C2378" s="20">
        <v>0.95</v>
      </c>
      <c r="D2378" s="20">
        <v>0.15570568692893463</v>
      </c>
      <c r="E2378" s="20">
        <v>0.05</v>
      </c>
      <c r="F2378" s="8" t="s">
        <v>434</v>
      </c>
      <c r="G2378" s="24">
        <v>1.102339043904641</v>
      </c>
      <c r="H2378" s="24">
        <v>1.1087213055889844</v>
      </c>
      <c r="I2378" s="25">
        <v>1.1281113279975696</v>
      </c>
      <c r="X2378" s="15">
        <v>2377</v>
      </c>
      <c r="Y2378" s="39">
        <v>0.49865580624251815</v>
      </c>
      <c r="Z2378" s="39">
        <v>0.47393843258787466</v>
      </c>
      <c r="AA2378" s="39">
        <v>0.47836104857344303</v>
      </c>
      <c r="AB2378" s="39">
        <v>0.48757090873875958</v>
      </c>
      <c r="AC2378" s="39">
        <v>0.49160717446140767</v>
      </c>
      <c r="AD2378" s="39">
        <v>0.46690003757961346</v>
      </c>
      <c r="AE2378" s="39">
        <v>0.47091187148455438</v>
      </c>
      <c r="AF2378" s="40">
        <v>0.48310542007552848</v>
      </c>
    </row>
    <row r="2379" spans="1:32">
      <c r="A2379" s="15">
        <v>2377</v>
      </c>
      <c r="B2379" s="16">
        <v>1</v>
      </c>
      <c r="C2379" s="20">
        <v>0.09</v>
      </c>
      <c r="D2379" s="20">
        <v>0.92663910507520464</v>
      </c>
      <c r="E2379" s="20">
        <v>7.0000000000000007E-2</v>
      </c>
      <c r="F2379" s="8" t="s">
        <v>436</v>
      </c>
      <c r="G2379" s="24">
        <v>0.9132974929194444</v>
      </c>
      <c r="H2379" s="24">
        <v>0.91858525227778098</v>
      </c>
      <c r="I2379" s="25">
        <v>0.93465005461906925</v>
      </c>
      <c r="X2379" s="15">
        <v>2378</v>
      </c>
      <c r="Y2379" s="39">
        <v>0.49355142708330996</v>
      </c>
      <c r="Z2379" s="39">
        <v>0.48563697578937687</v>
      </c>
      <c r="AA2379" s="39">
        <v>0.47118723866707546</v>
      </c>
      <c r="AB2379" s="39">
        <v>0.48908273478788961</v>
      </c>
      <c r="AC2379" s="39">
        <v>0.48544778855359427</v>
      </c>
      <c r="AD2379" s="39">
        <v>0.47940813649641267</v>
      </c>
      <c r="AE2379" s="39">
        <v>0.46693616550426903</v>
      </c>
      <c r="AF2379" s="40">
        <v>0.48596816081039346</v>
      </c>
    </row>
    <row r="2380" spans="1:32">
      <c r="A2380" s="15">
        <v>2378</v>
      </c>
      <c r="B2380" s="16">
        <v>1</v>
      </c>
      <c r="C2380" s="20">
        <v>0.92</v>
      </c>
      <c r="D2380" s="20">
        <v>0.20258497911151899</v>
      </c>
      <c r="E2380" s="20">
        <v>0.08</v>
      </c>
      <c r="F2380" s="8" t="s">
        <v>434</v>
      </c>
      <c r="G2380" s="24">
        <v>0.5391085939439042</v>
      </c>
      <c r="H2380" s="24">
        <v>0.54222989509154462</v>
      </c>
      <c r="I2380" s="25">
        <v>0.5517127559001449</v>
      </c>
      <c r="X2380" s="15">
        <v>2379</v>
      </c>
      <c r="Y2380" s="39">
        <v>0.48117543185492812</v>
      </c>
      <c r="Z2380" s="39">
        <v>0.47177318006609242</v>
      </c>
      <c r="AA2380" s="39">
        <v>0.48392440758666666</v>
      </c>
      <c r="AB2380" s="39">
        <v>0.48899409687453516</v>
      </c>
      <c r="AC2380" s="39">
        <v>0.47453246082398992</v>
      </c>
      <c r="AD2380" s="39">
        <v>0.46466919237469367</v>
      </c>
      <c r="AE2380" s="39">
        <v>0.47515312057672821</v>
      </c>
      <c r="AF2380" s="40">
        <v>0.48376877521795675</v>
      </c>
    </row>
    <row r="2381" spans="1:32">
      <c r="A2381" s="15">
        <v>2379</v>
      </c>
      <c r="B2381" s="16">
        <v>0</v>
      </c>
      <c r="C2381" s="20">
        <v>0.91</v>
      </c>
      <c r="D2381" s="20">
        <v>0.21727233298780477</v>
      </c>
      <c r="E2381" s="20">
        <v>0.09</v>
      </c>
      <c r="F2381" s="8" t="s">
        <v>434</v>
      </c>
      <c r="G2381" s="24">
        <v>0.59417882347475337</v>
      </c>
      <c r="H2381" s="24">
        <v>0.5976189671943104</v>
      </c>
      <c r="I2381" s="25">
        <v>0.60807050727681788</v>
      </c>
      <c r="X2381" s="15">
        <v>2380</v>
      </c>
      <c r="Y2381" s="39">
        <v>0.48068253116768028</v>
      </c>
      <c r="Z2381" s="39">
        <v>0.48455140521948314</v>
      </c>
      <c r="AA2381" s="39">
        <v>0.48247761343262968</v>
      </c>
      <c r="AB2381" s="39">
        <v>0.49309035199426188</v>
      </c>
      <c r="AC2381" s="39">
        <v>0.47763995164959372</v>
      </c>
      <c r="AD2381" s="39">
        <v>0.481506275520796</v>
      </c>
      <c r="AE2381" s="39">
        <v>0.47505740769474503</v>
      </c>
      <c r="AF2381" s="40">
        <v>0.48943242578183543</v>
      </c>
    </row>
    <row r="2382" spans="1:32">
      <c r="A2382" s="15">
        <v>2380</v>
      </c>
      <c r="B2382" s="16">
        <v>1</v>
      </c>
      <c r="C2382" s="20">
        <v>0.89</v>
      </c>
      <c r="D2382" s="20">
        <v>0.24559627500636821</v>
      </c>
      <c r="E2382" s="20">
        <v>0.11</v>
      </c>
      <c r="F2382" s="8" t="s">
        <v>434</v>
      </c>
      <c r="G2382" s="24">
        <v>1.2276625209408285</v>
      </c>
      <c r="H2382" s="24">
        <v>1.2347703735675044</v>
      </c>
      <c r="I2382" s="25">
        <v>1.2563648221383401</v>
      </c>
      <c r="X2382" s="15">
        <v>2381</v>
      </c>
      <c r="Y2382" s="39">
        <v>0.48476139474508023</v>
      </c>
      <c r="Z2382" s="39">
        <v>0.49520271728022314</v>
      </c>
      <c r="AA2382" s="39">
        <v>0.48674190383189481</v>
      </c>
      <c r="AB2382" s="39">
        <v>0.48205374305170773</v>
      </c>
      <c r="AC2382" s="39">
        <v>0.48102783276258154</v>
      </c>
      <c r="AD2382" s="39">
        <v>0.48755438164779291</v>
      </c>
      <c r="AE2382" s="39">
        <v>0.48076507451783018</v>
      </c>
      <c r="AF2382" s="40">
        <v>0.47743941697315995</v>
      </c>
    </row>
    <row r="2383" spans="1:32">
      <c r="A2383" s="15">
        <v>2381</v>
      </c>
      <c r="B2383" s="16">
        <v>1</v>
      </c>
      <c r="C2383" s="20">
        <v>0.1</v>
      </c>
      <c r="D2383" s="20">
        <v>0.92586134866764036</v>
      </c>
      <c r="E2383" s="20">
        <v>0.46</v>
      </c>
      <c r="F2383" s="8" t="s">
        <v>436</v>
      </c>
      <c r="G2383" s="24">
        <v>0.89693158204777079</v>
      </c>
      <c r="H2383" s="24">
        <v>0.90212458695967535</v>
      </c>
      <c r="I2383" s="25">
        <v>0.91790151473070924</v>
      </c>
      <c r="X2383" s="15">
        <v>2382</v>
      </c>
      <c r="Y2383" s="39">
        <v>0.48363503318710521</v>
      </c>
      <c r="Z2383" s="39">
        <v>0.48244171934917029</v>
      </c>
      <c r="AA2383" s="39">
        <v>0.48690741446797609</v>
      </c>
      <c r="AB2383" s="39">
        <v>0.49814539119131046</v>
      </c>
      <c r="AC2383" s="39">
        <v>0.47865396469062083</v>
      </c>
      <c r="AD2383" s="39">
        <v>0.47614103195402674</v>
      </c>
      <c r="AE2383" s="39">
        <v>0.48076109777363979</v>
      </c>
      <c r="AF2383" s="40">
        <v>0.49502568632029154</v>
      </c>
    </row>
    <row r="2384" spans="1:32">
      <c r="A2384" s="15">
        <v>2382</v>
      </c>
      <c r="B2384" s="16">
        <v>0</v>
      </c>
      <c r="C2384" s="20">
        <v>7.0000000000000007E-2</v>
      </c>
      <c r="D2384" s="20">
        <v>0.94394099569328016</v>
      </c>
      <c r="E2384" s="20">
        <v>0.44</v>
      </c>
      <c r="F2384" s="8" t="s">
        <v>436</v>
      </c>
      <c r="G2384" s="24">
        <v>0.97770170360830944</v>
      </c>
      <c r="H2384" s="24">
        <v>0.98336234690690272</v>
      </c>
      <c r="I2384" s="25">
        <v>1.0005600122229441</v>
      </c>
      <c r="X2384" s="15">
        <v>2383</v>
      </c>
      <c r="Y2384" s="39">
        <v>0.4921356600124896</v>
      </c>
      <c r="Z2384" s="39">
        <v>0.49333180651308217</v>
      </c>
      <c r="AA2384" s="39">
        <v>0.48270545730833397</v>
      </c>
      <c r="AB2384" s="39">
        <v>0.49248014270382656</v>
      </c>
      <c r="AC2384" s="39">
        <v>0.48500116685053435</v>
      </c>
      <c r="AD2384" s="39">
        <v>0.48460645995460305</v>
      </c>
      <c r="AE2384" s="39">
        <v>0.474882823556811</v>
      </c>
      <c r="AF2384" s="40">
        <v>0.48590288760274442</v>
      </c>
    </row>
    <row r="2385" spans="1:32">
      <c r="A2385" s="15">
        <v>2383</v>
      </c>
      <c r="B2385" s="16">
        <v>0</v>
      </c>
      <c r="C2385" s="20">
        <v>0.92</v>
      </c>
      <c r="D2385" s="20">
        <v>0.20258497911151899</v>
      </c>
      <c r="E2385" s="20">
        <v>0.08</v>
      </c>
      <c r="F2385" s="8" t="s">
        <v>434</v>
      </c>
      <c r="G2385" s="24">
        <v>0.39221020126340234</v>
      </c>
      <c r="H2385" s="24">
        <v>0.39448099821427995</v>
      </c>
      <c r="I2385" s="25">
        <v>0.40137993246996523</v>
      </c>
      <c r="X2385" s="15">
        <v>2384</v>
      </c>
      <c r="Y2385" s="39">
        <v>0.46623378788966557</v>
      </c>
      <c r="Z2385" s="39">
        <v>0.48199405533667733</v>
      </c>
      <c r="AA2385" s="39">
        <v>0.51056175531914971</v>
      </c>
      <c r="AB2385" s="39">
        <v>0.47902462838406429</v>
      </c>
      <c r="AC2385" s="39">
        <v>0.46096289004115792</v>
      </c>
      <c r="AD2385" s="39">
        <v>0.47313971234685287</v>
      </c>
      <c r="AE2385" s="39">
        <v>0.50210818715868499</v>
      </c>
      <c r="AF2385" s="40">
        <v>0.47499720328047657</v>
      </c>
    </row>
    <row r="2386" spans="1:32">
      <c r="A2386" s="15">
        <v>2384</v>
      </c>
      <c r="B2386" s="16">
        <v>1</v>
      </c>
      <c r="C2386" s="20">
        <v>0.31</v>
      </c>
      <c r="D2386" s="20">
        <v>0.66108691235391237</v>
      </c>
      <c r="E2386" s="20">
        <v>0.13</v>
      </c>
      <c r="F2386" s="8" t="s">
        <v>436</v>
      </c>
      <c r="G2386" s="24">
        <v>1.2731572879333406</v>
      </c>
      <c r="H2386" s="24">
        <v>1.2805285436480409</v>
      </c>
      <c r="I2386" s="25">
        <v>1.3029232401610464</v>
      </c>
      <c r="X2386" s="15">
        <v>2385</v>
      </c>
      <c r="Y2386" s="39">
        <v>0.47616665733378266</v>
      </c>
      <c r="Z2386" s="39">
        <v>0.49782221482048511</v>
      </c>
      <c r="AA2386" s="39">
        <v>0.48898531963596309</v>
      </c>
      <c r="AB2386" s="39">
        <v>0.48005411539086662</v>
      </c>
      <c r="AC2386" s="39">
        <v>0.46884767744810585</v>
      </c>
      <c r="AD2386" s="39">
        <v>0.49124541015846329</v>
      </c>
      <c r="AE2386" s="39">
        <v>0.4824776236009945</v>
      </c>
      <c r="AF2386" s="40">
        <v>0.47732549254324891</v>
      </c>
    </row>
    <row r="2387" spans="1:32">
      <c r="A2387" s="15">
        <v>2385</v>
      </c>
      <c r="B2387" s="16">
        <v>0</v>
      </c>
      <c r="C2387" s="20">
        <v>0.02</v>
      </c>
      <c r="D2387" s="20">
        <v>0.99756714174924133</v>
      </c>
      <c r="E2387" s="20">
        <v>1</v>
      </c>
      <c r="F2387" s="8" t="s">
        <v>436</v>
      </c>
      <c r="G2387" s="24">
        <v>1.1133856068185717</v>
      </c>
      <c r="H2387" s="24">
        <v>1.119831825282473</v>
      </c>
      <c r="I2387" s="25">
        <v>1.1394161555164259</v>
      </c>
      <c r="X2387" s="15">
        <v>2386</v>
      </c>
      <c r="Y2387" s="39">
        <v>0.48386106513180138</v>
      </c>
      <c r="Z2387" s="39">
        <v>0.4808438194372866</v>
      </c>
      <c r="AA2387" s="39">
        <v>0.48490541302212647</v>
      </c>
      <c r="AB2387" s="39">
        <v>0.49493177178962822</v>
      </c>
      <c r="AC2387" s="39">
        <v>0.47440356027067282</v>
      </c>
      <c r="AD2387" s="39">
        <v>0.47451128383255498</v>
      </c>
      <c r="AE2387" s="39">
        <v>0.47823661503366344</v>
      </c>
      <c r="AF2387" s="40">
        <v>0.48738792203115472</v>
      </c>
    </row>
    <row r="2388" spans="1:32">
      <c r="A2388" s="15">
        <v>2386</v>
      </c>
      <c r="B2388" s="16">
        <v>0</v>
      </c>
      <c r="C2388" s="20">
        <v>0.4</v>
      </c>
      <c r="D2388" s="20">
        <v>0.58244454789607492</v>
      </c>
      <c r="E2388" s="20">
        <v>7.0000000000000007E-2</v>
      </c>
      <c r="F2388" s="8" t="s">
        <v>436</v>
      </c>
      <c r="G2388" s="24">
        <v>2.1473903944581156</v>
      </c>
      <c r="H2388" s="24">
        <v>2.1598232367053893</v>
      </c>
      <c r="I2388" s="25">
        <v>1.6578926537592125</v>
      </c>
      <c r="X2388" s="15">
        <v>2387</v>
      </c>
      <c r="Y2388" s="39">
        <v>0.47356863547167893</v>
      </c>
      <c r="Z2388" s="39">
        <v>0.4661367003352434</v>
      </c>
      <c r="AA2388" s="39">
        <v>0.48730599154766008</v>
      </c>
      <c r="AB2388" s="39">
        <v>0.49583270119275247</v>
      </c>
      <c r="AC2388" s="39">
        <v>0.46860383307401071</v>
      </c>
      <c r="AD2388" s="39">
        <v>0.45838019093841403</v>
      </c>
      <c r="AE2388" s="39">
        <v>0.48133568460670662</v>
      </c>
      <c r="AF2388" s="40">
        <v>0.49219984255984789</v>
      </c>
    </row>
    <row r="2389" spans="1:32">
      <c r="A2389" s="15">
        <v>2387</v>
      </c>
      <c r="B2389" s="16">
        <v>1</v>
      </c>
      <c r="C2389" s="20">
        <v>0.45</v>
      </c>
      <c r="D2389" s="20">
        <v>0.56793249398962886</v>
      </c>
      <c r="E2389" s="20">
        <v>0.25</v>
      </c>
      <c r="F2389" s="8" t="s">
        <v>436</v>
      </c>
      <c r="G2389" s="24">
        <v>1.4768123564727202</v>
      </c>
      <c r="H2389" s="24">
        <v>1.4853627230498621</v>
      </c>
      <c r="I2389" s="25">
        <v>1.5113396897949125</v>
      </c>
      <c r="X2389" s="15">
        <v>2388</v>
      </c>
      <c r="Y2389" s="39">
        <v>0.47668529203123927</v>
      </c>
      <c r="Z2389" s="39">
        <v>0.48744754734767076</v>
      </c>
      <c r="AA2389" s="39">
        <v>0.48667589034539366</v>
      </c>
      <c r="AB2389" s="39">
        <v>0.48037155542897964</v>
      </c>
      <c r="AC2389" s="39">
        <v>0.46934859540959795</v>
      </c>
      <c r="AD2389" s="39">
        <v>0.48137458825143048</v>
      </c>
      <c r="AE2389" s="39">
        <v>0.47694006951437767</v>
      </c>
      <c r="AF2389" s="40">
        <v>0.47447343995741975</v>
      </c>
    </row>
    <row r="2390" spans="1:32">
      <c r="A2390" s="15">
        <v>2388</v>
      </c>
      <c r="B2390" s="16">
        <v>0</v>
      </c>
      <c r="C2390" s="20">
        <v>0.55000000000000004</v>
      </c>
      <c r="D2390" s="20">
        <v>0.46256588287337763</v>
      </c>
      <c r="E2390" s="20">
        <v>0.08</v>
      </c>
      <c r="F2390" s="8" t="s">
        <v>438</v>
      </c>
      <c r="G2390" s="24">
        <v>0.72261339640686606</v>
      </c>
      <c r="H2390" s="24">
        <v>0.7267971435198638</v>
      </c>
      <c r="I2390" s="25">
        <v>0.73950783359888195</v>
      </c>
      <c r="X2390" s="15">
        <v>2389</v>
      </c>
      <c r="Y2390" s="39">
        <v>0.49002000635013238</v>
      </c>
      <c r="Z2390" s="39">
        <v>0.49670163700326542</v>
      </c>
      <c r="AA2390" s="39">
        <v>0.49139900501773887</v>
      </c>
      <c r="AB2390" s="39">
        <v>0.49276415176252936</v>
      </c>
      <c r="AC2390" s="39">
        <v>0.48119319512016728</v>
      </c>
      <c r="AD2390" s="39">
        <v>0.48714483009869458</v>
      </c>
      <c r="AE2390" s="39">
        <v>0.4858581752521155</v>
      </c>
      <c r="AF2390" s="40">
        <v>0.48930465542198026</v>
      </c>
    </row>
    <row r="2391" spans="1:32">
      <c r="A2391" s="15">
        <v>2389</v>
      </c>
      <c r="B2391" s="16">
        <v>1</v>
      </c>
      <c r="C2391" s="20">
        <v>0.48</v>
      </c>
      <c r="D2391" s="20">
        <v>0.4698850284057956</v>
      </c>
      <c r="E2391" s="20">
        <v>0.08</v>
      </c>
      <c r="F2391" s="8" t="s">
        <v>436</v>
      </c>
      <c r="G2391" s="24">
        <v>0.55997483089425548</v>
      </c>
      <c r="H2391" s="24">
        <v>0.56321694222758334</v>
      </c>
      <c r="I2391" s="25">
        <v>0.5730668378466508</v>
      </c>
      <c r="X2391" s="15">
        <v>2390</v>
      </c>
      <c r="Y2391" s="39">
        <v>0.4763966415998791</v>
      </c>
      <c r="Z2391" s="39">
        <v>0.48038881754461094</v>
      </c>
      <c r="AA2391" s="39">
        <v>0.48576200383418994</v>
      </c>
      <c r="AB2391" s="39">
        <v>0.50561524531941238</v>
      </c>
      <c r="AC2391" s="39">
        <v>0.47060371082519092</v>
      </c>
      <c r="AD2391" s="39">
        <v>0.47389957229259955</v>
      </c>
      <c r="AE2391" s="39">
        <v>0.48000907798727016</v>
      </c>
      <c r="AF2391" s="40">
        <v>0.50011726338183171</v>
      </c>
    </row>
    <row r="2392" spans="1:32">
      <c r="A2392" s="15">
        <v>2390</v>
      </c>
      <c r="B2392" s="16">
        <v>0</v>
      </c>
      <c r="C2392" s="20">
        <v>0.28999999999999998</v>
      </c>
      <c r="D2392" s="20">
        <v>0.67585936447992112</v>
      </c>
      <c r="E2392" s="20">
        <v>0.17</v>
      </c>
      <c r="F2392" s="8" t="s">
        <v>436</v>
      </c>
      <c r="G2392" s="24">
        <v>0.65695249071055917</v>
      </c>
      <c r="H2392" s="24">
        <v>0.66075607793998747</v>
      </c>
      <c r="I2392" s="25">
        <v>0.67231179991744072</v>
      </c>
      <c r="X2392" s="15">
        <v>2391</v>
      </c>
      <c r="Y2392" s="39">
        <v>0.49471023177503698</v>
      </c>
      <c r="Z2392" s="39">
        <v>0.4804368626970163</v>
      </c>
      <c r="AA2392" s="39">
        <v>0.49202262346130676</v>
      </c>
      <c r="AB2392" s="39">
        <v>0.48906826899697747</v>
      </c>
      <c r="AC2392" s="39">
        <v>0.48732614755398695</v>
      </c>
      <c r="AD2392" s="39">
        <v>0.4707486844178484</v>
      </c>
      <c r="AE2392" s="39">
        <v>0.48656593505813783</v>
      </c>
      <c r="AF2392" s="40">
        <v>0.48555835062249464</v>
      </c>
    </row>
    <row r="2393" spans="1:32">
      <c r="A2393" s="15">
        <v>2391</v>
      </c>
      <c r="B2393" s="16">
        <v>0</v>
      </c>
      <c r="C2393" s="20">
        <v>0.27</v>
      </c>
      <c r="D2393" s="20">
        <v>0.82120445312058932</v>
      </c>
      <c r="E2393" s="20">
        <v>0.21</v>
      </c>
      <c r="F2393" s="8" t="s">
        <v>436</v>
      </c>
      <c r="G2393" s="24">
        <v>1.0659849719345844</v>
      </c>
      <c r="H2393" s="24">
        <v>1.0721567528218561</v>
      </c>
      <c r="I2393" s="25">
        <v>1.0909073111072747</v>
      </c>
      <c r="X2393" s="15">
        <v>2392</v>
      </c>
      <c r="Y2393" s="39">
        <v>0.47118786997021683</v>
      </c>
      <c r="Z2393" s="39">
        <v>0.47445295915677327</v>
      </c>
      <c r="AA2393" s="39">
        <v>0.48064157086637221</v>
      </c>
      <c r="AB2393" s="39">
        <v>0.48416597961313762</v>
      </c>
      <c r="AC2393" s="39">
        <v>0.46435548938028309</v>
      </c>
      <c r="AD2393" s="39">
        <v>0.47097600619402402</v>
      </c>
      <c r="AE2393" s="39">
        <v>0.47593585770586722</v>
      </c>
      <c r="AF2393" s="40">
        <v>0.48120925897915101</v>
      </c>
    </row>
    <row r="2394" spans="1:32">
      <c r="A2394" s="15">
        <v>2392</v>
      </c>
      <c r="B2394" s="16">
        <v>1</v>
      </c>
      <c r="C2394" s="20">
        <v>0.92</v>
      </c>
      <c r="D2394" s="20">
        <v>0.20258497911151899</v>
      </c>
      <c r="E2394" s="20">
        <v>0.08</v>
      </c>
      <c r="F2394" s="8" t="s">
        <v>434</v>
      </c>
      <c r="G2394" s="24">
        <v>1.1114447763958502</v>
      </c>
      <c r="H2394" s="24">
        <v>1.1178797579470148</v>
      </c>
      <c r="I2394" s="25">
        <v>1.1374299491875282</v>
      </c>
      <c r="X2394" s="15">
        <v>2393</v>
      </c>
      <c r="Y2394" s="39">
        <v>0.46585135729894878</v>
      </c>
      <c r="Z2394" s="39">
        <v>0.48110545808494404</v>
      </c>
      <c r="AA2394" s="39">
        <v>0.47405783420998188</v>
      </c>
      <c r="AB2394" s="39">
        <v>0.47509283710297351</v>
      </c>
      <c r="AC2394" s="39">
        <v>0.45648012248401432</v>
      </c>
      <c r="AD2394" s="39">
        <v>0.47754898579628119</v>
      </c>
      <c r="AE2394" s="39">
        <v>0.46748066027805701</v>
      </c>
      <c r="AF2394" s="40">
        <v>0.47178128540591779</v>
      </c>
    </row>
    <row r="2395" spans="1:32">
      <c r="A2395" s="15">
        <v>2393</v>
      </c>
      <c r="B2395" s="16">
        <v>1</v>
      </c>
      <c r="C2395" s="20">
        <v>0.56000000000000005</v>
      </c>
      <c r="D2395" s="20">
        <v>0.56591456563024034</v>
      </c>
      <c r="E2395" s="20">
        <v>0.05</v>
      </c>
      <c r="F2395" s="8" t="s">
        <v>438</v>
      </c>
      <c r="G2395" s="24">
        <v>0.70315538256216181</v>
      </c>
      <c r="H2395" s="24">
        <v>0.70722647274179484</v>
      </c>
      <c r="I2395" s="25">
        <v>0.7195948984997208</v>
      </c>
      <c r="X2395" s="15">
        <v>2394</v>
      </c>
      <c r="Y2395" s="39">
        <v>0.48604444478690695</v>
      </c>
      <c r="Z2395" s="39">
        <v>0.49404423899578914</v>
      </c>
      <c r="AA2395" s="39">
        <v>0.47584274156772211</v>
      </c>
      <c r="AB2395" s="39">
        <v>0.49036666569741699</v>
      </c>
      <c r="AC2395" s="39">
        <v>0.48072027667916672</v>
      </c>
      <c r="AD2395" s="39">
        <v>0.48761324690962754</v>
      </c>
      <c r="AE2395" s="39">
        <v>0.46807309423583388</v>
      </c>
      <c r="AF2395" s="40">
        <v>0.48115087306416776</v>
      </c>
    </row>
    <row r="2396" spans="1:32">
      <c r="A2396" s="15">
        <v>2394</v>
      </c>
      <c r="B2396" s="16">
        <v>0</v>
      </c>
      <c r="C2396" s="20">
        <v>0.02</v>
      </c>
      <c r="D2396" s="20">
        <v>0.99756714174924133</v>
      </c>
      <c r="E2396" s="20">
        <v>1</v>
      </c>
      <c r="F2396" s="8" t="s">
        <v>436</v>
      </c>
      <c r="G2396" s="24">
        <v>1.0017933736328395</v>
      </c>
      <c r="H2396" s="24">
        <v>1.0075935015513051</v>
      </c>
      <c r="I2396" s="25">
        <v>1.0252149366904502</v>
      </c>
      <c r="X2396" s="15">
        <v>2395</v>
      </c>
      <c r="Y2396" s="39">
        <v>0.48620592557383946</v>
      </c>
      <c r="Z2396" s="39">
        <v>0.48885452791704903</v>
      </c>
      <c r="AA2396" s="39">
        <v>0.47810078383422266</v>
      </c>
      <c r="AB2396" s="39">
        <v>0.50267523606818876</v>
      </c>
      <c r="AC2396" s="39">
        <v>0.48133893589821042</v>
      </c>
      <c r="AD2396" s="39">
        <v>0.48286680189933329</v>
      </c>
      <c r="AE2396" s="39">
        <v>0.4713386759097411</v>
      </c>
      <c r="AF2396" s="40">
        <v>0.49530462697616556</v>
      </c>
    </row>
    <row r="2397" spans="1:32">
      <c r="A2397" s="15">
        <v>2395</v>
      </c>
      <c r="B2397" s="16">
        <v>1</v>
      </c>
      <c r="C2397" s="20">
        <v>0.05</v>
      </c>
      <c r="D2397" s="20">
        <v>0.95878460081801697</v>
      </c>
      <c r="E2397" s="20">
        <v>0.5</v>
      </c>
      <c r="F2397" s="8" t="s">
        <v>436</v>
      </c>
      <c r="G2397" s="24">
        <v>1.1166681268868976</v>
      </c>
      <c r="H2397" s="24">
        <v>1.1231333503041081</v>
      </c>
      <c r="I2397" s="25">
        <v>1.1427754197046391</v>
      </c>
      <c r="X2397" s="15">
        <v>2396</v>
      </c>
      <c r="Y2397" s="39">
        <v>0.50959531099479427</v>
      </c>
      <c r="Z2397" s="39">
        <v>0.48739998767416015</v>
      </c>
      <c r="AA2397" s="39">
        <v>0.48926900700233977</v>
      </c>
      <c r="AB2397" s="39">
        <v>0.49348156967636669</v>
      </c>
      <c r="AC2397" s="39">
        <v>0.49938151776027934</v>
      </c>
      <c r="AD2397" s="39">
        <v>0.4797927600094406</v>
      </c>
      <c r="AE2397" s="39">
        <v>0.48291086433992242</v>
      </c>
      <c r="AF2397" s="40">
        <v>0.48781588266169129</v>
      </c>
    </row>
    <row r="2398" spans="1:32">
      <c r="A2398" s="15">
        <v>2396</v>
      </c>
      <c r="B2398" s="16">
        <v>1</v>
      </c>
      <c r="C2398" s="20">
        <v>0.02</v>
      </c>
      <c r="D2398" s="20">
        <v>0.99756714174924133</v>
      </c>
      <c r="E2398" s="20">
        <v>1</v>
      </c>
      <c r="F2398" s="8" t="s">
        <v>436</v>
      </c>
      <c r="G2398" s="24">
        <v>1.0807923588455257</v>
      </c>
      <c r="H2398" s="24">
        <v>1.0870498707233209</v>
      </c>
      <c r="I2398" s="25">
        <v>1.106060889314127</v>
      </c>
      <c r="X2398" s="15">
        <v>2397</v>
      </c>
      <c r="Y2398" s="39">
        <v>0.48278382855451502</v>
      </c>
      <c r="Z2398" s="39">
        <v>0.48434726198418732</v>
      </c>
      <c r="AA2398" s="39">
        <v>0.48631324669286419</v>
      </c>
      <c r="AB2398" s="39">
        <v>0.49803334799981969</v>
      </c>
      <c r="AC2398" s="39">
        <v>0.47735383837841633</v>
      </c>
      <c r="AD2398" s="39">
        <v>0.47335069226189436</v>
      </c>
      <c r="AE2398" s="39">
        <v>0.4789383482561525</v>
      </c>
      <c r="AF2398" s="40">
        <v>0.49323500643148405</v>
      </c>
    </row>
    <row r="2399" spans="1:32">
      <c r="A2399" s="15">
        <v>2397</v>
      </c>
      <c r="B2399" s="16">
        <v>0</v>
      </c>
      <c r="C2399" s="20">
        <v>0.26</v>
      </c>
      <c r="D2399" s="20">
        <v>0.68455909896648959</v>
      </c>
      <c r="E2399" s="20">
        <v>0.09</v>
      </c>
      <c r="F2399" s="8" t="s">
        <v>436</v>
      </c>
      <c r="G2399" s="24">
        <v>1.1101697481138917</v>
      </c>
      <c r="H2399" s="24">
        <v>1.1165973475767637</v>
      </c>
      <c r="I2399" s="25">
        <v>1.1361251112101853</v>
      </c>
      <c r="X2399" s="15">
        <v>2398</v>
      </c>
      <c r="Y2399" s="39">
        <v>0.49325692749373623</v>
      </c>
      <c r="Z2399" s="39">
        <v>0.48652206347995308</v>
      </c>
      <c r="AA2399" s="39">
        <v>0.48511090199765738</v>
      </c>
      <c r="AB2399" s="39">
        <v>0.49348531648064942</v>
      </c>
      <c r="AC2399" s="39">
        <v>0.4852562797007669</v>
      </c>
      <c r="AD2399" s="39">
        <v>0.47836755429850458</v>
      </c>
      <c r="AE2399" s="39">
        <v>0.47639270140329837</v>
      </c>
      <c r="AF2399" s="40">
        <v>0.48666062149981765</v>
      </c>
    </row>
    <row r="2400" spans="1:32">
      <c r="A2400" s="15">
        <v>2398</v>
      </c>
      <c r="B2400" s="16">
        <v>0</v>
      </c>
      <c r="C2400" s="20">
        <v>0.02</v>
      </c>
      <c r="D2400" s="20">
        <v>0.99835916395484214</v>
      </c>
      <c r="E2400" s="20">
        <v>1</v>
      </c>
      <c r="F2400" s="8" t="s">
        <v>436</v>
      </c>
      <c r="G2400" s="24">
        <v>1.0643625436385484</v>
      </c>
      <c r="H2400" s="24">
        <v>1.0705249310801224</v>
      </c>
      <c r="I2400" s="25">
        <v>1.0892469510304521</v>
      </c>
      <c r="X2400" s="15">
        <v>2399</v>
      </c>
      <c r="Y2400" s="39">
        <v>0.48888337663854148</v>
      </c>
      <c r="Z2400" s="39">
        <v>0.48392270111407787</v>
      </c>
      <c r="AA2400" s="39">
        <v>0.4820284895848238</v>
      </c>
      <c r="AB2400" s="39">
        <v>0.48853563748341211</v>
      </c>
      <c r="AC2400" s="39">
        <v>0.48469541622010914</v>
      </c>
      <c r="AD2400" s="39">
        <v>0.4755783285977041</v>
      </c>
      <c r="AE2400" s="39">
        <v>0.47090813576306217</v>
      </c>
      <c r="AF2400" s="40">
        <v>0.48162138028870677</v>
      </c>
    </row>
    <row r="2401" spans="1:32">
      <c r="A2401" s="15">
        <v>2399</v>
      </c>
      <c r="B2401" s="16">
        <v>1</v>
      </c>
      <c r="C2401" s="20">
        <v>0.02</v>
      </c>
      <c r="D2401" s="20">
        <v>0.99917029198757767</v>
      </c>
      <c r="E2401" s="20">
        <v>1</v>
      </c>
      <c r="F2401" s="8" t="s">
        <v>436</v>
      </c>
      <c r="G2401" s="24">
        <v>1.0408688198386922</v>
      </c>
      <c r="H2401" s="24">
        <v>1.0468951846164045</v>
      </c>
      <c r="I2401" s="25">
        <v>1.0652039525518855</v>
      </c>
      <c r="X2401" s="15">
        <v>2400</v>
      </c>
      <c r="Y2401" s="39">
        <v>0.47460944412260958</v>
      </c>
      <c r="Z2401" s="39">
        <v>0.49870573548518338</v>
      </c>
      <c r="AA2401" s="39">
        <v>0.48141040332920737</v>
      </c>
      <c r="AB2401" s="39">
        <v>0.48890526296758025</v>
      </c>
      <c r="AC2401" s="39">
        <v>0.4700683850762935</v>
      </c>
      <c r="AD2401" s="39">
        <v>0.49008267067849448</v>
      </c>
      <c r="AE2401" s="39">
        <v>0.47538447301508857</v>
      </c>
      <c r="AF2401" s="40">
        <v>0.48527766398607236</v>
      </c>
    </row>
    <row r="2402" spans="1:32">
      <c r="A2402" s="15">
        <v>2400</v>
      </c>
      <c r="B2402" s="16">
        <v>0</v>
      </c>
      <c r="C2402" s="20">
        <v>0.91</v>
      </c>
      <c r="D2402" s="20">
        <v>0.21727233298780477</v>
      </c>
      <c r="E2402" s="20">
        <v>0.09</v>
      </c>
      <c r="F2402" s="8" t="s">
        <v>434</v>
      </c>
      <c r="G2402" s="24">
        <v>0.69924803071736796</v>
      </c>
      <c r="H2402" s="24">
        <v>0.70329649832719898</v>
      </c>
      <c r="I2402" s="25">
        <v>0.71559619419639631</v>
      </c>
      <c r="X2402" s="15">
        <v>2401</v>
      </c>
      <c r="Y2402" s="39">
        <v>0.49549158064805454</v>
      </c>
      <c r="Z2402" s="39">
        <v>0.48327894482704536</v>
      </c>
      <c r="AA2402" s="39">
        <v>0.48073373050346258</v>
      </c>
      <c r="AB2402" s="39">
        <v>0.49335575334186349</v>
      </c>
      <c r="AC2402" s="39">
        <v>0.48430660181116614</v>
      </c>
      <c r="AD2402" s="39">
        <v>0.47585989919779592</v>
      </c>
      <c r="AE2402" s="39">
        <v>0.47431678810305328</v>
      </c>
      <c r="AF2402" s="40">
        <v>0.48909118452896183</v>
      </c>
    </row>
    <row r="2403" spans="1:32">
      <c r="A2403" s="15">
        <v>2401</v>
      </c>
      <c r="B2403" s="16">
        <v>0</v>
      </c>
      <c r="C2403" s="20">
        <v>0.02</v>
      </c>
      <c r="D2403" s="20">
        <v>0.99756714174924133</v>
      </c>
      <c r="E2403" s="20">
        <v>1</v>
      </c>
      <c r="F2403" s="8" t="s">
        <v>436</v>
      </c>
      <c r="G2403" s="24">
        <v>1.1362428750039104</v>
      </c>
      <c r="H2403" s="24">
        <v>1.1428214312161249</v>
      </c>
      <c r="I2403" s="25">
        <v>1.1628078182807449</v>
      </c>
      <c r="X2403" s="15">
        <v>2402</v>
      </c>
      <c r="Y2403" s="39">
        <v>0.48838282596132954</v>
      </c>
      <c r="Z2403" s="39">
        <v>0.49524698313006005</v>
      </c>
      <c r="AA2403" s="39">
        <v>0.49461499573635437</v>
      </c>
      <c r="AB2403" s="39">
        <v>0.47456815772948407</v>
      </c>
      <c r="AC2403" s="39">
        <v>0.4842570415871203</v>
      </c>
      <c r="AD2403" s="39">
        <v>0.48784618116924278</v>
      </c>
      <c r="AE2403" s="39">
        <v>0.48738701230224335</v>
      </c>
      <c r="AF2403" s="40">
        <v>0.46898888980161502</v>
      </c>
    </row>
    <row r="2404" spans="1:32">
      <c r="A2404" s="15">
        <v>2402</v>
      </c>
      <c r="B2404" s="16">
        <v>1</v>
      </c>
      <c r="C2404" s="20">
        <v>0.25</v>
      </c>
      <c r="D2404" s="20">
        <v>0.86081280869450916</v>
      </c>
      <c r="E2404" s="20">
        <v>0.03</v>
      </c>
      <c r="F2404" s="8" t="s">
        <v>436</v>
      </c>
      <c r="G2404" s="24">
        <v>1.0414407876228375</v>
      </c>
      <c r="H2404" s="24">
        <v>1.0474704639480212</v>
      </c>
      <c r="I2404" s="25">
        <v>1.0657892927338486</v>
      </c>
      <c r="X2404" s="15">
        <v>2403</v>
      </c>
      <c r="Y2404" s="39">
        <v>0.47542893759823768</v>
      </c>
      <c r="Z2404" s="39">
        <v>0.49431453981771895</v>
      </c>
      <c r="AA2404" s="39">
        <v>0.48090223364476697</v>
      </c>
      <c r="AB2404" s="39">
        <v>0.48451392934263771</v>
      </c>
      <c r="AC2404" s="39">
        <v>0.46746844625281891</v>
      </c>
      <c r="AD2404" s="39">
        <v>0.48653776110737912</v>
      </c>
      <c r="AE2404" s="39">
        <v>0.47214378440389626</v>
      </c>
      <c r="AF2404" s="40">
        <v>0.47972237833367543</v>
      </c>
    </row>
    <row r="2405" spans="1:32">
      <c r="A2405" s="15">
        <v>2403</v>
      </c>
      <c r="B2405" s="16">
        <v>1</v>
      </c>
      <c r="C2405" s="20">
        <v>0.03</v>
      </c>
      <c r="D2405" s="20">
        <v>0.99344694056334126</v>
      </c>
      <c r="E2405" s="20">
        <v>1</v>
      </c>
      <c r="F2405" s="8" t="s">
        <v>436</v>
      </c>
      <c r="G2405" s="24">
        <v>0.94013181946826019</v>
      </c>
      <c r="H2405" s="24">
        <v>0.94557494272766207</v>
      </c>
      <c r="I2405" s="25">
        <v>0.96211175791833459</v>
      </c>
      <c r="X2405" s="15">
        <v>2404</v>
      </c>
      <c r="Y2405" s="39">
        <v>0.49026413125801671</v>
      </c>
      <c r="Z2405" s="39">
        <v>0.49157165744442877</v>
      </c>
      <c r="AA2405" s="39">
        <v>0.48676619135500726</v>
      </c>
      <c r="AB2405" s="39">
        <v>0.49344242598726246</v>
      </c>
      <c r="AC2405" s="39">
        <v>0.48428031961555679</v>
      </c>
      <c r="AD2405" s="39">
        <v>0.48462699331182885</v>
      </c>
      <c r="AE2405" s="39">
        <v>0.48146296757574414</v>
      </c>
      <c r="AF2405" s="40">
        <v>0.49271096235770206</v>
      </c>
    </row>
    <row r="2406" spans="1:32">
      <c r="A2406" s="15">
        <v>2404</v>
      </c>
      <c r="B2406" s="16">
        <v>0</v>
      </c>
      <c r="C2406" s="20">
        <v>0.59</v>
      </c>
      <c r="D2406" s="20">
        <v>0.45532920304720009</v>
      </c>
      <c r="E2406" s="20">
        <v>7.0000000000000007E-2</v>
      </c>
      <c r="F2406" s="8" t="s">
        <v>438</v>
      </c>
      <c r="G2406" s="24">
        <v>2.123095067495818</v>
      </c>
      <c r="H2406" s="24">
        <v>2.1353872460015344</v>
      </c>
      <c r="I2406" s="25">
        <v>1.6578926537592125</v>
      </c>
      <c r="X2406" s="15">
        <v>2405</v>
      </c>
      <c r="Y2406" s="39">
        <v>0.4917763054099864</v>
      </c>
      <c r="Z2406" s="39">
        <v>0.47347974728883302</v>
      </c>
      <c r="AA2406" s="39">
        <v>0.48576028240577729</v>
      </c>
      <c r="AB2406" s="39">
        <v>0.48371000654272944</v>
      </c>
      <c r="AC2406" s="39">
        <v>0.4850338557325331</v>
      </c>
      <c r="AD2406" s="39">
        <v>0.46510595497008284</v>
      </c>
      <c r="AE2406" s="39">
        <v>0.47833909879413256</v>
      </c>
      <c r="AF2406" s="40">
        <v>0.47890562471634568</v>
      </c>
    </row>
    <row r="2407" spans="1:32">
      <c r="A2407" s="15">
        <v>2405</v>
      </c>
      <c r="B2407" s="16">
        <v>0</v>
      </c>
      <c r="C2407" s="20">
        <v>0.31</v>
      </c>
      <c r="D2407" s="20">
        <v>0.80976848079418473</v>
      </c>
      <c r="E2407" s="20">
        <v>0.03</v>
      </c>
      <c r="F2407" s="8" t="s">
        <v>436</v>
      </c>
      <c r="G2407" s="24">
        <v>1.1075127879129403</v>
      </c>
      <c r="H2407" s="24">
        <v>1.1139250042544568</v>
      </c>
      <c r="I2407" s="25">
        <v>1.1334060322504897</v>
      </c>
      <c r="X2407" s="15">
        <v>2406</v>
      </c>
      <c r="Y2407" s="39">
        <v>0.48628179960512102</v>
      </c>
      <c r="Z2407" s="39">
        <v>0.50191307589380818</v>
      </c>
      <c r="AA2407" s="39">
        <v>0.48585710881596528</v>
      </c>
      <c r="AB2407" s="39">
        <v>0.49031653547948945</v>
      </c>
      <c r="AC2407" s="39">
        <v>0.48262387926715894</v>
      </c>
      <c r="AD2407" s="39">
        <v>0.49485408015136573</v>
      </c>
      <c r="AE2407" s="39">
        <v>0.47803042187621336</v>
      </c>
      <c r="AF2407" s="40">
        <v>0.48562997376557415</v>
      </c>
    </row>
    <row r="2408" spans="1:32">
      <c r="A2408" s="15">
        <v>2406</v>
      </c>
      <c r="B2408" s="16">
        <v>0</v>
      </c>
      <c r="C2408" s="20">
        <v>0.03</v>
      </c>
      <c r="D2408" s="20">
        <v>0.99415958227269285</v>
      </c>
      <c r="E2408" s="20">
        <v>1</v>
      </c>
      <c r="F2408" s="8" t="s">
        <v>436</v>
      </c>
      <c r="G2408" s="24">
        <v>0.92613325464315799</v>
      </c>
      <c r="H2408" s="24">
        <v>0.93149532978545557</v>
      </c>
      <c r="I2408" s="25">
        <v>0.94778591176217486</v>
      </c>
      <c r="X2408" s="15">
        <v>2407</v>
      </c>
      <c r="Y2408" s="39">
        <v>0.47603266417101275</v>
      </c>
      <c r="Z2408" s="39">
        <v>0.47947093000875984</v>
      </c>
      <c r="AA2408" s="39">
        <v>0.49426821591696857</v>
      </c>
      <c r="AB2408" s="39">
        <v>0.48923158307555359</v>
      </c>
      <c r="AC2408" s="39">
        <v>0.46865511558451356</v>
      </c>
      <c r="AD2408" s="39">
        <v>0.47119435079357141</v>
      </c>
      <c r="AE2408" s="39">
        <v>0.48652679959533551</v>
      </c>
      <c r="AF2408" s="40">
        <v>0.48555024442040218</v>
      </c>
    </row>
    <row r="2409" spans="1:32">
      <c r="A2409" s="15">
        <v>2407</v>
      </c>
      <c r="B2409" s="16">
        <v>0</v>
      </c>
      <c r="C2409" s="20">
        <v>0.26</v>
      </c>
      <c r="D2409" s="20">
        <v>0.80553092099523727</v>
      </c>
      <c r="E2409" s="20">
        <v>7.0000000000000007E-2</v>
      </c>
      <c r="F2409" s="8" t="s">
        <v>436</v>
      </c>
      <c r="G2409" s="24">
        <v>0.80160972166404498</v>
      </c>
      <c r="H2409" s="24">
        <v>0.80625083733590908</v>
      </c>
      <c r="I2409" s="25">
        <v>0.82035106407826353</v>
      </c>
      <c r="X2409" s="15">
        <v>2408</v>
      </c>
      <c r="Y2409" s="39">
        <v>0.47878820263083777</v>
      </c>
      <c r="Z2409" s="39">
        <v>0.47882102311674091</v>
      </c>
      <c r="AA2409" s="39">
        <v>0.48455560913062418</v>
      </c>
      <c r="AB2409" s="39">
        <v>0.48875672550097626</v>
      </c>
      <c r="AC2409" s="39">
        <v>0.47237440203856118</v>
      </c>
      <c r="AD2409" s="39">
        <v>0.47269979069026663</v>
      </c>
      <c r="AE2409" s="39">
        <v>0.47755433536561925</v>
      </c>
      <c r="AF2409" s="40">
        <v>0.48352528777410098</v>
      </c>
    </row>
    <row r="2410" spans="1:32">
      <c r="A2410" s="15">
        <v>2408</v>
      </c>
      <c r="B2410" s="16">
        <v>1</v>
      </c>
      <c r="C2410" s="20">
        <v>0.02</v>
      </c>
      <c r="D2410" s="20">
        <v>0.99756714174924133</v>
      </c>
      <c r="E2410" s="20">
        <v>1</v>
      </c>
      <c r="F2410" s="8" t="s">
        <v>436</v>
      </c>
      <c r="G2410" s="24">
        <v>1.0497399670446663</v>
      </c>
      <c r="H2410" s="24">
        <v>1.0558176935002781</v>
      </c>
      <c r="I2410" s="25">
        <v>1.074282503938349</v>
      </c>
      <c r="X2410" s="15">
        <v>2409</v>
      </c>
      <c r="Y2410" s="39">
        <v>0.47776239254212494</v>
      </c>
      <c r="Z2410" s="39">
        <v>0.49054316268041448</v>
      </c>
      <c r="AA2410" s="39">
        <v>0.48283917615395572</v>
      </c>
      <c r="AB2410" s="39">
        <v>0.49994407558659848</v>
      </c>
      <c r="AC2410" s="39">
        <v>0.46957015054789775</v>
      </c>
      <c r="AD2410" s="39">
        <v>0.48179096811001632</v>
      </c>
      <c r="AE2410" s="39">
        <v>0.4777725409404816</v>
      </c>
      <c r="AF2410" s="40">
        <v>0.49824352639123676</v>
      </c>
    </row>
    <row r="2411" spans="1:32">
      <c r="A2411" s="15">
        <v>2409</v>
      </c>
      <c r="B2411" s="16">
        <v>1</v>
      </c>
      <c r="C2411" s="20">
        <v>0.25</v>
      </c>
      <c r="D2411" s="20">
        <v>0.70754915592364331</v>
      </c>
      <c r="E2411" s="20">
        <v>0.11</v>
      </c>
      <c r="F2411" s="8" t="s">
        <v>436</v>
      </c>
      <c r="G2411" s="24">
        <v>0.91969867648521098</v>
      </c>
      <c r="H2411" s="24">
        <v>0.9250234970624458</v>
      </c>
      <c r="I2411" s="25">
        <v>0.9412008955178498</v>
      </c>
      <c r="X2411" s="15">
        <v>2410</v>
      </c>
      <c r="Y2411" s="39">
        <v>0.48840360833536584</v>
      </c>
      <c r="Z2411" s="39">
        <v>0.4819385581177158</v>
      </c>
      <c r="AA2411" s="39">
        <v>0.47619319963718992</v>
      </c>
      <c r="AB2411" s="39">
        <v>0.48751482875424418</v>
      </c>
      <c r="AC2411" s="39">
        <v>0.47856159250645725</v>
      </c>
      <c r="AD2411" s="39">
        <v>0.47480078221352984</v>
      </c>
      <c r="AE2411" s="39">
        <v>0.46723328731075786</v>
      </c>
      <c r="AF2411" s="40">
        <v>0.48454371115791517</v>
      </c>
    </row>
    <row r="2412" spans="1:32">
      <c r="A2412" s="15">
        <v>2410</v>
      </c>
      <c r="B2412" s="16">
        <v>1</v>
      </c>
      <c r="C2412" s="20">
        <v>0.32</v>
      </c>
      <c r="D2412" s="20">
        <v>0.67599048217204216</v>
      </c>
      <c r="E2412" s="20">
        <v>0.09</v>
      </c>
      <c r="F2412" s="8" t="s">
        <v>436</v>
      </c>
      <c r="G2412" s="24">
        <v>1.0146222605650641</v>
      </c>
      <c r="H2412" s="24">
        <v>1.0204966644642028</v>
      </c>
      <c r="I2412" s="25">
        <v>1.0383437583119537</v>
      </c>
      <c r="X2412" s="15">
        <v>2411</v>
      </c>
      <c r="Y2412" s="39">
        <v>0.47859674745839731</v>
      </c>
      <c r="Z2412" s="39">
        <v>0.48891921716125769</v>
      </c>
      <c r="AA2412" s="39">
        <v>0.47164651941614427</v>
      </c>
      <c r="AB2412" s="39">
        <v>0.477841660051672</v>
      </c>
      <c r="AC2412" s="39">
        <v>0.47278974326421941</v>
      </c>
      <c r="AD2412" s="39">
        <v>0.48108731422917311</v>
      </c>
      <c r="AE2412" s="39">
        <v>0.46479656800577113</v>
      </c>
      <c r="AF2412" s="40">
        <v>0.47315288156588203</v>
      </c>
    </row>
    <row r="2413" spans="1:32">
      <c r="A2413" s="15">
        <v>2411</v>
      </c>
      <c r="B2413" s="16">
        <v>1</v>
      </c>
      <c r="C2413" s="20">
        <v>0.03</v>
      </c>
      <c r="D2413" s="20">
        <v>0.99642335770206691</v>
      </c>
      <c r="E2413" s="20">
        <v>1</v>
      </c>
      <c r="F2413" s="8" t="s">
        <v>436</v>
      </c>
      <c r="G2413" s="24">
        <v>1.1691061770251443</v>
      </c>
      <c r="H2413" s="24">
        <v>1.1758750033674708</v>
      </c>
      <c r="I2413" s="25">
        <v>1.1964394522962107</v>
      </c>
      <c r="X2413" s="15">
        <v>2412</v>
      </c>
      <c r="Y2413" s="39">
        <v>0.48702218429711819</v>
      </c>
      <c r="Z2413" s="39">
        <v>0.50305743418265492</v>
      </c>
      <c r="AA2413" s="39">
        <v>0.48668094984571797</v>
      </c>
      <c r="AB2413" s="39">
        <v>0.47826167542299081</v>
      </c>
      <c r="AC2413" s="39">
        <v>0.48081877760998121</v>
      </c>
      <c r="AD2413" s="39">
        <v>0.4955882841674541</v>
      </c>
      <c r="AE2413" s="39">
        <v>0.47933800040217361</v>
      </c>
      <c r="AF2413" s="40">
        <v>0.4754217368604306</v>
      </c>
    </row>
    <row r="2414" spans="1:32">
      <c r="A2414" s="15">
        <v>2412</v>
      </c>
      <c r="B2414" s="16">
        <v>0</v>
      </c>
      <c r="C2414" s="20">
        <v>0.02</v>
      </c>
      <c r="D2414" s="20">
        <v>0.99679477127711513</v>
      </c>
      <c r="E2414" s="20">
        <v>1</v>
      </c>
      <c r="F2414" s="8" t="s">
        <v>436</v>
      </c>
      <c r="G2414" s="24">
        <v>0.95250872876506332</v>
      </c>
      <c r="H2414" s="24">
        <v>0.95802351116999984</v>
      </c>
      <c r="I2414" s="25">
        <v>0.97477803483243608</v>
      </c>
      <c r="X2414" s="15">
        <v>2413</v>
      </c>
      <c r="Y2414" s="39">
        <v>0.48066013346149017</v>
      </c>
      <c r="Z2414" s="39">
        <v>0.48542332046477576</v>
      </c>
      <c r="AA2414" s="39">
        <v>0.47633548299404549</v>
      </c>
      <c r="AB2414" s="39">
        <v>0.48425145093896327</v>
      </c>
      <c r="AC2414" s="39">
        <v>0.47520694274587244</v>
      </c>
      <c r="AD2414" s="39">
        <v>0.4792851830580484</v>
      </c>
      <c r="AE2414" s="39">
        <v>0.46793783791797811</v>
      </c>
      <c r="AF2414" s="40">
        <v>0.47901019770725195</v>
      </c>
    </row>
    <row r="2415" spans="1:32">
      <c r="A2415" s="15">
        <v>2413</v>
      </c>
      <c r="B2415" s="16">
        <v>0</v>
      </c>
      <c r="C2415" s="20">
        <v>0.26</v>
      </c>
      <c r="D2415" s="20">
        <v>0.79779729147106393</v>
      </c>
      <c r="E2415" s="20">
        <v>7.0000000000000007E-2</v>
      </c>
      <c r="F2415" s="8" t="s">
        <v>436</v>
      </c>
      <c r="G2415" s="24">
        <v>0.7758611860243686</v>
      </c>
      <c r="H2415" s="24">
        <v>0.78035322424737541</v>
      </c>
      <c r="I2415" s="25">
        <v>0.79400053708288587</v>
      </c>
      <c r="X2415" s="15">
        <v>2414</v>
      </c>
      <c r="Y2415" s="39">
        <v>0.48504037964099445</v>
      </c>
      <c r="Z2415" s="39">
        <v>0.49084103678002899</v>
      </c>
      <c r="AA2415" s="39">
        <v>0.50478325891399645</v>
      </c>
      <c r="AB2415" s="39">
        <v>0.4924779319391227</v>
      </c>
      <c r="AC2415" s="39">
        <v>0.47693172859166499</v>
      </c>
      <c r="AD2415" s="39">
        <v>0.48149300103758014</v>
      </c>
      <c r="AE2415" s="39">
        <v>0.49523663257034894</v>
      </c>
      <c r="AF2415" s="40">
        <v>0.48701804435732488</v>
      </c>
    </row>
    <row r="2416" spans="1:32">
      <c r="A2416" s="15">
        <v>2414</v>
      </c>
      <c r="B2416" s="16">
        <v>0</v>
      </c>
      <c r="C2416" s="20">
        <v>0.18</v>
      </c>
      <c r="D2416" s="20">
        <v>0.81534449325551284</v>
      </c>
      <c r="E2416" s="20">
        <v>0.08</v>
      </c>
      <c r="F2416" s="8" t="s">
        <v>436</v>
      </c>
      <c r="G2416" s="24">
        <v>0.76242186716164817</v>
      </c>
      <c r="H2416" s="24">
        <v>0.76683609515892137</v>
      </c>
      <c r="I2416" s="25">
        <v>0.7802470118553807</v>
      </c>
      <c r="X2416" s="15">
        <v>2415</v>
      </c>
      <c r="Y2416" s="39">
        <v>0.48390564208532333</v>
      </c>
      <c r="Z2416" s="39">
        <v>0.47723664907845215</v>
      </c>
      <c r="AA2416" s="39">
        <v>0.49740781563080982</v>
      </c>
      <c r="AB2416" s="39">
        <v>0.49732505417569123</v>
      </c>
      <c r="AC2416" s="39">
        <v>0.47937835971181403</v>
      </c>
      <c r="AD2416" s="39">
        <v>0.4682378703634254</v>
      </c>
      <c r="AE2416" s="39">
        <v>0.48775707060855872</v>
      </c>
      <c r="AF2416" s="40">
        <v>0.49454878006906461</v>
      </c>
    </row>
    <row r="2417" spans="1:32">
      <c r="A2417" s="15">
        <v>2415</v>
      </c>
      <c r="B2417" s="16">
        <v>1</v>
      </c>
      <c r="C2417" s="20">
        <v>0.93</v>
      </c>
      <c r="D2417" s="20">
        <v>0.18747949848141848</v>
      </c>
      <c r="E2417" s="20">
        <v>7.0000000000000007E-2</v>
      </c>
      <c r="F2417" s="8" t="s">
        <v>434</v>
      </c>
      <c r="G2417" s="24">
        <v>0.50112452543292929</v>
      </c>
      <c r="H2417" s="24">
        <v>0.50402590851959417</v>
      </c>
      <c r="I2417" s="25">
        <v>0.51284063374534494</v>
      </c>
      <c r="X2417" s="15">
        <v>2416</v>
      </c>
      <c r="Y2417" s="39">
        <v>0.48569287743566364</v>
      </c>
      <c r="Z2417" s="39">
        <v>0.48579398736011914</v>
      </c>
      <c r="AA2417" s="39">
        <v>0.49833510622904359</v>
      </c>
      <c r="AB2417" s="39">
        <v>0.47698169119072659</v>
      </c>
      <c r="AC2417" s="39">
        <v>0.48078895194427557</v>
      </c>
      <c r="AD2417" s="39">
        <v>0.47769039995788343</v>
      </c>
      <c r="AE2417" s="39">
        <v>0.49257578110861044</v>
      </c>
      <c r="AF2417" s="40">
        <v>0.47288155239307378</v>
      </c>
    </row>
    <row r="2418" spans="1:32">
      <c r="A2418" s="15">
        <v>2416</v>
      </c>
      <c r="B2418" s="16">
        <v>1</v>
      </c>
      <c r="C2418" s="20">
        <v>0.94</v>
      </c>
      <c r="D2418" s="20">
        <v>0.17188516685452584</v>
      </c>
      <c r="E2418" s="20">
        <v>0.06</v>
      </c>
      <c r="F2418" s="8" t="s">
        <v>434</v>
      </c>
      <c r="G2418" s="24">
        <v>1.3039044717234183</v>
      </c>
      <c r="H2418" s="24">
        <v>1.3114537457838262</v>
      </c>
      <c r="I2418" s="25">
        <v>1.3343892818742622</v>
      </c>
      <c r="X2418" s="15">
        <v>2417</v>
      </c>
      <c r="Y2418" s="39">
        <v>0.4949582442327064</v>
      </c>
      <c r="Z2418" s="39">
        <v>0.47717628242250981</v>
      </c>
      <c r="AA2418" s="39">
        <v>0.507403099769004</v>
      </c>
      <c r="AB2418" s="39">
        <v>0.49221675017448518</v>
      </c>
      <c r="AC2418" s="39">
        <v>0.48534165626643461</v>
      </c>
      <c r="AD2418" s="39">
        <v>0.4697505522585429</v>
      </c>
      <c r="AE2418" s="39">
        <v>0.49821650484641739</v>
      </c>
      <c r="AF2418" s="40">
        <v>0.4881235443654473</v>
      </c>
    </row>
    <row r="2419" spans="1:32">
      <c r="A2419" s="15">
        <v>2417</v>
      </c>
      <c r="B2419" s="16">
        <v>0</v>
      </c>
      <c r="C2419" s="20">
        <v>0.15</v>
      </c>
      <c r="D2419" s="20">
        <v>0.87217474367376635</v>
      </c>
      <c r="E2419" s="20">
        <v>0.08</v>
      </c>
      <c r="F2419" s="8" t="s">
        <v>436</v>
      </c>
      <c r="G2419" s="24">
        <v>0.87655096489617357</v>
      </c>
      <c r="H2419" s="24">
        <v>0.88162597123706754</v>
      </c>
      <c r="I2419" s="25">
        <v>0.89704440619642478</v>
      </c>
      <c r="X2419" s="15">
        <v>2418</v>
      </c>
      <c r="Y2419" s="39">
        <v>0.4814710268962954</v>
      </c>
      <c r="Z2419" s="39">
        <v>0.48828873148474189</v>
      </c>
      <c r="AA2419" s="39">
        <v>0.4922809515493286</v>
      </c>
      <c r="AB2419" s="39">
        <v>0.48635092153625425</v>
      </c>
      <c r="AC2419" s="39">
        <v>0.47408681300260791</v>
      </c>
      <c r="AD2419" s="39">
        <v>0.48275879626752832</v>
      </c>
      <c r="AE2419" s="39">
        <v>0.48571495667364223</v>
      </c>
      <c r="AF2419" s="40">
        <v>0.48331767402371112</v>
      </c>
    </row>
    <row r="2420" spans="1:32">
      <c r="A2420" s="15">
        <v>2418</v>
      </c>
      <c r="B2420" s="16">
        <v>0</v>
      </c>
      <c r="C2420" s="20">
        <v>0.16</v>
      </c>
      <c r="D2420" s="20">
        <v>0.86955112705685333</v>
      </c>
      <c r="E2420" s="20">
        <v>0.06</v>
      </c>
      <c r="F2420" s="8" t="s">
        <v>436</v>
      </c>
      <c r="G2420" s="24">
        <v>1.2124668230039737</v>
      </c>
      <c r="H2420" s="24">
        <v>1.219486696418405</v>
      </c>
      <c r="I2420" s="25">
        <v>1.2408138543356626</v>
      </c>
      <c r="X2420" s="15">
        <v>2419</v>
      </c>
      <c r="Y2420" s="39">
        <v>0.48381215373024872</v>
      </c>
      <c r="Z2420" s="39">
        <v>0.48910708147790599</v>
      </c>
      <c r="AA2420" s="39">
        <v>0.48038219561866163</v>
      </c>
      <c r="AB2420" s="39">
        <v>0.49104390809311382</v>
      </c>
      <c r="AC2420" s="39">
        <v>0.47828491895247055</v>
      </c>
      <c r="AD2420" s="39">
        <v>0.48087556332633757</v>
      </c>
      <c r="AE2420" s="39">
        <v>0.47526174832276891</v>
      </c>
      <c r="AF2420" s="40">
        <v>0.48614469844543562</v>
      </c>
    </row>
    <row r="2421" spans="1:32">
      <c r="A2421" s="15">
        <v>2419</v>
      </c>
      <c r="B2421" s="16">
        <v>0</v>
      </c>
      <c r="C2421" s="20">
        <v>0.02</v>
      </c>
      <c r="D2421" s="20">
        <v>0.99917029198757767</v>
      </c>
      <c r="E2421" s="20">
        <v>1</v>
      </c>
      <c r="F2421" s="8" t="s">
        <v>436</v>
      </c>
      <c r="G2421" s="24">
        <v>1.0612475580190728</v>
      </c>
      <c r="H2421" s="24">
        <v>1.0673919104890321</v>
      </c>
      <c r="I2421" s="25">
        <v>1.0860591381852926</v>
      </c>
      <c r="X2421" s="15">
        <v>2420</v>
      </c>
      <c r="Y2421" s="39">
        <v>0.49164221100276556</v>
      </c>
      <c r="Z2421" s="39">
        <v>0.49296009931563955</v>
      </c>
      <c r="AA2421" s="39">
        <v>0.48814452005139941</v>
      </c>
      <c r="AB2421" s="39">
        <v>0.49415242176415469</v>
      </c>
      <c r="AC2421" s="39">
        <v>0.48291732968706519</v>
      </c>
      <c r="AD2421" s="39">
        <v>0.48764753536879885</v>
      </c>
      <c r="AE2421" s="39">
        <v>0.48044966761782532</v>
      </c>
      <c r="AF2421" s="40">
        <v>0.48963353461986414</v>
      </c>
    </row>
    <row r="2422" spans="1:32">
      <c r="A2422" s="15">
        <v>2420</v>
      </c>
      <c r="B2422" s="16">
        <v>1</v>
      </c>
      <c r="C2422" s="20">
        <v>0.02</v>
      </c>
      <c r="D2422" s="20">
        <v>0.99756714174924133</v>
      </c>
      <c r="E2422" s="20">
        <v>1</v>
      </c>
      <c r="F2422" s="8" t="s">
        <v>436</v>
      </c>
      <c r="G2422" s="24">
        <v>1.0611968671569232</v>
      </c>
      <c r="H2422" s="24">
        <v>1.0673409261397298</v>
      </c>
      <c r="I2422" s="25">
        <v>1.0860072621893067</v>
      </c>
      <c r="X2422" s="15">
        <v>2421</v>
      </c>
      <c r="Y2422" s="39">
        <v>0.47766159348801818</v>
      </c>
      <c r="Z2422" s="39">
        <v>0.48436026847796926</v>
      </c>
      <c r="AA2422" s="39">
        <v>0.49074681792668379</v>
      </c>
      <c r="AB2422" s="39">
        <v>0.48727121288937975</v>
      </c>
      <c r="AC2422" s="39">
        <v>0.46931129772840752</v>
      </c>
      <c r="AD2422" s="39">
        <v>0.47784243131955362</v>
      </c>
      <c r="AE2422" s="39">
        <v>0.48191694959208131</v>
      </c>
      <c r="AF2422" s="40">
        <v>0.48278911646944384</v>
      </c>
    </row>
    <row r="2423" spans="1:32">
      <c r="A2423" s="15">
        <v>2421</v>
      </c>
      <c r="B2423" s="16">
        <v>1</v>
      </c>
      <c r="C2423" s="20">
        <v>0.13</v>
      </c>
      <c r="D2423" s="20">
        <v>0.90704323915362828</v>
      </c>
      <c r="E2423" s="20">
        <v>0.49</v>
      </c>
      <c r="F2423" s="8" t="s">
        <v>436</v>
      </c>
      <c r="G2423" s="24">
        <v>1.1871832331902006</v>
      </c>
      <c r="H2423" s="24">
        <v>1.1940567210734259</v>
      </c>
      <c r="I2423" s="25">
        <v>1.2149391434297241</v>
      </c>
      <c r="X2423" s="15">
        <v>2422</v>
      </c>
      <c r="Y2423" s="39">
        <v>0.48970080209331052</v>
      </c>
      <c r="Z2423" s="39">
        <v>0.48901697803666111</v>
      </c>
      <c r="AA2423" s="39">
        <v>0.48114989511036627</v>
      </c>
      <c r="AB2423" s="39">
        <v>0.50128734141196707</v>
      </c>
      <c r="AC2423" s="39">
        <v>0.48290089369124484</v>
      </c>
      <c r="AD2423" s="39">
        <v>0.48174435108265462</v>
      </c>
      <c r="AE2423" s="39">
        <v>0.47519102837855537</v>
      </c>
      <c r="AF2423" s="40">
        <v>0.49809550600519625</v>
      </c>
    </row>
    <row r="2424" spans="1:32">
      <c r="A2424" s="15">
        <v>2422</v>
      </c>
      <c r="B2424" s="16">
        <v>1</v>
      </c>
      <c r="C2424" s="20">
        <v>0.21</v>
      </c>
      <c r="D2424" s="20">
        <v>0.83430296361240774</v>
      </c>
      <c r="E2424" s="20">
        <v>7.0000000000000007E-2</v>
      </c>
      <c r="F2424" s="8" t="s">
        <v>436</v>
      </c>
      <c r="G2424" s="24">
        <v>1.209536027088628</v>
      </c>
      <c r="H2424" s="24">
        <v>1.2165389319428157</v>
      </c>
      <c r="I2424" s="25">
        <v>1.2378145374826197</v>
      </c>
      <c r="X2424" s="15">
        <v>2423</v>
      </c>
      <c r="Y2424" s="39">
        <v>0.48653517914003802</v>
      </c>
      <c r="Z2424" s="39">
        <v>0.48479317722703197</v>
      </c>
      <c r="AA2424" s="39">
        <v>0.48455154138535272</v>
      </c>
      <c r="AB2424" s="39">
        <v>0.48830254539618334</v>
      </c>
      <c r="AC2424" s="39">
        <v>0.47923799719221122</v>
      </c>
      <c r="AD2424" s="39">
        <v>0.47689853291613671</v>
      </c>
      <c r="AE2424" s="39">
        <v>0.47659974577469022</v>
      </c>
      <c r="AF2424" s="40">
        <v>0.48200419455377502</v>
      </c>
    </row>
    <row r="2425" spans="1:32">
      <c r="A2425" s="15">
        <v>2423</v>
      </c>
      <c r="B2425" s="16">
        <v>1</v>
      </c>
      <c r="C2425" s="20">
        <v>0.35</v>
      </c>
      <c r="D2425" s="20">
        <v>0.68379940058152011</v>
      </c>
      <c r="E2425" s="20">
        <v>7.0000000000000007E-2</v>
      </c>
      <c r="F2425" s="8" t="s">
        <v>436</v>
      </c>
      <c r="G2425" s="24">
        <v>1.361868884984426</v>
      </c>
      <c r="H2425" s="24">
        <v>1.3697537582017874</v>
      </c>
      <c r="I2425" s="25">
        <v>1.3937088819392782</v>
      </c>
      <c r="X2425" s="15">
        <v>2424</v>
      </c>
      <c r="Y2425" s="39">
        <v>0.47982999087175537</v>
      </c>
      <c r="Z2425" s="39">
        <v>0.47826532970941849</v>
      </c>
      <c r="AA2425" s="39">
        <v>0.48669860396169951</v>
      </c>
      <c r="AB2425" s="39">
        <v>0.48558136341978175</v>
      </c>
      <c r="AC2425" s="39">
        <v>0.47394371332608259</v>
      </c>
      <c r="AD2425" s="39">
        <v>0.47197652923630951</v>
      </c>
      <c r="AE2425" s="39">
        <v>0.48132877884685649</v>
      </c>
      <c r="AF2425" s="40">
        <v>0.48043342252918414</v>
      </c>
    </row>
    <row r="2426" spans="1:32">
      <c r="A2426" s="15">
        <v>2424</v>
      </c>
      <c r="B2426" s="16">
        <v>1</v>
      </c>
      <c r="C2426" s="20">
        <v>0.14000000000000001</v>
      </c>
      <c r="D2426" s="20">
        <v>0.89801675547262727</v>
      </c>
      <c r="E2426" s="20">
        <v>0.1</v>
      </c>
      <c r="F2426" s="8" t="s">
        <v>436</v>
      </c>
      <c r="G2426" s="24">
        <v>0.70712078302366577</v>
      </c>
      <c r="H2426" s="24">
        <v>0.7112148318597743</v>
      </c>
      <c r="I2426" s="25">
        <v>0.72365300857520531</v>
      </c>
      <c r="X2426" s="15">
        <v>2425</v>
      </c>
      <c r="Y2426" s="39">
        <v>0.4975622233363417</v>
      </c>
      <c r="Z2426" s="39">
        <v>0.49142292007717214</v>
      </c>
      <c r="AA2426" s="39">
        <v>0.47796089272499087</v>
      </c>
      <c r="AB2426" s="39">
        <v>0.4841954859708954</v>
      </c>
      <c r="AC2426" s="39">
        <v>0.49137591932072749</v>
      </c>
      <c r="AD2426" s="39">
        <v>0.48492547750300968</v>
      </c>
      <c r="AE2426" s="39">
        <v>0.47137760146270441</v>
      </c>
      <c r="AF2426" s="40">
        <v>0.4824928640722283</v>
      </c>
    </row>
    <row r="2427" spans="1:32">
      <c r="A2427" s="15">
        <v>2425</v>
      </c>
      <c r="B2427" s="16">
        <v>0</v>
      </c>
      <c r="C2427" s="20">
        <v>0.15</v>
      </c>
      <c r="D2427" s="20">
        <v>0.91475039033684857</v>
      </c>
      <c r="E2427" s="20">
        <v>0.06</v>
      </c>
      <c r="F2427" s="8" t="s">
        <v>436</v>
      </c>
      <c r="G2427" s="24">
        <v>0.92377774098654686</v>
      </c>
      <c r="H2427" s="24">
        <v>0.92912617830603428</v>
      </c>
      <c r="I2427" s="25">
        <v>0.94537532705688898</v>
      </c>
      <c r="X2427" s="15">
        <v>2426</v>
      </c>
      <c r="Y2427" s="39">
        <v>0.48386274812520241</v>
      </c>
      <c r="Z2427" s="39">
        <v>0.49271068815512853</v>
      </c>
      <c r="AA2427" s="39">
        <v>0.48479392049957787</v>
      </c>
      <c r="AB2427" s="39">
        <v>0.49497340788628674</v>
      </c>
      <c r="AC2427" s="39">
        <v>0.4783202897385283</v>
      </c>
      <c r="AD2427" s="39">
        <v>0.48633692588454219</v>
      </c>
      <c r="AE2427" s="39">
        <v>0.47774807134792469</v>
      </c>
      <c r="AF2427" s="40">
        <v>0.49482284806479188</v>
      </c>
    </row>
    <row r="2428" spans="1:32">
      <c r="A2428" s="15">
        <v>2426</v>
      </c>
      <c r="B2428" s="16">
        <v>0</v>
      </c>
      <c r="C2428" s="20">
        <v>0.91</v>
      </c>
      <c r="D2428" s="20">
        <v>0.21727233298780477</v>
      </c>
      <c r="E2428" s="20">
        <v>0.09</v>
      </c>
      <c r="F2428" s="8" t="s">
        <v>434</v>
      </c>
      <c r="G2428" s="24">
        <v>1.2394593741343447</v>
      </c>
      <c r="H2428" s="24">
        <v>1.2466355275297805</v>
      </c>
      <c r="I2428" s="25">
        <v>1.2684374814493906</v>
      </c>
      <c r="X2428" s="15">
        <v>2427</v>
      </c>
      <c r="Y2428" s="39">
        <v>0.49293049814764245</v>
      </c>
      <c r="Z2428" s="39">
        <v>0.47819120027273504</v>
      </c>
      <c r="AA2428" s="39">
        <v>0.48543423948124109</v>
      </c>
      <c r="AB2428" s="39">
        <v>0.48450916189764609</v>
      </c>
      <c r="AC2428" s="39">
        <v>0.48408673319313777</v>
      </c>
      <c r="AD2428" s="39">
        <v>0.47141549187388621</v>
      </c>
      <c r="AE2428" s="39">
        <v>0.47848301608616106</v>
      </c>
      <c r="AF2428" s="40">
        <v>0.47597639025757127</v>
      </c>
    </row>
    <row r="2429" spans="1:32">
      <c r="A2429" s="15">
        <v>2427</v>
      </c>
      <c r="B2429" s="16">
        <v>1</v>
      </c>
      <c r="C2429" s="20">
        <v>0.97</v>
      </c>
      <c r="D2429" s="20">
        <v>0.12097036642660543</v>
      </c>
      <c r="E2429" s="20">
        <v>0.03</v>
      </c>
      <c r="F2429" s="8" t="s">
        <v>434</v>
      </c>
      <c r="G2429" s="24">
        <v>1.4900648805761394</v>
      </c>
      <c r="H2429" s="24">
        <v>1.498691975885039</v>
      </c>
      <c r="I2429" s="25">
        <v>1.5249020530698918</v>
      </c>
      <c r="X2429" s="15">
        <v>2428</v>
      </c>
      <c r="Y2429" s="39">
        <v>0.47749561833826543</v>
      </c>
      <c r="Z2429" s="39">
        <v>0.48407903658372808</v>
      </c>
      <c r="AA2429" s="39">
        <v>0.48702360748809703</v>
      </c>
      <c r="AB2429" s="39">
        <v>0.50621698056504827</v>
      </c>
      <c r="AC2429" s="39">
        <v>0.4695751072047335</v>
      </c>
      <c r="AD2429" s="39">
        <v>0.47841897519203752</v>
      </c>
      <c r="AE2429" s="39">
        <v>0.47926315266438413</v>
      </c>
      <c r="AF2429" s="40">
        <v>0.5013959097766435</v>
      </c>
    </row>
    <row r="2430" spans="1:32">
      <c r="A2430" s="15">
        <v>2428</v>
      </c>
      <c r="B2430" s="16">
        <v>1</v>
      </c>
      <c r="C2430" s="20">
        <v>0.02</v>
      </c>
      <c r="D2430" s="20">
        <v>0.99756714174924133</v>
      </c>
      <c r="E2430" s="20">
        <v>1</v>
      </c>
      <c r="F2430" s="8" t="s">
        <v>436</v>
      </c>
      <c r="G2430" s="24">
        <v>1.0619691106639684</v>
      </c>
      <c r="H2430" s="24">
        <v>1.0681176407395601</v>
      </c>
      <c r="I2430" s="25">
        <v>1.0867975604673976</v>
      </c>
      <c r="X2430" s="15">
        <v>2429</v>
      </c>
      <c r="Y2430" s="39">
        <v>0.49355054113525215</v>
      </c>
      <c r="Z2430" s="39">
        <v>0.49422211330301247</v>
      </c>
      <c r="AA2430" s="39">
        <v>0.49229540312408221</v>
      </c>
      <c r="AB2430" s="39">
        <v>0.48187051038762485</v>
      </c>
      <c r="AC2430" s="39">
        <v>0.48775914170540763</v>
      </c>
      <c r="AD2430" s="39">
        <v>0.48704095649811552</v>
      </c>
      <c r="AE2430" s="39">
        <v>0.48362162696992234</v>
      </c>
      <c r="AF2430" s="40">
        <v>0.4771546701228056</v>
      </c>
    </row>
    <row r="2431" spans="1:32">
      <c r="A2431" s="15">
        <v>2429</v>
      </c>
      <c r="B2431" s="16">
        <v>0</v>
      </c>
      <c r="C2431" s="20">
        <v>0.89</v>
      </c>
      <c r="D2431" s="20">
        <v>0.24559627500636821</v>
      </c>
      <c r="E2431" s="20">
        <v>0.11</v>
      </c>
      <c r="F2431" s="8" t="s">
        <v>434</v>
      </c>
      <c r="G2431" s="24">
        <v>0.57293374498365923</v>
      </c>
      <c r="H2431" s="24">
        <v>0.57625088512170997</v>
      </c>
      <c r="I2431" s="25">
        <v>0.58632872661276103</v>
      </c>
      <c r="X2431" s="15">
        <v>2430</v>
      </c>
      <c r="Y2431" s="39">
        <v>0.49261478997660846</v>
      </c>
      <c r="Z2431" s="39">
        <v>0.4942125795531776</v>
      </c>
      <c r="AA2431" s="39">
        <v>0.47470359730463196</v>
      </c>
      <c r="AB2431" s="39">
        <v>0.48610207400996291</v>
      </c>
      <c r="AC2431" s="39">
        <v>0.48730609755367249</v>
      </c>
      <c r="AD2431" s="39">
        <v>0.48859901175154347</v>
      </c>
      <c r="AE2431" s="39">
        <v>0.46545810573428875</v>
      </c>
      <c r="AF2431" s="40">
        <v>0.4842316914918719</v>
      </c>
    </row>
    <row r="2432" spans="1:32">
      <c r="A2432" s="15">
        <v>2430</v>
      </c>
      <c r="B2432" s="16">
        <v>0</v>
      </c>
      <c r="C2432" s="20">
        <v>0.81</v>
      </c>
      <c r="D2432" s="20">
        <v>0.34905200973212741</v>
      </c>
      <c r="E2432" s="20">
        <v>0.19</v>
      </c>
      <c r="F2432" s="8" t="s">
        <v>434</v>
      </c>
      <c r="G2432" s="24">
        <v>0.42386471249008167</v>
      </c>
      <c r="H2432" s="24">
        <v>0.42631878098092307</v>
      </c>
      <c r="I2432" s="25">
        <v>0.43377451460374689</v>
      </c>
      <c r="X2432" s="15">
        <v>2431</v>
      </c>
      <c r="Y2432" s="39">
        <v>0.490693968239798</v>
      </c>
      <c r="Z2432" s="39">
        <v>0.49258473677710396</v>
      </c>
      <c r="AA2432" s="39">
        <v>0.48683130041860639</v>
      </c>
      <c r="AB2432" s="39">
        <v>0.49184034932060916</v>
      </c>
      <c r="AC2432" s="39">
        <v>0.48080328999843475</v>
      </c>
      <c r="AD2432" s="39">
        <v>0.48311153312037192</v>
      </c>
      <c r="AE2432" s="39">
        <v>0.48272107926406327</v>
      </c>
      <c r="AF2432" s="40">
        <v>0.48669675167815718</v>
      </c>
    </row>
    <row r="2433" spans="1:32">
      <c r="A2433" s="15">
        <v>2431</v>
      </c>
      <c r="B2433" s="16">
        <v>1</v>
      </c>
      <c r="C2433" s="20">
        <v>0.5</v>
      </c>
      <c r="D2433" s="20">
        <v>0.57711159641514798</v>
      </c>
      <c r="E2433" s="20">
        <v>7.0000000000000007E-2</v>
      </c>
      <c r="F2433" s="8" t="s">
        <v>438</v>
      </c>
      <c r="G2433" s="24">
        <v>0.97327917154589483</v>
      </c>
      <c r="H2433" s="24">
        <v>0.97891420951272934</v>
      </c>
      <c r="I2433" s="25">
        <v>0.99603408297673846</v>
      </c>
      <c r="X2433" s="15">
        <v>2432</v>
      </c>
      <c r="Y2433" s="39">
        <v>0.47031668853471065</v>
      </c>
      <c r="Z2433" s="39">
        <v>0.48373138945608202</v>
      </c>
      <c r="AA2433" s="39">
        <v>0.49631358520710239</v>
      </c>
      <c r="AB2433" s="39">
        <v>0.48983927230748081</v>
      </c>
      <c r="AC2433" s="39">
        <v>0.46513307764265183</v>
      </c>
      <c r="AD2433" s="39">
        <v>0.47889200211094052</v>
      </c>
      <c r="AE2433" s="39">
        <v>0.48811824957948063</v>
      </c>
      <c r="AF2433" s="40">
        <v>0.48514218928838709</v>
      </c>
    </row>
    <row r="2434" spans="1:32">
      <c r="A2434" s="15">
        <v>2432</v>
      </c>
      <c r="B2434" s="16">
        <v>1</v>
      </c>
      <c r="C2434" s="20">
        <v>0.02</v>
      </c>
      <c r="D2434" s="20">
        <v>0.99679477127711513</v>
      </c>
      <c r="E2434" s="20">
        <v>1</v>
      </c>
      <c r="F2434" s="8" t="s">
        <v>436</v>
      </c>
      <c r="G2434" s="24">
        <v>0.99774863866351327</v>
      </c>
      <c r="H2434" s="24">
        <v>1.0035253485989537</v>
      </c>
      <c r="I2434" s="25">
        <v>1.0210756372953365</v>
      </c>
      <c r="X2434" s="15">
        <v>2433</v>
      </c>
      <c r="Y2434" s="39">
        <v>0.46796457119406665</v>
      </c>
      <c r="Z2434" s="39">
        <v>0.4851430942264312</v>
      </c>
      <c r="AA2434" s="39">
        <v>0.47668329828894579</v>
      </c>
      <c r="AB2434" s="39">
        <v>0.48813358815838759</v>
      </c>
      <c r="AC2434" s="39">
        <v>0.46184538146474385</v>
      </c>
      <c r="AD2434" s="39">
        <v>0.47916818645023318</v>
      </c>
      <c r="AE2434" s="39">
        <v>0.4704330082679607</v>
      </c>
      <c r="AF2434" s="40">
        <v>0.48590575411389691</v>
      </c>
    </row>
    <row r="2435" spans="1:32">
      <c r="A2435" s="15">
        <v>2433</v>
      </c>
      <c r="B2435" s="16">
        <v>1</v>
      </c>
      <c r="C2435" s="20">
        <v>0.17</v>
      </c>
      <c r="D2435" s="20">
        <v>0.88277657049239255</v>
      </c>
      <c r="E2435" s="20">
        <v>0.45</v>
      </c>
      <c r="F2435" s="8" t="s">
        <v>436</v>
      </c>
      <c r="G2435" s="24">
        <v>1.2379163718947861</v>
      </c>
      <c r="H2435" s="24">
        <v>1.2450835917011172</v>
      </c>
      <c r="I2435" s="25">
        <v>1.2668584043812265</v>
      </c>
      <c r="X2435" s="15">
        <v>2434</v>
      </c>
      <c r="Y2435" s="39">
        <v>0.493214537778632</v>
      </c>
      <c r="Z2435" s="39">
        <v>0.47882744228586294</v>
      </c>
      <c r="AA2435" s="39">
        <v>0.485234504845934</v>
      </c>
      <c r="AB2435" s="39">
        <v>0.48363184692428485</v>
      </c>
      <c r="AC2435" s="39">
        <v>0.48799294335576365</v>
      </c>
      <c r="AD2435" s="39">
        <v>0.47153186652065721</v>
      </c>
      <c r="AE2435" s="39">
        <v>0.47716058758543001</v>
      </c>
      <c r="AF2435" s="40">
        <v>0.4802649729677495</v>
      </c>
    </row>
    <row r="2436" spans="1:32">
      <c r="A2436" s="15">
        <v>2434</v>
      </c>
      <c r="B2436" s="16">
        <v>0</v>
      </c>
      <c r="C2436" s="20">
        <v>0.92</v>
      </c>
      <c r="D2436" s="20">
        <v>0.20258497911151899</v>
      </c>
      <c r="E2436" s="20">
        <v>0.08</v>
      </c>
      <c r="F2436" s="8" t="s">
        <v>434</v>
      </c>
      <c r="G2436" s="24">
        <v>0.66552638028254574</v>
      </c>
      <c r="H2436" s="24">
        <v>0.66937960814404973</v>
      </c>
      <c r="I2436" s="25">
        <v>0.68108614389504096</v>
      </c>
      <c r="X2436" s="15">
        <v>2435</v>
      </c>
      <c r="Y2436" s="39">
        <v>0.47720995382499909</v>
      </c>
      <c r="Z2436" s="39">
        <v>0.49390820490358106</v>
      </c>
      <c r="AA2436" s="39">
        <v>0.4857513450436533</v>
      </c>
      <c r="AB2436" s="39">
        <v>0.48780299349230477</v>
      </c>
      <c r="AC2436" s="39">
        <v>0.4689895367569154</v>
      </c>
      <c r="AD2436" s="39">
        <v>0.4868378897125723</v>
      </c>
      <c r="AE2436" s="39">
        <v>0.47675196982015439</v>
      </c>
      <c r="AF2436" s="40">
        <v>0.48222175925164218</v>
      </c>
    </row>
    <row r="2437" spans="1:32">
      <c r="A2437" s="15">
        <v>2435</v>
      </c>
      <c r="B2437" s="16">
        <v>0</v>
      </c>
      <c r="C2437" s="20">
        <v>0.13</v>
      </c>
      <c r="D2437" s="20">
        <v>0.89654672813817105</v>
      </c>
      <c r="E2437" s="20">
        <v>0.42</v>
      </c>
      <c r="F2437" s="8" t="s">
        <v>436</v>
      </c>
      <c r="G2437" s="24">
        <v>1.0302362027873355</v>
      </c>
      <c r="H2437" s="24">
        <v>1.0362010074263717</v>
      </c>
      <c r="I2437" s="25">
        <v>1.0543227487986297</v>
      </c>
      <c r="X2437" s="15">
        <v>2436</v>
      </c>
      <c r="Y2437" s="39">
        <v>0.49109356491233624</v>
      </c>
      <c r="Z2437" s="39">
        <v>0.48916267174010225</v>
      </c>
      <c r="AA2437" s="39">
        <v>0.49273074267058808</v>
      </c>
      <c r="AB2437" s="39">
        <v>0.49554613250821244</v>
      </c>
      <c r="AC2437" s="39">
        <v>0.48537086698312926</v>
      </c>
      <c r="AD2437" s="39">
        <v>0.48280476480171824</v>
      </c>
      <c r="AE2437" s="39">
        <v>0.4858473917399514</v>
      </c>
      <c r="AF2437" s="40">
        <v>0.49067252326926902</v>
      </c>
    </row>
    <row r="2438" spans="1:32">
      <c r="A2438" s="15">
        <v>2436</v>
      </c>
      <c r="B2438" s="16">
        <v>0</v>
      </c>
      <c r="C2438" s="20">
        <v>0.37</v>
      </c>
      <c r="D2438" s="20">
        <v>0.72790340242479346</v>
      </c>
      <c r="E2438" s="20">
        <v>0.06</v>
      </c>
      <c r="F2438" s="8" t="s">
        <v>436</v>
      </c>
      <c r="G2438" s="24">
        <v>0.60210974297999043</v>
      </c>
      <c r="H2438" s="24">
        <v>0.60559580469905938</v>
      </c>
      <c r="I2438" s="25">
        <v>0.61618684878242524</v>
      </c>
      <c r="X2438" s="15">
        <v>2437</v>
      </c>
      <c r="Y2438" s="39">
        <v>0.48064192771553654</v>
      </c>
      <c r="Z2438" s="39">
        <v>0.48705551958983129</v>
      </c>
      <c r="AA2438" s="39">
        <v>0.48829477838485869</v>
      </c>
      <c r="AB2438" s="39">
        <v>0.4875984097003136</v>
      </c>
      <c r="AC2438" s="39">
        <v>0.47478945063000472</v>
      </c>
      <c r="AD2438" s="39">
        <v>0.48117995035392414</v>
      </c>
      <c r="AE2438" s="39">
        <v>0.48204479553956392</v>
      </c>
      <c r="AF2438" s="40">
        <v>0.48261718668971548</v>
      </c>
    </row>
    <row r="2439" spans="1:32">
      <c r="A2439" s="15">
        <v>2437</v>
      </c>
      <c r="B2439" s="16">
        <v>0</v>
      </c>
      <c r="C2439" s="20">
        <v>0.94</v>
      </c>
      <c r="D2439" s="20">
        <v>0.17188516685452584</v>
      </c>
      <c r="E2439" s="20">
        <v>7.0000000000000007E-2</v>
      </c>
      <c r="F2439" s="8" t="s">
        <v>434</v>
      </c>
      <c r="G2439" s="24">
        <v>0.67603341998883471</v>
      </c>
      <c r="H2439" s="24">
        <v>0.67994748092824164</v>
      </c>
      <c r="I2439" s="25">
        <v>0.69183883435078264</v>
      </c>
      <c r="X2439" s="15">
        <v>2438</v>
      </c>
      <c r="Y2439" s="39">
        <v>0.47765689210810636</v>
      </c>
      <c r="Z2439" s="39">
        <v>0.46991115136581102</v>
      </c>
      <c r="AA2439" s="39">
        <v>0.48952286371251891</v>
      </c>
      <c r="AB2439" s="39">
        <v>0.49678628035673583</v>
      </c>
      <c r="AC2439" s="39">
        <v>0.47278477664065771</v>
      </c>
      <c r="AD2439" s="39">
        <v>0.46335407241702459</v>
      </c>
      <c r="AE2439" s="39">
        <v>0.48344923543035723</v>
      </c>
      <c r="AF2439" s="40">
        <v>0.49286881900167562</v>
      </c>
    </row>
    <row r="2440" spans="1:32">
      <c r="A2440" s="15">
        <v>2438</v>
      </c>
      <c r="B2440" s="16">
        <v>1</v>
      </c>
      <c r="C2440" s="20">
        <v>0.93</v>
      </c>
      <c r="D2440" s="20">
        <v>0.18747949848141848</v>
      </c>
      <c r="E2440" s="20">
        <v>7.0000000000000007E-2</v>
      </c>
      <c r="F2440" s="8" t="s">
        <v>434</v>
      </c>
      <c r="G2440" s="24">
        <v>0.54560229499205648</v>
      </c>
      <c r="H2440" s="24">
        <v>0.54876119301120241</v>
      </c>
      <c r="I2440" s="25">
        <v>0.55835827730624688</v>
      </c>
      <c r="X2440" s="15">
        <v>2439</v>
      </c>
      <c r="Y2440" s="39">
        <v>0.48117436831951915</v>
      </c>
      <c r="Z2440" s="39">
        <v>0.48929776830398503</v>
      </c>
      <c r="AA2440" s="39">
        <v>0.49053492194483367</v>
      </c>
      <c r="AB2440" s="39">
        <v>0.48925866202250901</v>
      </c>
      <c r="AC2440" s="39">
        <v>0.47050527210658949</v>
      </c>
      <c r="AD2440" s="39">
        <v>0.48058669831436984</v>
      </c>
      <c r="AE2440" s="39">
        <v>0.48386989450395235</v>
      </c>
      <c r="AF2440" s="40">
        <v>0.48544751491910115</v>
      </c>
    </row>
    <row r="2441" spans="1:32">
      <c r="A2441" s="15">
        <v>2439</v>
      </c>
      <c r="B2441" s="16">
        <v>0</v>
      </c>
      <c r="C2441" s="20">
        <v>0.01</v>
      </c>
      <c r="D2441" s="20">
        <v>0.99999999999999978</v>
      </c>
      <c r="E2441" s="20">
        <v>1</v>
      </c>
      <c r="F2441" s="8" t="s">
        <v>436</v>
      </c>
      <c r="G2441" s="24">
        <v>1.0125681879775996</v>
      </c>
      <c r="H2441" s="24">
        <v>1.0184306993207735</v>
      </c>
      <c r="I2441" s="25">
        <v>1.0362416622578756</v>
      </c>
      <c r="X2441" s="15">
        <v>2440</v>
      </c>
      <c r="Y2441" s="39">
        <v>0.49002024539490968</v>
      </c>
      <c r="Z2441" s="39">
        <v>0.47633951316653839</v>
      </c>
      <c r="AA2441" s="39">
        <v>0.48314047945358102</v>
      </c>
      <c r="AB2441" s="39">
        <v>0.48153020924874074</v>
      </c>
      <c r="AC2441" s="39">
        <v>0.48345757741577655</v>
      </c>
      <c r="AD2441" s="39">
        <v>0.46873731715283617</v>
      </c>
      <c r="AE2441" s="39">
        <v>0.47498936549989712</v>
      </c>
      <c r="AF2441" s="40">
        <v>0.47684011805928606</v>
      </c>
    </row>
    <row r="2442" spans="1:32">
      <c r="A2442" s="15">
        <v>2440</v>
      </c>
      <c r="B2442" s="16">
        <v>0</v>
      </c>
      <c r="C2442" s="20">
        <v>0.02</v>
      </c>
      <c r="D2442" s="20">
        <v>0.99835916395484214</v>
      </c>
      <c r="E2442" s="20">
        <v>1</v>
      </c>
      <c r="F2442" s="8" t="s">
        <v>436</v>
      </c>
      <c r="G2442" s="24">
        <v>0.94556972008308804</v>
      </c>
      <c r="H2442" s="24">
        <v>0.95104432739898714</v>
      </c>
      <c r="I2442" s="25">
        <v>0.96767679466273104</v>
      </c>
      <c r="X2442" s="15">
        <v>2441</v>
      </c>
      <c r="Y2442" s="39">
        <v>0.48295616387749585</v>
      </c>
      <c r="Z2442" s="39">
        <v>0.49182383756815545</v>
      </c>
      <c r="AA2442" s="39">
        <v>0.49389770885125794</v>
      </c>
      <c r="AB2442" s="39">
        <v>0.50224819107953989</v>
      </c>
      <c r="AC2442" s="39">
        <v>0.47574477748627697</v>
      </c>
      <c r="AD2442" s="39">
        <v>0.4853279062523983</v>
      </c>
      <c r="AE2442" s="39">
        <v>0.48684052733390559</v>
      </c>
      <c r="AF2442" s="40">
        <v>0.49825155613039646</v>
      </c>
    </row>
    <row r="2443" spans="1:32">
      <c r="A2443" s="15">
        <v>2441</v>
      </c>
      <c r="B2443" s="16">
        <v>0</v>
      </c>
      <c r="C2443" s="20">
        <v>0.93</v>
      </c>
      <c r="D2443" s="20">
        <v>0.18747949848141848</v>
      </c>
      <c r="E2443" s="20">
        <v>7.0000000000000007E-2</v>
      </c>
      <c r="F2443" s="8" t="s">
        <v>434</v>
      </c>
      <c r="G2443" s="24">
        <v>0.61217558111822179</v>
      </c>
      <c r="H2443" s="24">
        <v>0.6157199214707344</v>
      </c>
      <c r="I2443" s="25">
        <v>0.62648802253864677</v>
      </c>
      <c r="X2443" s="15">
        <v>2442</v>
      </c>
      <c r="Y2443" s="39">
        <v>0.46469178128429139</v>
      </c>
      <c r="Z2443" s="39">
        <v>0.48797383104227643</v>
      </c>
      <c r="AA2443" s="39">
        <v>0.49733441228879482</v>
      </c>
      <c r="AB2443" s="39">
        <v>0.48663212266770473</v>
      </c>
      <c r="AC2443" s="39">
        <v>0.46179060023895457</v>
      </c>
      <c r="AD2443" s="39">
        <v>0.48001885810013345</v>
      </c>
      <c r="AE2443" s="39">
        <v>0.48687314404738824</v>
      </c>
      <c r="AF2443" s="40">
        <v>0.4813819420690979</v>
      </c>
    </row>
    <row r="2444" spans="1:32">
      <c r="A2444" s="15">
        <v>2442</v>
      </c>
      <c r="B2444" s="16">
        <v>1</v>
      </c>
      <c r="C2444" s="20">
        <v>0.02</v>
      </c>
      <c r="D2444" s="20">
        <v>0.99756714174924133</v>
      </c>
      <c r="E2444" s="20">
        <v>1</v>
      </c>
      <c r="F2444" s="8" t="s">
        <v>436</v>
      </c>
      <c r="G2444" s="24">
        <v>0.97110002888773261</v>
      </c>
      <c r="H2444" s="24">
        <v>0.97672245017481807</v>
      </c>
      <c r="I2444" s="25">
        <v>0.9938039927594059</v>
      </c>
      <c r="X2444" s="15">
        <v>2443</v>
      </c>
      <c r="Y2444" s="39">
        <v>0.49884329684574802</v>
      </c>
      <c r="Z2444" s="39">
        <v>0.48742283828064653</v>
      </c>
      <c r="AA2444" s="39">
        <v>0.48835029518033329</v>
      </c>
      <c r="AB2444" s="39">
        <v>0.48732489972762733</v>
      </c>
      <c r="AC2444" s="39">
        <v>0.49033980536075228</v>
      </c>
      <c r="AD2444" s="39">
        <v>0.48128760917286234</v>
      </c>
      <c r="AE2444" s="39">
        <v>0.48397331315314907</v>
      </c>
      <c r="AF2444" s="40">
        <v>0.48281693763753269</v>
      </c>
    </row>
    <row r="2445" spans="1:32">
      <c r="A2445" s="15">
        <v>2443</v>
      </c>
      <c r="B2445" s="16">
        <v>1</v>
      </c>
      <c r="C2445" s="20">
        <v>0.49</v>
      </c>
      <c r="D2445" s="20">
        <v>0.46941248488680598</v>
      </c>
      <c r="E2445" s="20">
        <v>0.08</v>
      </c>
      <c r="F2445" s="8" t="s">
        <v>436</v>
      </c>
      <c r="G2445" s="24">
        <v>0.52064495157908441</v>
      </c>
      <c r="H2445" s="24">
        <v>0.52365935295040822</v>
      </c>
      <c r="I2445" s="25">
        <v>0.53281744032276168</v>
      </c>
      <c r="X2445" s="15">
        <v>2444</v>
      </c>
      <c r="Y2445" s="39">
        <v>0.49580730670796497</v>
      </c>
      <c r="Z2445" s="39">
        <v>0.48106531989339596</v>
      </c>
      <c r="AA2445" s="39">
        <v>0.48380498217302587</v>
      </c>
      <c r="AB2445" s="39">
        <v>0.48155548870308668</v>
      </c>
      <c r="AC2445" s="39">
        <v>0.49031892958865142</v>
      </c>
      <c r="AD2445" s="39">
        <v>0.47664067342673511</v>
      </c>
      <c r="AE2445" s="39">
        <v>0.47684427126262757</v>
      </c>
      <c r="AF2445" s="40">
        <v>0.47971213905075016</v>
      </c>
    </row>
    <row r="2446" spans="1:32">
      <c r="A2446" s="15">
        <v>2444</v>
      </c>
      <c r="B2446" s="16">
        <v>1</v>
      </c>
      <c r="C2446" s="20">
        <v>0.02</v>
      </c>
      <c r="D2446" s="20">
        <v>0.99460135128185911</v>
      </c>
      <c r="E2446" s="20">
        <v>1</v>
      </c>
      <c r="F2446" s="8" t="s">
        <v>436</v>
      </c>
      <c r="G2446" s="24">
        <v>1.0463990895573412</v>
      </c>
      <c r="H2446" s="24">
        <v>1.052457473185084</v>
      </c>
      <c r="I2446" s="25">
        <v>1.0708635179560022</v>
      </c>
      <c r="X2446" s="15">
        <v>2445</v>
      </c>
      <c r="Y2446" s="39">
        <v>0.48460118670774682</v>
      </c>
      <c r="Z2446" s="39">
        <v>0.4823899740804225</v>
      </c>
      <c r="AA2446" s="39">
        <v>0.49076341876561208</v>
      </c>
      <c r="AB2446" s="39">
        <v>0.48780066977498415</v>
      </c>
      <c r="AC2446" s="39">
        <v>0.47871060757014694</v>
      </c>
      <c r="AD2446" s="39">
        <v>0.47684151736719149</v>
      </c>
      <c r="AE2446" s="39">
        <v>0.48399207116985188</v>
      </c>
      <c r="AF2446" s="40">
        <v>0.48245606833382548</v>
      </c>
    </row>
    <row r="2447" spans="1:32">
      <c r="A2447" s="15">
        <v>2445</v>
      </c>
      <c r="B2447" s="16">
        <v>1</v>
      </c>
      <c r="C2447" s="20">
        <v>0.02</v>
      </c>
      <c r="D2447" s="20">
        <v>0.99917029198757767</v>
      </c>
      <c r="E2447" s="20">
        <v>1</v>
      </c>
      <c r="F2447" s="8" t="s">
        <v>436</v>
      </c>
      <c r="G2447" s="24">
        <v>1.0290735144072358</v>
      </c>
      <c r="H2447" s="24">
        <v>1.0350315873773355</v>
      </c>
      <c r="I2447" s="25">
        <v>1.0531328771890063</v>
      </c>
      <c r="X2447" s="15">
        <v>2446</v>
      </c>
      <c r="Y2447" s="39">
        <v>0.49381266482145181</v>
      </c>
      <c r="Z2447" s="39">
        <v>0.48489612463805465</v>
      </c>
      <c r="AA2447" s="39">
        <v>0.49039425963807121</v>
      </c>
      <c r="AB2447" s="39">
        <v>0.48500037981800148</v>
      </c>
      <c r="AC2447" s="39">
        <v>0.48310442402090292</v>
      </c>
      <c r="AD2447" s="39">
        <v>0.47599544072179695</v>
      </c>
      <c r="AE2447" s="39">
        <v>0.48163763849986435</v>
      </c>
      <c r="AF2447" s="40">
        <v>0.48031941429379144</v>
      </c>
    </row>
    <row r="2448" spans="1:32">
      <c r="A2448" s="15">
        <v>2446</v>
      </c>
      <c r="B2448" s="16">
        <v>1</v>
      </c>
      <c r="C2448" s="20">
        <v>0.95</v>
      </c>
      <c r="D2448" s="20">
        <v>0.15570568692893463</v>
      </c>
      <c r="E2448" s="20">
        <v>0.05</v>
      </c>
      <c r="F2448" s="8" t="s">
        <v>434</v>
      </c>
      <c r="G2448" s="24">
        <v>0.93600614933168813</v>
      </c>
      <c r="H2448" s="24">
        <v>0.94142538601410586</v>
      </c>
      <c r="I2448" s="25">
        <v>0.95788963112133541</v>
      </c>
      <c r="X2448" s="15">
        <v>2447</v>
      </c>
      <c r="Y2448" s="39">
        <v>0.49849723451568051</v>
      </c>
      <c r="Z2448" s="39">
        <v>0.48245482910016591</v>
      </c>
      <c r="AA2448" s="39">
        <v>0.47684347288857154</v>
      </c>
      <c r="AB2448" s="39">
        <v>0.49475362202509049</v>
      </c>
      <c r="AC2448" s="39">
        <v>0.49014054932104617</v>
      </c>
      <c r="AD2448" s="39">
        <v>0.4773656929248557</v>
      </c>
      <c r="AE2448" s="39">
        <v>0.47210930400975426</v>
      </c>
      <c r="AF2448" s="40">
        <v>0.49266065695596889</v>
      </c>
    </row>
    <row r="2449" spans="1:32">
      <c r="A2449" s="15">
        <v>2447</v>
      </c>
      <c r="B2449" s="16">
        <v>1</v>
      </c>
      <c r="C2449" s="20">
        <v>0.41</v>
      </c>
      <c r="D2449" s="20">
        <v>0.59299892639204688</v>
      </c>
      <c r="E2449" s="20">
        <v>0.06</v>
      </c>
      <c r="F2449" s="8" t="s">
        <v>436</v>
      </c>
      <c r="G2449" s="24">
        <v>1.4191068046062152</v>
      </c>
      <c r="H2449" s="24">
        <v>1.4273230707678015</v>
      </c>
      <c r="I2449" s="25">
        <v>1.4522850032092245</v>
      </c>
      <c r="X2449" s="15">
        <v>2448</v>
      </c>
      <c r="Y2449" s="39">
        <v>0.49379024572156449</v>
      </c>
      <c r="Z2449" s="39">
        <v>0.49034665169208758</v>
      </c>
      <c r="AA2449" s="39">
        <v>0.49080579392532098</v>
      </c>
      <c r="AB2449" s="39">
        <v>0.48800435675378667</v>
      </c>
      <c r="AC2449" s="39">
        <v>0.48422953237492189</v>
      </c>
      <c r="AD2449" s="39">
        <v>0.48577045827243115</v>
      </c>
      <c r="AE2449" s="39">
        <v>0.48616460755286189</v>
      </c>
      <c r="AF2449" s="40">
        <v>0.48497960336417462</v>
      </c>
    </row>
    <row r="2450" spans="1:32">
      <c r="A2450" s="15">
        <v>2448</v>
      </c>
      <c r="B2450" s="16">
        <v>0</v>
      </c>
      <c r="C2450" s="20">
        <v>0.02</v>
      </c>
      <c r="D2450" s="20">
        <v>0.99917029198757767</v>
      </c>
      <c r="E2450" s="20">
        <v>1</v>
      </c>
      <c r="F2450" s="8" t="s">
        <v>436</v>
      </c>
      <c r="G2450" s="24">
        <v>1.0442207273461412</v>
      </c>
      <c r="H2450" s="24">
        <v>1.0502664988127237</v>
      </c>
      <c r="I2450" s="25">
        <v>1.0686342264321969</v>
      </c>
      <c r="X2450" s="15">
        <v>2449</v>
      </c>
      <c r="Y2450" s="39">
        <v>0.49361982926633691</v>
      </c>
      <c r="Z2450" s="39">
        <v>0.48614334699836531</v>
      </c>
      <c r="AA2450" s="39">
        <v>0.46686748993999111</v>
      </c>
      <c r="AB2450" s="39">
        <v>0.48562662587027083</v>
      </c>
      <c r="AC2450" s="39">
        <v>0.48718997763900007</v>
      </c>
      <c r="AD2450" s="39">
        <v>0.47843072937103537</v>
      </c>
      <c r="AE2450" s="39">
        <v>0.45926807297453115</v>
      </c>
      <c r="AF2450" s="40">
        <v>0.48162830710474924</v>
      </c>
    </row>
    <row r="2451" spans="1:32">
      <c r="A2451" s="15">
        <v>2449</v>
      </c>
      <c r="B2451" s="16">
        <v>1</v>
      </c>
      <c r="C2451" s="20">
        <v>0.02</v>
      </c>
      <c r="D2451" s="20">
        <v>0.99835916395484214</v>
      </c>
      <c r="E2451" s="20">
        <v>1</v>
      </c>
      <c r="F2451" s="8" t="s">
        <v>436</v>
      </c>
      <c r="G2451" s="24">
        <v>1.0283472432942404</v>
      </c>
      <c r="H2451" s="24">
        <v>1.0343011113399818</v>
      </c>
      <c r="I2451" s="25">
        <v>1.0523896261227415</v>
      </c>
      <c r="X2451" s="15">
        <v>2450</v>
      </c>
      <c r="Y2451" s="39">
        <v>0.47578986276876106</v>
      </c>
      <c r="Z2451" s="39">
        <v>0.47845449755568703</v>
      </c>
      <c r="AA2451" s="39">
        <v>0.4791198768035409</v>
      </c>
      <c r="AB2451" s="39">
        <v>0.48647302285411048</v>
      </c>
      <c r="AC2451" s="39">
        <v>0.46939826940943247</v>
      </c>
      <c r="AD2451" s="39">
        <v>0.47308799170922328</v>
      </c>
      <c r="AE2451" s="39">
        <v>0.47499447492260494</v>
      </c>
      <c r="AF2451" s="40">
        <v>0.4805650357178029</v>
      </c>
    </row>
    <row r="2452" spans="1:32">
      <c r="A2452" s="15">
        <v>2450</v>
      </c>
      <c r="B2452" s="16">
        <v>1</v>
      </c>
      <c r="C2452" s="20">
        <v>0.94</v>
      </c>
      <c r="D2452" s="20">
        <v>0.17188516685452584</v>
      </c>
      <c r="E2452" s="20">
        <v>0.06</v>
      </c>
      <c r="F2452" s="8" t="s">
        <v>434</v>
      </c>
      <c r="G2452" s="24">
        <v>0.91344008300901203</v>
      </c>
      <c r="H2452" s="24">
        <v>0.91872866792757013</v>
      </c>
      <c r="I2452" s="25">
        <v>0.93479597841283391</v>
      </c>
      <c r="X2452" s="15">
        <v>2451</v>
      </c>
      <c r="Y2452" s="39">
        <v>0.49165421851233276</v>
      </c>
      <c r="Z2452" s="39">
        <v>0.49248045644359389</v>
      </c>
      <c r="AA2452" s="39">
        <v>0.50122616558046396</v>
      </c>
      <c r="AB2452" s="39">
        <v>0.4974169401924356</v>
      </c>
      <c r="AC2452" s="39">
        <v>0.48338232179666357</v>
      </c>
      <c r="AD2452" s="39">
        <v>0.4854377541678202</v>
      </c>
      <c r="AE2452" s="39">
        <v>0.49596327418075686</v>
      </c>
      <c r="AF2452" s="40">
        <v>0.49275004278299978</v>
      </c>
    </row>
    <row r="2453" spans="1:32">
      <c r="A2453" s="15">
        <v>2451</v>
      </c>
      <c r="B2453" s="16">
        <v>1</v>
      </c>
      <c r="C2453" s="20">
        <v>0.02</v>
      </c>
      <c r="D2453" s="20">
        <v>0.99917029198757767</v>
      </c>
      <c r="E2453" s="20">
        <v>1</v>
      </c>
      <c r="F2453" s="8" t="s">
        <v>436</v>
      </c>
      <c r="G2453" s="24">
        <v>1.0551215138400027</v>
      </c>
      <c r="H2453" s="24">
        <v>1.0612303980778814</v>
      </c>
      <c r="I2453" s="25">
        <v>1.079789869331544</v>
      </c>
      <c r="X2453" s="15">
        <v>2452</v>
      </c>
      <c r="Y2453" s="39">
        <v>0.48592655723536665</v>
      </c>
      <c r="Z2453" s="39">
        <v>0.50318831873536618</v>
      </c>
      <c r="AA2453" s="39">
        <v>0.48964228838183976</v>
      </c>
      <c r="AB2453" s="39">
        <v>0.48192936541675124</v>
      </c>
      <c r="AC2453" s="39">
        <v>0.47680720551380668</v>
      </c>
      <c r="AD2453" s="39">
        <v>0.49270429608626998</v>
      </c>
      <c r="AE2453" s="39">
        <v>0.48389885587101239</v>
      </c>
      <c r="AF2453" s="40">
        <v>0.47808829941314346</v>
      </c>
    </row>
    <row r="2454" spans="1:32">
      <c r="A2454" s="15">
        <v>2452</v>
      </c>
      <c r="B2454" s="16">
        <v>0</v>
      </c>
      <c r="C2454" s="20">
        <v>0.02</v>
      </c>
      <c r="D2454" s="20">
        <v>0.99604261948721451</v>
      </c>
      <c r="E2454" s="20">
        <v>1</v>
      </c>
      <c r="F2454" s="8" t="s">
        <v>436</v>
      </c>
      <c r="G2454" s="24">
        <v>1.147785359603305</v>
      </c>
      <c r="H2454" s="24">
        <v>1.154430743855049</v>
      </c>
      <c r="I2454" s="25">
        <v>1.17462016195288</v>
      </c>
      <c r="X2454" s="15">
        <v>2453</v>
      </c>
      <c r="Y2454" s="39">
        <v>0.47958087043618791</v>
      </c>
      <c r="Z2454" s="39">
        <v>0.48631138672846758</v>
      </c>
      <c r="AA2454" s="39">
        <v>0.48537777282306177</v>
      </c>
      <c r="AB2454" s="39">
        <v>0.48552710565613949</v>
      </c>
      <c r="AC2454" s="39">
        <v>0.47409956699837974</v>
      </c>
      <c r="AD2454" s="39">
        <v>0.47717350978706036</v>
      </c>
      <c r="AE2454" s="39">
        <v>0.47787326623944643</v>
      </c>
      <c r="AF2454" s="40">
        <v>0.48391186936911867</v>
      </c>
    </row>
    <row r="2455" spans="1:32">
      <c r="A2455" s="15">
        <v>2453</v>
      </c>
      <c r="B2455" s="16">
        <v>1</v>
      </c>
      <c r="C2455" s="20">
        <v>0.02</v>
      </c>
      <c r="D2455" s="20">
        <v>0.99835916395484214</v>
      </c>
      <c r="E2455" s="20">
        <v>1</v>
      </c>
      <c r="F2455" s="8" t="s">
        <v>436</v>
      </c>
      <c r="G2455" s="24">
        <v>1.1352476062419932</v>
      </c>
      <c r="H2455" s="24">
        <v>1.1418204001021257</v>
      </c>
      <c r="I2455" s="25">
        <v>1.1617892804988081</v>
      </c>
      <c r="X2455" s="15">
        <v>2454</v>
      </c>
      <c r="Y2455" s="39">
        <v>0.46667278144073476</v>
      </c>
      <c r="Z2455" s="39">
        <v>0.4739734442848304</v>
      </c>
      <c r="AA2455" s="39">
        <v>0.48324234157796364</v>
      </c>
      <c r="AB2455" s="39">
        <v>0.50046858641300285</v>
      </c>
      <c r="AC2455" s="39">
        <v>0.46226395924066005</v>
      </c>
      <c r="AD2455" s="39">
        <v>0.46725395384266127</v>
      </c>
      <c r="AE2455" s="39">
        <v>0.47729340549063237</v>
      </c>
      <c r="AF2455" s="40">
        <v>0.49220693980198282</v>
      </c>
    </row>
    <row r="2456" spans="1:32">
      <c r="A2456" s="15">
        <v>2454</v>
      </c>
      <c r="B2456" s="16">
        <v>1</v>
      </c>
      <c r="C2456" s="20">
        <v>0.03</v>
      </c>
      <c r="D2456" s="20">
        <v>0.9956483904099791</v>
      </c>
      <c r="E2456" s="20">
        <v>1</v>
      </c>
      <c r="F2456" s="8" t="s">
        <v>436</v>
      </c>
      <c r="G2456" s="24">
        <v>1.1203382112622482</v>
      </c>
      <c r="H2456" s="24">
        <v>1.1268246835311768</v>
      </c>
      <c r="I2456" s="25">
        <v>1.1465313093117733</v>
      </c>
      <c r="X2456" s="15">
        <v>2455</v>
      </c>
      <c r="Y2456" s="39">
        <v>0.46406016314171278</v>
      </c>
      <c r="Z2456" s="39">
        <v>0.48203872420397531</v>
      </c>
      <c r="AA2456" s="39">
        <v>0.49303439760422374</v>
      </c>
      <c r="AB2456" s="39">
        <v>0.47693535208228188</v>
      </c>
      <c r="AC2456" s="39">
        <v>0.45914173528510799</v>
      </c>
      <c r="AD2456" s="39">
        <v>0.4756032008962035</v>
      </c>
      <c r="AE2456" s="39">
        <v>0.48643295699505085</v>
      </c>
      <c r="AF2456" s="40">
        <v>0.47432435680650192</v>
      </c>
    </row>
    <row r="2457" spans="1:32">
      <c r="A2457" s="15">
        <v>2455</v>
      </c>
      <c r="B2457" s="16">
        <v>0</v>
      </c>
      <c r="C2457" s="20">
        <v>0.11</v>
      </c>
      <c r="D2457" s="20">
        <v>0.92980291159921602</v>
      </c>
      <c r="E2457" s="20">
        <v>0.06</v>
      </c>
      <c r="F2457" s="8" t="s">
        <v>436</v>
      </c>
      <c r="G2457" s="24">
        <v>0.85690753301695488</v>
      </c>
      <c r="H2457" s="24">
        <v>0.8618688089013935</v>
      </c>
      <c r="I2457" s="25">
        <v>0.87694171805684717</v>
      </c>
      <c r="X2457" s="15">
        <v>2456</v>
      </c>
      <c r="Y2457" s="39">
        <v>0.48476608184335834</v>
      </c>
      <c r="Z2457" s="39">
        <v>0.50026328162831135</v>
      </c>
      <c r="AA2457" s="39">
        <v>0.47646890911736695</v>
      </c>
      <c r="AB2457" s="39">
        <v>0.48545880607591474</v>
      </c>
      <c r="AC2457" s="39">
        <v>0.47849133809327249</v>
      </c>
      <c r="AD2457" s="39">
        <v>0.49261811150106322</v>
      </c>
      <c r="AE2457" s="39">
        <v>0.46722941527344675</v>
      </c>
      <c r="AF2457" s="40">
        <v>0.48058563151003431</v>
      </c>
    </row>
    <row r="2458" spans="1:32">
      <c r="A2458" s="15">
        <v>2456</v>
      </c>
      <c r="B2458" s="16">
        <v>1</v>
      </c>
      <c r="C2458" s="20">
        <v>0.02</v>
      </c>
      <c r="D2458" s="20">
        <v>0.99756714174924133</v>
      </c>
      <c r="E2458" s="20">
        <v>1</v>
      </c>
      <c r="F2458" s="8" t="s">
        <v>436</v>
      </c>
      <c r="G2458" s="24">
        <v>0.98815876151146442</v>
      </c>
      <c r="H2458" s="24">
        <v>0.99387994850607864</v>
      </c>
      <c r="I2458" s="25">
        <v>1.0112615523192561</v>
      </c>
      <c r="X2458" s="15">
        <v>2457</v>
      </c>
      <c r="Y2458" s="39">
        <v>0.47573901806835045</v>
      </c>
      <c r="Z2458" s="39">
        <v>0.48905789610791289</v>
      </c>
      <c r="AA2458" s="39">
        <v>0.48049158584810053</v>
      </c>
      <c r="AB2458" s="39">
        <v>0.4903927868293857</v>
      </c>
      <c r="AC2458" s="39">
        <v>0.4688916353732514</v>
      </c>
      <c r="AD2458" s="39">
        <v>0.48288972925509699</v>
      </c>
      <c r="AE2458" s="39">
        <v>0.47583487453341844</v>
      </c>
      <c r="AF2458" s="40">
        <v>0.48749024785626432</v>
      </c>
    </row>
    <row r="2459" spans="1:32">
      <c r="A2459" s="15">
        <v>2457</v>
      </c>
      <c r="B2459" s="16">
        <v>1</v>
      </c>
      <c r="C2459" s="20">
        <v>0.02</v>
      </c>
      <c r="D2459" s="20">
        <v>0.99604261948721451</v>
      </c>
      <c r="E2459" s="20">
        <v>1</v>
      </c>
      <c r="F2459" s="8" t="s">
        <v>436</v>
      </c>
      <c r="G2459" s="24">
        <v>1.0141320007339298</v>
      </c>
      <c r="H2459" s="24">
        <v>1.0200035661537885</v>
      </c>
      <c r="I2459" s="25">
        <v>1.03784203638509</v>
      </c>
      <c r="X2459" s="15">
        <v>2458</v>
      </c>
      <c r="Y2459" s="39">
        <v>0.48735766661585717</v>
      </c>
      <c r="Z2459" s="39">
        <v>0.48604873018569744</v>
      </c>
      <c r="AA2459" s="39">
        <v>0.50033980133544709</v>
      </c>
      <c r="AB2459" s="39">
        <v>0.48500099110861139</v>
      </c>
      <c r="AC2459" s="39">
        <v>0.48099733754112511</v>
      </c>
      <c r="AD2459" s="39">
        <v>0.48014868812831457</v>
      </c>
      <c r="AE2459" s="39">
        <v>0.49279175134339764</v>
      </c>
      <c r="AF2459" s="40">
        <v>0.48233035175246236</v>
      </c>
    </row>
    <row r="2460" spans="1:32">
      <c r="A2460" s="15">
        <v>2458</v>
      </c>
      <c r="B2460" s="16">
        <v>1</v>
      </c>
      <c r="C2460" s="20">
        <v>0.02</v>
      </c>
      <c r="D2460" s="20">
        <v>0.99835916395484214</v>
      </c>
      <c r="E2460" s="20">
        <v>1</v>
      </c>
      <c r="F2460" s="8" t="s">
        <v>436</v>
      </c>
      <c r="G2460" s="24">
        <v>0.94208166785815284</v>
      </c>
      <c r="H2460" s="24">
        <v>0.94753608024201963</v>
      </c>
      <c r="I2460" s="25">
        <v>0.96410719305118109</v>
      </c>
      <c r="X2460" s="15">
        <v>2459</v>
      </c>
      <c r="Y2460" s="39">
        <v>0.49493917574446056</v>
      </c>
      <c r="Z2460" s="39">
        <v>0.48708004025251833</v>
      </c>
      <c r="AA2460" s="39">
        <v>0.49330156841087064</v>
      </c>
      <c r="AB2460" s="39">
        <v>0.48584056440355383</v>
      </c>
      <c r="AC2460" s="39">
        <v>0.48744439859078403</v>
      </c>
      <c r="AD2460" s="39">
        <v>0.48251011141425376</v>
      </c>
      <c r="AE2460" s="39">
        <v>0.48622353951545316</v>
      </c>
      <c r="AF2460" s="40">
        <v>0.47915209624253907</v>
      </c>
    </row>
    <row r="2461" spans="1:32">
      <c r="A2461" s="15">
        <v>2459</v>
      </c>
      <c r="B2461" s="16">
        <v>0</v>
      </c>
      <c r="C2461" s="20">
        <v>0.02</v>
      </c>
      <c r="D2461" s="20">
        <v>0.99917029198757767</v>
      </c>
      <c r="E2461" s="20">
        <v>1</v>
      </c>
      <c r="F2461" s="8" t="s">
        <v>436</v>
      </c>
      <c r="G2461" s="24">
        <v>1.0361855097839585</v>
      </c>
      <c r="H2461" s="24">
        <v>1.0421847593919022</v>
      </c>
      <c r="I2461" s="25">
        <v>1.0604111484191789</v>
      </c>
      <c r="X2461" s="15">
        <v>2460</v>
      </c>
      <c r="Y2461" s="39">
        <v>0.4834873089209159</v>
      </c>
      <c r="Z2461" s="39">
        <v>0.49410715206114736</v>
      </c>
      <c r="AA2461" s="39">
        <v>0.48989746777985288</v>
      </c>
      <c r="AB2461" s="39">
        <v>0.49364984016909691</v>
      </c>
      <c r="AC2461" s="39">
        <v>0.47771715478300575</v>
      </c>
      <c r="AD2461" s="39">
        <v>0.48588025688329767</v>
      </c>
      <c r="AE2461" s="39">
        <v>0.48320702671778687</v>
      </c>
      <c r="AF2461" s="40">
        <v>0.49324109459096432</v>
      </c>
    </row>
    <row r="2462" spans="1:32">
      <c r="A2462" s="15">
        <v>2460</v>
      </c>
      <c r="B2462" s="16">
        <v>0</v>
      </c>
      <c r="C2462" s="20">
        <v>0.02</v>
      </c>
      <c r="D2462" s="20">
        <v>0.99917029198757767</v>
      </c>
      <c r="E2462" s="20">
        <v>1</v>
      </c>
      <c r="F2462" s="8" t="s">
        <v>436</v>
      </c>
      <c r="G2462" s="24">
        <v>1.0258233052306927</v>
      </c>
      <c r="H2462" s="24">
        <v>1.0317625603192992</v>
      </c>
      <c r="I2462" s="25">
        <v>1.0498066793094207</v>
      </c>
      <c r="X2462" s="15">
        <v>2461</v>
      </c>
      <c r="Y2462" s="39">
        <v>0.49789788202195673</v>
      </c>
      <c r="Z2462" s="39">
        <v>0.48860748582420183</v>
      </c>
      <c r="AA2462" s="39">
        <v>0.48786094181779377</v>
      </c>
      <c r="AB2462" s="39">
        <v>0.48857057063208503</v>
      </c>
      <c r="AC2462" s="39">
        <v>0.49100064931345716</v>
      </c>
      <c r="AD2462" s="39">
        <v>0.48045648292845911</v>
      </c>
      <c r="AE2462" s="39">
        <v>0.48049104961043509</v>
      </c>
      <c r="AF2462" s="40">
        <v>0.48432899789589728</v>
      </c>
    </row>
    <row r="2463" spans="1:32">
      <c r="A2463" s="15">
        <v>2461</v>
      </c>
      <c r="B2463" s="16">
        <v>0</v>
      </c>
      <c r="C2463" s="20">
        <v>0.49</v>
      </c>
      <c r="D2463" s="20">
        <v>0.60393662212401567</v>
      </c>
      <c r="E2463" s="20">
        <v>0.05</v>
      </c>
      <c r="F2463" s="8" t="s">
        <v>436</v>
      </c>
      <c r="G2463" s="24">
        <v>1.3812078895190909</v>
      </c>
      <c r="H2463" s="24">
        <v>1.3892047306362898</v>
      </c>
      <c r="I2463" s="25">
        <v>1.4135000253342129</v>
      </c>
      <c r="X2463" s="15">
        <v>2462</v>
      </c>
      <c r="Y2463" s="39">
        <v>0.493467557499285</v>
      </c>
      <c r="Z2463" s="39">
        <v>0.48904301213522106</v>
      </c>
      <c r="AA2463" s="39">
        <v>0.48120193226689334</v>
      </c>
      <c r="AB2463" s="39">
        <v>0.49075193865689326</v>
      </c>
      <c r="AC2463" s="39">
        <v>0.48752353189011666</v>
      </c>
      <c r="AD2463" s="39">
        <v>0.48364613136276868</v>
      </c>
      <c r="AE2463" s="39">
        <v>0.47394638112141391</v>
      </c>
      <c r="AF2463" s="40">
        <v>0.4873826304541416</v>
      </c>
    </row>
    <row r="2464" spans="1:32">
      <c r="A2464" s="15">
        <v>2462</v>
      </c>
      <c r="B2464" s="16">
        <v>1</v>
      </c>
      <c r="C2464" s="20">
        <v>0.02</v>
      </c>
      <c r="D2464" s="20">
        <v>0.99835916395484214</v>
      </c>
      <c r="E2464" s="20">
        <v>1</v>
      </c>
      <c r="F2464" s="8" t="s">
        <v>436</v>
      </c>
      <c r="G2464" s="24">
        <v>1.0775977543514943</v>
      </c>
      <c r="H2464" s="24">
        <v>1.0838367702847147</v>
      </c>
      <c r="I2464" s="25">
        <v>1.1027915961342145</v>
      </c>
      <c r="X2464" s="15">
        <v>2463</v>
      </c>
      <c r="Y2464" s="39">
        <v>0.48368536842747395</v>
      </c>
      <c r="Z2464" s="39">
        <v>0.47494143034649755</v>
      </c>
      <c r="AA2464" s="39">
        <v>0.48381739463926837</v>
      </c>
      <c r="AB2464" s="39">
        <v>0.47714084980774196</v>
      </c>
      <c r="AC2464" s="39">
        <v>0.47622155080069162</v>
      </c>
      <c r="AD2464" s="39">
        <v>0.46940322096472059</v>
      </c>
      <c r="AE2464" s="39">
        <v>0.47781762802896116</v>
      </c>
      <c r="AF2464" s="40">
        <v>0.47427338253944507</v>
      </c>
    </row>
    <row r="2465" spans="1:32">
      <c r="A2465" s="15">
        <v>2463</v>
      </c>
      <c r="B2465" s="16">
        <v>0</v>
      </c>
      <c r="C2465" s="20">
        <v>0.88</v>
      </c>
      <c r="D2465" s="20">
        <v>0.25930874124763043</v>
      </c>
      <c r="E2465" s="20">
        <v>0.12</v>
      </c>
      <c r="F2465" s="8" t="s">
        <v>434</v>
      </c>
      <c r="G2465" s="24">
        <v>2.0708847551332719</v>
      </c>
      <c r="H2465" s="24">
        <v>2.0828746492574619</v>
      </c>
      <c r="I2465" s="25">
        <v>1.6578926537592125</v>
      </c>
      <c r="X2465" s="15">
        <v>2464</v>
      </c>
      <c r="Y2465" s="39">
        <v>0.47320863372555655</v>
      </c>
      <c r="Z2465" s="39">
        <v>0.47584993811135445</v>
      </c>
      <c r="AA2465" s="39">
        <v>0.47862562504019707</v>
      </c>
      <c r="AB2465" s="39">
        <v>0.49053689090657621</v>
      </c>
      <c r="AC2465" s="39">
        <v>0.46683230181888097</v>
      </c>
      <c r="AD2465" s="39">
        <v>0.47028622303141121</v>
      </c>
      <c r="AE2465" s="39">
        <v>0.47097352871317649</v>
      </c>
      <c r="AF2465" s="40">
        <v>0.48673832939767808</v>
      </c>
    </row>
    <row r="2466" spans="1:32">
      <c r="A2466" s="15">
        <v>2464</v>
      </c>
      <c r="B2466" s="16">
        <v>1</v>
      </c>
      <c r="C2466" s="20">
        <v>0.17</v>
      </c>
      <c r="D2466" s="20">
        <v>0.78475985765711109</v>
      </c>
      <c r="E2466" s="20">
        <v>0.09</v>
      </c>
      <c r="F2466" s="8" t="s">
        <v>436</v>
      </c>
      <c r="G2466" s="24">
        <v>0.98841358870320595</v>
      </c>
      <c r="H2466" s="24">
        <v>0.99413625108221393</v>
      </c>
      <c r="I2466" s="25">
        <v>1.0115223372776361</v>
      </c>
      <c r="X2466" s="15">
        <v>2465</v>
      </c>
      <c r="Y2466" s="39">
        <v>0.47065064876629464</v>
      </c>
      <c r="Z2466" s="39">
        <v>0.47898967067082721</v>
      </c>
      <c r="AA2466" s="39">
        <v>0.46958031552927015</v>
      </c>
      <c r="AB2466" s="39">
        <v>0.488475732123613</v>
      </c>
      <c r="AC2466" s="39">
        <v>0.46454535457190316</v>
      </c>
      <c r="AD2466" s="39">
        <v>0.47135701226364241</v>
      </c>
      <c r="AE2466" s="39">
        <v>0.46131504249646532</v>
      </c>
      <c r="AF2466" s="40">
        <v>0.4866501048048254</v>
      </c>
    </row>
    <row r="2467" spans="1:32">
      <c r="A2467" s="15">
        <v>2465</v>
      </c>
      <c r="B2467" s="16">
        <v>1</v>
      </c>
      <c r="C2467" s="20">
        <v>0.21</v>
      </c>
      <c r="D2467" s="20">
        <v>0.84560939259354395</v>
      </c>
      <c r="E2467" s="20">
        <v>7.0000000000000007E-2</v>
      </c>
      <c r="F2467" s="8" t="s">
        <v>436</v>
      </c>
      <c r="G2467" s="24">
        <v>0.91079360243998986</v>
      </c>
      <c r="H2467" s="24">
        <v>0.91606686491158618</v>
      </c>
      <c r="I2467" s="25">
        <v>0.93208762409503332</v>
      </c>
      <c r="X2467" s="15">
        <v>2466</v>
      </c>
      <c r="Y2467" s="39">
        <v>0.47063638919487005</v>
      </c>
      <c r="Z2467" s="39">
        <v>0.49687472172967256</v>
      </c>
      <c r="AA2467" s="39">
        <v>0.48309193431419006</v>
      </c>
      <c r="AB2467" s="39">
        <v>0.49483694220474661</v>
      </c>
      <c r="AC2467" s="39">
        <v>0.46556027417974116</v>
      </c>
      <c r="AD2467" s="39">
        <v>0.48937413204925945</v>
      </c>
      <c r="AE2467" s="39">
        <v>0.47808932468383947</v>
      </c>
      <c r="AF2467" s="40">
        <v>0.4900458842199259</v>
      </c>
    </row>
    <row r="2468" spans="1:32">
      <c r="A2468" s="15">
        <v>2466</v>
      </c>
      <c r="B2468" s="16">
        <v>1</v>
      </c>
      <c r="C2468" s="20">
        <v>0.92</v>
      </c>
      <c r="D2468" s="20">
        <v>0.20258497911151899</v>
      </c>
      <c r="E2468" s="20">
        <v>0.08</v>
      </c>
      <c r="F2468" s="8" t="s">
        <v>434</v>
      </c>
      <c r="G2468" s="24">
        <v>1.3816058139733822</v>
      </c>
      <c r="H2468" s="24">
        <v>1.3896049589715984</v>
      </c>
      <c r="I2468" s="25">
        <v>1.4139072531168588</v>
      </c>
      <c r="X2468" s="15">
        <v>2467</v>
      </c>
      <c r="Y2468" s="39">
        <v>0.48910698235652017</v>
      </c>
      <c r="Z2468" s="39">
        <v>0.50175671502970709</v>
      </c>
      <c r="AA2468" s="39">
        <v>0.49218685795634087</v>
      </c>
      <c r="AB2468" s="39">
        <v>0.49320630423741435</v>
      </c>
      <c r="AC2468" s="39">
        <v>0.48265838551617185</v>
      </c>
      <c r="AD2468" s="39">
        <v>0.49271643269628757</v>
      </c>
      <c r="AE2468" s="39">
        <v>0.48318848892161331</v>
      </c>
      <c r="AF2468" s="40">
        <v>0.48665236615530066</v>
      </c>
    </row>
    <row r="2469" spans="1:32">
      <c r="A2469" s="15">
        <v>2467</v>
      </c>
      <c r="B2469" s="16">
        <v>0</v>
      </c>
      <c r="C2469" s="20">
        <v>0.02</v>
      </c>
      <c r="D2469" s="20">
        <v>0.99835916395484214</v>
      </c>
      <c r="E2469" s="20">
        <v>1</v>
      </c>
      <c r="F2469" s="8" t="s">
        <v>436</v>
      </c>
      <c r="G2469" s="24">
        <v>1.0712839279890105</v>
      </c>
      <c r="H2469" s="24">
        <v>1.0774863884792412</v>
      </c>
      <c r="I2469" s="25">
        <v>1.0963301548182125</v>
      </c>
      <c r="X2469" s="15">
        <v>2468</v>
      </c>
      <c r="Y2469" s="39">
        <v>0.49085341862219495</v>
      </c>
      <c r="Z2469" s="39">
        <v>0.484765510615978</v>
      </c>
      <c r="AA2469" s="39">
        <v>0.48452202101588965</v>
      </c>
      <c r="AB2469" s="39">
        <v>0.47393251750677623</v>
      </c>
      <c r="AC2469" s="39">
        <v>0.48324615357106881</v>
      </c>
      <c r="AD2469" s="39">
        <v>0.47744077166944404</v>
      </c>
      <c r="AE2469" s="39">
        <v>0.47677420181504043</v>
      </c>
      <c r="AF2469" s="40">
        <v>0.46662066456661666</v>
      </c>
    </row>
    <row r="2470" spans="1:32">
      <c r="A2470" s="15">
        <v>2468</v>
      </c>
      <c r="B2470" s="16">
        <v>1</v>
      </c>
      <c r="C2470" s="20">
        <v>0.02</v>
      </c>
      <c r="D2470" s="20">
        <v>0.99604261948721451</v>
      </c>
      <c r="E2470" s="20">
        <v>1</v>
      </c>
      <c r="F2470" s="8" t="s">
        <v>436</v>
      </c>
      <c r="G2470" s="24">
        <v>1.0721580535109017</v>
      </c>
      <c r="H2470" s="24">
        <v>1.0783655749647771</v>
      </c>
      <c r="I2470" s="25">
        <v>1.0972247170754326</v>
      </c>
      <c r="X2470" s="15">
        <v>2469</v>
      </c>
      <c r="Y2470" s="39">
        <v>0.48856366042839905</v>
      </c>
      <c r="Z2470" s="39">
        <v>0.49609747395683446</v>
      </c>
      <c r="AA2470" s="39">
        <v>0.47682912502032071</v>
      </c>
      <c r="AB2470" s="39">
        <v>0.48388628171932863</v>
      </c>
      <c r="AC2470" s="39">
        <v>0.47898340077895907</v>
      </c>
      <c r="AD2470" s="39">
        <v>0.48718904153522241</v>
      </c>
      <c r="AE2470" s="39">
        <v>0.46889541198544271</v>
      </c>
      <c r="AF2470" s="40">
        <v>0.48031202410889573</v>
      </c>
    </row>
    <row r="2471" spans="1:32">
      <c r="A2471" s="15">
        <v>2469</v>
      </c>
      <c r="B2471" s="16">
        <v>1</v>
      </c>
      <c r="C2471" s="20">
        <v>0.02</v>
      </c>
      <c r="D2471" s="20">
        <v>0.99835916395484214</v>
      </c>
      <c r="E2471" s="20">
        <v>1</v>
      </c>
      <c r="F2471" s="8" t="s">
        <v>436</v>
      </c>
      <c r="G2471" s="24">
        <v>1.0601978228783884</v>
      </c>
      <c r="H2471" s="24">
        <v>1.0663360976498355</v>
      </c>
      <c r="I2471" s="25">
        <v>1.0849848606205532</v>
      </c>
      <c r="X2471" s="15">
        <v>2470</v>
      </c>
      <c r="Y2471" s="39">
        <v>0.4805185278664556</v>
      </c>
      <c r="Z2471" s="39">
        <v>0.48067250425970276</v>
      </c>
      <c r="AA2471" s="39">
        <v>0.48055780974156398</v>
      </c>
      <c r="AB2471" s="39">
        <v>0.50350527388355992</v>
      </c>
      <c r="AC2471" s="39">
        <v>0.47326622750403269</v>
      </c>
      <c r="AD2471" s="39">
        <v>0.47160330328875744</v>
      </c>
      <c r="AE2471" s="39">
        <v>0.47334174458220418</v>
      </c>
      <c r="AF2471" s="40">
        <v>0.50024829618274624</v>
      </c>
    </row>
    <row r="2472" spans="1:32">
      <c r="A2472" s="15">
        <v>2470</v>
      </c>
      <c r="B2472" s="16">
        <v>1</v>
      </c>
      <c r="C2472" s="20">
        <v>0.34</v>
      </c>
      <c r="D2472" s="20">
        <v>0.61177079434118731</v>
      </c>
      <c r="E2472" s="20">
        <v>7.0000000000000007E-2</v>
      </c>
      <c r="F2472" s="8" t="s">
        <v>436</v>
      </c>
      <c r="G2472" s="24">
        <v>1.3551942421793011</v>
      </c>
      <c r="H2472" s="24">
        <v>1.3630404709185706</v>
      </c>
      <c r="I2472" s="25">
        <v>1.3868781884240349</v>
      </c>
      <c r="X2472" s="15">
        <v>2471</v>
      </c>
      <c r="Y2472" s="39">
        <v>0.50732319026251593</v>
      </c>
      <c r="Z2472" s="39">
        <v>0.482776487129361</v>
      </c>
      <c r="AA2472" s="39">
        <v>0.47935311370443034</v>
      </c>
      <c r="AB2472" s="39">
        <v>0.48558039360670446</v>
      </c>
      <c r="AC2472" s="39">
        <v>0.49887689453502709</v>
      </c>
      <c r="AD2472" s="39">
        <v>0.47650760743775822</v>
      </c>
      <c r="AE2472" s="39">
        <v>0.47474833513702691</v>
      </c>
      <c r="AF2472" s="40">
        <v>0.48280330650250497</v>
      </c>
    </row>
    <row r="2473" spans="1:32">
      <c r="A2473" s="15">
        <v>2471</v>
      </c>
      <c r="B2473" s="16">
        <v>1</v>
      </c>
      <c r="C2473" s="20">
        <v>0.96</v>
      </c>
      <c r="D2473" s="20">
        <v>0.13880369068795359</v>
      </c>
      <c r="E2473" s="20">
        <v>0.04</v>
      </c>
      <c r="F2473" s="8" t="s">
        <v>434</v>
      </c>
      <c r="G2473" s="24">
        <v>0.71444250686153099</v>
      </c>
      <c r="H2473" s="24">
        <v>0.71857894660973876</v>
      </c>
      <c r="I2473" s="25">
        <v>0.73114591164131515</v>
      </c>
      <c r="X2473" s="15">
        <v>2472</v>
      </c>
      <c r="Y2473" s="39">
        <v>0.48734672883577174</v>
      </c>
      <c r="Z2473" s="39">
        <v>0.49587112731570415</v>
      </c>
      <c r="AA2473" s="39">
        <v>0.46814916270013079</v>
      </c>
      <c r="AB2473" s="39">
        <v>0.4795303532329554</v>
      </c>
      <c r="AC2473" s="39">
        <v>0.48151901135705477</v>
      </c>
      <c r="AD2473" s="39">
        <v>0.48696510929480824</v>
      </c>
      <c r="AE2473" s="39">
        <v>0.46224513614331364</v>
      </c>
      <c r="AF2473" s="40">
        <v>0.47456298425765325</v>
      </c>
    </row>
    <row r="2474" spans="1:32">
      <c r="A2474" s="15">
        <v>2472</v>
      </c>
      <c r="B2474" s="16">
        <v>0</v>
      </c>
      <c r="C2474" s="20">
        <v>0.15</v>
      </c>
      <c r="D2474" s="20">
        <v>0.81812602528606226</v>
      </c>
      <c r="E2474" s="20">
        <v>0.46</v>
      </c>
      <c r="F2474" s="8" t="s">
        <v>436</v>
      </c>
      <c r="G2474" s="24">
        <v>1.23761834210356</v>
      </c>
      <c r="H2474" s="24">
        <v>1.244783836393474</v>
      </c>
      <c r="I2474" s="25">
        <v>1.2665534067623707</v>
      </c>
      <c r="X2474" s="15">
        <v>2473</v>
      </c>
      <c r="Y2474" s="39">
        <v>0.48140938643991338</v>
      </c>
      <c r="Z2474" s="39">
        <v>0.4825593516356837</v>
      </c>
      <c r="AA2474" s="39">
        <v>0.47500998822415169</v>
      </c>
      <c r="AB2474" s="39">
        <v>0.48716958483878114</v>
      </c>
      <c r="AC2474" s="39">
        <v>0.47652434709541819</v>
      </c>
      <c r="AD2474" s="39">
        <v>0.4750998464234284</v>
      </c>
      <c r="AE2474" s="39">
        <v>0.46561365868744653</v>
      </c>
      <c r="AF2474" s="40">
        <v>0.48451083210532647</v>
      </c>
    </row>
    <row r="2475" spans="1:32">
      <c r="A2475" s="15">
        <v>2473</v>
      </c>
      <c r="B2475" s="16">
        <v>0</v>
      </c>
      <c r="C2475" s="20">
        <v>0.03</v>
      </c>
      <c r="D2475" s="20">
        <v>0.99344694056334126</v>
      </c>
      <c r="E2475" s="20">
        <v>1</v>
      </c>
      <c r="F2475" s="8" t="s">
        <v>436</v>
      </c>
      <c r="G2475" s="24">
        <v>1.1405881766363801</v>
      </c>
      <c r="H2475" s="24">
        <v>1.1471918910358776</v>
      </c>
      <c r="I2475" s="25">
        <v>1.1672547114777707</v>
      </c>
      <c r="X2475" s="15">
        <v>2474</v>
      </c>
      <c r="Y2475" s="39">
        <v>0.47324879730644159</v>
      </c>
      <c r="Z2475" s="39">
        <v>0.48949974199807833</v>
      </c>
      <c r="AA2475" s="39">
        <v>0.47578060966810004</v>
      </c>
      <c r="AB2475" s="39">
        <v>0.48526509757657643</v>
      </c>
      <c r="AC2475" s="39">
        <v>0.46848138274328738</v>
      </c>
      <c r="AD2475" s="39">
        <v>0.48168110614221005</v>
      </c>
      <c r="AE2475" s="39">
        <v>0.46987028125441294</v>
      </c>
      <c r="AF2475" s="40">
        <v>0.48198142253373433</v>
      </c>
    </row>
    <row r="2476" spans="1:32">
      <c r="A2476" s="15">
        <v>2474</v>
      </c>
      <c r="B2476" s="16">
        <v>1</v>
      </c>
      <c r="C2476" s="20">
        <v>0.11</v>
      </c>
      <c r="D2476" s="20">
        <v>0.90111183860184341</v>
      </c>
      <c r="E2476" s="20">
        <v>0.08</v>
      </c>
      <c r="F2476" s="8" t="s">
        <v>436</v>
      </c>
      <c r="G2476" s="24">
        <v>0.99082326371842455</v>
      </c>
      <c r="H2476" s="24">
        <v>0.99655987750068398</v>
      </c>
      <c r="I2476" s="25">
        <v>1.0139883496143052</v>
      </c>
      <c r="X2476" s="15">
        <v>2475</v>
      </c>
      <c r="Y2476" s="39">
        <v>0.48150138102687118</v>
      </c>
      <c r="Z2476" s="39">
        <v>0.49087167402881432</v>
      </c>
      <c r="AA2476" s="39">
        <v>0.49575525559028077</v>
      </c>
      <c r="AB2476" s="39">
        <v>0.4731984026254708</v>
      </c>
      <c r="AC2476" s="39">
        <v>0.47565630347150573</v>
      </c>
      <c r="AD2476" s="39">
        <v>0.48514220351784726</v>
      </c>
      <c r="AE2476" s="39">
        <v>0.48884917943138073</v>
      </c>
      <c r="AF2476" s="40">
        <v>0.4685413269418538</v>
      </c>
    </row>
    <row r="2477" spans="1:32">
      <c r="A2477" s="15">
        <v>2475</v>
      </c>
      <c r="B2477" s="16">
        <v>1</v>
      </c>
      <c r="C2477" s="20">
        <v>0.03</v>
      </c>
      <c r="D2477" s="20">
        <v>0.9956483904099791</v>
      </c>
      <c r="E2477" s="20">
        <v>1</v>
      </c>
      <c r="F2477" s="8" t="s">
        <v>436</v>
      </c>
      <c r="G2477" s="24">
        <v>1.0211006048012248</v>
      </c>
      <c r="H2477" s="24">
        <v>1.0270125166598474</v>
      </c>
      <c r="I2477" s="25">
        <v>1.0449735638694104</v>
      </c>
      <c r="X2477" s="15">
        <v>2476</v>
      </c>
      <c r="Y2477" s="39">
        <v>0.49269706491661647</v>
      </c>
      <c r="Z2477" s="39">
        <v>0.47384573098104371</v>
      </c>
      <c r="AA2477" s="39">
        <v>0.48058953893039286</v>
      </c>
      <c r="AB2477" s="39">
        <v>0.48779932341817378</v>
      </c>
      <c r="AC2477" s="39">
        <v>0.48545168022020935</v>
      </c>
      <c r="AD2477" s="39">
        <v>0.46698124770822302</v>
      </c>
      <c r="AE2477" s="39">
        <v>0.47686893071508774</v>
      </c>
      <c r="AF2477" s="40">
        <v>0.48599724790188004</v>
      </c>
    </row>
    <row r="2478" spans="1:32">
      <c r="A2478" s="15">
        <v>2476</v>
      </c>
      <c r="B2478" s="16">
        <v>0</v>
      </c>
      <c r="C2478" s="20">
        <v>0.02</v>
      </c>
      <c r="D2478" s="20">
        <v>0.99756714174924133</v>
      </c>
      <c r="E2478" s="20">
        <v>1</v>
      </c>
      <c r="F2478" s="8" t="s">
        <v>436</v>
      </c>
      <c r="G2478" s="24">
        <v>1.1459060738629352</v>
      </c>
      <c r="H2478" s="24">
        <v>1.1525405775299433</v>
      </c>
      <c r="I2478" s="25">
        <v>1.1726969391985214</v>
      </c>
      <c r="X2478" s="15">
        <v>2477</v>
      </c>
      <c r="Y2478" s="39">
        <v>0.47645348667272058</v>
      </c>
      <c r="Z2478" s="39">
        <v>0.48389187202556927</v>
      </c>
      <c r="AA2478" s="39">
        <v>0.48442695337729968</v>
      </c>
      <c r="AB2478" s="39">
        <v>0.49338498629252048</v>
      </c>
      <c r="AC2478" s="39">
        <v>0.46899460879181437</v>
      </c>
      <c r="AD2478" s="39">
        <v>0.47585304221403923</v>
      </c>
      <c r="AE2478" s="39">
        <v>0.47853217497946332</v>
      </c>
      <c r="AF2478" s="40">
        <v>0.49064123817632871</v>
      </c>
    </row>
    <row r="2479" spans="1:32">
      <c r="A2479" s="15">
        <v>2477</v>
      </c>
      <c r="B2479" s="16">
        <v>0</v>
      </c>
      <c r="C2479" s="20">
        <v>0.28000000000000003</v>
      </c>
      <c r="D2479" s="20">
        <v>0.83831536125887962</v>
      </c>
      <c r="E2479" s="20">
        <v>0.47</v>
      </c>
      <c r="F2479" s="8" t="s">
        <v>436</v>
      </c>
      <c r="G2479" s="24">
        <v>1.0638646149855315</v>
      </c>
      <c r="H2479" s="24">
        <v>1.0700241195473041</v>
      </c>
      <c r="I2479" s="25">
        <v>1.0887373809874523</v>
      </c>
      <c r="X2479" s="15">
        <v>2478</v>
      </c>
      <c r="Y2479" s="39">
        <v>0.4724744008531615</v>
      </c>
      <c r="Z2479" s="39">
        <v>0.49597966746027206</v>
      </c>
      <c r="AA2479" s="39">
        <v>0.49181057777837656</v>
      </c>
      <c r="AB2479" s="39">
        <v>0.49754485392138137</v>
      </c>
      <c r="AC2479" s="39">
        <v>0.46558575445556716</v>
      </c>
      <c r="AD2479" s="39">
        <v>0.49091927438604444</v>
      </c>
      <c r="AE2479" s="39">
        <v>0.48539435031066297</v>
      </c>
      <c r="AF2479" s="40">
        <v>0.49216741356216998</v>
      </c>
    </row>
    <row r="2480" spans="1:32">
      <c r="A2480" s="15">
        <v>2478</v>
      </c>
      <c r="B2480" s="16">
        <v>1</v>
      </c>
      <c r="C2480" s="20">
        <v>0.13</v>
      </c>
      <c r="D2480" s="20">
        <v>0.86746786359302419</v>
      </c>
      <c r="E2480" s="20">
        <v>0.4</v>
      </c>
      <c r="F2480" s="8" t="s">
        <v>436</v>
      </c>
      <c r="G2480" s="24">
        <v>0.97026739348630542</v>
      </c>
      <c r="H2480" s="24">
        <v>0.97588499402695272</v>
      </c>
      <c r="I2480" s="25">
        <v>0.99295189064650724</v>
      </c>
      <c r="X2480" s="15">
        <v>2479</v>
      </c>
      <c r="Y2480" s="39">
        <v>0.48802602255749128</v>
      </c>
      <c r="Z2480" s="39">
        <v>0.48821897920398094</v>
      </c>
      <c r="AA2480" s="39">
        <v>0.49027780808072069</v>
      </c>
      <c r="AB2480" s="39">
        <v>0.49662207558892313</v>
      </c>
      <c r="AC2480" s="39">
        <v>0.47945437306413552</v>
      </c>
      <c r="AD2480" s="39">
        <v>0.4817492495096643</v>
      </c>
      <c r="AE2480" s="39">
        <v>0.48147432880078828</v>
      </c>
      <c r="AF2480" s="40">
        <v>0.49140947889875752</v>
      </c>
    </row>
    <row r="2481" spans="1:32">
      <c r="A2481" s="15">
        <v>2479</v>
      </c>
      <c r="B2481" s="16">
        <v>1</v>
      </c>
      <c r="C2481" s="20">
        <v>0.02</v>
      </c>
      <c r="D2481" s="20">
        <v>0.99917029198757767</v>
      </c>
      <c r="E2481" s="20">
        <v>1</v>
      </c>
      <c r="F2481" s="8" t="s">
        <v>436</v>
      </c>
      <c r="G2481" s="24">
        <v>1.041241564494918</v>
      </c>
      <c r="H2481" s="24">
        <v>1.0472700873690444</v>
      </c>
      <c r="I2481" s="25">
        <v>1.065585411841987</v>
      </c>
      <c r="X2481" s="15">
        <v>2480</v>
      </c>
      <c r="Y2481" s="39">
        <v>0.48520574786009635</v>
      </c>
      <c r="Z2481" s="39">
        <v>0.483434198427867</v>
      </c>
      <c r="AA2481" s="39">
        <v>0.48001843006728473</v>
      </c>
      <c r="AB2481" s="39">
        <v>0.4982339080270583</v>
      </c>
      <c r="AC2481" s="39">
        <v>0.4765297667274252</v>
      </c>
      <c r="AD2481" s="39">
        <v>0.47689490068052115</v>
      </c>
      <c r="AE2481" s="39">
        <v>0.47217336645313646</v>
      </c>
      <c r="AF2481" s="40">
        <v>0.49124535822446425</v>
      </c>
    </row>
    <row r="2482" spans="1:32">
      <c r="A2482" s="15">
        <v>2480</v>
      </c>
      <c r="B2482" s="16">
        <v>1</v>
      </c>
      <c r="C2482" s="20">
        <v>0.88</v>
      </c>
      <c r="D2482" s="20">
        <v>0.25930874124763043</v>
      </c>
      <c r="E2482" s="20">
        <v>0.12</v>
      </c>
      <c r="F2482" s="8" t="s">
        <v>434</v>
      </c>
      <c r="G2482" s="24">
        <v>0.86923669680388693</v>
      </c>
      <c r="H2482" s="24">
        <v>0.87426935539954531</v>
      </c>
      <c r="I2482" s="25">
        <v>0.88955913318850122</v>
      </c>
      <c r="X2482" s="15">
        <v>2481</v>
      </c>
      <c r="Y2482" s="39">
        <v>0.50370428812732471</v>
      </c>
      <c r="Z2482" s="39">
        <v>0.47240945201271428</v>
      </c>
      <c r="AA2482" s="39">
        <v>0.48696996393570857</v>
      </c>
      <c r="AB2482" s="39">
        <v>0.48597122591117226</v>
      </c>
      <c r="AC2482" s="39">
        <v>0.49580047880966854</v>
      </c>
      <c r="AD2482" s="39">
        <v>0.46765156201445918</v>
      </c>
      <c r="AE2482" s="39">
        <v>0.47959282193644909</v>
      </c>
      <c r="AF2482" s="40">
        <v>0.48177806659606603</v>
      </c>
    </row>
    <row r="2483" spans="1:32">
      <c r="A2483" s="15">
        <v>2481</v>
      </c>
      <c r="B2483" s="16">
        <v>0</v>
      </c>
      <c r="C2483" s="20">
        <v>0.02</v>
      </c>
      <c r="D2483" s="20">
        <v>0.99917029198757767</v>
      </c>
      <c r="E2483" s="20">
        <v>1</v>
      </c>
      <c r="F2483" s="8" t="s">
        <v>436</v>
      </c>
      <c r="G2483" s="24">
        <v>0.99987780526902448</v>
      </c>
      <c r="H2483" s="24">
        <v>1.0056668425356259</v>
      </c>
      <c r="I2483" s="25">
        <v>1.0232545830381665</v>
      </c>
      <c r="X2483" s="15">
        <v>2482</v>
      </c>
      <c r="Y2483" s="39">
        <v>0.47702863217889457</v>
      </c>
      <c r="Z2483" s="39">
        <v>0.4943161779619748</v>
      </c>
      <c r="AA2483" s="39">
        <v>0.47899934259749494</v>
      </c>
      <c r="AB2483" s="39">
        <v>0.49337971436857742</v>
      </c>
      <c r="AC2483" s="39">
        <v>0.47063218980633492</v>
      </c>
      <c r="AD2483" s="39">
        <v>0.48987678859673178</v>
      </c>
      <c r="AE2483" s="39">
        <v>0.47183577900945872</v>
      </c>
      <c r="AF2483" s="40">
        <v>0.4887864995997051</v>
      </c>
    </row>
    <row r="2484" spans="1:32">
      <c r="A2484" s="15">
        <v>2482</v>
      </c>
      <c r="B2484" s="16">
        <v>1</v>
      </c>
      <c r="C2484" s="20">
        <v>0.94</v>
      </c>
      <c r="D2484" s="20">
        <v>0.17188516685452584</v>
      </c>
      <c r="E2484" s="20">
        <v>0.06</v>
      </c>
      <c r="F2484" s="8" t="s">
        <v>434</v>
      </c>
      <c r="G2484" s="24">
        <v>0.73897003350734281</v>
      </c>
      <c r="H2484" s="24">
        <v>0.74324848137400457</v>
      </c>
      <c r="I2484" s="25">
        <v>0.75624688289866282</v>
      </c>
      <c r="X2484" s="15">
        <v>2483</v>
      </c>
      <c r="Y2484" s="39">
        <v>0.48986346527930263</v>
      </c>
      <c r="Z2484" s="39">
        <v>0.47647379658137889</v>
      </c>
      <c r="AA2484" s="39">
        <v>0.48130902829717159</v>
      </c>
      <c r="AB2484" s="39">
        <v>0.49153005899720237</v>
      </c>
      <c r="AC2484" s="39">
        <v>0.48415641459817521</v>
      </c>
      <c r="AD2484" s="39">
        <v>0.47008824874229704</v>
      </c>
      <c r="AE2484" s="39">
        <v>0.47678589935243049</v>
      </c>
      <c r="AF2484" s="40">
        <v>0.49062427228773792</v>
      </c>
    </row>
    <row r="2485" spans="1:32">
      <c r="A2485" s="15">
        <v>2483</v>
      </c>
      <c r="B2485" s="16">
        <v>1</v>
      </c>
      <c r="C2485" s="20">
        <v>0.11</v>
      </c>
      <c r="D2485" s="20">
        <v>0.85858745186228491</v>
      </c>
      <c r="E2485" s="20">
        <v>0.4</v>
      </c>
      <c r="F2485" s="8" t="s">
        <v>436</v>
      </c>
      <c r="G2485" s="24">
        <v>0.70901308943974461</v>
      </c>
      <c r="H2485" s="24">
        <v>0.71311809424697759</v>
      </c>
      <c r="I2485" s="25">
        <v>0.72558955642391398</v>
      </c>
      <c r="X2485" s="15">
        <v>2484</v>
      </c>
      <c r="Y2485" s="39">
        <v>0.48838412066304365</v>
      </c>
      <c r="Z2485" s="39">
        <v>0.49378406056427715</v>
      </c>
      <c r="AA2485" s="39">
        <v>0.49583113948817564</v>
      </c>
      <c r="AB2485" s="39">
        <v>0.47380798841911953</v>
      </c>
      <c r="AC2485" s="39">
        <v>0.48214766218389621</v>
      </c>
      <c r="AD2485" s="39">
        <v>0.48335207406943692</v>
      </c>
      <c r="AE2485" s="39">
        <v>0.48797898494741582</v>
      </c>
      <c r="AF2485" s="40">
        <v>0.46845502179668458</v>
      </c>
    </row>
    <row r="2486" spans="1:32">
      <c r="A2486" s="15">
        <v>2484</v>
      </c>
      <c r="B2486" s="16">
        <v>1</v>
      </c>
      <c r="C2486" s="20">
        <v>0.33</v>
      </c>
      <c r="D2486" s="20">
        <v>0.73286431991168999</v>
      </c>
      <c r="E2486" s="20">
        <v>0.47</v>
      </c>
      <c r="F2486" s="8" t="s">
        <v>436</v>
      </c>
      <c r="G2486" s="24">
        <v>0.99675904975631635</v>
      </c>
      <c r="H2486" s="24">
        <v>1.0025300302245836</v>
      </c>
      <c r="I2486" s="25">
        <v>1.0200629121610481</v>
      </c>
      <c r="X2486" s="15">
        <v>2485</v>
      </c>
      <c r="Y2486" s="39">
        <v>0.48714935126350589</v>
      </c>
      <c r="Z2486" s="39">
        <v>0.49403026096362479</v>
      </c>
      <c r="AA2486" s="39">
        <v>0.49538662105610143</v>
      </c>
      <c r="AB2486" s="39">
        <v>0.50019256897426012</v>
      </c>
      <c r="AC2486" s="39">
        <v>0.48181866604587875</v>
      </c>
      <c r="AD2486" s="39">
        <v>0.48601453263800604</v>
      </c>
      <c r="AE2486" s="39">
        <v>0.48941357394584323</v>
      </c>
      <c r="AF2486" s="40">
        <v>0.49388067572673627</v>
      </c>
    </row>
    <row r="2487" spans="1:32">
      <c r="A2487" s="15">
        <v>2485</v>
      </c>
      <c r="B2487" s="16">
        <v>1</v>
      </c>
      <c r="C2487" s="20">
        <v>0.9</v>
      </c>
      <c r="D2487" s="20">
        <v>0.231595386583653</v>
      </c>
      <c r="E2487" s="20">
        <v>0.1</v>
      </c>
      <c r="F2487" s="8" t="s">
        <v>434</v>
      </c>
      <c r="G2487" s="24">
        <v>1.6790758700463315</v>
      </c>
      <c r="H2487" s="24">
        <v>1.688797290737867</v>
      </c>
      <c r="I2487" s="25">
        <v>1.6578926537592125</v>
      </c>
      <c r="X2487" s="15">
        <v>2486</v>
      </c>
      <c r="Y2487" s="39">
        <v>0.49919271087063921</v>
      </c>
      <c r="Z2487" s="39">
        <v>0.49001743393984282</v>
      </c>
      <c r="AA2487" s="39">
        <v>0.48985761164170288</v>
      </c>
      <c r="AB2487" s="39">
        <v>0.48879154538595138</v>
      </c>
      <c r="AC2487" s="39">
        <v>0.49092930130161855</v>
      </c>
      <c r="AD2487" s="39">
        <v>0.48636243872056578</v>
      </c>
      <c r="AE2487" s="39">
        <v>0.48385162076988086</v>
      </c>
      <c r="AF2487" s="40">
        <v>0.48412485953798989</v>
      </c>
    </row>
    <row r="2488" spans="1:32">
      <c r="A2488" s="15">
        <v>2486</v>
      </c>
      <c r="B2488" s="16">
        <v>1</v>
      </c>
      <c r="C2488" s="20">
        <v>0.06</v>
      </c>
      <c r="D2488" s="20">
        <v>0.95542470732692675</v>
      </c>
      <c r="E2488" s="20">
        <v>0.43</v>
      </c>
      <c r="F2488" s="8" t="s">
        <v>436</v>
      </c>
      <c r="G2488" s="24">
        <v>1.5097136053022575</v>
      </c>
      <c r="H2488" s="24">
        <v>1.5184544617118449</v>
      </c>
      <c r="I2488" s="25">
        <v>1.5450101578011954</v>
      </c>
      <c r="X2488" s="15">
        <v>2487</v>
      </c>
      <c r="Y2488" s="39">
        <v>0.4828418480552521</v>
      </c>
      <c r="Z2488" s="39">
        <v>0.48723571707525654</v>
      </c>
      <c r="AA2488" s="39">
        <v>0.48540440242981547</v>
      </c>
      <c r="AB2488" s="39">
        <v>0.48497067993136483</v>
      </c>
      <c r="AC2488" s="39">
        <v>0.4762358017893778</v>
      </c>
      <c r="AD2488" s="39">
        <v>0.47989233272200776</v>
      </c>
      <c r="AE2488" s="39">
        <v>0.47740855117104225</v>
      </c>
      <c r="AF2488" s="40">
        <v>0.47836904348425052</v>
      </c>
    </row>
    <row r="2489" spans="1:32">
      <c r="A2489" s="15">
        <v>2487</v>
      </c>
      <c r="B2489" s="16">
        <v>0</v>
      </c>
      <c r="C2489" s="20">
        <v>0.94</v>
      </c>
      <c r="D2489" s="20">
        <v>0.17188516685452584</v>
      </c>
      <c r="E2489" s="20">
        <v>0.06</v>
      </c>
      <c r="F2489" s="8" t="s">
        <v>434</v>
      </c>
      <c r="G2489" s="24">
        <v>0.50546885257850027</v>
      </c>
      <c r="H2489" s="24">
        <v>0.50839538821041774</v>
      </c>
      <c r="I2489" s="25">
        <v>0.51728652967232425</v>
      </c>
      <c r="X2489" s="15">
        <v>2488</v>
      </c>
      <c r="Y2489" s="39">
        <v>0.49521657577498956</v>
      </c>
      <c r="Z2489" s="39">
        <v>0.46795777648097636</v>
      </c>
      <c r="AA2489" s="39">
        <v>0.48927490385871431</v>
      </c>
      <c r="AB2489" s="39">
        <v>0.48943759403454135</v>
      </c>
      <c r="AC2489" s="39">
        <v>0.48933877600509507</v>
      </c>
      <c r="AD2489" s="39">
        <v>0.46319318823503691</v>
      </c>
      <c r="AE2489" s="39">
        <v>0.4853237865493587</v>
      </c>
      <c r="AF2489" s="40">
        <v>0.48693064541198194</v>
      </c>
    </row>
    <row r="2490" spans="1:32">
      <c r="A2490" s="15">
        <v>2488</v>
      </c>
      <c r="B2490" s="16">
        <v>1</v>
      </c>
      <c r="C2490" s="20">
        <v>0.1</v>
      </c>
      <c r="D2490" s="20">
        <v>0.92589808232637871</v>
      </c>
      <c r="E2490" s="20">
        <v>0.27</v>
      </c>
      <c r="F2490" s="8" t="s">
        <v>436</v>
      </c>
      <c r="G2490" s="24">
        <v>3.2237845168355923</v>
      </c>
      <c r="H2490" s="24">
        <v>2.3557193791407478</v>
      </c>
      <c r="I2490" s="25">
        <v>1.6578926537592125</v>
      </c>
      <c r="X2490" s="15">
        <v>2489</v>
      </c>
      <c r="Y2490" s="39">
        <v>0.47687533137799115</v>
      </c>
      <c r="Z2490" s="39">
        <v>0.48084766857827888</v>
      </c>
      <c r="AA2490" s="39">
        <v>0.4758691181564057</v>
      </c>
      <c r="AB2490" s="39">
        <v>0.47484517914488711</v>
      </c>
      <c r="AC2490" s="39">
        <v>0.46948469108989505</v>
      </c>
      <c r="AD2490" s="39">
        <v>0.47210285494288623</v>
      </c>
      <c r="AE2490" s="39">
        <v>0.46795229935661126</v>
      </c>
      <c r="AF2490" s="40">
        <v>0.46792698923492126</v>
      </c>
    </row>
    <row r="2491" spans="1:32">
      <c r="A2491" s="15">
        <v>2489</v>
      </c>
      <c r="B2491" s="16">
        <v>0</v>
      </c>
      <c r="C2491" s="20">
        <v>0.59</v>
      </c>
      <c r="D2491" s="20">
        <v>0.46764488735076509</v>
      </c>
      <c r="E2491" s="20">
        <v>0.13</v>
      </c>
      <c r="F2491" s="8" t="s">
        <v>438</v>
      </c>
      <c r="G2491" s="24">
        <v>0.76159873530493771</v>
      </c>
      <c r="H2491" s="24">
        <v>0.76600819757887084</v>
      </c>
      <c r="I2491" s="25">
        <v>0.7794046354766021</v>
      </c>
      <c r="X2491" s="15">
        <v>2490</v>
      </c>
      <c r="Y2491" s="39">
        <v>0.4865011700376824</v>
      </c>
      <c r="Z2491" s="39">
        <v>0.46639023497028842</v>
      </c>
      <c r="AA2491" s="39">
        <v>0.50338112450002681</v>
      </c>
      <c r="AB2491" s="39">
        <v>0.49932018971182474</v>
      </c>
      <c r="AC2491" s="39">
        <v>0.47900630444825071</v>
      </c>
      <c r="AD2491" s="39">
        <v>0.4596238962868297</v>
      </c>
      <c r="AE2491" s="39">
        <v>0.49582182047105333</v>
      </c>
      <c r="AF2491" s="40">
        <v>0.49686466253556166</v>
      </c>
    </row>
    <row r="2492" spans="1:32">
      <c r="A2492" s="15">
        <v>2490</v>
      </c>
      <c r="B2492" s="16">
        <v>1</v>
      </c>
      <c r="C2492" s="20">
        <v>0.96</v>
      </c>
      <c r="D2492" s="20">
        <v>0.13880369068795359</v>
      </c>
      <c r="E2492" s="20">
        <v>0.04</v>
      </c>
      <c r="F2492" s="8" t="s">
        <v>434</v>
      </c>
      <c r="G2492" s="24">
        <v>1.6517070296896448</v>
      </c>
      <c r="H2492" s="24">
        <v>1.6612699917816058</v>
      </c>
      <c r="I2492" s="25">
        <v>1.6578926537592125</v>
      </c>
      <c r="X2492" s="15">
        <v>2491</v>
      </c>
      <c r="Y2492" s="39">
        <v>0.47827252006006626</v>
      </c>
      <c r="Z2492" s="39">
        <v>0.49961587807757435</v>
      </c>
      <c r="AA2492" s="39">
        <v>0.50302852340942206</v>
      </c>
      <c r="AB2492" s="39">
        <v>0.49191850429574857</v>
      </c>
      <c r="AC2492" s="39">
        <v>0.47276295782359617</v>
      </c>
      <c r="AD2492" s="39">
        <v>0.49166586826686398</v>
      </c>
      <c r="AE2492" s="39">
        <v>0.49702371170915072</v>
      </c>
      <c r="AF2492" s="40">
        <v>0.48786802702637266</v>
      </c>
    </row>
    <row r="2493" spans="1:32">
      <c r="A2493" s="15">
        <v>2491</v>
      </c>
      <c r="B2493" s="16">
        <v>0</v>
      </c>
      <c r="C2493" s="20">
        <v>0.02</v>
      </c>
      <c r="D2493" s="20">
        <v>0.99604261948721451</v>
      </c>
      <c r="E2493" s="20">
        <v>1</v>
      </c>
      <c r="F2493" s="8" t="s">
        <v>436</v>
      </c>
      <c r="G2493" s="24">
        <v>1.0792140265075569</v>
      </c>
      <c r="H2493" s="24">
        <v>1.0854624002439959</v>
      </c>
      <c r="I2493" s="25">
        <v>1.1044456561427602</v>
      </c>
      <c r="X2493" s="15">
        <v>2492</v>
      </c>
      <c r="Y2493" s="39">
        <v>0.48482076396773272</v>
      </c>
      <c r="Z2493" s="39">
        <v>0.49621790097721824</v>
      </c>
      <c r="AA2493" s="39">
        <v>0.4668258890676375</v>
      </c>
      <c r="AB2493" s="39">
        <v>0.48751085621997081</v>
      </c>
      <c r="AC2493" s="39">
        <v>0.47943998777108426</v>
      </c>
      <c r="AD2493" s="39">
        <v>0.48764495077385439</v>
      </c>
      <c r="AE2493" s="39">
        <v>0.46000560824692055</v>
      </c>
      <c r="AF2493" s="40">
        <v>0.48380456764997393</v>
      </c>
    </row>
    <row r="2494" spans="1:32">
      <c r="A2494" s="15">
        <v>2492</v>
      </c>
      <c r="B2494" s="16">
        <v>1</v>
      </c>
      <c r="C2494" s="20">
        <v>0.08</v>
      </c>
      <c r="D2494" s="20">
        <v>0.94982755746567604</v>
      </c>
      <c r="E2494" s="20">
        <v>0.45</v>
      </c>
      <c r="F2494" s="8" t="s">
        <v>436</v>
      </c>
      <c r="G2494" s="24">
        <v>0.98509607307901992</v>
      </c>
      <c r="H2494" s="24">
        <v>0.9907995278893833</v>
      </c>
      <c r="I2494" s="25">
        <v>1.008127259350253</v>
      </c>
      <c r="X2494" s="15">
        <v>2493</v>
      </c>
      <c r="Y2494" s="39">
        <v>0.48567707410413907</v>
      </c>
      <c r="Z2494" s="39">
        <v>0.49190608269324904</v>
      </c>
      <c r="AA2494" s="39">
        <v>0.47006468147072172</v>
      </c>
      <c r="AB2494" s="39">
        <v>0.48823596542595266</v>
      </c>
      <c r="AC2494" s="39">
        <v>0.47818748672960082</v>
      </c>
      <c r="AD2494" s="39">
        <v>0.48370917851910378</v>
      </c>
      <c r="AE2494" s="39">
        <v>0.46517501248274057</v>
      </c>
      <c r="AF2494" s="40">
        <v>0.48339841226081742</v>
      </c>
    </row>
    <row r="2495" spans="1:32">
      <c r="A2495" s="15">
        <v>2493</v>
      </c>
      <c r="B2495" s="16">
        <v>0</v>
      </c>
      <c r="C2495" s="20">
        <v>0.16</v>
      </c>
      <c r="D2495" s="20">
        <v>0.88745322341935795</v>
      </c>
      <c r="E2495" s="20">
        <v>0.13</v>
      </c>
      <c r="F2495" s="8" t="s">
        <v>436</v>
      </c>
      <c r="G2495" s="24">
        <v>0.96920265983097942</v>
      </c>
      <c r="H2495" s="24">
        <v>0.97481409583554313</v>
      </c>
      <c r="I2495" s="25">
        <v>0.99186226390733367</v>
      </c>
      <c r="X2495" s="15">
        <v>2494</v>
      </c>
      <c r="Y2495" s="39">
        <v>0.49843958640222746</v>
      </c>
      <c r="Z2495" s="39">
        <v>0.49353190225370841</v>
      </c>
      <c r="AA2495" s="39">
        <v>0.48343786272242134</v>
      </c>
      <c r="AB2495" s="39">
        <v>0.4937253714707438</v>
      </c>
      <c r="AC2495" s="39">
        <v>0.49119589643263978</v>
      </c>
      <c r="AD2495" s="39">
        <v>0.48508110566644025</v>
      </c>
      <c r="AE2495" s="39">
        <v>0.47458637524077052</v>
      </c>
      <c r="AF2495" s="40">
        <v>0.48781966817942007</v>
      </c>
    </row>
    <row r="2496" spans="1:32">
      <c r="A2496" s="15">
        <v>2494</v>
      </c>
      <c r="B2496" s="16">
        <v>1</v>
      </c>
      <c r="C2496" s="20">
        <v>0.24</v>
      </c>
      <c r="D2496" s="20">
        <v>0.74480152770516372</v>
      </c>
      <c r="E2496" s="20">
        <v>0.4</v>
      </c>
      <c r="F2496" s="8" t="s">
        <v>436</v>
      </c>
      <c r="G2496" s="24">
        <v>1.6652620396849438</v>
      </c>
      <c r="H2496" s="24">
        <v>1.6749034818247652</v>
      </c>
      <c r="I2496" s="25">
        <v>1.6578926537592125</v>
      </c>
      <c r="X2496" s="15">
        <v>2495</v>
      </c>
      <c r="Y2496" s="39">
        <v>0.49488727960110729</v>
      </c>
      <c r="Z2496" s="39">
        <v>0.49779118683639945</v>
      </c>
      <c r="AA2496" s="39">
        <v>0.48111112410459234</v>
      </c>
      <c r="AB2496" s="39">
        <v>0.48142662203688663</v>
      </c>
      <c r="AC2496" s="39">
        <v>0.49007112367865568</v>
      </c>
      <c r="AD2496" s="39">
        <v>0.48917450308677046</v>
      </c>
      <c r="AE2496" s="39">
        <v>0.47552045816616395</v>
      </c>
      <c r="AF2496" s="40">
        <v>0.47807910912152402</v>
      </c>
    </row>
    <row r="2497" spans="1:32">
      <c r="A2497" s="15">
        <v>2495</v>
      </c>
      <c r="B2497" s="16">
        <v>1</v>
      </c>
      <c r="C2497" s="20">
        <v>0.09</v>
      </c>
      <c r="D2497" s="20">
        <v>0.91880136699240056</v>
      </c>
      <c r="E2497" s="20">
        <v>0.47</v>
      </c>
      <c r="F2497" s="8" t="s">
        <v>436</v>
      </c>
      <c r="G2497" s="24">
        <v>1.2882846299801221</v>
      </c>
      <c r="H2497" s="24">
        <v>1.2957434691439118</v>
      </c>
      <c r="I2497" s="25">
        <v>1.3184042539379153</v>
      </c>
      <c r="X2497" s="15">
        <v>2496</v>
      </c>
      <c r="Y2497" s="39">
        <v>0.47670661703766209</v>
      </c>
      <c r="Z2497" s="39">
        <v>0.49707299053963844</v>
      </c>
      <c r="AA2497" s="39">
        <v>0.48536268983683556</v>
      </c>
      <c r="AB2497" s="39">
        <v>0.49941012657235945</v>
      </c>
      <c r="AC2497" s="39">
        <v>0.47195478022712584</v>
      </c>
      <c r="AD2497" s="39">
        <v>0.49175739759182741</v>
      </c>
      <c r="AE2497" s="39">
        <v>0.47747092857334739</v>
      </c>
      <c r="AF2497" s="40">
        <v>0.4943065321933981</v>
      </c>
    </row>
    <row r="2498" spans="1:32">
      <c r="A2498" s="15">
        <v>2496</v>
      </c>
      <c r="B2498" s="16">
        <v>0</v>
      </c>
      <c r="C2498" s="20">
        <v>0.02</v>
      </c>
      <c r="D2498" s="20">
        <v>0.99604261948721451</v>
      </c>
      <c r="E2498" s="20">
        <v>1</v>
      </c>
      <c r="F2498" s="8" t="s">
        <v>436</v>
      </c>
      <c r="G2498" s="24">
        <v>1.0523393595219681</v>
      </c>
      <c r="H2498" s="24">
        <v>1.0584321357965101</v>
      </c>
      <c r="I2498" s="25">
        <v>1.0769426692620492</v>
      </c>
      <c r="X2498" s="15">
        <v>2497</v>
      </c>
      <c r="Y2498" s="39">
        <v>0.46908976431242705</v>
      </c>
      <c r="Z2498" s="39">
        <v>0.48237724478602889</v>
      </c>
      <c r="AA2498" s="39">
        <v>0.48210015338229811</v>
      </c>
      <c r="AB2498" s="39">
        <v>0.497775640202756</v>
      </c>
      <c r="AC2498" s="39">
        <v>0.46489982415779629</v>
      </c>
      <c r="AD2498" s="39">
        <v>0.4768706974239284</v>
      </c>
      <c r="AE2498" s="39">
        <v>0.47583116862650043</v>
      </c>
      <c r="AF2498" s="40">
        <v>0.49464360778080552</v>
      </c>
    </row>
    <row r="2499" spans="1:32">
      <c r="A2499" s="15">
        <v>2497</v>
      </c>
      <c r="B2499" s="16">
        <v>0</v>
      </c>
      <c r="C2499" s="20">
        <v>0.05</v>
      </c>
      <c r="D2499" s="20">
        <v>0.95044545515051659</v>
      </c>
      <c r="E2499" s="20">
        <v>0.42</v>
      </c>
      <c r="F2499" s="8" t="s">
        <v>436</v>
      </c>
      <c r="G2499" s="24">
        <v>1.1512260103366865</v>
      </c>
      <c r="H2499" s="24">
        <v>1.1578913150779262</v>
      </c>
      <c r="I2499" s="25">
        <v>1.1781412538433225</v>
      </c>
      <c r="X2499" s="15">
        <v>2498</v>
      </c>
      <c r="Y2499" s="39">
        <v>0.48960667219521792</v>
      </c>
      <c r="Z2499" s="39">
        <v>0.4777005944858847</v>
      </c>
      <c r="AA2499" s="39">
        <v>0.49347092737820825</v>
      </c>
      <c r="AB2499" s="39">
        <v>0.48318303812955088</v>
      </c>
      <c r="AC2499" s="39">
        <v>0.48447841929981006</v>
      </c>
      <c r="AD2499" s="39">
        <v>0.47109151130569776</v>
      </c>
      <c r="AE2499" s="39">
        <v>0.48475314154060334</v>
      </c>
      <c r="AF2499" s="40">
        <v>0.47968748825472501</v>
      </c>
    </row>
    <row r="2500" spans="1:32">
      <c r="A2500" s="15">
        <v>2498</v>
      </c>
      <c r="B2500" s="16">
        <v>0</v>
      </c>
      <c r="C2500" s="20">
        <v>0.09</v>
      </c>
      <c r="D2500" s="20">
        <v>0.92636485776597965</v>
      </c>
      <c r="E2500" s="20">
        <v>0.12</v>
      </c>
      <c r="F2500" s="8" t="s">
        <v>436</v>
      </c>
      <c r="G2500" s="24">
        <v>0.86918581474843737</v>
      </c>
      <c r="H2500" s="24">
        <v>0.87421817874998275</v>
      </c>
      <c r="I2500" s="25">
        <v>0.88950706152918568</v>
      </c>
      <c r="X2500" s="15">
        <v>2499</v>
      </c>
      <c r="Y2500" s="39">
        <v>0.49635319870796735</v>
      </c>
      <c r="Z2500" s="39">
        <v>0.47926707514988282</v>
      </c>
      <c r="AA2500" s="39">
        <v>0.49253302106408187</v>
      </c>
      <c r="AB2500" s="39">
        <v>0.48647906119507894</v>
      </c>
      <c r="AC2500" s="39">
        <v>0.48802942155016699</v>
      </c>
      <c r="AD2500" s="39">
        <v>0.47408594106120472</v>
      </c>
      <c r="AE2500" s="39">
        <v>0.48385412867120703</v>
      </c>
      <c r="AF2500" s="40">
        <v>0.48097414599526622</v>
      </c>
    </row>
    <row r="2501" spans="1:32">
      <c r="A2501" s="15">
        <v>2499</v>
      </c>
      <c r="B2501" s="16">
        <v>1</v>
      </c>
      <c r="C2501" s="20">
        <v>0.96</v>
      </c>
      <c r="D2501" s="20">
        <v>0.13880369068795359</v>
      </c>
      <c r="E2501" s="20">
        <v>0.04</v>
      </c>
      <c r="F2501" s="8" t="s">
        <v>434</v>
      </c>
      <c r="G2501" s="24">
        <v>0.76545474813643821</v>
      </c>
      <c r="H2501" s="24">
        <v>0.76988653574039112</v>
      </c>
      <c r="I2501" s="25">
        <v>0.78335080047925987</v>
      </c>
      <c r="X2501" s="15">
        <v>2500</v>
      </c>
      <c r="Y2501" s="39">
        <v>0.49369387837470474</v>
      </c>
      <c r="Z2501" s="39">
        <v>0.49008453450689127</v>
      </c>
      <c r="AA2501" s="39">
        <v>0.48715446972910736</v>
      </c>
      <c r="AB2501" s="39">
        <v>0.49831268051023447</v>
      </c>
      <c r="AC2501" s="39">
        <v>0.49159798205583433</v>
      </c>
      <c r="AD2501" s="39">
        <v>0.48279648357858873</v>
      </c>
      <c r="AE2501" s="39">
        <v>0.47943304199083553</v>
      </c>
      <c r="AF2501" s="40">
        <v>0.49331695543853443</v>
      </c>
    </row>
    <row r="2502" spans="1:32">
      <c r="A2502" s="15">
        <v>2500</v>
      </c>
      <c r="B2502" s="16">
        <v>1</v>
      </c>
      <c r="C2502" s="20">
        <v>0.01</v>
      </c>
      <c r="D2502" s="20">
        <v>0.99999999999999978</v>
      </c>
      <c r="E2502" s="20">
        <v>1</v>
      </c>
      <c r="F2502" s="8" t="s">
        <v>436</v>
      </c>
      <c r="G2502" s="24">
        <v>1.1078605207535039</v>
      </c>
      <c r="H2502" s="24">
        <v>1.1142747503794059</v>
      </c>
      <c r="I2502" s="25">
        <v>1.1337618949578172</v>
      </c>
      <c r="X2502" s="15">
        <v>2501</v>
      </c>
      <c r="Y2502" s="39">
        <v>0.48935630298167204</v>
      </c>
      <c r="Z2502" s="39">
        <v>0.48864469338448607</v>
      </c>
      <c r="AA2502" s="39">
        <v>0.49471682135325745</v>
      </c>
      <c r="AB2502" s="39">
        <v>0.50031298285417336</v>
      </c>
      <c r="AC2502" s="39">
        <v>0.48169502409165815</v>
      </c>
      <c r="AD2502" s="39">
        <v>0.48369392175597287</v>
      </c>
      <c r="AE2502" s="39">
        <v>0.48718660428840027</v>
      </c>
      <c r="AF2502" s="40">
        <v>0.49586394978781967</v>
      </c>
    </row>
    <row r="2503" spans="1:32">
      <c r="A2503" s="15">
        <v>2501</v>
      </c>
      <c r="B2503" s="16">
        <v>1</v>
      </c>
      <c r="C2503" s="20">
        <v>0.02</v>
      </c>
      <c r="D2503" s="20">
        <v>0.99679477127711513</v>
      </c>
      <c r="E2503" s="20">
        <v>1</v>
      </c>
      <c r="F2503" s="8" t="s">
        <v>436</v>
      </c>
      <c r="G2503" s="24">
        <v>1.0643472714862492</v>
      </c>
      <c r="H2503" s="24">
        <v>1.0705095705059595</v>
      </c>
      <c r="I2503" s="25">
        <v>1.0892313218208121</v>
      </c>
      <c r="X2503" s="15">
        <v>2502</v>
      </c>
      <c r="Y2503" s="39">
        <v>0.4806120979375586</v>
      </c>
      <c r="Z2503" s="39">
        <v>0.47187035410229961</v>
      </c>
      <c r="AA2503" s="39">
        <v>0.47363276815350508</v>
      </c>
      <c r="AB2503" s="39">
        <v>0.48987897283354276</v>
      </c>
      <c r="AC2503" s="39">
        <v>0.47411226282668845</v>
      </c>
      <c r="AD2503" s="39">
        <v>0.46563327298119328</v>
      </c>
      <c r="AE2503" s="39">
        <v>0.46742809763715876</v>
      </c>
      <c r="AF2503" s="40">
        <v>0.48409350646366212</v>
      </c>
    </row>
    <row r="2504" spans="1:32">
      <c r="A2504" s="15">
        <v>2502</v>
      </c>
      <c r="B2504" s="16">
        <v>0</v>
      </c>
      <c r="C2504" s="20">
        <v>0.16</v>
      </c>
      <c r="D2504" s="20">
        <v>0.85941647075349792</v>
      </c>
      <c r="E2504" s="20">
        <v>0.08</v>
      </c>
      <c r="F2504" s="8" t="s">
        <v>436</v>
      </c>
      <c r="G2504" s="24">
        <v>0.96941293870579925</v>
      </c>
      <c r="H2504" s="24">
        <v>0.97502559217137308</v>
      </c>
      <c r="I2504" s="25">
        <v>0.99207745902541866</v>
      </c>
      <c r="X2504" s="15">
        <v>2503</v>
      </c>
      <c r="Y2504" s="39">
        <v>0.48272764304207455</v>
      </c>
      <c r="Z2504" s="39">
        <v>0.4879820614653958</v>
      </c>
      <c r="AA2504" s="39">
        <v>0.47449866635424642</v>
      </c>
      <c r="AB2504" s="39">
        <v>0.48494676436659212</v>
      </c>
      <c r="AC2504" s="39">
        <v>0.47621835866138906</v>
      </c>
      <c r="AD2504" s="39">
        <v>0.4794454647269939</v>
      </c>
      <c r="AE2504" s="39">
        <v>0.46645880067445583</v>
      </c>
      <c r="AF2504" s="40">
        <v>0.47704547080753057</v>
      </c>
    </row>
    <row r="2505" spans="1:32">
      <c r="A2505" s="15">
        <v>2503</v>
      </c>
      <c r="B2505" s="16">
        <v>1</v>
      </c>
      <c r="C2505" s="20">
        <v>0.13</v>
      </c>
      <c r="D2505" s="20">
        <v>0.91583489382843042</v>
      </c>
      <c r="E2505" s="20">
        <v>0.11</v>
      </c>
      <c r="F2505" s="8" t="s">
        <v>436</v>
      </c>
      <c r="G2505" s="24">
        <v>0.92932623431345696</v>
      </c>
      <c r="H2505" s="24">
        <v>0.93470679599301487</v>
      </c>
      <c r="I2505" s="25">
        <v>0.9510535421305697</v>
      </c>
      <c r="X2505" s="15">
        <v>2504</v>
      </c>
      <c r="Y2505" s="39">
        <v>0.48167647112445972</v>
      </c>
      <c r="Z2505" s="39">
        <v>0.47850585796209794</v>
      </c>
      <c r="AA2505" s="39">
        <v>0.47620456006226802</v>
      </c>
      <c r="AB2505" s="39">
        <v>0.48837405185310739</v>
      </c>
      <c r="AC2505" s="39">
        <v>0.47495299348885495</v>
      </c>
      <c r="AD2505" s="39">
        <v>0.47098485122368883</v>
      </c>
      <c r="AE2505" s="39">
        <v>0.47073799829238061</v>
      </c>
      <c r="AF2505" s="40">
        <v>0.48642879875703182</v>
      </c>
    </row>
    <row r="2506" spans="1:32">
      <c r="A2506" s="15">
        <v>2504</v>
      </c>
      <c r="B2506" s="16">
        <v>0</v>
      </c>
      <c r="C2506" s="20">
        <v>0.91</v>
      </c>
      <c r="D2506" s="20">
        <v>0.21727233298780477</v>
      </c>
      <c r="E2506" s="20">
        <v>0.09</v>
      </c>
      <c r="F2506" s="8" t="s">
        <v>434</v>
      </c>
      <c r="G2506" s="24">
        <v>0.98263034807776406</v>
      </c>
      <c r="H2506" s="24">
        <v>0.988319526969764</v>
      </c>
      <c r="I2506" s="25">
        <v>1.0056038865993517</v>
      </c>
      <c r="X2506" s="15">
        <v>2505</v>
      </c>
      <c r="Y2506" s="39">
        <v>0.48814436989456222</v>
      </c>
      <c r="Z2506" s="39">
        <v>0.49435548321873352</v>
      </c>
      <c r="AA2506" s="39">
        <v>0.48106652054060145</v>
      </c>
      <c r="AB2506" s="39">
        <v>0.48310658656418887</v>
      </c>
      <c r="AC2506" s="39">
        <v>0.4796024953955183</v>
      </c>
      <c r="AD2506" s="39">
        <v>0.48867274226756835</v>
      </c>
      <c r="AE2506" s="39">
        <v>0.47502746792029971</v>
      </c>
      <c r="AF2506" s="40">
        <v>0.47832552857902821</v>
      </c>
    </row>
    <row r="2507" spans="1:32">
      <c r="A2507" s="15">
        <v>2505</v>
      </c>
      <c r="B2507" s="16">
        <v>1</v>
      </c>
      <c r="C2507" s="20">
        <v>0.17</v>
      </c>
      <c r="D2507" s="20">
        <v>0.83987723379463497</v>
      </c>
      <c r="E2507" s="20">
        <v>0.11</v>
      </c>
      <c r="F2507" s="8" t="s">
        <v>436</v>
      </c>
      <c r="G2507" s="24">
        <v>0.81156793063948318</v>
      </c>
      <c r="H2507" s="24">
        <v>0.81626670179941152</v>
      </c>
      <c r="I2507" s="25">
        <v>0.83054209234118948</v>
      </c>
      <c r="X2507" s="15">
        <v>2506</v>
      </c>
      <c r="Y2507" s="39">
        <v>0.50224636459207883</v>
      </c>
      <c r="Z2507" s="39">
        <v>0.48448532128225869</v>
      </c>
      <c r="AA2507" s="39">
        <v>0.47659429730444725</v>
      </c>
      <c r="AB2507" s="39">
        <v>0.47763117667882449</v>
      </c>
      <c r="AC2507" s="39">
        <v>0.49148065360829563</v>
      </c>
      <c r="AD2507" s="39">
        <v>0.47635983752045291</v>
      </c>
      <c r="AE2507" s="39">
        <v>0.47077298627231845</v>
      </c>
      <c r="AF2507" s="40">
        <v>0.47356559073902571</v>
      </c>
    </row>
    <row r="2508" spans="1:32">
      <c r="A2508" s="15">
        <v>2506</v>
      </c>
      <c r="B2508" s="16">
        <v>1</v>
      </c>
      <c r="C2508" s="20">
        <v>0.02</v>
      </c>
      <c r="D2508" s="20">
        <v>0.99917029198757767</v>
      </c>
      <c r="E2508" s="20">
        <v>1</v>
      </c>
      <c r="F2508" s="8" t="s">
        <v>436</v>
      </c>
      <c r="G2508" s="24">
        <v>1.0007386448908837</v>
      </c>
      <c r="H2508" s="24">
        <v>1.0065326661991603</v>
      </c>
      <c r="I2508" s="25">
        <v>1.0241355487758661</v>
      </c>
      <c r="X2508" s="15">
        <v>2507</v>
      </c>
      <c r="Y2508" s="39">
        <v>0.49923449314055013</v>
      </c>
      <c r="Z2508" s="39">
        <v>0.4732058791636235</v>
      </c>
      <c r="AA2508" s="39">
        <v>0.47430942380762903</v>
      </c>
      <c r="AB2508" s="39">
        <v>0.48209961216865654</v>
      </c>
      <c r="AC2508" s="39">
        <v>0.49296964273120275</v>
      </c>
      <c r="AD2508" s="39">
        <v>0.46714989644978078</v>
      </c>
      <c r="AE2508" s="39">
        <v>0.46812057876452556</v>
      </c>
      <c r="AF2508" s="40">
        <v>0.47766809686677303</v>
      </c>
    </row>
    <row r="2509" spans="1:32">
      <c r="A2509" s="15">
        <v>2507</v>
      </c>
      <c r="B2509" s="16">
        <v>0</v>
      </c>
      <c r="C2509" s="20">
        <v>0.94</v>
      </c>
      <c r="D2509" s="20">
        <v>0.17188516685452584</v>
      </c>
      <c r="E2509" s="20">
        <v>0.06</v>
      </c>
      <c r="F2509" s="8" t="s">
        <v>434</v>
      </c>
      <c r="G2509" s="24">
        <v>0.81132347499701873</v>
      </c>
      <c r="H2509" s="24">
        <v>0.81602083082117627</v>
      </c>
      <c r="I2509" s="25">
        <v>0.83029192141511909</v>
      </c>
      <c r="X2509" s="15">
        <v>2508</v>
      </c>
      <c r="Y2509" s="39">
        <v>0.47526228237344725</v>
      </c>
      <c r="Z2509" s="39">
        <v>0.47944245197477897</v>
      </c>
      <c r="AA2509" s="39">
        <v>0.48385801397939043</v>
      </c>
      <c r="AB2509" s="39">
        <v>0.49160980845332802</v>
      </c>
      <c r="AC2509" s="39">
        <v>0.46924456062556347</v>
      </c>
      <c r="AD2509" s="39">
        <v>0.47423732658196505</v>
      </c>
      <c r="AE2509" s="39">
        <v>0.47417893344239903</v>
      </c>
      <c r="AF2509" s="40">
        <v>0.48708355897827338</v>
      </c>
    </row>
    <row r="2510" spans="1:32">
      <c r="A2510" s="15">
        <v>2508</v>
      </c>
      <c r="B2510" s="16">
        <v>0</v>
      </c>
      <c r="C2510" s="20">
        <v>0.96</v>
      </c>
      <c r="D2510" s="20">
        <v>0.13880369068795359</v>
      </c>
      <c r="E2510" s="20">
        <v>0.04</v>
      </c>
      <c r="F2510" s="8" t="s">
        <v>434</v>
      </c>
      <c r="G2510" s="24">
        <v>0.61860661438819642</v>
      </c>
      <c r="H2510" s="24">
        <v>0.62218818878177529</v>
      </c>
      <c r="I2510" s="25">
        <v>0.6330694110168138</v>
      </c>
      <c r="X2510" s="15">
        <v>2509</v>
      </c>
      <c r="Y2510" s="39">
        <v>0.47869956189222806</v>
      </c>
      <c r="Z2510" s="39">
        <v>0.48250552110972883</v>
      </c>
      <c r="AA2510" s="39">
        <v>0.47540530148021415</v>
      </c>
      <c r="AB2510" s="39">
        <v>0.47621772789815514</v>
      </c>
      <c r="AC2510" s="39">
        <v>0.47019407645013978</v>
      </c>
      <c r="AD2510" s="39">
        <v>0.47488300963287317</v>
      </c>
      <c r="AE2510" s="39">
        <v>0.46721405376484326</v>
      </c>
      <c r="AF2510" s="40">
        <v>0.47129509848894846</v>
      </c>
    </row>
    <row r="2511" spans="1:32">
      <c r="A2511" s="15">
        <v>2509</v>
      </c>
      <c r="B2511" s="16">
        <v>1</v>
      </c>
      <c r="C2511" s="20">
        <v>0.93</v>
      </c>
      <c r="D2511" s="20">
        <v>0.18747949848141848</v>
      </c>
      <c r="E2511" s="20">
        <v>7.0000000000000007E-2</v>
      </c>
      <c r="F2511" s="8" t="s">
        <v>434</v>
      </c>
      <c r="G2511" s="24">
        <v>2.3970579899915396</v>
      </c>
      <c r="H2511" s="24">
        <v>2.3557193791407478</v>
      </c>
      <c r="I2511" s="25">
        <v>1.6578926537592125</v>
      </c>
      <c r="X2511" s="15">
        <v>2510</v>
      </c>
      <c r="Y2511" s="39">
        <v>0.48457555170673983</v>
      </c>
      <c r="Z2511" s="39">
        <v>0.4923439698365939</v>
      </c>
      <c r="AA2511" s="39">
        <v>0.49687224675060304</v>
      </c>
      <c r="AB2511" s="39">
        <v>0.48959098373647453</v>
      </c>
      <c r="AC2511" s="39">
        <v>0.47641982841906788</v>
      </c>
      <c r="AD2511" s="39">
        <v>0.48859464788972085</v>
      </c>
      <c r="AE2511" s="39">
        <v>0.49002530614443851</v>
      </c>
      <c r="AF2511" s="40">
        <v>0.48630638859820219</v>
      </c>
    </row>
    <row r="2512" spans="1:32">
      <c r="A2512" s="15">
        <v>2510</v>
      </c>
      <c r="B2512" s="16">
        <v>0</v>
      </c>
      <c r="C2512" s="20">
        <v>0.9</v>
      </c>
      <c r="D2512" s="20">
        <v>0.231595386583653</v>
      </c>
      <c r="E2512" s="20">
        <v>0.1</v>
      </c>
      <c r="F2512" s="8" t="s">
        <v>434</v>
      </c>
      <c r="G2512" s="24">
        <v>0.35300847800066876</v>
      </c>
      <c r="H2512" s="24">
        <v>0.35505230698037321</v>
      </c>
      <c r="I2512" s="25">
        <v>0.36126168724019614</v>
      </c>
      <c r="X2512" s="15">
        <v>2511</v>
      </c>
      <c r="Y2512" s="39">
        <v>0.49734957032659088</v>
      </c>
      <c r="Z2512" s="39">
        <v>0.48760302469435413</v>
      </c>
      <c r="AA2512" s="39">
        <v>0.48511478537317532</v>
      </c>
      <c r="AB2512" s="39">
        <v>0.47830608425741938</v>
      </c>
      <c r="AC2512" s="39">
        <v>0.48879299358647749</v>
      </c>
      <c r="AD2512" s="39">
        <v>0.47964814064706252</v>
      </c>
      <c r="AE2512" s="39">
        <v>0.4777943176924706</v>
      </c>
      <c r="AF2512" s="40">
        <v>0.47445898026362487</v>
      </c>
    </row>
    <row r="2513" spans="1:32">
      <c r="A2513" s="15">
        <v>2511</v>
      </c>
      <c r="B2513" s="16">
        <v>1</v>
      </c>
      <c r="C2513" s="20">
        <v>0.02</v>
      </c>
      <c r="D2513" s="20">
        <v>0.99756714174924133</v>
      </c>
      <c r="E2513" s="20">
        <v>1</v>
      </c>
      <c r="F2513" s="8" t="s">
        <v>436</v>
      </c>
      <c r="G2513" s="24">
        <v>1.0768645502646739</v>
      </c>
      <c r="H2513" s="24">
        <v>1.083099321133387</v>
      </c>
      <c r="I2513" s="25">
        <v>1.1020412500037295</v>
      </c>
      <c r="X2513" s="15">
        <v>2512</v>
      </c>
      <c r="Y2513" s="39">
        <v>0.49492144703925645</v>
      </c>
      <c r="Z2513" s="39">
        <v>0.47702496817947349</v>
      </c>
      <c r="AA2513" s="39">
        <v>0.48122330690072812</v>
      </c>
      <c r="AB2513" s="39">
        <v>0.47445343503377296</v>
      </c>
      <c r="AC2513" s="39">
        <v>0.48827000353433903</v>
      </c>
      <c r="AD2513" s="39">
        <v>0.46899133994526421</v>
      </c>
      <c r="AE2513" s="39">
        <v>0.47640378213456097</v>
      </c>
      <c r="AF2513" s="40">
        <v>0.46908034463818937</v>
      </c>
    </row>
    <row r="2514" spans="1:32">
      <c r="A2514" s="15">
        <v>2512</v>
      </c>
      <c r="B2514" s="16">
        <v>0</v>
      </c>
      <c r="C2514" s="20">
        <v>0.93</v>
      </c>
      <c r="D2514" s="20">
        <v>0.18747949848141848</v>
      </c>
      <c r="E2514" s="20">
        <v>7.0000000000000007E-2</v>
      </c>
      <c r="F2514" s="8" t="s">
        <v>434</v>
      </c>
      <c r="G2514" s="24">
        <v>1.2816409527079031</v>
      </c>
      <c r="H2514" s="24">
        <v>1.2890613266761326</v>
      </c>
      <c r="I2514" s="25">
        <v>1.3116052499184236</v>
      </c>
      <c r="X2514" s="15">
        <v>2513</v>
      </c>
      <c r="Y2514" s="39">
        <v>0.49508759260706342</v>
      </c>
      <c r="Z2514" s="39">
        <v>0.49096919276192319</v>
      </c>
      <c r="AA2514" s="39">
        <v>0.47772851550312401</v>
      </c>
      <c r="AB2514" s="39">
        <v>0.49534140349920824</v>
      </c>
      <c r="AC2514" s="39">
        <v>0.48687960556745391</v>
      </c>
      <c r="AD2514" s="39">
        <v>0.48633235653177942</v>
      </c>
      <c r="AE2514" s="39">
        <v>0.46992512037597045</v>
      </c>
      <c r="AF2514" s="40">
        <v>0.49003023577638893</v>
      </c>
    </row>
    <row r="2515" spans="1:32">
      <c r="A2515" s="15">
        <v>2513</v>
      </c>
      <c r="B2515" s="16">
        <v>0</v>
      </c>
      <c r="C2515" s="20">
        <v>0.02</v>
      </c>
      <c r="D2515" s="20">
        <v>0.99917029198757767</v>
      </c>
      <c r="E2515" s="20">
        <v>1</v>
      </c>
      <c r="F2515" s="8" t="s">
        <v>436</v>
      </c>
      <c r="G2515" s="24">
        <v>1.1706637747035158</v>
      </c>
      <c r="H2515" s="24">
        <v>1.1774416191388122</v>
      </c>
      <c r="I2515" s="25">
        <v>1.1980334660392145</v>
      </c>
      <c r="X2515" s="15">
        <v>2514</v>
      </c>
      <c r="Y2515" s="39">
        <v>0.50185115797794755</v>
      </c>
      <c r="Z2515" s="39">
        <v>0.49965014113195039</v>
      </c>
      <c r="AA2515" s="39">
        <v>0.45874832274828231</v>
      </c>
      <c r="AB2515" s="39">
        <v>0.48211021120288905</v>
      </c>
      <c r="AC2515" s="39">
        <v>0.49659819264005006</v>
      </c>
      <c r="AD2515" s="39">
        <v>0.49459975720610905</v>
      </c>
      <c r="AE2515" s="39">
        <v>0.45278745671292725</v>
      </c>
      <c r="AF2515" s="40">
        <v>0.47931167511515538</v>
      </c>
    </row>
    <row r="2516" spans="1:32">
      <c r="A2516" s="15">
        <v>2514</v>
      </c>
      <c r="B2516" s="16">
        <v>1</v>
      </c>
      <c r="C2516" s="20">
        <v>0.02</v>
      </c>
      <c r="D2516" s="20">
        <v>0.99679477127711513</v>
      </c>
      <c r="E2516" s="20">
        <v>1</v>
      </c>
      <c r="F2516" s="8" t="s">
        <v>436</v>
      </c>
      <c r="G2516" s="24">
        <v>1.0119881064905576</v>
      </c>
      <c r="H2516" s="24">
        <v>1.0178472593099914</v>
      </c>
      <c r="I2516" s="25">
        <v>1.0356480186776067</v>
      </c>
      <c r="X2516" s="15">
        <v>2515</v>
      </c>
      <c r="Y2516" s="39">
        <v>0.49399147245200359</v>
      </c>
      <c r="Z2516" s="39">
        <v>0.48271878865531886</v>
      </c>
      <c r="AA2516" s="39">
        <v>0.46251853964027612</v>
      </c>
      <c r="AB2516" s="39">
        <v>0.50201356697565158</v>
      </c>
      <c r="AC2516" s="39">
        <v>0.48491650712727191</v>
      </c>
      <c r="AD2516" s="39">
        <v>0.4737343036575673</v>
      </c>
      <c r="AE2516" s="39">
        <v>0.45576547093551395</v>
      </c>
      <c r="AF2516" s="40">
        <v>0.49830748789916979</v>
      </c>
    </row>
    <row r="2517" spans="1:32">
      <c r="A2517" s="15">
        <v>2515</v>
      </c>
      <c r="B2517" s="16">
        <v>0</v>
      </c>
      <c r="C2517" s="20">
        <v>0.91</v>
      </c>
      <c r="D2517" s="20">
        <v>0.21727233298780477</v>
      </c>
      <c r="E2517" s="20">
        <v>0.09</v>
      </c>
      <c r="F2517" s="8" t="s">
        <v>434</v>
      </c>
      <c r="G2517" s="24">
        <v>0.64667677966257309</v>
      </c>
      <c r="H2517" s="24">
        <v>0.65042087314798169</v>
      </c>
      <c r="I2517" s="25">
        <v>0.66179584649951417</v>
      </c>
      <c r="X2517" s="15">
        <v>2516</v>
      </c>
      <c r="Y2517" s="39">
        <v>0.50461929313295573</v>
      </c>
      <c r="Z2517" s="39">
        <v>0.4870029544236249</v>
      </c>
      <c r="AA2517" s="39">
        <v>0.49372169846274638</v>
      </c>
      <c r="AB2517" s="39">
        <v>0.47862410271377476</v>
      </c>
      <c r="AC2517" s="39">
        <v>0.49904753615066516</v>
      </c>
      <c r="AD2517" s="39">
        <v>0.47807528376322844</v>
      </c>
      <c r="AE2517" s="39">
        <v>0.48694260847799814</v>
      </c>
      <c r="AF2517" s="40">
        <v>0.47601962728535197</v>
      </c>
    </row>
    <row r="2518" spans="1:32">
      <c r="A2518" s="15">
        <v>2516</v>
      </c>
      <c r="B2518" s="16">
        <v>1</v>
      </c>
      <c r="C2518" s="20">
        <v>0.09</v>
      </c>
      <c r="D2518" s="20">
        <v>0.91682265876274671</v>
      </c>
      <c r="E2518" s="20">
        <v>0.48</v>
      </c>
      <c r="F2518" s="8" t="s">
        <v>436</v>
      </c>
      <c r="G2518" s="24">
        <v>0.87636238958665358</v>
      </c>
      <c r="H2518" s="24">
        <v>0.88143630412464058</v>
      </c>
      <c r="I2518" s="25">
        <v>0.89685142206506663</v>
      </c>
      <c r="X2518" s="15">
        <v>2517</v>
      </c>
      <c r="Y2518" s="39">
        <v>0.48631723517442166</v>
      </c>
      <c r="Z2518" s="39">
        <v>0.48104565826396056</v>
      </c>
      <c r="AA2518" s="39">
        <v>0.49709873006796046</v>
      </c>
      <c r="AB2518" s="39">
        <v>0.49432157260404552</v>
      </c>
      <c r="AC2518" s="39">
        <v>0.47911420506481894</v>
      </c>
      <c r="AD2518" s="39">
        <v>0.4747026292403555</v>
      </c>
      <c r="AE2518" s="39">
        <v>0.4908621412038055</v>
      </c>
      <c r="AF2518" s="40">
        <v>0.49011435985473256</v>
      </c>
    </row>
    <row r="2519" spans="1:32">
      <c r="A2519" s="15">
        <v>2517</v>
      </c>
      <c r="B2519" s="16">
        <v>1</v>
      </c>
      <c r="C2519" s="20">
        <v>0.02</v>
      </c>
      <c r="D2519" s="20">
        <v>0.99835916395484214</v>
      </c>
      <c r="E2519" s="20">
        <v>1</v>
      </c>
      <c r="F2519" s="8" t="s">
        <v>436</v>
      </c>
      <c r="G2519" s="24">
        <v>1.0480267930317329</v>
      </c>
      <c r="H2519" s="24">
        <v>1.0540946006471095</v>
      </c>
      <c r="I2519" s="25">
        <v>1.0725292765429231</v>
      </c>
      <c r="X2519" s="15">
        <v>2518</v>
      </c>
      <c r="Y2519" s="39">
        <v>0.47879355106122345</v>
      </c>
      <c r="Z2519" s="39">
        <v>0.49559878411622182</v>
      </c>
      <c r="AA2519" s="39">
        <v>0.48592986955867895</v>
      </c>
      <c r="AB2519" s="39">
        <v>0.47994212577533785</v>
      </c>
      <c r="AC2519" s="39">
        <v>0.4727651291267066</v>
      </c>
      <c r="AD2519" s="39">
        <v>0.49246576416815724</v>
      </c>
      <c r="AE2519" s="39">
        <v>0.47492702439775558</v>
      </c>
      <c r="AF2519" s="40">
        <v>0.47702168592158972</v>
      </c>
    </row>
    <row r="2520" spans="1:32">
      <c r="A2520" s="15">
        <v>2518</v>
      </c>
      <c r="B2520" s="16">
        <v>0</v>
      </c>
      <c r="C2520" s="20">
        <v>0.97</v>
      </c>
      <c r="D2520" s="20">
        <v>0.12097036642660543</v>
      </c>
      <c r="E2520" s="20">
        <v>0.03</v>
      </c>
      <c r="F2520" s="8" t="s">
        <v>434</v>
      </c>
      <c r="G2520" s="24">
        <v>0.48991633644735061</v>
      </c>
      <c r="H2520" s="24">
        <v>0.49275282698075884</v>
      </c>
      <c r="I2520" s="25">
        <v>0.50137040139633748</v>
      </c>
      <c r="X2520" s="15">
        <v>2519</v>
      </c>
      <c r="Y2520" s="39">
        <v>0.49429738550060026</v>
      </c>
      <c r="Z2520" s="39">
        <v>0.48782216517090965</v>
      </c>
      <c r="AA2520" s="39">
        <v>0.48143272318476871</v>
      </c>
      <c r="AB2520" s="39">
        <v>0.48740867741520405</v>
      </c>
      <c r="AC2520" s="39">
        <v>0.48622293041743864</v>
      </c>
      <c r="AD2520" s="39">
        <v>0.47911847716496664</v>
      </c>
      <c r="AE2520" s="39">
        <v>0.47436887891835028</v>
      </c>
      <c r="AF2520" s="40">
        <v>0.48055735595708149</v>
      </c>
    </row>
    <row r="2521" spans="1:32">
      <c r="A2521" s="15">
        <v>2519</v>
      </c>
      <c r="B2521" s="16">
        <v>1</v>
      </c>
      <c r="C2521" s="20">
        <v>0.16</v>
      </c>
      <c r="D2521" s="20">
        <v>0.86495321398959413</v>
      </c>
      <c r="E2521" s="20">
        <v>0.06</v>
      </c>
      <c r="F2521" s="8" t="s">
        <v>436</v>
      </c>
      <c r="G2521" s="24">
        <v>1.0461558277506315</v>
      </c>
      <c r="H2521" s="24">
        <v>1.0522128029546078</v>
      </c>
      <c r="I2521" s="25">
        <v>1.0706145687771305</v>
      </c>
      <c r="X2521" s="15">
        <v>2520</v>
      </c>
      <c r="Y2521" s="39">
        <v>0.4787907096281403</v>
      </c>
      <c r="Z2521" s="39">
        <v>0.48673498454369168</v>
      </c>
      <c r="AA2521" s="39">
        <v>0.47951798428059511</v>
      </c>
      <c r="AB2521" s="39">
        <v>0.49488408071576223</v>
      </c>
      <c r="AC2521" s="39">
        <v>0.47181421608297192</v>
      </c>
      <c r="AD2521" s="39">
        <v>0.4827702229664943</v>
      </c>
      <c r="AE2521" s="39">
        <v>0.46945283774704577</v>
      </c>
      <c r="AF2521" s="40">
        <v>0.48962578042009658</v>
      </c>
    </row>
    <row r="2522" spans="1:32">
      <c r="A2522" s="15">
        <v>2520</v>
      </c>
      <c r="B2522" s="16">
        <v>1</v>
      </c>
      <c r="C2522" s="20">
        <v>0.35</v>
      </c>
      <c r="D2522" s="20">
        <v>0.62074827186104464</v>
      </c>
      <c r="E2522" s="20">
        <v>0.06</v>
      </c>
      <c r="F2522" s="8" t="s">
        <v>436</v>
      </c>
      <c r="G2522" s="24">
        <v>0.82571105202040429</v>
      </c>
      <c r="H2522" s="24">
        <v>0.83049170824299612</v>
      </c>
      <c r="I2522" s="25">
        <v>0.84501587473262751</v>
      </c>
      <c r="X2522" s="15">
        <v>2521</v>
      </c>
      <c r="Y2522" s="39">
        <v>0.48588213268865582</v>
      </c>
      <c r="Z2522" s="39">
        <v>0.48919003890777635</v>
      </c>
      <c r="AA2522" s="39">
        <v>0.49025044264869205</v>
      </c>
      <c r="AB2522" s="39">
        <v>0.50547562422666059</v>
      </c>
      <c r="AC2522" s="39">
        <v>0.47770251254145946</v>
      </c>
      <c r="AD2522" s="39">
        <v>0.48105609355145806</v>
      </c>
      <c r="AE2522" s="39">
        <v>0.4819877960061914</v>
      </c>
      <c r="AF2522" s="40">
        <v>0.50180673703329182</v>
      </c>
    </row>
    <row r="2523" spans="1:32">
      <c r="A2523" s="15">
        <v>2521</v>
      </c>
      <c r="B2523" s="16">
        <v>0</v>
      </c>
      <c r="C2523" s="20">
        <v>0.89</v>
      </c>
      <c r="D2523" s="20">
        <v>0.24559627500636821</v>
      </c>
      <c r="E2523" s="20">
        <v>0.11</v>
      </c>
      <c r="F2523" s="8" t="s">
        <v>434</v>
      </c>
      <c r="G2523" s="24">
        <v>0.82519721542648816</v>
      </c>
      <c r="H2523" s="24">
        <v>0.82997489666636159</v>
      </c>
      <c r="I2523" s="25">
        <v>0.8444900248268824</v>
      </c>
      <c r="X2523" s="15">
        <v>2522</v>
      </c>
      <c r="Y2523" s="39">
        <v>0.4921721403520215</v>
      </c>
      <c r="Z2523" s="39">
        <v>0.47985706437582493</v>
      </c>
      <c r="AA2523" s="39">
        <v>0.47942016152792294</v>
      </c>
      <c r="AB2523" s="39">
        <v>0.48638818116579036</v>
      </c>
      <c r="AC2523" s="39">
        <v>0.48693160350869619</v>
      </c>
      <c r="AD2523" s="39">
        <v>0.47340908972009793</v>
      </c>
      <c r="AE2523" s="39">
        <v>0.47302050363381148</v>
      </c>
      <c r="AF2523" s="40">
        <v>0.48147027502522888</v>
      </c>
    </row>
    <row r="2524" spans="1:32">
      <c r="A2524" s="15">
        <v>2522</v>
      </c>
      <c r="B2524" s="16">
        <v>1</v>
      </c>
      <c r="C2524" s="20">
        <v>0.02</v>
      </c>
      <c r="D2524" s="20">
        <v>0.99756714174924133</v>
      </c>
      <c r="E2524" s="20">
        <v>1</v>
      </c>
      <c r="F2524" s="8" t="s">
        <v>436</v>
      </c>
      <c r="G2524" s="24">
        <v>1.0567851570272249</v>
      </c>
      <c r="H2524" s="24">
        <v>1.062903673334501</v>
      </c>
      <c r="I2524" s="25">
        <v>1.0814924078886503</v>
      </c>
      <c r="X2524" s="15">
        <v>2523</v>
      </c>
      <c r="Y2524" s="39">
        <v>0.48710358291322908</v>
      </c>
      <c r="Z2524" s="39">
        <v>0.48880953764995883</v>
      </c>
      <c r="AA2524" s="39">
        <v>0.50215364437896859</v>
      </c>
      <c r="AB2524" s="39">
        <v>0.49756012552538487</v>
      </c>
      <c r="AC2524" s="39">
        <v>0.48236791249993072</v>
      </c>
      <c r="AD2524" s="39">
        <v>0.47874339506918756</v>
      </c>
      <c r="AE2524" s="39">
        <v>0.49400033739126836</v>
      </c>
      <c r="AF2524" s="40">
        <v>0.49411769917202863</v>
      </c>
    </row>
    <row r="2525" spans="1:32">
      <c r="A2525" s="15">
        <v>2523</v>
      </c>
      <c r="B2525" s="16">
        <v>0</v>
      </c>
      <c r="C2525" s="20">
        <v>0.49</v>
      </c>
      <c r="D2525" s="20">
        <v>0.47056141818823649</v>
      </c>
      <c r="E2525" s="20">
        <v>0.09</v>
      </c>
      <c r="F2525" s="8" t="s">
        <v>436</v>
      </c>
      <c r="G2525" s="24">
        <v>0.93807063932124601</v>
      </c>
      <c r="H2525" s="24">
        <v>0.94350182887372758</v>
      </c>
      <c r="I2525" s="25">
        <v>0.96000238813256156</v>
      </c>
      <c r="X2525" s="15">
        <v>2524</v>
      </c>
      <c r="Y2525" s="39">
        <v>0.49274714365135935</v>
      </c>
      <c r="Z2525" s="39">
        <v>0.4838119308064841</v>
      </c>
      <c r="AA2525" s="39">
        <v>0.50280038245383585</v>
      </c>
      <c r="AB2525" s="39">
        <v>0.49246164145668719</v>
      </c>
      <c r="AC2525" s="39">
        <v>0.48623205856386953</v>
      </c>
      <c r="AD2525" s="39">
        <v>0.47667060681416024</v>
      </c>
      <c r="AE2525" s="39">
        <v>0.49463400231429466</v>
      </c>
      <c r="AF2525" s="40">
        <v>0.49145245648748048</v>
      </c>
    </row>
    <row r="2526" spans="1:32">
      <c r="A2526" s="15">
        <v>2524</v>
      </c>
      <c r="B2526" s="16">
        <v>0</v>
      </c>
      <c r="C2526" s="20">
        <v>0.02</v>
      </c>
      <c r="D2526" s="20">
        <v>0.99835916395484214</v>
      </c>
      <c r="E2526" s="20">
        <v>1</v>
      </c>
      <c r="F2526" s="8" t="s">
        <v>436</v>
      </c>
      <c r="G2526" s="24">
        <v>1.1128679199263793</v>
      </c>
      <c r="H2526" s="24">
        <v>1.1193111411153183</v>
      </c>
      <c r="I2526" s="25">
        <v>1.1388863652938377</v>
      </c>
      <c r="X2526" s="15">
        <v>2525</v>
      </c>
      <c r="Y2526" s="39">
        <v>0.47946949440598835</v>
      </c>
      <c r="Z2526" s="39">
        <v>0.4835006368308673</v>
      </c>
      <c r="AA2526" s="39">
        <v>0.50378039738642921</v>
      </c>
      <c r="AB2526" s="39">
        <v>0.48668451803789248</v>
      </c>
      <c r="AC2526" s="39">
        <v>0.47589413436606404</v>
      </c>
      <c r="AD2526" s="39">
        <v>0.47653966048166313</v>
      </c>
      <c r="AE2526" s="39">
        <v>0.49717174290865623</v>
      </c>
      <c r="AF2526" s="40">
        <v>0.47979787447743694</v>
      </c>
    </row>
    <row r="2527" spans="1:32">
      <c r="A2527" s="15">
        <v>2525</v>
      </c>
      <c r="B2527" s="16">
        <v>1</v>
      </c>
      <c r="C2527" s="20">
        <v>7.0000000000000007E-2</v>
      </c>
      <c r="D2527" s="20">
        <v>0.94186462364086876</v>
      </c>
      <c r="E2527" s="20">
        <v>0.41</v>
      </c>
      <c r="F2527" s="8" t="s">
        <v>436</v>
      </c>
      <c r="G2527" s="24">
        <v>1.0739413506961228</v>
      </c>
      <c r="H2527" s="24">
        <v>1.0801591969855016</v>
      </c>
      <c r="I2527" s="25">
        <v>1.099049707097294</v>
      </c>
      <c r="X2527" s="15">
        <v>2526</v>
      </c>
      <c r="Y2527" s="39">
        <v>0.48838331102508215</v>
      </c>
      <c r="Z2527" s="39">
        <v>0.4786158118158243</v>
      </c>
      <c r="AA2527" s="39">
        <v>0.49050283415417473</v>
      </c>
      <c r="AB2527" s="39">
        <v>0.49881052873398612</v>
      </c>
      <c r="AC2527" s="39">
        <v>0.48071182117710398</v>
      </c>
      <c r="AD2527" s="39">
        <v>0.47358510883208155</v>
      </c>
      <c r="AE2527" s="39">
        <v>0.48378325556630436</v>
      </c>
      <c r="AF2527" s="40">
        <v>0.49327751659831598</v>
      </c>
    </row>
    <row r="2528" spans="1:32">
      <c r="A2528" s="15">
        <v>2526</v>
      </c>
      <c r="B2528" s="16">
        <v>0</v>
      </c>
      <c r="C2528" s="20">
        <v>0.87</v>
      </c>
      <c r="D2528" s="20">
        <v>0.27523630324073212</v>
      </c>
      <c r="E2528" s="20">
        <v>0.13</v>
      </c>
      <c r="F2528" s="8" t="s">
        <v>434</v>
      </c>
      <c r="G2528" s="24">
        <v>1.1501866872221342</v>
      </c>
      <c r="H2528" s="24">
        <v>1.1568459745478352</v>
      </c>
      <c r="I2528" s="25">
        <v>1.1770776317340821</v>
      </c>
      <c r="X2528" s="15">
        <v>2527</v>
      </c>
      <c r="Y2528" s="39">
        <v>0.49821883462152577</v>
      </c>
      <c r="Z2528" s="39">
        <v>0.49362459980060458</v>
      </c>
      <c r="AA2528" s="39">
        <v>0.47980271872072544</v>
      </c>
      <c r="AB2528" s="39">
        <v>0.47725136381684025</v>
      </c>
      <c r="AC2528" s="39">
        <v>0.48789830713947341</v>
      </c>
      <c r="AD2528" s="39">
        <v>0.48440477771635138</v>
      </c>
      <c r="AE2528" s="39">
        <v>0.47304774539070177</v>
      </c>
      <c r="AF2528" s="40">
        <v>0.47260324882383925</v>
      </c>
    </row>
    <row r="2529" spans="1:32">
      <c r="A2529" s="15">
        <v>2527</v>
      </c>
      <c r="B2529" s="16">
        <v>0</v>
      </c>
      <c r="C2529" s="20">
        <v>0.02</v>
      </c>
      <c r="D2529" s="20">
        <v>0.99756714174924133</v>
      </c>
      <c r="E2529" s="20">
        <v>1</v>
      </c>
      <c r="F2529" s="8" t="s">
        <v>436</v>
      </c>
      <c r="G2529" s="24">
        <v>1.2369347799487422</v>
      </c>
      <c r="H2529" s="24">
        <v>1.2440963165882639</v>
      </c>
      <c r="I2529" s="25">
        <v>1.2658538631741212</v>
      </c>
      <c r="X2529" s="15">
        <v>2528</v>
      </c>
      <c r="Y2529" s="39">
        <v>0.47347708800853489</v>
      </c>
      <c r="Z2529" s="39">
        <v>0.47306052264038245</v>
      </c>
      <c r="AA2529" s="39">
        <v>0.48187322448182257</v>
      </c>
      <c r="AB2529" s="39">
        <v>0.48764133754784017</v>
      </c>
      <c r="AC2529" s="39">
        <v>0.46874853279614526</v>
      </c>
      <c r="AD2529" s="39">
        <v>0.46689831296273521</v>
      </c>
      <c r="AE2529" s="39">
        <v>0.47704082519819291</v>
      </c>
      <c r="AF2529" s="40">
        <v>0.48519907332315443</v>
      </c>
    </row>
    <row r="2530" spans="1:32">
      <c r="A2530" s="15">
        <v>2528</v>
      </c>
      <c r="B2530" s="16">
        <v>0</v>
      </c>
      <c r="C2530" s="20">
        <v>0.95</v>
      </c>
      <c r="D2530" s="20">
        <v>0.15570568692893463</v>
      </c>
      <c r="E2530" s="20">
        <v>0.05</v>
      </c>
      <c r="F2530" s="8" t="s">
        <v>434</v>
      </c>
      <c r="G2530" s="24">
        <v>0.55597530275522256</v>
      </c>
      <c r="H2530" s="24">
        <v>0.55919425784153332</v>
      </c>
      <c r="I2530" s="25">
        <v>0.56897380220100569</v>
      </c>
      <c r="X2530" s="15">
        <v>2529</v>
      </c>
      <c r="Y2530" s="39">
        <v>0.48334350031704337</v>
      </c>
      <c r="Z2530" s="39">
        <v>0.47794943059418865</v>
      </c>
      <c r="AA2530" s="39">
        <v>0.5006132923043638</v>
      </c>
      <c r="AB2530" s="39">
        <v>0.48677949493564593</v>
      </c>
      <c r="AC2530" s="39">
        <v>0.47404612056619344</v>
      </c>
      <c r="AD2530" s="39">
        <v>0.47083199689297112</v>
      </c>
      <c r="AE2530" s="39">
        <v>0.49360487079167015</v>
      </c>
      <c r="AF2530" s="40">
        <v>0.48148810552573335</v>
      </c>
    </row>
    <row r="2531" spans="1:32">
      <c r="A2531" s="15">
        <v>2529</v>
      </c>
      <c r="B2531" s="16">
        <v>0</v>
      </c>
      <c r="C2531" s="20">
        <v>0.21</v>
      </c>
      <c r="D2531" s="20">
        <v>0.85378389792437615</v>
      </c>
      <c r="E2531" s="20">
        <v>7.0000000000000007E-2</v>
      </c>
      <c r="F2531" s="8" t="s">
        <v>436</v>
      </c>
      <c r="G2531" s="24">
        <v>1.0309235632162093</v>
      </c>
      <c r="H2531" s="24">
        <v>1.0368923474966749</v>
      </c>
      <c r="I2531" s="25">
        <v>1.0550261794631948</v>
      </c>
      <c r="X2531" s="15">
        <v>2530</v>
      </c>
      <c r="Y2531" s="39">
        <v>0.47458001830348551</v>
      </c>
      <c r="Z2531" s="39">
        <v>0.48546792092712049</v>
      </c>
      <c r="AA2531" s="39">
        <v>0.4894050102523092</v>
      </c>
      <c r="AB2531" s="39">
        <v>0.4989709659120124</v>
      </c>
      <c r="AC2531" s="39">
        <v>0.46726049301728323</v>
      </c>
      <c r="AD2531" s="39">
        <v>0.47697427643739265</v>
      </c>
      <c r="AE2531" s="39">
        <v>0.48176152490883872</v>
      </c>
      <c r="AF2531" s="40">
        <v>0.49294775228005405</v>
      </c>
    </row>
    <row r="2532" spans="1:32">
      <c r="A2532" s="15">
        <v>2530</v>
      </c>
      <c r="B2532" s="16">
        <v>0</v>
      </c>
      <c r="C2532" s="20">
        <v>0.87</v>
      </c>
      <c r="D2532" s="20">
        <v>0.27276032039195819</v>
      </c>
      <c r="E2532" s="20">
        <v>0.13</v>
      </c>
      <c r="F2532" s="8" t="s">
        <v>434</v>
      </c>
      <c r="G2532" s="24">
        <v>0.74405187981716381</v>
      </c>
      <c r="H2532" s="24">
        <v>0.74835975027678214</v>
      </c>
      <c r="I2532" s="25">
        <v>0.76144754091849043</v>
      </c>
      <c r="X2532" s="15">
        <v>2531</v>
      </c>
      <c r="Y2532" s="39">
        <v>0.4833762386545864</v>
      </c>
      <c r="Z2532" s="39">
        <v>0.48412406747429859</v>
      </c>
      <c r="AA2532" s="39">
        <v>0.48013821737473023</v>
      </c>
      <c r="AB2532" s="39">
        <v>0.49826935014878515</v>
      </c>
      <c r="AC2532" s="39">
        <v>0.47985415221624478</v>
      </c>
      <c r="AD2532" s="39">
        <v>0.47618245883422511</v>
      </c>
      <c r="AE2532" s="39">
        <v>0.47419302477761022</v>
      </c>
      <c r="AF2532" s="40">
        <v>0.49733318110454966</v>
      </c>
    </row>
    <row r="2533" spans="1:32">
      <c r="A2533" s="15">
        <v>2531</v>
      </c>
      <c r="B2533" s="16">
        <v>0</v>
      </c>
      <c r="C2533" s="20">
        <v>0.94</v>
      </c>
      <c r="D2533" s="20">
        <v>0.17188516685452584</v>
      </c>
      <c r="E2533" s="20">
        <v>0.06</v>
      </c>
      <c r="F2533" s="8" t="s">
        <v>434</v>
      </c>
      <c r="G2533" s="24">
        <v>0.86935883705727401</v>
      </c>
      <c r="H2533" s="24">
        <v>0.87439220281382235</v>
      </c>
      <c r="I2533" s="25">
        <v>0.88968412903638705</v>
      </c>
      <c r="X2533" s="15">
        <v>2532</v>
      </c>
      <c r="Y2533" s="39">
        <v>0.49985030034315442</v>
      </c>
      <c r="Z2533" s="39">
        <v>0.48279051156550412</v>
      </c>
      <c r="AA2533" s="39">
        <v>0.49152780202395202</v>
      </c>
      <c r="AB2533" s="39">
        <v>0.49315981878119303</v>
      </c>
      <c r="AC2533" s="39">
        <v>0.49147980339809055</v>
      </c>
      <c r="AD2533" s="39">
        <v>0.47616977738241939</v>
      </c>
      <c r="AE2533" s="39">
        <v>0.48586876085532826</v>
      </c>
      <c r="AF2533" s="40">
        <v>0.48629160813434041</v>
      </c>
    </row>
    <row r="2534" spans="1:32">
      <c r="A2534" s="15">
        <v>2532</v>
      </c>
      <c r="B2534" s="16">
        <v>0</v>
      </c>
      <c r="C2534" s="20">
        <v>0.02</v>
      </c>
      <c r="D2534" s="20">
        <v>0.99835916395484214</v>
      </c>
      <c r="E2534" s="20">
        <v>1</v>
      </c>
      <c r="F2534" s="8" t="s">
        <v>436</v>
      </c>
      <c r="G2534" s="24">
        <v>1.0554928705052198</v>
      </c>
      <c r="H2534" s="24">
        <v>1.0616039048033987</v>
      </c>
      <c r="I2534" s="25">
        <v>1.0801699081799139</v>
      </c>
      <c r="X2534" s="15">
        <v>2533</v>
      </c>
      <c r="Y2534" s="39">
        <v>0.49273008298765786</v>
      </c>
      <c r="Z2534" s="39">
        <v>0.49028566736817503</v>
      </c>
      <c r="AA2534" s="39">
        <v>0.4804312442768891</v>
      </c>
      <c r="AB2534" s="39">
        <v>0.48500456974780276</v>
      </c>
      <c r="AC2534" s="39">
        <v>0.48448730302953252</v>
      </c>
      <c r="AD2534" s="39">
        <v>0.48326401392427448</v>
      </c>
      <c r="AE2534" s="39">
        <v>0.47252730652029767</v>
      </c>
      <c r="AF2534" s="40">
        <v>0.48214281414735577</v>
      </c>
    </row>
    <row r="2535" spans="1:32">
      <c r="A2535" s="15">
        <v>2533</v>
      </c>
      <c r="B2535" s="16">
        <v>1</v>
      </c>
      <c r="C2535" s="20">
        <v>7.0000000000000007E-2</v>
      </c>
      <c r="D2535" s="20">
        <v>0.94523688561465879</v>
      </c>
      <c r="E2535" s="20">
        <v>0.42</v>
      </c>
      <c r="F2535" s="8" t="s">
        <v>436</v>
      </c>
      <c r="G2535" s="24">
        <v>0.88808194027834209</v>
      </c>
      <c r="H2535" s="24">
        <v>0.89322370802333551</v>
      </c>
      <c r="I2535" s="25">
        <v>0.90884497157004018</v>
      </c>
      <c r="X2535" s="15">
        <v>2534</v>
      </c>
      <c r="Y2535" s="39">
        <v>0.49107801864314821</v>
      </c>
      <c r="Z2535" s="39">
        <v>0.47576991306030292</v>
      </c>
      <c r="AA2535" s="39">
        <v>0.47366517557888238</v>
      </c>
      <c r="AB2535" s="39">
        <v>0.49502752148588008</v>
      </c>
      <c r="AC2535" s="39">
        <v>0.48645506673071659</v>
      </c>
      <c r="AD2535" s="39">
        <v>0.46957955712443272</v>
      </c>
      <c r="AE2535" s="39">
        <v>0.46908039012256042</v>
      </c>
      <c r="AF2535" s="40">
        <v>0.49118258022330774</v>
      </c>
    </row>
    <row r="2536" spans="1:32">
      <c r="A2536" s="15">
        <v>2534</v>
      </c>
      <c r="B2536" s="16">
        <v>0</v>
      </c>
      <c r="C2536" s="20">
        <v>0.28000000000000003</v>
      </c>
      <c r="D2536" s="20">
        <v>0.76991139947063003</v>
      </c>
      <c r="E2536" s="20">
        <v>0.08</v>
      </c>
      <c r="F2536" s="8" t="s">
        <v>436</v>
      </c>
      <c r="G2536" s="24">
        <v>1.2606862767656608</v>
      </c>
      <c r="H2536" s="24">
        <v>1.2679853285090144</v>
      </c>
      <c r="I2536" s="25">
        <v>1.2901606613087087</v>
      </c>
      <c r="X2536" s="15">
        <v>2535</v>
      </c>
      <c r="Y2536" s="39">
        <v>0.49859586808748596</v>
      </c>
      <c r="Z2536" s="39">
        <v>0.4753626657078236</v>
      </c>
      <c r="AA2536" s="39">
        <v>0.49360801965603562</v>
      </c>
      <c r="AB2536" s="39">
        <v>0.50363143064252014</v>
      </c>
      <c r="AC2536" s="39">
        <v>0.4894025081393501</v>
      </c>
      <c r="AD2536" s="39">
        <v>0.46965789795698992</v>
      </c>
      <c r="AE2536" s="39">
        <v>0.48703086775014515</v>
      </c>
      <c r="AF2536" s="40">
        <v>0.49943031320307618</v>
      </c>
    </row>
    <row r="2537" spans="1:32">
      <c r="A2537" s="15">
        <v>2535</v>
      </c>
      <c r="B2537" s="16">
        <v>0</v>
      </c>
      <c r="C2537" s="20">
        <v>0.91</v>
      </c>
      <c r="D2537" s="20">
        <v>0.21727233298780477</v>
      </c>
      <c r="E2537" s="20">
        <v>0.09</v>
      </c>
      <c r="F2537" s="8" t="s">
        <v>434</v>
      </c>
      <c r="G2537" s="24">
        <v>0.52223433439791123</v>
      </c>
      <c r="H2537" s="24">
        <v>0.52525793789005482</v>
      </c>
      <c r="I2537" s="25">
        <v>0.5344439823311915</v>
      </c>
      <c r="X2537" s="15">
        <v>2536</v>
      </c>
      <c r="Y2537" s="39">
        <v>0.49138477979341338</v>
      </c>
      <c r="Z2537" s="39">
        <v>0.49856275914968368</v>
      </c>
      <c r="AA2537" s="39">
        <v>0.49366146731158189</v>
      </c>
      <c r="AB2537" s="39">
        <v>0.48456492030188431</v>
      </c>
      <c r="AC2537" s="39">
        <v>0.48413211940934076</v>
      </c>
      <c r="AD2537" s="39">
        <v>0.48915855049653184</v>
      </c>
      <c r="AE2537" s="39">
        <v>0.48630092250179524</v>
      </c>
      <c r="AF2537" s="40">
        <v>0.47844113937269545</v>
      </c>
    </row>
    <row r="2538" spans="1:32">
      <c r="A2538" s="15">
        <v>2536</v>
      </c>
      <c r="B2538" s="16">
        <v>1</v>
      </c>
      <c r="C2538" s="20">
        <v>0.91</v>
      </c>
      <c r="D2538" s="20">
        <v>0.21727233298780477</v>
      </c>
      <c r="E2538" s="20">
        <v>0.09</v>
      </c>
      <c r="F2538" s="8" t="s">
        <v>434</v>
      </c>
      <c r="G2538" s="24">
        <v>1.0984855289015931</v>
      </c>
      <c r="H2538" s="24">
        <v>1.1048454797177059</v>
      </c>
      <c r="I2538" s="25">
        <v>1.124167719221681</v>
      </c>
      <c r="X2538" s="15">
        <v>2537</v>
      </c>
      <c r="Y2538" s="39">
        <v>0.49250490150396381</v>
      </c>
      <c r="Z2538" s="39">
        <v>0.47812677143633259</v>
      </c>
      <c r="AA2538" s="39">
        <v>0.49345341508630769</v>
      </c>
      <c r="AB2538" s="39">
        <v>0.48901612185508975</v>
      </c>
      <c r="AC2538" s="39">
        <v>0.48500326404682814</v>
      </c>
      <c r="AD2538" s="39">
        <v>0.47144677101790744</v>
      </c>
      <c r="AE2538" s="39">
        <v>0.48549515916192298</v>
      </c>
      <c r="AF2538" s="40">
        <v>0.48571101424160446</v>
      </c>
    </row>
    <row r="2539" spans="1:32">
      <c r="A2539" s="15">
        <v>2537</v>
      </c>
      <c r="B2539" s="16">
        <v>1</v>
      </c>
      <c r="C2539" s="20">
        <v>0.03</v>
      </c>
      <c r="D2539" s="20">
        <v>0.9948936026028764</v>
      </c>
      <c r="E2539" s="20">
        <v>1</v>
      </c>
      <c r="F2539" s="8" t="s">
        <v>436</v>
      </c>
      <c r="G2539" s="24">
        <v>1.0625276873125871</v>
      </c>
      <c r="H2539" s="24">
        <v>1.0686794514043938</v>
      </c>
      <c r="I2539" s="25">
        <v>1.087369196433978</v>
      </c>
      <c r="X2539" s="15">
        <v>2538</v>
      </c>
      <c r="Y2539" s="39">
        <v>0.49591403548918039</v>
      </c>
      <c r="Z2539" s="39">
        <v>0.48560501832383435</v>
      </c>
      <c r="AA2539" s="39">
        <v>0.47745859374066729</v>
      </c>
      <c r="AB2539" s="39">
        <v>0.4871482044860081</v>
      </c>
      <c r="AC2539" s="39">
        <v>0.49020811654163698</v>
      </c>
      <c r="AD2539" s="39">
        <v>0.48022197178309711</v>
      </c>
      <c r="AE2539" s="39">
        <v>0.47065718636791887</v>
      </c>
      <c r="AF2539" s="40">
        <v>0.48428958094320623</v>
      </c>
    </row>
    <row r="2540" spans="1:32">
      <c r="A2540" s="15">
        <v>2538</v>
      </c>
      <c r="B2540" s="16">
        <v>0</v>
      </c>
      <c r="C2540" s="20">
        <v>0.89</v>
      </c>
      <c r="D2540" s="20">
        <v>0.24559627500636821</v>
      </c>
      <c r="E2540" s="20">
        <v>0.11</v>
      </c>
      <c r="F2540" s="8" t="s">
        <v>434</v>
      </c>
      <c r="G2540" s="24">
        <v>0.75710532785727169</v>
      </c>
      <c r="H2540" s="24">
        <v>0.76148877444905694</v>
      </c>
      <c r="I2540" s="25">
        <v>0.77480617380453309</v>
      </c>
      <c r="X2540" s="15">
        <v>2539</v>
      </c>
      <c r="Y2540" s="39">
        <v>0.47298078808546828</v>
      </c>
      <c r="Z2540" s="39">
        <v>0.47787003744225892</v>
      </c>
      <c r="AA2540" s="39">
        <v>0.48989036162226229</v>
      </c>
      <c r="AB2540" s="39">
        <v>0.48579273745434881</v>
      </c>
      <c r="AC2540" s="39">
        <v>0.46602052337700189</v>
      </c>
      <c r="AD2540" s="39">
        <v>0.46963502272451696</v>
      </c>
      <c r="AE2540" s="39">
        <v>0.48543182264528684</v>
      </c>
      <c r="AF2540" s="40">
        <v>0.48322615843591871</v>
      </c>
    </row>
    <row r="2541" spans="1:32">
      <c r="A2541" s="15">
        <v>2539</v>
      </c>
      <c r="B2541" s="16">
        <v>1</v>
      </c>
      <c r="C2541" s="20">
        <v>0.08</v>
      </c>
      <c r="D2541" s="20">
        <v>0.9434258688081224</v>
      </c>
      <c r="E2541" s="20">
        <v>0.05</v>
      </c>
      <c r="F2541" s="8" t="s">
        <v>436</v>
      </c>
      <c r="G2541" s="24">
        <v>0.85810654945398068</v>
      </c>
      <c r="H2541" s="24">
        <v>0.8630747673375323</v>
      </c>
      <c r="I2541" s="25">
        <v>0.87816876706009472</v>
      </c>
      <c r="X2541" s="15">
        <v>2540</v>
      </c>
      <c r="Y2541" s="39">
        <v>0.49818057073691324</v>
      </c>
      <c r="Z2541" s="39">
        <v>0.48812896953128154</v>
      </c>
      <c r="AA2541" s="39">
        <v>0.47801122304960048</v>
      </c>
      <c r="AB2541" s="39">
        <v>0.49928774507227647</v>
      </c>
      <c r="AC2541" s="39">
        <v>0.48960829498327646</v>
      </c>
      <c r="AD2541" s="39">
        <v>0.48124612228022723</v>
      </c>
      <c r="AE2541" s="39">
        <v>0.47049733752865569</v>
      </c>
      <c r="AF2541" s="40">
        <v>0.49649840320087246</v>
      </c>
    </row>
    <row r="2542" spans="1:32">
      <c r="A2542" s="15">
        <v>2540</v>
      </c>
      <c r="B2542" s="16">
        <v>1</v>
      </c>
      <c r="C2542" s="20">
        <v>0.02</v>
      </c>
      <c r="D2542" s="20">
        <v>0.99756714174924133</v>
      </c>
      <c r="E2542" s="20">
        <v>1</v>
      </c>
      <c r="F2542" s="8" t="s">
        <v>436</v>
      </c>
      <c r="G2542" s="24">
        <v>1.0021205539206319</v>
      </c>
      <c r="H2542" s="24">
        <v>1.0079225761294486</v>
      </c>
      <c r="I2542" s="25">
        <v>1.0255497663338318</v>
      </c>
      <c r="X2542" s="15">
        <v>2541</v>
      </c>
      <c r="Y2542" s="39">
        <v>0.49505563263724184</v>
      </c>
      <c r="Z2542" s="39">
        <v>0.48682194983281657</v>
      </c>
      <c r="AA2542" s="39">
        <v>0.49767033178000691</v>
      </c>
      <c r="AB2542" s="39">
        <v>0.48479356537850604</v>
      </c>
      <c r="AC2542" s="39">
        <v>0.48790372286402917</v>
      </c>
      <c r="AD2542" s="39">
        <v>0.47647145555668857</v>
      </c>
      <c r="AE2542" s="39">
        <v>0.48910554281666457</v>
      </c>
      <c r="AF2542" s="40">
        <v>0.48078805519955553</v>
      </c>
    </row>
    <row r="2543" spans="1:32">
      <c r="A2543" s="15">
        <v>2541</v>
      </c>
      <c r="B2543" s="16">
        <v>0</v>
      </c>
      <c r="C2543" s="20">
        <v>0.92</v>
      </c>
      <c r="D2543" s="20">
        <v>0.20258497911151899</v>
      </c>
      <c r="E2543" s="20">
        <v>0.08</v>
      </c>
      <c r="F2543" s="8" t="s">
        <v>434</v>
      </c>
      <c r="G2543" s="24">
        <v>0.44407708090225367</v>
      </c>
      <c r="H2543" s="24">
        <v>0.44664817384685107</v>
      </c>
      <c r="I2543" s="25">
        <v>0.45445944080455009</v>
      </c>
      <c r="X2543" s="15">
        <v>2542</v>
      </c>
      <c r="Y2543" s="39">
        <v>0.49262116628294861</v>
      </c>
      <c r="Z2543" s="39">
        <v>0.49076453637674589</v>
      </c>
      <c r="AA2543" s="39">
        <v>0.4861527912402458</v>
      </c>
      <c r="AB2543" s="39">
        <v>0.49281143101494163</v>
      </c>
      <c r="AC2543" s="39">
        <v>0.48592043203543972</v>
      </c>
      <c r="AD2543" s="39">
        <v>0.48521198020656803</v>
      </c>
      <c r="AE2543" s="39">
        <v>0.47924092369146465</v>
      </c>
      <c r="AF2543" s="40">
        <v>0.48796817256550845</v>
      </c>
    </row>
    <row r="2544" spans="1:32">
      <c r="A2544" s="15">
        <v>2542</v>
      </c>
      <c r="B2544" s="16">
        <v>0</v>
      </c>
      <c r="C2544" s="20">
        <v>0.02</v>
      </c>
      <c r="D2544" s="20">
        <v>0.99756714174924133</v>
      </c>
      <c r="E2544" s="20">
        <v>1</v>
      </c>
      <c r="F2544" s="8" t="s">
        <v>436</v>
      </c>
      <c r="G2544" s="24">
        <v>1.1040970941536119</v>
      </c>
      <c r="H2544" s="24">
        <v>1.110489534500142</v>
      </c>
      <c r="I2544" s="25">
        <v>1.1299104808190354</v>
      </c>
      <c r="X2544" s="15">
        <v>2543</v>
      </c>
      <c r="Y2544" s="39">
        <v>0.49390980984468563</v>
      </c>
      <c r="Z2544" s="39">
        <v>0.49154754422909114</v>
      </c>
      <c r="AA2544" s="39">
        <v>0.49035430424229454</v>
      </c>
      <c r="AB2544" s="39">
        <v>0.4836544219513827</v>
      </c>
      <c r="AC2544" s="39">
        <v>0.48443302071066197</v>
      </c>
      <c r="AD2544" s="39">
        <v>0.48295898931625381</v>
      </c>
      <c r="AE2544" s="39">
        <v>0.48042976457216913</v>
      </c>
      <c r="AF2544" s="40">
        <v>0.48033839398956213</v>
      </c>
    </row>
    <row r="2545" spans="1:32">
      <c r="A2545" s="15">
        <v>2543</v>
      </c>
      <c r="B2545" s="16">
        <v>0</v>
      </c>
      <c r="C2545" s="20">
        <v>0.25</v>
      </c>
      <c r="D2545" s="20">
        <v>0.72387642721357603</v>
      </c>
      <c r="E2545" s="20">
        <v>0.1</v>
      </c>
      <c r="F2545" s="8" t="s">
        <v>436</v>
      </c>
      <c r="G2545" s="24">
        <v>0.96314144835153104</v>
      </c>
      <c r="H2545" s="24">
        <v>0.968717791488796</v>
      </c>
      <c r="I2545" s="25">
        <v>0.9856593435180363</v>
      </c>
      <c r="X2545" s="15">
        <v>2544</v>
      </c>
      <c r="Y2545" s="39">
        <v>0.49707750963708264</v>
      </c>
      <c r="Z2545" s="39">
        <v>0.47227267314189836</v>
      </c>
      <c r="AA2545" s="39">
        <v>0.49695337889817703</v>
      </c>
      <c r="AB2545" s="39">
        <v>0.49834249329521785</v>
      </c>
      <c r="AC2545" s="39">
        <v>0.4869010680535123</v>
      </c>
      <c r="AD2545" s="39">
        <v>0.46369005988520967</v>
      </c>
      <c r="AE2545" s="39">
        <v>0.48922680079347347</v>
      </c>
      <c r="AF2545" s="40">
        <v>0.49342005014146967</v>
      </c>
    </row>
    <row r="2546" spans="1:32">
      <c r="A2546" s="15">
        <v>2544</v>
      </c>
      <c r="B2546" s="16">
        <v>1</v>
      </c>
      <c r="C2546" s="20">
        <v>0.24</v>
      </c>
      <c r="D2546" s="20">
        <v>0.72703854599367757</v>
      </c>
      <c r="E2546" s="20">
        <v>0.1</v>
      </c>
      <c r="F2546" s="8" t="s">
        <v>436</v>
      </c>
      <c r="G2546" s="24">
        <v>1.2149912582393028</v>
      </c>
      <c r="H2546" s="24">
        <v>1.2220257474893665</v>
      </c>
      <c r="I2546" s="25">
        <v>1.2433973099444593</v>
      </c>
      <c r="X2546" s="15">
        <v>2545</v>
      </c>
      <c r="Y2546" s="39">
        <v>0.49336089970901176</v>
      </c>
      <c r="Z2546" s="39">
        <v>0.49606376526172075</v>
      </c>
      <c r="AA2546" s="39">
        <v>0.48323594359912975</v>
      </c>
      <c r="AB2546" s="39">
        <v>0.48506481827239439</v>
      </c>
      <c r="AC2546" s="39">
        <v>0.482829584271187</v>
      </c>
      <c r="AD2546" s="39">
        <v>0.48892196368631829</v>
      </c>
      <c r="AE2546" s="39">
        <v>0.47564038917644941</v>
      </c>
      <c r="AF2546" s="40">
        <v>0.48259162978525738</v>
      </c>
    </row>
    <row r="2547" spans="1:32">
      <c r="A2547" s="15">
        <v>2545</v>
      </c>
      <c r="B2547" s="16">
        <v>0</v>
      </c>
      <c r="C2547" s="20">
        <v>0.95</v>
      </c>
      <c r="D2547" s="20">
        <v>0.15570568692893463</v>
      </c>
      <c r="E2547" s="20">
        <v>0.05</v>
      </c>
      <c r="F2547" s="8" t="s">
        <v>434</v>
      </c>
      <c r="G2547" s="24">
        <v>0.69203779274012722</v>
      </c>
      <c r="H2547" s="24">
        <v>0.69604451491253438</v>
      </c>
      <c r="I2547" s="25">
        <v>0.70821738348959962</v>
      </c>
      <c r="X2547" s="15">
        <v>2546</v>
      </c>
      <c r="Y2547" s="39">
        <v>0.47617768790500214</v>
      </c>
      <c r="Z2547" s="39">
        <v>0.49310032004546733</v>
      </c>
      <c r="AA2547" s="39">
        <v>0.4892162879078098</v>
      </c>
      <c r="AB2547" s="39">
        <v>0.49051030260826944</v>
      </c>
      <c r="AC2547" s="39">
        <v>0.46843127858090139</v>
      </c>
      <c r="AD2547" s="39">
        <v>0.48481447042971004</v>
      </c>
      <c r="AE2547" s="39">
        <v>0.48238117133076547</v>
      </c>
      <c r="AF2547" s="40">
        <v>0.48507845384446846</v>
      </c>
    </row>
    <row r="2548" spans="1:32">
      <c r="A2548" s="15">
        <v>2546</v>
      </c>
      <c r="B2548" s="16">
        <v>0</v>
      </c>
      <c r="C2548" s="20">
        <v>0.2</v>
      </c>
      <c r="D2548" s="20">
        <v>0.83744833812042685</v>
      </c>
      <c r="E2548" s="20">
        <v>7.0000000000000007E-2</v>
      </c>
      <c r="F2548" s="8" t="s">
        <v>436</v>
      </c>
      <c r="G2548" s="24">
        <v>0.95331418493098941</v>
      </c>
      <c r="H2548" s="24">
        <v>0.95883363072152816</v>
      </c>
      <c r="I2548" s="25">
        <v>0.97560232226923782</v>
      </c>
      <c r="X2548" s="15">
        <v>2547</v>
      </c>
      <c r="Y2548" s="39">
        <v>0.4856795144041432</v>
      </c>
      <c r="Z2548" s="39">
        <v>0.50018868302054564</v>
      </c>
      <c r="AA2548" s="39">
        <v>0.46674923807412322</v>
      </c>
      <c r="AB2548" s="39">
        <v>0.47645705919515002</v>
      </c>
      <c r="AC2548" s="39">
        <v>0.47837466987292759</v>
      </c>
      <c r="AD2548" s="39">
        <v>0.49095148535393129</v>
      </c>
      <c r="AE2548" s="39">
        <v>0.45824795076900482</v>
      </c>
      <c r="AF2548" s="40">
        <v>0.47109418920784685</v>
      </c>
    </row>
    <row r="2549" spans="1:32">
      <c r="A2549" s="15">
        <v>2547</v>
      </c>
      <c r="B2549" s="16">
        <v>0</v>
      </c>
      <c r="C2549" s="20">
        <v>0.94</v>
      </c>
      <c r="D2549" s="20">
        <v>0.17188516685452584</v>
      </c>
      <c r="E2549" s="20">
        <v>0.06</v>
      </c>
      <c r="F2549" s="8" t="s">
        <v>434</v>
      </c>
      <c r="G2549" s="24">
        <v>1.4220230191111181</v>
      </c>
      <c r="H2549" s="24">
        <v>1.4302561694103033</v>
      </c>
      <c r="I2549" s="25">
        <v>1.4552693977437758</v>
      </c>
      <c r="X2549" s="15">
        <v>2548</v>
      </c>
      <c r="Y2549" s="39">
        <v>0.48530005967108358</v>
      </c>
      <c r="Z2549" s="39">
        <v>0.49951629538296322</v>
      </c>
      <c r="AA2549" s="39">
        <v>0.50635163518826964</v>
      </c>
      <c r="AB2549" s="39">
        <v>0.48367225599018887</v>
      </c>
      <c r="AC2549" s="39">
        <v>0.4776825040315964</v>
      </c>
      <c r="AD2549" s="39">
        <v>0.49191420524034396</v>
      </c>
      <c r="AE2549" s="39">
        <v>0.49994309858117786</v>
      </c>
      <c r="AF2549" s="40">
        <v>0.48050774736529456</v>
      </c>
    </row>
    <row r="2550" spans="1:32">
      <c r="A2550" s="15">
        <v>2548</v>
      </c>
      <c r="B2550" s="16">
        <v>1</v>
      </c>
      <c r="C2550" s="20">
        <v>0.02</v>
      </c>
      <c r="D2550" s="20">
        <v>0.99756714174924133</v>
      </c>
      <c r="E2550" s="20">
        <v>1</v>
      </c>
      <c r="F2550" s="8" t="s">
        <v>436</v>
      </c>
      <c r="G2550" s="24">
        <v>1.0000893059747795</v>
      </c>
      <c r="H2550" s="24">
        <v>1.0058795677764802</v>
      </c>
      <c r="I2550" s="25">
        <v>1.0234710285531476</v>
      </c>
      <c r="X2550" s="15">
        <v>2549</v>
      </c>
      <c r="Y2550" s="39">
        <v>0.49881910840273014</v>
      </c>
      <c r="Z2550" s="39">
        <v>0.48331837359363017</v>
      </c>
      <c r="AA2550" s="39">
        <v>0.48989494465669831</v>
      </c>
      <c r="AB2550" s="39">
        <v>0.46954756918459506</v>
      </c>
      <c r="AC2550" s="39">
        <v>0.49092861072202293</v>
      </c>
      <c r="AD2550" s="39">
        <v>0.4768936312093604</v>
      </c>
      <c r="AE2550" s="39">
        <v>0.4858669970537049</v>
      </c>
      <c r="AF2550" s="40">
        <v>0.46450458218868673</v>
      </c>
    </row>
    <row r="2551" spans="1:32">
      <c r="A2551" s="15">
        <v>2549</v>
      </c>
      <c r="B2551" s="16">
        <v>1</v>
      </c>
      <c r="C2551" s="20">
        <v>0.43</v>
      </c>
      <c r="D2551" s="20">
        <v>0.68207989026372318</v>
      </c>
      <c r="E2551" s="20">
        <v>0.05</v>
      </c>
      <c r="F2551" s="8" t="s">
        <v>436</v>
      </c>
      <c r="G2551" s="24">
        <v>2.5912714270366211</v>
      </c>
      <c r="H2551" s="24">
        <v>2.3557193791407478</v>
      </c>
      <c r="I2551" s="25">
        <v>1.6578926537592125</v>
      </c>
      <c r="X2551" s="15">
        <v>2550</v>
      </c>
      <c r="Y2551" s="39">
        <v>0.48491687135504158</v>
      </c>
      <c r="Z2551" s="39">
        <v>0.48365466415835195</v>
      </c>
      <c r="AA2551" s="39">
        <v>0.48610200159747569</v>
      </c>
      <c r="AB2551" s="39">
        <v>0.48586749822409087</v>
      </c>
      <c r="AC2551" s="39">
        <v>0.47837832641800698</v>
      </c>
      <c r="AD2551" s="39">
        <v>0.47665862701726813</v>
      </c>
      <c r="AE2551" s="39">
        <v>0.47883288406281366</v>
      </c>
      <c r="AF2551" s="40">
        <v>0.48059544652324127</v>
      </c>
    </row>
    <row r="2552" spans="1:32">
      <c r="A2552" s="15">
        <v>2550</v>
      </c>
      <c r="B2552" s="16">
        <v>0</v>
      </c>
      <c r="C2552" s="20">
        <v>0.51</v>
      </c>
      <c r="D2552" s="20">
        <v>0.57802041526366288</v>
      </c>
      <c r="E2552" s="20">
        <v>0.05</v>
      </c>
      <c r="F2552" s="8" t="s">
        <v>438</v>
      </c>
      <c r="G2552" s="24">
        <v>1.1188370505222156</v>
      </c>
      <c r="H2552" s="24">
        <v>1.1253148314536414</v>
      </c>
      <c r="I2552" s="25">
        <v>1.144995051982107</v>
      </c>
      <c r="X2552" s="15">
        <v>2551</v>
      </c>
      <c r="Y2552" s="39">
        <v>0.48304921740277401</v>
      </c>
      <c r="Z2552" s="39">
        <v>0.49449700623424148</v>
      </c>
      <c r="AA2552" s="39">
        <v>0.4806915373028639</v>
      </c>
      <c r="AB2552" s="39">
        <v>0.49021827995235107</v>
      </c>
      <c r="AC2552" s="39">
        <v>0.47806798696534358</v>
      </c>
      <c r="AD2552" s="39">
        <v>0.49040881170221839</v>
      </c>
      <c r="AE2552" s="39">
        <v>0.4759651480800407</v>
      </c>
      <c r="AF2552" s="40">
        <v>0.48644529535596381</v>
      </c>
    </row>
    <row r="2553" spans="1:32">
      <c r="A2553" s="15">
        <v>2551</v>
      </c>
      <c r="B2553" s="16">
        <v>1</v>
      </c>
      <c r="C2553" s="20">
        <v>7.0000000000000007E-2</v>
      </c>
      <c r="D2553" s="20">
        <v>0.91422857962738968</v>
      </c>
      <c r="E2553" s="20">
        <v>0.42</v>
      </c>
      <c r="F2553" s="8" t="s">
        <v>436</v>
      </c>
      <c r="G2553" s="24">
        <v>0.9008619999089359</v>
      </c>
      <c r="H2553" s="24">
        <v>0.90607776093698944</v>
      </c>
      <c r="I2553" s="25">
        <v>0.92192382432544029</v>
      </c>
      <c r="X2553" s="15">
        <v>2552</v>
      </c>
      <c r="Y2553" s="39">
        <v>0.49822433628601165</v>
      </c>
      <c r="Z2553" s="39">
        <v>0.49929410929447587</v>
      </c>
      <c r="AA2553" s="39">
        <v>0.48624995368650242</v>
      </c>
      <c r="AB2553" s="39">
        <v>0.47972724117412685</v>
      </c>
      <c r="AC2553" s="39">
        <v>0.49006773887854388</v>
      </c>
      <c r="AD2553" s="39">
        <v>0.4895602887303257</v>
      </c>
      <c r="AE2553" s="39">
        <v>0.47791432491763824</v>
      </c>
      <c r="AF2553" s="40">
        <v>0.47655758356212119</v>
      </c>
    </row>
    <row r="2554" spans="1:32">
      <c r="A2554" s="15">
        <v>2552</v>
      </c>
      <c r="B2554" s="16">
        <v>0</v>
      </c>
      <c r="C2554" s="20">
        <v>0.47</v>
      </c>
      <c r="D2554" s="20">
        <v>0.47078745680764889</v>
      </c>
      <c r="E2554" s="20">
        <v>7.0000000000000007E-2</v>
      </c>
      <c r="F2554" s="8" t="s">
        <v>436</v>
      </c>
      <c r="G2554" s="24">
        <v>0.66334939679903782</v>
      </c>
      <c r="H2554" s="24">
        <v>0.66719002048186271</v>
      </c>
      <c r="I2554" s="25">
        <v>0.67885826333307719</v>
      </c>
      <c r="X2554" s="15">
        <v>2553</v>
      </c>
      <c r="Y2554" s="39">
        <v>0.48798621284399818</v>
      </c>
      <c r="Z2554" s="39">
        <v>0.48129171078239757</v>
      </c>
      <c r="AA2554" s="39">
        <v>0.49226560110686357</v>
      </c>
      <c r="AB2554" s="39">
        <v>0.49542394796218975</v>
      </c>
      <c r="AC2554" s="39">
        <v>0.48209710382506105</v>
      </c>
      <c r="AD2554" s="39">
        <v>0.47624488545933286</v>
      </c>
      <c r="AE2554" s="39">
        <v>0.48468935826269466</v>
      </c>
      <c r="AF2554" s="40">
        <v>0.49194866953034011</v>
      </c>
    </row>
    <row r="2555" spans="1:32">
      <c r="A2555" s="15">
        <v>2553</v>
      </c>
      <c r="B2555" s="16">
        <v>0</v>
      </c>
      <c r="C2555" s="20">
        <v>0.47</v>
      </c>
      <c r="D2555" s="20">
        <v>0.47016837557130808</v>
      </c>
      <c r="E2555" s="20">
        <v>0.08</v>
      </c>
      <c r="F2555" s="8" t="s">
        <v>436</v>
      </c>
      <c r="G2555" s="24">
        <v>1.6850106421386257</v>
      </c>
      <c r="H2555" s="24">
        <v>1.694766423645683</v>
      </c>
      <c r="I2555" s="25">
        <v>1.6578926537592125</v>
      </c>
      <c r="X2555" s="15">
        <v>2554</v>
      </c>
      <c r="Y2555" s="39">
        <v>0.47496693395659612</v>
      </c>
      <c r="Z2555" s="39">
        <v>0.49757938801930862</v>
      </c>
      <c r="AA2555" s="39">
        <v>0.47959633744529506</v>
      </c>
      <c r="AB2555" s="39">
        <v>0.49623378685919234</v>
      </c>
      <c r="AC2555" s="39">
        <v>0.47056409097471169</v>
      </c>
      <c r="AD2555" s="39">
        <v>0.49000135303773518</v>
      </c>
      <c r="AE2555" s="39">
        <v>0.47455579304715262</v>
      </c>
      <c r="AF2555" s="40">
        <v>0.49385909634269215</v>
      </c>
    </row>
    <row r="2556" spans="1:32">
      <c r="A2556" s="15">
        <v>2554</v>
      </c>
      <c r="B2556" s="16">
        <v>0</v>
      </c>
      <c r="C2556" s="20">
        <v>0.94</v>
      </c>
      <c r="D2556" s="20">
        <v>0.17188516685452584</v>
      </c>
      <c r="E2556" s="20">
        <v>0.06</v>
      </c>
      <c r="F2556" s="8" t="s">
        <v>434</v>
      </c>
      <c r="G2556" s="24">
        <v>1.1277890429173161</v>
      </c>
      <c r="H2556" s="24">
        <v>1.1343186535996499</v>
      </c>
      <c r="I2556" s="25">
        <v>1.1541563386886808</v>
      </c>
      <c r="X2556" s="15">
        <v>2555</v>
      </c>
      <c r="Y2556" s="39">
        <v>0.50120840143367917</v>
      </c>
      <c r="Z2556" s="39">
        <v>0.48379193828251277</v>
      </c>
      <c r="AA2556" s="39">
        <v>0.48722017045027283</v>
      </c>
      <c r="AB2556" s="39">
        <v>0.49051460228664356</v>
      </c>
      <c r="AC2556" s="39">
        <v>0.49353017885032952</v>
      </c>
      <c r="AD2556" s="39">
        <v>0.47755699194607698</v>
      </c>
      <c r="AE2556" s="39">
        <v>0.47959500078728085</v>
      </c>
      <c r="AF2556" s="40">
        <v>0.49064638853170994</v>
      </c>
    </row>
    <row r="2557" spans="1:32">
      <c r="A2557" s="15">
        <v>2555</v>
      </c>
      <c r="B2557" s="16">
        <v>1</v>
      </c>
      <c r="C2557" s="20">
        <v>0.02</v>
      </c>
      <c r="D2557" s="20">
        <v>0.99756714174924133</v>
      </c>
      <c r="E2557" s="20">
        <v>1</v>
      </c>
      <c r="F2557" s="8" t="s">
        <v>436</v>
      </c>
      <c r="G2557" s="24">
        <v>1.037088858788167</v>
      </c>
      <c r="H2557" s="24">
        <v>1.0430933385562589</v>
      </c>
      <c r="I2557" s="25">
        <v>1.0613356173930559</v>
      </c>
      <c r="X2557" s="15">
        <v>2556</v>
      </c>
      <c r="Y2557" s="39">
        <v>0.4885239796828158</v>
      </c>
      <c r="Z2557" s="39">
        <v>0.48009790427904792</v>
      </c>
      <c r="AA2557" s="39">
        <v>0.48461330168014294</v>
      </c>
      <c r="AB2557" s="39">
        <v>0.49060092120563514</v>
      </c>
      <c r="AC2557" s="39">
        <v>0.48066707187116092</v>
      </c>
      <c r="AD2557" s="39">
        <v>0.47290834695655198</v>
      </c>
      <c r="AE2557" s="39">
        <v>0.47742752299529395</v>
      </c>
      <c r="AF2557" s="40">
        <v>0.48899161418283049</v>
      </c>
    </row>
    <row r="2558" spans="1:32">
      <c r="A2558" s="15">
        <v>2556</v>
      </c>
      <c r="B2558" s="16">
        <v>0</v>
      </c>
      <c r="C2558" s="20">
        <v>0.13</v>
      </c>
      <c r="D2558" s="20">
        <v>0.87854572033686973</v>
      </c>
      <c r="E2558" s="20">
        <v>0.36</v>
      </c>
      <c r="F2558" s="8" t="s">
        <v>436</v>
      </c>
      <c r="G2558" s="24">
        <v>1.1247471917678675</v>
      </c>
      <c r="H2558" s="24">
        <v>1.1312591909085001</v>
      </c>
      <c r="I2558" s="25">
        <v>1.151043370170737</v>
      </c>
      <c r="X2558" s="15">
        <v>2557</v>
      </c>
      <c r="Y2558" s="39">
        <v>0.49188791786479824</v>
      </c>
      <c r="Z2558" s="39">
        <v>0.47719696382910115</v>
      </c>
      <c r="AA2558" s="39">
        <v>0.48486220897751253</v>
      </c>
      <c r="AB2558" s="39">
        <v>0.49168258503837331</v>
      </c>
      <c r="AC2558" s="39">
        <v>0.48651103140137641</v>
      </c>
      <c r="AD2558" s="39">
        <v>0.46970537580360266</v>
      </c>
      <c r="AE2558" s="39">
        <v>0.47705096929814955</v>
      </c>
      <c r="AF2558" s="40">
        <v>0.48714680021214496</v>
      </c>
    </row>
    <row r="2559" spans="1:32">
      <c r="A2559" s="15">
        <v>2557</v>
      </c>
      <c r="B2559" s="16">
        <v>0</v>
      </c>
      <c r="C2559" s="20">
        <v>0.02</v>
      </c>
      <c r="D2559" s="20">
        <v>0.99835916395484214</v>
      </c>
      <c r="E2559" s="20">
        <v>1</v>
      </c>
      <c r="F2559" s="8" t="s">
        <v>436</v>
      </c>
      <c r="G2559" s="24">
        <v>1.1545493848599155</v>
      </c>
      <c r="H2559" s="24">
        <v>1.1612339310913298</v>
      </c>
      <c r="I2559" s="25">
        <v>1.1815423276486676</v>
      </c>
      <c r="X2559" s="15">
        <v>2558</v>
      </c>
      <c r="Y2559" s="39">
        <v>0.47533004092612835</v>
      </c>
      <c r="Z2559" s="39">
        <v>0.49422731848421059</v>
      </c>
      <c r="AA2559" s="39">
        <v>0.47862290588913553</v>
      </c>
      <c r="AB2559" s="39">
        <v>0.48584837453898383</v>
      </c>
      <c r="AC2559" s="39">
        <v>0.4712521952200367</v>
      </c>
      <c r="AD2559" s="39">
        <v>0.4879637980004437</v>
      </c>
      <c r="AE2559" s="39">
        <v>0.47180863202808909</v>
      </c>
      <c r="AF2559" s="40">
        <v>0.48309349703367915</v>
      </c>
    </row>
    <row r="2560" spans="1:32">
      <c r="A2560" s="15">
        <v>2558</v>
      </c>
      <c r="B2560" s="16">
        <v>0</v>
      </c>
      <c r="C2560" s="20">
        <v>0.95</v>
      </c>
      <c r="D2560" s="20">
        <v>0.15570568692893463</v>
      </c>
      <c r="E2560" s="20">
        <v>0.05</v>
      </c>
      <c r="F2560" s="8" t="s">
        <v>434</v>
      </c>
      <c r="G2560" s="24">
        <v>1.0579012022487246</v>
      </c>
      <c r="H2560" s="24">
        <v>1.0640261801729547</v>
      </c>
      <c r="I2560" s="25">
        <v>1.0826345458396673</v>
      </c>
      <c r="X2560" s="15">
        <v>2559</v>
      </c>
      <c r="Y2560" s="39">
        <v>0.47690424978264184</v>
      </c>
      <c r="Z2560" s="39">
        <v>0.4808911621303501</v>
      </c>
      <c r="AA2560" s="39">
        <v>0.48917089832015692</v>
      </c>
      <c r="AB2560" s="39">
        <v>0.50870766377974319</v>
      </c>
      <c r="AC2560" s="39">
        <v>0.47140294776444863</v>
      </c>
      <c r="AD2560" s="39">
        <v>0.4769911422477433</v>
      </c>
      <c r="AE2560" s="39">
        <v>0.48363100159994832</v>
      </c>
      <c r="AF2560" s="40">
        <v>0.50631969492014151</v>
      </c>
    </row>
    <row r="2561" spans="1:32">
      <c r="A2561" s="15">
        <v>2559</v>
      </c>
      <c r="B2561" s="16">
        <v>1</v>
      </c>
      <c r="C2561" s="20">
        <v>0.26</v>
      </c>
      <c r="D2561" s="20">
        <v>0.82560107404502181</v>
      </c>
      <c r="E2561" s="20">
        <v>0.04</v>
      </c>
      <c r="F2561" s="8" t="s">
        <v>436</v>
      </c>
      <c r="G2561" s="24">
        <v>1.0134387321907901</v>
      </c>
      <c r="H2561" s="24">
        <v>1.0193062837627458</v>
      </c>
      <c r="I2561" s="25">
        <v>1.037132559476706</v>
      </c>
      <c r="X2561" s="15">
        <v>2560</v>
      </c>
      <c r="Y2561" s="39">
        <v>0.48598412527999496</v>
      </c>
      <c r="Z2561" s="39">
        <v>0.47366733765043562</v>
      </c>
      <c r="AA2561" s="39">
        <v>0.47923611896629204</v>
      </c>
      <c r="AB2561" s="39">
        <v>0.492204489516816</v>
      </c>
      <c r="AC2561" s="39">
        <v>0.48183125588753639</v>
      </c>
      <c r="AD2561" s="39">
        <v>0.46605712175239783</v>
      </c>
      <c r="AE2561" s="39">
        <v>0.47142283669446877</v>
      </c>
      <c r="AF2561" s="40">
        <v>0.48894140973302413</v>
      </c>
    </row>
    <row r="2562" spans="1:32">
      <c r="A2562" s="15">
        <v>2560</v>
      </c>
      <c r="B2562" s="16">
        <v>0</v>
      </c>
      <c r="C2562" s="20">
        <v>0.94</v>
      </c>
      <c r="D2562" s="20">
        <v>0.17188516685452584</v>
      </c>
      <c r="E2562" s="20">
        <v>0.06</v>
      </c>
      <c r="F2562" s="8" t="s">
        <v>434</v>
      </c>
      <c r="G2562" s="24">
        <v>0.77824559489181955</v>
      </c>
      <c r="H2562" s="24">
        <v>0.78275143823353166</v>
      </c>
      <c r="I2562" s="25">
        <v>0.79644069255848371</v>
      </c>
      <c r="X2562" s="15">
        <v>2561</v>
      </c>
      <c r="Y2562" s="39">
        <v>0.46470755561280991</v>
      </c>
      <c r="Z2562" s="39">
        <v>0.4752398890151619</v>
      </c>
      <c r="AA2562" s="39">
        <v>0.48670372064131706</v>
      </c>
      <c r="AB2562" s="39">
        <v>0.4892752807018465</v>
      </c>
      <c r="AC2562" s="39">
        <v>0.45995379233307498</v>
      </c>
      <c r="AD2562" s="39">
        <v>0.46742853937134204</v>
      </c>
      <c r="AE2562" s="39">
        <v>0.4811786032749944</v>
      </c>
      <c r="AF2562" s="40">
        <v>0.48885900649308478</v>
      </c>
    </row>
    <row r="2563" spans="1:32">
      <c r="A2563" s="15">
        <v>2561</v>
      </c>
      <c r="B2563" s="16">
        <v>1</v>
      </c>
      <c r="C2563" s="20">
        <v>0.02</v>
      </c>
      <c r="D2563" s="20">
        <v>0.99917029198757767</v>
      </c>
      <c r="E2563" s="20">
        <v>1</v>
      </c>
      <c r="F2563" s="8" t="s">
        <v>436</v>
      </c>
      <c r="G2563" s="24">
        <v>1.0504799703129446</v>
      </c>
      <c r="H2563" s="24">
        <v>1.0565619811985887</v>
      </c>
      <c r="I2563" s="25">
        <v>1.0750398082126702</v>
      </c>
      <c r="X2563" s="15">
        <v>2562</v>
      </c>
      <c r="Y2563" s="39">
        <v>0.48771545231200725</v>
      </c>
      <c r="Z2563" s="39">
        <v>0.4827827796314223</v>
      </c>
      <c r="AA2563" s="39">
        <v>0.48647073991803069</v>
      </c>
      <c r="AB2563" s="39">
        <v>0.48688089735837919</v>
      </c>
      <c r="AC2563" s="39">
        <v>0.48151886028909652</v>
      </c>
      <c r="AD2563" s="39">
        <v>0.47473669367199206</v>
      </c>
      <c r="AE2563" s="39">
        <v>0.47936089894839201</v>
      </c>
      <c r="AF2563" s="40">
        <v>0.48616538094715256</v>
      </c>
    </row>
    <row r="2564" spans="1:32">
      <c r="A2564" s="15">
        <v>2562</v>
      </c>
      <c r="B2564" s="16">
        <v>0</v>
      </c>
      <c r="C2564" s="20">
        <v>0.87</v>
      </c>
      <c r="D2564" s="20">
        <v>0.27276032039195819</v>
      </c>
      <c r="E2564" s="20">
        <v>0.13</v>
      </c>
      <c r="F2564" s="8" t="s">
        <v>434</v>
      </c>
      <c r="G2564" s="24">
        <v>0.77189476278767899</v>
      </c>
      <c r="H2564" s="24">
        <v>0.77636383643260309</v>
      </c>
      <c r="I2564" s="25">
        <v>0.78994138032010552</v>
      </c>
      <c r="X2564" s="15">
        <v>2563</v>
      </c>
      <c r="Y2564" s="39">
        <v>0.48770921374747706</v>
      </c>
      <c r="Z2564" s="39">
        <v>0.48240079325836732</v>
      </c>
      <c r="AA2564" s="39">
        <v>0.48406248225206666</v>
      </c>
      <c r="AB2564" s="39">
        <v>0.49796268637344604</v>
      </c>
      <c r="AC2564" s="39">
        <v>0.47809087581982435</v>
      </c>
      <c r="AD2564" s="39">
        <v>0.47677263166226241</v>
      </c>
      <c r="AE2564" s="39">
        <v>0.47816667663251017</v>
      </c>
      <c r="AF2564" s="40">
        <v>0.49091991968547682</v>
      </c>
    </row>
    <row r="2565" spans="1:32">
      <c r="A2565" s="15">
        <v>2563</v>
      </c>
      <c r="B2565" s="16">
        <v>0</v>
      </c>
      <c r="C2565" s="20">
        <v>0.37</v>
      </c>
      <c r="D2565" s="20">
        <v>0.67365775127258964</v>
      </c>
      <c r="E2565" s="20">
        <v>0.23</v>
      </c>
      <c r="F2565" s="8" t="s">
        <v>436</v>
      </c>
      <c r="G2565" s="24">
        <v>0.86371409055823045</v>
      </c>
      <c r="H2565" s="24">
        <v>0.86871477467341096</v>
      </c>
      <c r="I2565" s="25">
        <v>0.88390741042657561</v>
      </c>
      <c r="X2565" s="15">
        <v>2564</v>
      </c>
      <c r="Y2565" s="39">
        <v>0.48780987014063087</v>
      </c>
      <c r="Z2565" s="39">
        <v>0.47842948510051031</v>
      </c>
      <c r="AA2565" s="39">
        <v>0.48277300845857213</v>
      </c>
      <c r="AB2565" s="39">
        <v>0.49322681801497609</v>
      </c>
      <c r="AC2565" s="39">
        <v>0.48100718464916398</v>
      </c>
      <c r="AD2565" s="39">
        <v>0.47163630016271513</v>
      </c>
      <c r="AE2565" s="39">
        <v>0.47480679021804773</v>
      </c>
      <c r="AF2565" s="40">
        <v>0.49087266941920643</v>
      </c>
    </row>
    <row r="2566" spans="1:32">
      <c r="A2566" s="15">
        <v>2564</v>
      </c>
      <c r="B2566" s="16">
        <v>0</v>
      </c>
      <c r="C2566" s="20">
        <v>0.93</v>
      </c>
      <c r="D2566" s="20">
        <v>0.18747949848141848</v>
      </c>
      <c r="E2566" s="20">
        <v>7.0000000000000007E-2</v>
      </c>
      <c r="F2566" s="8" t="s">
        <v>434</v>
      </c>
      <c r="G2566" s="24">
        <v>0.62270429452753939</v>
      </c>
      <c r="H2566" s="24">
        <v>0.62630959344316317</v>
      </c>
      <c r="I2566" s="25">
        <v>0.6372628934206751</v>
      </c>
      <c r="X2566" s="15">
        <v>2565</v>
      </c>
      <c r="Y2566" s="39">
        <v>0.48623884060164679</v>
      </c>
      <c r="Z2566" s="39">
        <v>0.49259629727334309</v>
      </c>
      <c r="AA2566" s="39">
        <v>0.48408288827940649</v>
      </c>
      <c r="AB2566" s="39">
        <v>0.49444271307348298</v>
      </c>
      <c r="AC2566" s="39">
        <v>0.47677723118816889</v>
      </c>
      <c r="AD2566" s="39">
        <v>0.48370915937076425</v>
      </c>
      <c r="AE2566" s="39">
        <v>0.47784160268529496</v>
      </c>
      <c r="AF2566" s="40">
        <v>0.49259367591509323</v>
      </c>
    </row>
    <row r="2567" spans="1:32">
      <c r="A2567" s="15">
        <v>2565</v>
      </c>
      <c r="B2567" s="16">
        <v>1</v>
      </c>
      <c r="C2567" s="20">
        <v>0.92</v>
      </c>
      <c r="D2567" s="20">
        <v>0.20258497911151899</v>
      </c>
      <c r="E2567" s="20">
        <v>0.08</v>
      </c>
      <c r="F2567" s="8" t="s">
        <v>434</v>
      </c>
      <c r="G2567" s="24">
        <v>1.2349545952419505</v>
      </c>
      <c r="H2567" s="24">
        <v>1.2421046671174762</v>
      </c>
      <c r="I2567" s="25">
        <v>1.2638273824723705</v>
      </c>
      <c r="X2567" s="15">
        <v>2566</v>
      </c>
      <c r="Y2567" s="39">
        <v>0.47633682145682438</v>
      </c>
      <c r="Z2567" s="39">
        <v>0.49140104404395696</v>
      </c>
      <c r="AA2567" s="39">
        <v>0.48585692334464475</v>
      </c>
      <c r="AB2567" s="39">
        <v>0.50102462432212969</v>
      </c>
      <c r="AC2567" s="39">
        <v>0.46914114584130462</v>
      </c>
      <c r="AD2567" s="39">
        <v>0.48487759893300098</v>
      </c>
      <c r="AE2567" s="39">
        <v>0.47643905676086729</v>
      </c>
      <c r="AF2567" s="40">
        <v>0.49597308884245561</v>
      </c>
    </row>
    <row r="2568" spans="1:32">
      <c r="A2568" s="15">
        <v>2566</v>
      </c>
      <c r="B2568" s="16">
        <v>1</v>
      </c>
      <c r="C2568" s="20">
        <v>0.02</v>
      </c>
      <c r="D2568" s="20">
        <v>0.99756714174924133</v>
      </c>
      <c r="E2568" s="20">
        <v>1</v>
      </c>
      <c r="F2568" s="8" t="s">
        <v>436</v>
      </c>
      <c r="G2568" s="24">
        <v>0.9737622350437003</v>
      </c>
      <c r="H2568" s="24">
        <v>0.97940006982488181</v>
      </c>
      <c r="I2568" s="25">
        <v>0.99652844032262922</v>
      </c>
      <c r="X2568" s="15">
        <v>2567</v>
      </c>
      <c r="Y2568" s="39">
        <v>0.50199093633580183</v>
      </c>
      <c r="Z2568" s="39">
        <v>0.4844225676406067</v>
      </c>
      <c r="AA2568" s="39">
        <v>0.48310278005518864</v>
      </c>
      <c r="AB2568" s="39">
        <v>0.49735314128733893</v>
      </c>
      <c r="AC2568" s="39">
        <v>0.49366868510324319</v>
      </c>
      <c r="AD2568" s="39">
        <v>0.47806488650069145</v>
      </c>
      <c r="AE2568" s="39">
        <v>0.47559827371791885</v>
      </c>
      <c r="AF2568" s="40">
        <v>0.49162641598062357</v>
      </c>
    </row>
    <row r="2569" spans="1:32">
      <c r="A2569" s="15">
        <v>2567</v>
      </c>
      <c r="B2569" s="16">
        <v>0</v>
      </c>
      <c r="C2569" s="20">
        <v>0.24</v>
      </c>
      <c r="D2569" s="20">
        <v>0.81244375757469367</v>
      </c>
      <c r="E2569" s="20">
        <v>0.08</v>
      </c>
      <c r="F2569" s="8" t="s">
        <v>436</v>
      </c>
      <c r="G2569" s="24">
        <v>0.97999381234235994</v>
      </c>
      <c r="H2569" s="24">
        <v>0.98566772636544631</v>
      </c>
      <c r="I2569" s="25">
        <v>1.0029057096217457</v>
      </c>
      <c r="X2569" s="15">
        <v>2568</v>
      </c>
      <c r="Y2569" s="39">
        <v>0.48172478996180457</v>
      </c>
      <c r="Z2569" s="39">
        <v>0.49219914234545226</v>
      </c>
      <c r="AA2569" s="39">
        <v>0.4853357994269053</v>
      </c>
      <c r="AB2569" s="39">
        <v>0.48174641317436251</v>
      </c>
      <c r="AC2569" s="39">
        <v>0.47469437974614076</v>
      </c>
      <c r="AD2569" s="39">
        <v>0.4893508582196256</v>
      </c>
      <c r="AE2569" s="39">
        <v>0.47993328721513467</v>
      </c>
      <c r="AF2569" s="40">
        <v>0.48102970509729143</v>
      </c>
    </row>
    <row r="2570" spans="1:32">
      <c r="A2570" s="15">
        <v>2568</v>
      </c>
      <c r="B2570" s="16">
        <v>1</v>
      </c>
      <c r="C2570" s="20">
        <v>0.06</v>
      </c>
      <c r="D2570" s="20">
        <v>0.94630376673890781</v>
      </c>
      <c r="E2570" s="20">
        <v>0.45</v>
      </c>
      <c r="F2570" s="8" t="s">
        <v>436</v>
      </c>
      <c r="G2570" s="24">
        <v>0.86031260343983751</v>
      </c>
      <c r="H2570" s="24">
        <v>0.86529359381285631</v>
      </c>
      <c r="I2570" s="25">
        <v>0.88042639778213105</v>
      </c>
      <c r="X2570" s="15">
        <v>2569</v>
      </c>
      <c r="Y2570" s="39">
        <v>0.5061263341055372</v>
      </c>
      <c r="Z2570" s="39">
        <v>0.48848090997051952</v>
      </c>
      <c r="AA2570" s="39">
        <v>0.49037383019657538</v>
      </c>
      <c r="AB2570" s="39">
        <v>0.49060427507786664</v>
      </c>
      <c r="AC2570" s="39">
        <v>0.49498118713308503</v>
      </c>
      <c r="AD2570" s="39">
        <v>0.48354861261022702</v>
      </c>
      <c r="AE2570" s="39">
        <v>0.48498374127042027</v>
      </c>
      <c r="AF2570" s="40">
        <v>0.48708756158861921</v>
      </c>
    </row>
    <row r="2571" spans="1:32">
      <c r="A2571" s="15">
        <v>2569</v>
      </c>
      <c r="B2571" s="16">
        <v>1</v>
      </c>
      <c r="C2571" s="20">
        <v>0.03</v>
      </c>
      <c r="D2571" s="20">
        <v>0.99415958227269285</v>
      </c>
      <c r="E2571" s="20">
        <v>1</v>
      </c>
      <c r="F2571" s="8" t="s">
        <v>436</v>
      </c>
      <c r="G2571" s="24">
        <v>1.0754439210515254</v>
      </c>
      <c r="H2571" s="24">
        <v>1.0816704668397201</v>
      </c>
      <c r="I2571" s="25">
        <v>1.1005874069986228</v>
      </c>
      <c r="X2571" s="15">
        <v>2570</v>
      </c>
      <c r="Y2571" s="39">
        <v>0.49073597632005839</v>
      </c>
      <c r="Z2571" s="39">
        <v>0.49490816354813982</v>
      </c>
      <c r="AA2571" s="39">
        <v>0.488182202280105</v>
      </c>
      <c r="AB2571" s="39">
        <v>0.4888629830780114</v>
      </c>
      <c r="AC2571" s="39">
        <v>0.48261803633473926</v>
      </c>
      <c r="AD2571" s="39">
        <v>0.48770768093646782</v>
      </c>
      <c r="AE2571" s="39">
        <v>0.47852662687425201</v>
      </c>
      <c r="AF2571" s="40">
        <v>0.48348094732969749</v>
      </c>
    </row>
    <row r="2572" spans="1:32">
      <c r="A2572" s="15">
        <v>2570</v>
      </c>
      <c r="B2572" s="16">
        <v>1</v>
      </c>
      <c r="C2572" s="20">
        <v>0.93</v>
      </c>
      <c r="D2572" s="20">
        <v>0.18747949848141848</v>
      </c>
      <c r="E2572" s="20">
        <v>7.0000000000000007E-2</v>
      </c>
      <c r="F2572" s="8" t="s">
        <v>434</v>
      </c>
      <c r="G2572" s="24">
        <v>0.7007286929214358</v>
      </c>
      <c r="H2572" s="24">
        <v>0.70478573318747884</v>
      </c>
      <c r="I2572" s="25">
        <v>0.7171114737418165</v>
      </c>
      <c r="X2572" s="15">
        <v>2571</v>
      </c>
      <c r="Y2572" s="39">
        <v>0.48260033554330589</v>
      </c>
      <c r="Z2572" s="39">
        <v>0.50044260531249496</v>
      </c>
      <c r="AA2572" s="39">
        <v>0.48457887171516079</v>
      </c>
      <c r="AB2572" s="39">
        <v>0.494404802347578</v>
      </c>
      <c r="AC2572" s="39">
        <v>0.47725244739983602</v>
      </c>
      <c r="AD2572" s="39">
        <v>0.49141435326784416</v>
      </c>
      <c r="AE2572" s="39">
        <v>0.47569689803691617</v>
      </c>
      <c r="AF2572" s="40">
        <v>0.49171234690811028</v>
      </c>
    </row>
    <row r="2573" spans="1:32">
      <c r="A2573" s="15">
        <v>2571</v>
      </c>
      <c r="B2573" s="16">
        <v>0</v>
      </c>
      <c r="C2573" s="20">
        <v>0.03</v>
      </c>
      <c r="D2573" s="20">
        <v>0.9948936026028764</v>
      </c>
      <c r="E2573" s="20">
        <v>1</v>
      </c>
      <c r="F2573" s="8" t="s">
        <v>436</v>
      </c>
      <c r="G2573" s="24">
        <v>0.98979869472549742</v>
      </c>
      <c r="H2573" s="24">
        <v>0.99552937651481632</v>
      </c>
      <c r="I2573" s="25">
        <v>1.0129398265726628</v>
      </c>
      <c r="X2573" s="15">
        <v>2572</v>
      </c>
      <c r="Y2573" s="39">
        <v>0.48280381556989088</v>
      </c>
      <c r="Z2573" s="39">
        <v>0.48983771176047047</v>
      </c>
      <c r="AA2573" s="39">
        <v>0.49477788894790559</v>
      </c>
      <c r="AB2573" s="39">
        <v>0.47928391783612523</v>
      </c>
      <c r="AC2573" s="39">
        <v>0.47840673143853918</v>
      </c>
      <c r="AD2573" s="39">
        <v>0.48322700914532962</v>
      </c>
      <c r="AE2573" s="39">
        <v>0.48862365994711621</v>
      </c>
      <c r="AF2573" s="40">
        <v>0.4753424732356325</v>
      </c>
    </row>
    <row r="2574" spans="1:32">
      <c r="A2574" s="15">
        <v>2572</v>
      </c>
      <c r="B2574" s="16">
        <v>0</v>
      </c>
      <c r="C2574" s="20">
        <v>0.92</v>
      </c>
      <c r="D2574" s="20">
        <v>0.20258497911151899</v>
      </c>
      <c r="E2574" s="20">
        <v>0.08</v>
      </c>
      <c r="F2574" s="8" t="s">
        <v>434</v>
      </c>
      <c r="G2574" s="24">
        <v>0.84528335887891159</v>
      </c>
      <c r="H2574" s="24">
        <v>0.85017733376224391</v>
      </c>
      <c r="I2574" s="25">
        <v>0.86504577497449597</v>
      </c>
      <c r="X2574" s="15">
        <v>2573</v>
      </c>
      <c r="Y2574" s="39">
        <v>0.48222960947401272</v>
      </c>
      <c r="Z2574" s="39">
        <v>0.4725144399770243</v>
      </c>
      <c r="AA2574" s="39">
        <v>0.48107240063846307</v>
      </c>
      <c r="AB2574" s="39">
        <v>0.47949223193678137</v>
      </c>
      <c r="AC2574" s="39">
        <v>0.47712243297754076</v>
      </c>
      <c r="AD2574" s="39">
        <v>0.46824196755445907</v>
      </c>
      <c r="AE2574" s="39">
        <v>0.47177017703618329</v>
      </c>
      <c r="AF2574" s="40">
        <v>0.47274850607361019</v>
      </c>
    </row>
    <row r="2575" spans="1:32">
      <c r="A2575" s="15">
        <v>2573</v>
      </c>
      <c r="B2575" s="16">
        <v>0</v>
      </c>
      <c r="C2575" s="20">
        <v>0.02</v>
      </c>
      <c r="D2575" s="20">
        <v>0.99835916395484214</v>
      </c>
      <c r="E2575" s="20">
        <v>1</v>
      </c>
      <c r="F2575" s="8" t="s">
        <v>436</v>
      </c>
      <c r="G2575" s="24">
        <v>1.0615313180292016</v>
      </c>
      <c r="H2575" s="24">
        <v>1.0676773133971877</v>
      </c>
      <c r="I2575" s="25">
        <v>1.086349532400783</v>
      </c>
      <c r="X2575" s="15">
        <v>2574</v>
      </c>
      <c r="Y2575" s="39">
        <v>0.49136111295592538</v>
      </c>
      <c r="Z2575" s="39">
        <v>0.49642190504649431</v>
      </c>
      <c r="AA2575" s="39">
        <v>0.49224210979142924</v>
      </c>
      <c r="AB2575" s="39">
        <v>0.47550466134925778</v>
      </c>
      <c r="AC2575" s="39">
        <v>0.48324461587977763</v>
      </c>
      <c r="AD2575" s="39">
        <v>0.49096171376751269</v>
      </c>
      <c r="AE2575" s="39">
        <v>0.4877960991470221</v>
      </c>
      <c r="AF2575" s="40">
        <v>0.46984453494178058</v>
      </c>
    </row>
    <row r="2576" spans="1:32">
      <c r="A2576" s="15">
        <v>2574</v>
      </c>
      <c r="B2576" s="16">
        <v>1</v>
      </c>
      <c r="C2576" s="20">
        <v>0.02</v>
      </c>
      <c r="D2576" s="20">
        <v>0.99835916395484214</v>
      </c>
      <c r="E2576" s="20">
        <v>1</v>
      </c>
      <c r="F2576" s="8" t="s">
        <v>436</v>
      </c>
      <c r="G2576" s="24">
        <v>1.0896731131901092</v>
      </c>
      <c r="H2576" s="24">
        <v>1.0959820423686841</v>
      </c>
      <c r="I2576" s="25">
        <v>1.1151492724505905</v>
      </c>
      <c r="X2576" s="15">
        <v>2575</v>
      </c>
      <c r="Y2576" s="39">
        <v>0.47954175463186954</v>
      </c>
      <c r="Z2576" s="39">
        <v>0.485581869948018</v>
      </c>
      <c r="AA2576" s="39">
        <v>0.49065713819407181</v>
      </c>
      <c r="AB2576" s="39">
        <v>0.49653789949813876</v>
      </c>
      <c r="AC2576" s="39">
        <v>0.47583741785755762</v>
      </c>
      <c r="AD2576" s="39">
        <v>0.47818190075229688</v>
      </c>
      <c r="AE2576" s="39">
        <v>0.48661475374883573</v>
      </c>
      <c r="AF2576" s="40">
        <v>0.49370369058951508</v>
      </c>
    </row>
    <row r="2577" spans="1:32">
      <c r="A2577" s="15">
        <v>2575</v>
      </c>
      <c r="B2577" s="16">
        <v>0</v>
      </c>
      <c r="C2577" s="20">
        <v>0.88</v>
      </c>
      <c r="D2577" s="20">
        <v>0.25930874124763043</v>
      </c>
      <c r="E2577" s="20">
        <v>0.12</v>
      </c>
      <c r="F2577" s="8" t="s">
        <v>434</v>
      </c>
      <c r="G2577" s="24">
        <v>0.52499663632171867</v>
      </c>
      <c r="H2577" s="24">
        <v>0.52803623283690393</v>
      </c>
      <c r="I2577" s="25">
        <v>0.53727086586473549</v>
      </c>
      <c r="X2577" s="15">
        <v>2576</v>
      </c>
      <c r="Y2577" s="39">
        <v>0.48391536776473992</v>
      </c>
      <c r="Z2577" s="39">
        <v>0.48967855157075618</v>
      </c>
      <c r="AA2577" s="39">
        <v>0.50456768714710043</v>
      </c>
      <c r="AB2577" s="39">
        <v>0.49898720542106062</v>
      </c>
      <c r="AC2577" s="39">
        <v>0.47889362668603158</v>
      </c>
      <c r="AD2577" s="39">
        <v>0.48316987651275989</v>
      </c>
      <c r="AE2577" s="39">
        <v>0.49394312323347667</v>
      </c>
      <c r="AF2577" s="40">
        <v>0.50018486170309751</v>
      </c>
    </row>
    <row r="2578" spans="1:32">
      <c r="A2578" s="15">
        <v>2576</v>
      </c>
      <c r="B2578" s="16">
        <v>0</v>
      </c>
      <c r="C2578" s="20">
        <v>0.19</v>
      </c>
      <c r="D2578" s="20">
        <v>0.83894638866540938</v>
      </c>
      <c r="E2578" s="20">
        <v>0.09</v>
      </c>
      <c r="F2578" s="8" t="s">
        <v>436</v>
      </c>
      <c r="G2578" s="24">
        <v>0.88432861680037245</v>
      </c>
      <c r="H2578" s="24">
        <v>0.88944865376049087</v>
      </c>
      <c r="I2578" s="25">
        <v>0.90500389676047999</v>
      </c>
      <c r="X2578" s="15">
        <v>2577</v>
      </c>
      <c r="Y2578" s="39">
        <v>0.49588802845804097</v>
      </c>
      <c r="Z2578" s="39">
        <v>0.48512104090397978</v>
      </c>
      <c r="AA2578" s="39">
        <v>0.47388326247159479</v>
      </c>
      <c r="AB2578" s="39">
        <v>0.48818440753755554</v>
      </c>
      <c r="AC2578" s="39">
        <v>0.48679139288402912</v>
      </c>
      <c r="AD2578" s="39">
        <v>0.47795046027764643</v>
      </c>
      <c r="AE2578" s="39">
        <v>0.46959474131106688</v>
      </c>
      <c r="AF2578" s="40">
        <v>0.48555306057435238</v>
      </c>
    </row>
    <row r="2579" spans="1:32">
      <c r="A2579" s="15">
        <v>2577</v>
      </c>
      <c r="B2579" s="16">
        <v>1</v>
      </c>
      <c r="C2579" s="20">
        <v>0.25</v>
      </c>
      <c r="D2579" s="20">
        <v>0.72550874896195072</v>
      </c>
      <c r="E2579" s="20">
        <v>0.12</v>
      </c>
      <c r="F2579" s="8" t="s">
        <v>436</v>
      </c>
      <c r="G2579" s="24">
        <v>1.0223183464473118</v>
      </c>
      <c r="H2579" s="24">
        <v>1.028237308719228</v>
      </c>
      <c r="I2579" s="25">
        <v>1.0462197758702656</v>
      </c>
      <c r="X2579" s="15">
        <v>2578</v>
      </c>
      <c r="Y2579" s="39">
        <v>0.48847962548364865</v>
      </c>
      <c r="Z2579" s="39">
        <v>0.48764074172970284</v>
      </c>
      <c r="AA2579" s="39">
        <v>0.47746133197258195</v>
      </c>
      <c r="AB2579" s="39">
        <v>0.48856686562276014</v>
      </c>
      <c r="AC2579" s="39">
        <v>0.48097975780943758</v>
      </c>
      <c r="AD2579" s="39">
        <v>0.47830406961911376</v>
      </c>
      <c r="AE2579" s="39">
        <v>0.46942275315489917</v>
      </c>
      <c r="AF2579" s="40">
        <v>0.48628583080645332</v>
      </c>
    </row>
    <row r="2580" spans="1:32">
      <c r="A2580" s="15">
        <v>2578</v>
      </c>
      <c r="B2580" s="16">
        <v>0</v>
      </c>
      <c r="C2580" s="20">
        <v>0.56999999999999995</v>
      </c>
      <c r="D2580" s="20">
        <v>0.60798892623917744</v>
      </c>
      <c r="E2580" s="20">
        <v>0.43</v>
      </c>
      <c r="F2580" s="8" t="s">
        <v>438</v>
      </c>
      <c r="G2580" s="24">
        <v>0.95812948183330116</v>
      </c>
      <c r="H2580" s="24">
        <v>0.96367680696376568</v>
      </c>
      <c r="I2580" s="25">
        <v>0.98053019905379579</v>
      </c>
      <c r="X2580" s="15">
        <v>2579</v>
      </c>
      <c r="Y2580" s="39">
        <v>0.47863196487131277</v>
      </c>
      <c r="Z2580" s="39">
        <v>0.47497941605709026</v>
      </c>
      <c r="AA2580" s="39">
        <v>0.48939501235734278</v>
      </c>
      <c r="AB2580" s="39">
        <v>0.49999684951427753</v>
      </c>
      <c r="AC2580" s="39">
        <v>0.47260033507138849</v>
      </c>
      <c r="AD2580" s="39">
        <v>0.46813125003268341</v>
      </c>
      <c r="AE2580" s="39">
        <v>0.48135127454354454</v>
      </c>
      <c r="AF2580" s="40">
        <v>0.49566192695578482</v>
      </c>
    </row>
    <row r="2581" spans="1:32">
      <c r="A2581" s="15">
        <v>2579</v>
      </c>
      <c r="B2581" s="16">
        <v>0</v>
      </c>
      <c r="C2581" s="20">
        <v>0.94</v>
      </c>
      <c r="D2581" s="20">
        <v>0.17188516685452584</v>
      </c>
      <c r="E2581" s="20">
        <v>0.06</v>
      </c>
      <c r="F2581" s="8" t="s">
        <v>434</v>
      </c>
      <c r="G2581" s="24">
        <v>0.59517873765357643</v>
      </c>
      <c r="H2581" s="24">
        <v>0.59862467062099367</v>
      </c>
      <c r="I2581" s="25">
        <v>0.60909379908381056</v>
      </c>
      <c r="X2581" s="15">
        <v>2580</v>
      </c>
      <c r="Y2581" s="39">
        <v>0.48319905250768463</v>
      </c>
      <c r="Z2581" s="39">
        <v>0.50354236230299654</v>
      </c>
      <c r="AA2581" s="39">
        <v>0.49862795669370125</v>
      </c>
      <c r="AB2581" s="39">
        <v>0.502997091035563</v>
      </c>
      <c r="AC2581" s="39">
        <v>0.47975534668546505</v>
      </c>
      <c r="AD2581" s="39">
        <v>0.49440661666815067</v>
      </c>
      <c r="AE2581" s="39">
        <v>0.49202997596236425</v>
      </c>
      <c r="AF2581" s="40">
        <v>0.50096418268839937</v>
      </c>
    </row>
    <row r="2582" spans="1:32">
      <c r="A2582" s="15">
        <v>2580</v>
      </c>
      <c r="B2582" s="16">
        <v>0</v>
      </c>
      <c r="C2582" s="20">
        <v>0.9</v>
      </c>
      <c r="D2582" s="20">
        <v>0.231595386583653</v>
      </c>
      <c r="E2582" s="20">
        <v>0.1</v>
      </c>
      <c r="F2582" s="8" t="s">
        <v>434</v>
      </c>
      <c r="G2582" s="24">
        <v>0.71476564886817573</v>
      </c>
      <c r="H2582" s="24">
        <v>0.71890395952611774</v>
      </c>
      <c r="I2582" s="25">
        <v>0.73147660859001118</v>
      </c>
      <c r="X2582" s="15">
        <v>2581</v>
      </c>
      <c r="Y2582" s="39">
        <v>0.49059889807348739</v>
      </c>
      <c r="Z2582" s="39">
        <v>0.48432221172255252</v>
      </c>
      <c r="AA2582" s="39">
        <v>0.49429115584493394</v>
      </c>
      <c r="AB2582" s="39">
        <v>0.48262480652121492</v>
      </c>
      <c r="AC2582" s="39">
        <v>0.48016665427016625</v>
      </c>
      <c r="AD2582" s="39">
        <v>0.47839704214571405</v>
      </c>
      <c r="AE2582" s="39">
        <v>0.48933434218347177</v>
      </c>
      <c r="AF2582" s="40">
        <v>0.47903187273352127</v>
      </c>
    </row>
    <row r="2583" spans="1:32">
      <c r="A2583" s="15">
        <v>2581</v>
      </c>
      <c r="B2583" s="16">
        <v>0</v>
      </c>
      <c r="C2583" s="20">
        <v>0.91</v>
      </c>
      <c r="D2583" s="20">
        <v>0.21727233298780477</v>
      </c>
      <c r="E2583" s="20">
        <v>0.09</v>
      </c>
      <c r="F2583" s="8" t="s">
        <v>434</v>
      </c>
      <c r="G2583" s="24">
        <v>0.65841934884449027</v>
      </c>
      <c r="H2583" s="24">
        <v>0.66223142880808805</v>
      </c>
      <c r="I2583" s="25">
        <v>0.67381295265860786</v>
      </c>
      <c r="X2583" s="15">
        <v>2582</v>
      </c>
      <c r="Y2583" s="39">
        <v>0.47596040444295723</v>
      </c>
      <c r="Z2583" s="39">
        <v>0.48484253115644405</v>
      </c>
      <c r="AA2583" s="39">
        <v>0.50134626156679374</v>
      </c>
      <c r="AB2583" s="39">
        <v>0.49426967948242329</v>
      </c>
      <c r="AC2583" s="39">
        <v>0.46922390961994953</v>
      </c>
      <c r="AD2583" s="39">
        <v>0.47673508845962642</v>
      </c>
      <c r="AE2583" s="39">
        <v>0.49300312823413295</v>
      </c>
      <c r="AF2583" s="40">
        <v>0.49108774926131177</v>
      </c>
    </row>
    <row r="2584" spans="1:32">
      <c r="A2584" s="15">
        <v>2582</v>
      </c>
      <c r="B2584" s="16">
        <v>0</v>
      </c>
      <c r="C2584" s="20">
        <v>0.2</v>
      </c>
      <c r="D2584" s="20">
        <v>0.77052229748417822</v>
      </c>
      <c r="E2584" s="20">
        <v>0.12</v>
      </c>
      <c r="F2584" s="8" t="s">
        <v>436</v>
      </c>
      <c r="G2584" s="24">
        <v>0.84020592213174883</v>
      </c>
      <c r="H2584" s="24">
        <v>0.84507049995236683</v>
      </c>
      <c r="I2584" s="25">
        <v>0.85984962961129052</v>
      </c>
      <c r="X2584" s="15">
        <v>2583</v>
      </c>
      <c r="Y2584" s="39">
        <v>0.48535512234206618</v>
      </c>
      <c r="Z2584" s="39">
        <v>0.48799255420764981</v>
      </c>
      <c r="AA2584" s="39">
        <v>0.49725221122561025</v>
      </c>
      <c r="AB2584" s="39">
        <v>0.4848248427256327</v>
      </c>
      <c r="AC2584" s="39">
        <v>0.47881847641115555</v>
      </c>
      <c r="AD2584" s="39">
        <v>0.48028661686259061</v>
      </c>
      <c r="AE2584" s="39">
        <v>0.48973391816997602</v>
      </c>
      <c r="AF2584" s="40">
        <v>0.47953864072529084</v>
      </c>
    </row>
    <row r="2585" spans="1:32">
      <c r="A2585" s="15">
        <v>2583</v>
      </c>
      <c r="B2585" s="16">
        <v>1</v>
      </c>
      <c r="C2585" s="20">
        <v>0.24</v>
      </c>
      <c r="D2585" s="20">
        <v>0.68984425119479231</v>
      </c>
      <c r="E2585" s="20">
        <v>0.2</v>
      </c>
      <c r="F2585" s="8" t="s">
        <v>436</v>
      </c>
      <c r="G2585" s="24">
        <v>0.92131553771945662</v>
      </c>
      <c r="H2585" s="24">
        <v>0.92664971951052244</v>
      </c>
      <c r="I2585" s="25">
        <v>0.9428555583770114</v>
      </c>
      <c r="X2585" s="15">
        <v>2584</v>
      </c>
      <c r="Y2585" s="39">
        <v>0.47698134249091056</v>
      </c>
      <c r="Z2585" s="39">
        <v>0.49218259165237876</v>
      </c>
      <c r="AA2585" s="39">
        <v>0.47848999276131321</v>
      </c>
      <c r="AB2585" s="39">
        <v>0.47396283914647452</v>
      </c>
      <c r="AC2585" s="39">
        <v>0.46986000456741167</v>
      </c>
      <c r="AD2585" s="39">
        <v>0.48453115346783004</v>
      </c>
      <c r="AE2585" s="39">
        <v>0.47279576375165999</v>
      </c>
      <c r="AF2585" s="40">
        <v>0.46934116994903963</v>
      </c>
    </row>
    <row r="2586" spans="1:32">
      <c r="A2586" s="15">
        <v>2584</v>
      </c>
      <c r="B2586" s="16">
        <v>1</v>
      </c>
      <c r="C2586" s="20">
        <v>0.22</v>
      </c>
      <c r="D2586" s="20">
        <v>0.77652747913744957</v>
      </c>
      <c r="E2586" s="20">
        <v>0.09</v>
      </c>
      <c r="F2586" s="8" t="s">
        <v>436</v>
      </c>
      <c r="G2586" s="24">
        <v>1.0476443746499384</v>
      </c>
      <c r="H2586" s="24">
        <v>1.0537099681604996</v>
      </c>
      <c r="I2586" s="25">
        <v>1.0721379173590837</v>
      </c>
      <c r="X2586" s="15">
        <v>2585</v>
      </c>
      <c r="Y2586" s="39">
        <v>0.47170441451213407</v>
      </c>
      <c r="Z2586" s="39">
        <v>0.49380390810931474</v>
      </c>
      <c r="AA2586" s="39">
        <v>0.46710688731904221</v>
      </c>
      <c r="AB2586" s="39">
        <v>0.48438209654548242</v>
      </c>
      <c r="AC2586" s="39">
        <v>0.46623579744049476</v>
      </c>
      <c r="AD2586" s="39">
        <v>0.48414768565021504</v>
      </c>
      <c r="AE2586" s="39">
        <v>0.46173011862266711</v>
      </c>
      <c r="AF2586" s="40">
        <v>0.47916856479755404</v>
      </c>
    </row>
    <row r="2587" spans="1:32">
      <c r="A2587" s="15">
        <v>2585</v>
      </c>
      <c r="B2587" s="16">
        <v>0</v>
      </c>
      <c r="C2587" s="20">
        <v>0.1</v>
      </c>
      <c r="D2587" s="20">
        <v>0.91102936222048736</v>
      </c>
      <c r="E2587" s="20">
        <v>0.15</v>
      </c>
      <c r="F2587" s="8" t="s">
        <v>436</v>
      </c>
      <c r="G2587" s="24">
        <v>0.89209851159826559</v>
      </c>
      <c r="H2587" s="24">
        <v>0.89726353426594296</v>
      </c>
      <c r="I2587" s="25">
        <v>0.91295544885991819</v>
      </c>
      <c r="X2587" s="15">
        <v>2586</v>
      </c>
      <c r="Y2587" s="39">
        <v>0.48031362702080738</v>
      </c>
      <c r="Z2587" s="39">
        <v>0.49168090797779473</v>
      </c>
      <c r="AA2587" s="39">
        <v>0.48045940875111165</v>
      </c>
      <c r="AB2587" s="39">
        <v>0.49007294709022131</v>
      </c>
      <c r="AC2587" s="39">
        <v>0.47184963329158203</v>
      </c>
      <c r="AD2587" s="39">
        <v>0.48443186198024712</v>
      </c>
      <c r="AE2587" s="39">
        <v>0.47469665212623285</v>
      </c>
      <c r="AF2587" s="40">
        <v>0.48550432893998691</v>
      </c>
    </row>
    <row r="2588" spans="1:32">
      <c r="A2588" s="15">
        <v>2586</v>
      </c>
      <c r="B2588" s="16">
        <v>0</v>
      </c>
      <c r="C2588" s="20">
        <v>0.21</v>
      </c>
      <c r="D2588" s="20">
        <v>0.80882262840680752</v>
      </c>
      <c r="E2588" s="20">
        <v>0.38</v>
      </c>
      <c r="F2588" s="8" t="s">
        <v>436</v>
      </c>
      <c r="G2588" s="24">
        <v>0.86618009975939081</v>
      </c>
      <c r="H2588" s="24">
        <v>0.87119506143837966</v>
      </c>
      <c r="I2588" s="25">
        <v>0.88643107402187127</v>
      </c>
      <c r="X2588" s="15">
        <v>2587</v>
      </c>
      <c r="Y2588" s="39">
        <v>0.47493244694653952</v>
      </c>
      <c r="Z2588" s="39">
        <v>0.48509486527679774</v>
      </c>
      <c r="AA2588" s="39">
        <v>0.479314356993915</v>
      </c>
      <c r="AB2588" s="39">
        <v>0.47854050825611993</v>
      </c>
      <c r="AC2588" s="39">
        <v>0.46836169641868908</v>
      </c>
      <c r="AD2588" s="39">
        <v>0.47841523226422505</v>
      </c>
      <c r="AE2588" s="39">
        <v>0.47354178280228654</v>
      </c>
      <c r="AF2588" s="40">
        <v>0.47258499360129191</v>
      </c>
    </row>
    <row r="2589" spans="1:32">
      <c r="A2589" s="15">
        <v>2587</v>
      </c>
      <c r="B2589" s="16">
        <v>0</v>
      </c>
      <c r="C2589" s="20">
        <v>0.72</v>
      </c>
      <c r="D2589" s="20">
        <v>0.43927930732578085</v>
      </c>
      <c r="E2589" s="20">
        <v>0.09</v>
      </c>
      <c r="F2589" s="8" t="s">
        <v>438</v>
      </c>
      <c r="G2589" s="24">
        <v>1.6812337047645547</v>
      </c>
      <c r="H2589" s="24">
        <v>1.690967618768306</v>
      </c>
      <c r="I2589" s="25">
        <v>1.6578926537592125</v>
      </c>
      <c r="X2589" s="15">
        <v>2588</v>
      </c>
      <c r="Y2589" s="39">
        <v>0.48589130599819069</v>
      </c>
      <c r="Z2589" s="39">
        <v>0.47952799055998474</v>
      </c>
      <c r="AA2589" s="39">
        <v>0.47283411158798461</v>
      </c>
      <c r="AB2589" s="39">
        <v>0.48427672144393924</v>
      </c>
      <c r="AC2589" s="39">
        <v>0.4751323550896604</v>
      </c>
      <c r="AD2589" s="39">
        <v>0.476068161907928</v>
      </c>
      <c r="AE2589" s="39">
        <v>0.46719513847867544</v>
      </c>
      <c r="AF2589" s="40">
        <v>0.47738183783406435</v>
      </c>
    </row>
    <row r="2590" spans="1:32">
      <c r="A2590" s="15">
        <v>2588</v>
      </c>
      <c r="B2590" s="16">
        <v>0</v>
      </c>
      <c r="C2590" s="20">
        <v>0.27</v>
      </c>
      <c r="D2590" s="20">
        <v>0.73432039699540352</v>
      </c>
      <c r="E2590" s="20">
        <v>7.0000000000000007E-2</v>
      </c>
      <c r="F2590" s="8" t="s">
        <v>436</v>
      </c>
      <c r="G2590" s="24">
        <v>0.8505505007421521</v>
      </c>
      <c r="H2590" s="24">
        <v>0.85547497103239722</v>
      </c>
      <c r="I2590" s="25">
        <v>0.87043606069008195</v>
      </c>
      <c r="X2590" s="15">
        <v>2589</v>
      </c>
      <c r="Y2590" s="39">
        <v>0.49211980128005423</v>
      </c>
      <c r="Z2590" s="39">
        <v>0.47793637924085608</v>
      </c>
      <c r="AA2590" s="39">
        <v>0.50112619906122435</v>
      </c>
      <c r="AB2590" s="39">
        <v>0.48269615597599819</v>
      </c>
      <c r="AC2590" s="39">
        <v>0.48544343707048654</v>
      </c>
      <c r="AD2590" s="39">
        <v>0.47363088943307563</v>
      </c>
      <c r="AE2590" s="39">
        <v>0.49346774376705294</v>
      </c>
      <c r="AF2590" s="40">
        <v>0.47779264427868534</v>
      </c>
    </row>
    <row r="2591" spans="1:32">
      <c r="A2591" s="15">
        <v>2589</v>
      </c>
      <c r="B2591" s="16">
        <v>1</v>
      </c>
      <c r="C2591" s="20">
        <v>0.02</v>
      </c>
      <c r="D2591" s="20">
        <v>0.99917029198757767</v>
      </c>
      <c r="E2591" s="20">
        <v>1</v>
      </c>
      <c r="F2591" s="8" t="s">
        <v>436</v>
      </c>
      <c r="G2591" s="24">
        <v>1.1933124780477875</v>
      </c>
      <c r="H2591" s="24">
        <v>1.200221452694205</v>
      </c>
      <c r="I2591" s="25">
        <v>1.221211687792684</v>
      </c>
      <c r="X2591" s="15">
        <v>2590</v>
      </c>
      <c r="Y2591" s="39">
        <v>0.47582333039465452</v>
      </c>
      <c r="Z2591" s="39">
        <v>0.46102288986612344</v>
      </c>
      <c r="AA2591" s="39">
        <v>0.48606715016377755</v>
      </c>
      <c r="AB2591" s="39">
        <v>0.47651685994269216</v>
      </c>
      <c r="AC2591" s="39">
        <v>0.46864357346266855</v>
      </c>
      <c r="AD2591" s="39">
        <v>0.45049162983118896</v>
      </c>
      <c r="AE2591" s="39">
        <v>0.47983541069565133</v>
      </c>
      <c r="AF2591" s="40">
        <v>0.47242502251727281</v>
      </c>
    </row>
    <row r="2592" spans="1:32">
      <c r="A2592" s="15">
        <v>2590</v>
      </c>
      <c r="B2592" s="16">
        <v>0</v>
      </c>
      <c r="C2592" s="20">
        <v>0.49</v>
      </c>
      <c r="D2592" s="20">
        <v>0.4815243900052581</v>
      </c>
      <c r="E2592" s="20">
        <v>0.05</v>
      </c>
      <c r="F2592" s="8" t="s">
        <v>436</v>
      </c>
      <c r="G2592" s="24">
        <v>0.74544606278926961</v>
      </c>
      <c r="H2592" s="24">
        <v>0.74976200521242131</v>
      </c>
      <c r="I2592" s="25">
        <v>0.76287431937910155</v>
      </c>
      <c r="X2592" s="15">
        <v>2591</v>
      </c>
      <c r="Y2592" s="39">
        <v>0.49003298414375951</v>
      </c>
      <c r="Z2592" s="39">
        <v>0.47813973062807635</v>
      </c>
      <c r="AA2592" s="39">
        <v>0.49870333889978896</v>
      </c>
      <c r="AB2592" s="39">
        <v>0.48555348309828317</v>
      </c>
      <c r="AC2592" s="39">
        <v>0.48381292106137286</v>
      </c>
      <c r="AD2592" s="39">
        <v>0.4717639844054673</v>
      </c>
      <c r="AE2592" s="39">
        <v>0.49385817476374338</v>
      </c>
      <c r="AF2592" s="40">
        <v>0.48138419521656606</v>
      </c>
    </row>
    <row r="2593" spans="1:32">
      <c r="A2593" s="15">
        <v>2591</v>
      </c>
      <c r="B2593" s="16">
        <v>0</v>
      </c>
      <c r="C2593" s="20">
        <v>0.93</v>
      </c>
      <c r="D2593" s="20">
        <v>0.18747949848141848</v>
      </c>
      <c r="E2593" s="20">
        <v>7.0000000000000007E-2</v>
      </c>
      <c r="F2593" s="8" t="s">
        <v>434</v>
      </c>
      <c r="G2593" s="24">
        <v>0.6774191557921514</v>
      </c>
      <c r="H2593" s="24">
        <v>0.68134123978814065</v>
      </c>
      <c r="I2593" s="25">
        <v>0.69325696815088467</v>
      </c>
      <c r="X2593" s="15">
        <v>2592</v>
      </c>
      <c r="Y2593" s="39">
        <v>0.48275700524676735</v>
      </c>
      <c r="Z2593" s="39">
        <v>0.4834737372797569</v>
      </c>
      <c r="AA2593" s="39">
        <v>0.47136102078212827</v>
      </c>
      <c r="AB2593" s="39">
        <v>0.48681787459324571</v>
      </c>
      <c r="AC2593" s="39">
        <v>0.47515468066450184</v>
      </c>
      <c r="AD2593" s="39">
        <v>0.47403313286069054</v>
      </c>
      <c r="AE2593" s="39">
        <v>0.46302964848485956</v>
      </c>
      <c r="AF2593" s="40">
        <v>0.48236660909556645</v>
      </c>
    </row>
    <row r="2594" spans="1:32">
      <c r="A2594" s="15">
        <v>2592</v>
      </c>
      <c r="B2594" s="16">
        <v>0</v>
      </c>
      <c r="C2594" s="20">
        <v>0.95</v>
      </c>
      <c r="D2594" s="20">
        <v>0.15570568692893463</v>
      </c>
      <c r="E2594" s="20">
        <v>0.05</v>
      </c>
      <c r="F2594" s="8" t="s">
        <v>434</v>
      </c>
      <c r="G2594" s="24">
        <v>0.70065282229478976</v>
      </c>
      <c r="H2594" s="24">
        <v>0.704709423289271</v>
      </c>
      <c r="I2594" s="25">
        <v>0.71703382928763981</v>
      </c>
      <c r="X2594" s="15">
        <v>2593</v>
      </c>
      <c r="Y2594" s="39">
        <v>0.47414929303625042</v>
      </c>
      <c r="Z2594" s="39">
        <v>0.47591415671999926</v>
      </c>
      <c r="AA2594" s="39">
        <v>0.50295331195019588</v>
      </c>
      <c r="AB2594" s="39">
        <v>0.4920404917184143</v>
      </c>
      <c r="AC2594" s="39">
        <v>0.46798841151376758</v>
      </c>
      <c r="AD2594" s="39">
        <v>0.46767400278771065</v>
      </c>
      <c r="AE2594" s="39">
        <v>0.49736737393824432</v>
      </c>
      <c r="AF2594" s="40">
        <v>0.49025285867174723</v>
      </c>
    </row>
    <row r="2595" spans="1:32">
      <c r="A2595" s="15">
        <v>2593</v>
      </c>
      <c r="B2595" s="16">
        <v>0</v>
      </c>
      <c r="C2595" s="20">
        <v>0.28000000000000003</v>
      </c>
      <c r="D2595" s="20">
        <v>0.71211124764066913</v>
      </c>
      <c r="E2595" s="20">
        <v>0.1</v>
      </c>
      <c r="F2595" s="8" t="s">
        <v>436</v>
      </c>
      <c r="G2595" s="24">
        <v>0.73658786544776933</v>
      </c>
      <c r="H2595" s="24">
        <v>0.74085252116943145</v>
      </c>
      <c r="I2595" s="25">
        <v>0.75380902062021182</v>
      </c>
      <c r="X2595" s="15">
        <v>2594</v>
      </c>
      <c r="Y2595" s="39">
        <v>0.48782940809637515</v>
      </c>
      <c r="Z2595" s="39">
        <v>0.48369241679700825</v>
      </c>
      <c r="AA2595" s="39">
        <v>0.50282559103168578</v>
      </c>
      <c r="AB2595" s="39">
        <v>0.4930885094358522</v>
      </c>
      <c r="AC2595" s="39">
        <v>0.48225338221892144</v>
      </c>
      <c r="AD2595" s="39">
        <v>0.47799048248762421</v>
      </c>
      <c r="AE2595" s="39">
        <v>0.49329960615965285</v>
      </c>
      <c r="AF2595" s="40">
        <v>0.48894964599409574</v>
      </c>
    </row>
    <row r="2596" spans="1:32">
      <c r="A2596" s="15">
        <v>2594</v>
      </c>
      <c r="B2596" s="16">
        <v>0</v>
      </c>
      <c r="C2596" s="20">
        <v>0.87</v>
      </c>
      <c r="D2596" s="20">
        <v>0.27276032039195819</v>
      </c>
      <c r="E2596" s="20">
        <v>0.13</v>
      </c>
      <c r="F2596" s="8" t="s">
        <v>434</v>
      </c>
      <c r="G2596" s="24">
        <v>0.81434376814417853</v>
      </c>
      <c r="H2596" s="24">
        <v>0.81905861069470687</v>
      </c>
      <c r="I2596" s="25">
        <v>0.83338282791255713</v>
      </c>
      <c r="X2596" s="15">
        <v>2595</v>
      </c>
      <c r="Y2596" s="39">
        <v>0.48853755109626112</v>
      </c>
      <c r="Z2596" s="39">
        <v>0.47780750451115156</v>
      </c>
      <c r="AA2596" s="39">
        <v>0.49178831894472058</v>
      </c>
      <c r="AB2596" s="39">
        <v>0.49310254179939955</v>
      </c>
      <c r="AC2596" s="39">
        <v>0.48286501097579715</v>
      </c>
      <c r="AD2596" s="39">
        <v>0.46936324074630298</v>
      </c>
      <c r="AE2596" s="39">
        <v>0.48901151278785138</v>
      </c>
      <c r="AF2596" s="40">
        <v>0.48759915746162347</v>
      </c>
    </row>
    <row r="2597" spans="1:32">
      <c r="A2597" s="15">
        <v>2595</v>
      </c>
      <c r="B2597" s="16">
        <v>1</v>
      </c>
      <c r="C2597" s="20">
        <v>0.02</v>
      </c>
      <c r="D2597" s="20">
        <v>0.99531127541355291</v>
      </c>
      <c r="E2597" s="20">
        <v>1</v>
      </c>
      <c r="F2597" s="8" t="s">
        <v>436</v>
      </c>
      <c r="G2597" s="24">
        <v>1.0162697537654461</v>
      </c>
      <c r="H2597" s="24">
        <v>1.0221536962296807</v>
      </c>
      <c r="I2597" s="25">
        <v>1.040029769301428</v>
      </c>
      <c r="X2597" s="15">
        <v>2596</v>
      </c>
      <c r="Y2597" s="39">
        <v>0.4957798117572812</v>
      </c>
      <c r="Z2597" s="39">
        <v>0.47994785536164242</v>
      </c>
      <c r="AA2597" s="39">
        <v>0.49211099065397501</v>
      </c>
      <c r="AB2597" s="39">
        <v>0.49334191983242509</v>
      </c>
      <c r="AC2597" s="39">
        <v>0.48812421221512925</v>
      </c>
      <c r="AD2597" s="39">
        <v>0.47355813355781745</v>
      </c>
      <c r="AE2597" s="39">
        <v>0.48348147051508344</v>
      </c>
      <c r="AF2597" s="40">
        <v>0.48517857550404808</v>
      </c>
    </row>
    <row r="2598" spans="1:32">
      <c r="A2598" s="15">
        <v>2596</v>
      </c>
      <c r="B2598" s="16">
        <v>1</v>
      </c>
      <c r="C2598" s="20">
        <v>0.27</v>
      </c>
      <c r="D2598" s="20">
        <v>0.67448768708106166</v>
      </c>
      <c r="E2598" s="20">
        <v>0.09</v>
      </c>
      <c r="F2598" s="8" t="s">
        <v>436</v>
      </c>
      <c r="G2598" s="24">
        <v>1.3530490260577721</v>
      </c>
      <c r="H2598" s="24">
        <v>1.3608828345432797</v>
      </c>
      <c r="I2598" s="25">
        <v>1.3846828179333666</v>
      </c>
      <c r="X2598" s="15">
        <v>2597</v>
      </c>
      <c r="Y2598" s="39">
        <v>0.48220459943944621</v>
      </c>
      <c r="Z2598" s="39">
        <v>0.4716868089201513</v>
      </c>
      <c r="AA2598" s="39">
        <v>0.48733708888941912</v>
      </c>
      <c r="AB2598" s="39">
        <v>0.49491632952730041</v>
      </c>
      <c r="AC2598" s="39">
        <v>0.47317677134958774</v>
      </c>
      <c r="AD2598" s="39">
        <v>0.46588521506683228</v>
      </c>
      <c r="AE2598" s="39">
        <v>0.47977545923050752</v>
      </c>
      <c r="AF2598" s="40">
        <v>0.48933017909088206</v>
      </c>
    </row>
    <row r="2599" spans="1:32">
      <c r="A2599" s="15">
        <v>2597</v>
      </c>
      <c r="B2599" s="16">
        <v>0</v>
      </c>
      <c r="C2599" s="20">
        <v>0.48</v>
      </c>
      <c r="D2599" s="20">
        <v>0.47407856321411462</v>
      </c>
      <c r="E2599" s="20">
        <v>0.06</v>
      </c>
      <c r="F2599" s="8" t="s">
        <v>436</v>
      </c>
      <c r="G2599" s="24">
        <v>0.6048512052688938</v>
      </c>
      <c r="H2599" s="24">
        <v>0.6083531393548377</v>
      </c>
      <c r="I2599" s="25">
        <v>0.61899240545801515</v>
      </c>
      <c r="X2599" s="15">
        <v>2598</v>
      </c>
      <c r="Y2599" s="39">
        <v>0.47766031612732079</v>
      </c>
      <c r="Z2599" s="39">
        <v>0.48887185995372856</v>
      </c>
      <c r="AA2599" s="39">
        <v>0.48403913759073597</v>
      </c>
      <c r="AB2599" s="39">
        <v>0.49015439514487119</v>
      </c>
      <c r="AC2599" s="39">
        <v>0.47018465881806343</v>
      </c>
      <c r="AD2599" s="39">
        <v>0.48150497235389306</v>
      </c>
      <c r="AE2599" s="39">
        <v>0.47727211471729275</v>
      </c>
      <c r="AF2599" s="40">
        <v>0.48052350952360157</v>
      </c>
    </row>
    <row r="2600" spans="1:32">
      <c r="A2600" s="15">
        <v>2598</v>
      </c>
      <c r="B2600" s="16">
        <v>1</v>
      </c>
      <c r="C2600" s="20">
        <v>0.13</v>
      </c>
      <c r="D2600" s="20">
        <v>0.87236373664730393</v>
      </c>
      <c r="E2600" s="20">
        <v>0.22</v>
      </c>
      <c r="F2600" s="8" t="s">
        <v>436</v>
      </c>
      <c r="G2600" s="24">
        <v>1.0109236087682054</v>
      </c>
      <c r="H2600" s="24">
        <v>1.0167765984175474</v>
      </c>
      <c r="I2600" s="25">
        <v>1.0345586333874337</v>
      </c>
      <c r="X2600" s="15">
        <v>2599</v>
      </c>
      <c r="Y2600" s="39">
        <v>0.49365162020984921</v>
      </c>
      <c r="Z2600" s="39">
        <v>0.47232046108667258</v>
      </c>
      <c r="AA2600" s="39">
        <v>0.48782808983255149</v>
      </c>
      <c r="AB2600" s="39">
        <v>0.47566365863545096</v>
      </c>
      <c r="AC2600" s="39">
        <v>0.48482405508353044</v>
      </c>
      <c r="AD2600" s="39">
        <v>0.46328457198337081</v>
      </c>
      <c r="AE2600" s="39">
        <v>0.47932551717201016</v>
      </c>
      <c r="AF2600" s="40">
        <v>0.47286947796979867</v>
      </c>
    </row>
    <row r="2601" spans="1:32">
      <c r="A2601" s="15">
        <v>2599</v>
      </c>
      <c r="B2601" s="16">
        <v>0</v>
      </c>
      <c r="C2601" s="20">
        <v>0.02</v>
      </c>
      <c r="D2601" s="20">
        <v>0.99531127541355291</v>
      </c>
      <c r="E2601" s="20">
        <v>1</v>
      </c>
      <c r="F2601" s="8" t="s">
        <v>436</v>
      </c>
      <c r="G2601" s="24">
        <v>1.0669653898887552</v>
      </c>
      <c r="H2601" s="24">
        <v>1.0731428471457227</v>
      </c>
      <c r="I2601" s="25">
        <v>1.0919106508750058</v>
      </c>
      <c r="X2601" s="15">
        <v>2600</v>
      </c>
      <c r="Y2601" s="39">
        <v>0.45942856468077942</v>
      </c>
      <c r="Z2601" s="39">
        <v>0.49630099155028529</v>
      </c>
      <c r="AA2601" s="39">
        <v>0.47955605955072311</v>
      </c>
      <c r="AB2601" s="39">
        <v>0.47226692088273942</v>
      </c>
      <c r="AC2601" s="39">
        <v>0.4532290188930308</v>
      </c>
      <c r="AD2601" s="39">
        <v>0.4863845798646253</v>
      </c>
      <c r="AE2601" s="39">
        <v>0.4734714404653565</v>
      </c>
      <c r="AF2601" s="40">
        <v>0.46996324156095493</v>
      </c>
    </row>
    <row r="2602" spans="1:32">
      <c r="A2602" s="15">
        <v>2600</v>
      </c>
      <c r="B2602" s="16">
        <v>0</v>
      </c>
      <c r="C2602" s="20">
        <v>0.89</v>
      </c>
      <c r="D2602" s="20">
        <v>0.24559627500636821</v>
      </c>
      <c r="E2602" s="20">
        <v>0.11</v>
      </c>
      <c r="F2602" s="8" t="s">
        <v>434</v>
      </c>
      <c r="G2602" s="24">
        <v>0.84295640454875942</v>
      </c>
      <c r="H2602" s="24">
        <v>0.84783690696049174</v>
      </c>
      <c r="I2602" s="25">
        <v>0.86266441730228716</v>
      </c>
      <c r="X2602" s="15">
        <v>2601</v>
      </c>
      <c r="Y2602" s="39">
        <v>0.48720564172874509</v>
      </c>
      <c r="Z2602" s="39">
        <v>0.48747321468947979</v>
      </c>
      <c r="AA2602" s="39">
        <v>0.48537431458854768</v>
      </c>
      <c r="AB2602" s="39">
        <v>0.48789781369763319</v>
      </c>
      <c r="AC2602" s="39">
        <v>0.48120570910537347</v>
      </c>
      <c r="AD2602" s="39">
        <v>0.48150225939631747</v>
      </c>
      <c r="AE2602" s="39">
        <v>0.47950296686934463</v>
      </c>
      <c r="AF2602" s="40">
        <v>0.48325210106262617</v>
      </c>
    </row>
    <row r="2603" spans="1:32">
      <c r="A2603" s="15">
        <v>2601</v>
      </c>
      <c r="B2603" s="16">
        <v>0</v>
      </c>
      <c r="C2603" s="20">
        <v>0.08</v>
      </c>
      <c r="D2603" s="20">
        <v>0.92545669922770935</v>
      </c>
      <c r="E2603" s="20">
        <v>0.4</v>
      </c>
      <c r="F2603" s="8" t="s">
        <v>436</v>
      </c>
      <c r="G2603" s="24">
        <v>1.2063064657032472</v>
      </c>
      <c r="H2603" s="24">
        <v>1.2132906722213821</v>
      </c>
      <c r="I2603" s="25">
        <v>1.2345094701320098</v>
      </c>
      <c r="X2603" s="15">
        <v>2602</v>
      </c>
      <c r="Y2603" s="39">
        <v>0.49245933817356113</v>
      </c>
      <c r="Z2603" s="39">
        <v>0.48148107389801098</v>
      </c>
      <c r="AA2603" s="39">
        <v>0.47955680073989132</v>
      </c>
      <c r="AB2603" s="39">
        <v>0.48440724301087784</v>
      </c>
      <c r="AC2603" s="39">
        <v>0.48316864662157932</v>
      </c>
      <c r="AD2603" s="39">
        <v>0.47657614979435503</v>
      </c>
      <c r="AE2603" s="39">
        <v>0.47155560355815107</v>
      </c>
      <c r="AF2603" s="40">
        <v>0.48096491058660323</v>
      </c>
    </row>
    <row r="2604" spans="1:32">
      <c r="A2604" s="15">
        <v>2602</v>
      </c>
      <c r="B2604" s="16">
        <v>0</v>
      </c>
      <c r="C2604" s="20">
        <v>0.89</v>
      </c>
      <c r="D2604" s="20">
        <v>0.24559627500636821</v>
      </c>
      <c r="E2604" s="20">
        <v>0.11</v>
      </c>
      <c r="F2604" s="8" t="s">
        <v>434</v>
      </c>
      <c r="G2604" s="24">
        <v>0.70179326895053495</v>
      </c>
      <c r="H2604" s="24">
        <v>0.70585647284004582</v>
      </c>
      <c r="I2604" s="25">
        <v>0.71820093916951966</v>
      </c>
      <c r="X2604" s="15">
        <v>2603</v>
      </c>
      <c r="Y2604" s="39">
        <v>0.49021578672915495</v>
      </c>
      <c r="Z2604" s="39">
        <v>0.48743039089338813</v>
      </c>
      <c r="AA2604" s="39">
        <v>0.47743507755430553</v>
      </c>
      <c r="AB2604" s="39">
        <v>0.48023216443477496</v>
      </c>
      <c r="AC2604" s="39">
        <v>0.48287459389615456</v>
      </c>
      <c r="AD2604" s="39">
        <v>0.47964389179781763</v>
      </c>
      <c r="AE2604" s="39">
        <v>0.46975769535062067</v>
      </c>
      <c r="AF2604" s="40">
        <v>0.47398751600047961</v>
      </c>
    </row>
    <row r="2605" spans="1:32">
      <c r="A2605" s="15">
        <v>2603</v>
      </c>
      <c r="B2605" s="16">
        <v>0</v>
      </c>
      <c r="C2605" s="20">
        <v>0.95</v>
      </c>
      <c r="D2605" s="20">
        <v>0.15570568692893463</v>
      </c>
      <c r="E2605" s="20">
        <v>0.05</v>
      </c>
      <c r="F2605" s="8" t="s">
        <v>434</v>
      </c>
      <c r="G2605" s="24">
        <v>0.44236560587168072</v>
      </c>
      <c r="H2605" s="24">
        <v>0.44492678981271727</v>
      </c>
      <c r="I2605" s="25">
        <v>0.45270795211307147</v>
      </c>
      <c r="X2605" s="15">
        <v>2604</v>
      </c>
      <c r="Y2605" s="39">
        <v>0.47993073477516174</v>
      </c>
      <c r="Z2605" s="39">
        <v>0.47797862364625693</v>
      </c>
      <c r="AA2605" s="39">
        <v>0.48665348524094609</v>
      </c>
      <c r="AB2605" s="39">
        <v>0.48109527993469225</v>
      </c>
      <c r="AC2605" s="39">
        <v>0.47182256594369326</v>
      </c>
      <c r="AD2605" s="39">
        <v>0.47324133211537428</v>
      </c>
      <c r="AE2605" s="39">
        <v>0.48305318292040839</v>
      </c>
      <c r="AF2605" s="40">
        <v>0.47952651510744981</v>
      </c>
    </row>
    <row r="2606" spans="1:32">
      <c r="A2606" s="15">
        <v>2604</v>
      </c>
      <c r="B2606" s="16">
        <v>0</v>
      </c>
      <c r="C2606" s="20">
        <v>0.02</v>
      </c>
      <c r="D2606" s="20">
        <v>0.99756714174924133</v>
      </c>
      <c r="E2606" s="20">
        <v>1</v>
      </c>
      <c r="F2606" s="8" t="s">
        <v>436</v>
      </c>
      <c r="G2606" s="24">
        <v>1.1105970965333452</v>
      </c>
      <c r="H2606" s="24">
        <v>1.1170271702344821</v>
      </c>
      <c r="I2606" s="25">
        <v>1.1365624508795484</v>
      </c>
      <c r="X2606" s="15">
        <v>2605</v>
      </c>
      <c r="Y2606" s="39">
        <v>0.48371476317699774</v>
      </c>
      <c r="Z2606" s="39">
        <v>0.47725928946349361</v>
      </c>
      <c r="AA2606" s="39">
        <v>0.48340270353601078</v>
      </c>
      <c r="AB2606" s="39">
        <v>0.50296166376916296</v>
      </c>
      <c r="AC2606" s="39">
        <v>0.47523357853277975</v>
      </c>
      <c r="AD2606" s="39">
        <v>0.47167113381888354</v>
      </c>
      <c r="AE2606" s="39">
        <v>0.47593010509591632</v>
      </c>
      <c r="AF2606" s="40">
        <v>0.50161034176268238</v>
      </c>
    </row>
    <row r="2607" spans="1:32">
      <c r="A2607" s="15">
        <v>2605</v>
      </c>
      <c r="B2607" s="16">
        <v>0</v>
      </c>
      <c r="C2607" s="20">
        <v>0.02</v>
      </c>
      <c r="D2607" s="20">
        <v>0.99917029198757767</v>
      </c>
      <c r="E2607" s="20">
        <v>1</v>
      </c>
      <c r="F2607" s="8" t="s">
        <v>436</v>
      </c>
      <c r="G2607" s="24">
        <v>1.1232994252926587</v>
      </c>
      <c r="H2607" s="24">
        <v>1.1298030422349525</v>
      </c>
      <c r="I2607" s="25">
        <v>1.1495617554442978</v>
      </c>
      <c r="X2607" s="15">
        <v>2606</v>
      </c>
      <c r="Y2607" s="39">
        <v>0.48928639304375648</v>
      </c>
      <c r="Z2607" s="39">
        <v>0.492966491877803</v>
      </c>
      <c r="AA2607" s="39">
        <v>0.49316100816141822</v>
      </c>
      <c r="AB2607" s="39">
        <v>0.47747908189987054</v>
      </c>
      <c r="AC2607" s="39">
        <v>0.48200158348667255</v>
      </c>
      <c r="AD2607" s="39">
        <v>0.48455098097007604</v>
      </c>
      <c r="AE2607" s="39">
        <v>0.48681140196193468</v>
      </c>
      <c r="AF2607" s="40">
        <v>0.47134127415253585</v>
      </c>
    </row>
    <row r="2608" spans="1:32">
      <c r="A2608" s="15">
        <v>2606</v>
      </c>
      <c r="B2608" s="16">
        <v>1</v>
      </c>
      <c r="C2608" s="20">
        <v>0.02</v>
      </c>
      <c r="D2608" s="20">
        <v>0.99679477127711513</v>
      </c>
      <c r="E2608" s="20">
        <v>1</v>
      </c>
      <c r="F2608" s="8" t="s">
        <v>436</v>
      </c>
      <c r="G2608" s="24">
        <v>1.034637152588058</v>
      </c>
      <c r="H2608" s="24">
        <v>1.0406274376030666</v>
      </c>
      <c r="I2608" s="25">
        <v>1.0588265911977501</v>
      </c>
      <c r="X2608" s="15">
        <v>2607</v>
      </c>
      <c r="Y2608" s="39">
        <v>0.49392194094835384</v>
      </c>
      <c r="Z2608" s="39">
        <v>0.47738266407223706</v>
      </c>
      <c r="AA2608" s="39">
        <v>0.49241607022849876</v>
      </c>
      <c r="AB2608" s="39">
        <v>0.49206758619098273</v>
      </c>
      <c r="AC2608" s="39">
        <v>0.48318001775102754</v>
      </c>
      <c r="AD2608" s="39">
        <v>0.47002514554211883</v>
      </c>
      <c r="AE2608" s="39">
        <v>0.48548019701270978</v>
      </c>
      <c r="AF2608" s="40">
        <v>0.49065853699087669</v>
      </c>
    </row>
    <row r="2609" spans="1:32">
      <c r="A2609" s="15">
        <v>2607</v>
      </c>
      <c r="B2609" s="16">
        <v>1</v>
      </c>
      <c r="C2609" s="20">
        <v>0.88</v>
      </c>
      <c r="D2609" s="20">
        <v>0.25930874124763043</v>
      </c>
      <c r="E2609" s="20">
        <v>0.12</v>
      </c>
      <c r="F2609" s="8" t="s">
        <v>434</v>
      </c>
      <c r="G2609" s="24">
        <v>1.0719521620913572</v>
      </c>
      <c r="H2609" s="24">
        <v>1.0781584914864688</v>
      </c>
      <c r="I2609" s="25">
        <v>1.0970140119897243</v>
      </c>
      <c r="X2609" s="15">
        <v>2608</v>
      </c>
      <c r="Y2609" s="39">
        <v>0.48665194943141804</v>
      </c>
      <c r="Z2609" s="39">
        <v>0.49034195821138227</v>
      </c>
      <c r="AA2609" s="39">
        <v>0.47790382527456143</v>
      </c>
      <c r="AB2609" s="39">
        <v>0.50831356919109083</v>
      </c>
      <c r="AC2609" s="39">
        <v>0.479137935951717</v>
      </c>
      <c r="AD2609" s="39">
        <v>0.48265581047439776</v>
      </c>
      <c r="AE2609" s="39">
        <v>0.47020945374720152</v>
      </c>
      <c r="AF2609" s="40">
        <v>0.5022817035581274</v>
      </c>
    </row>
    <row r="2610" spans="1:32">
      <c r="A2610" s="15">
        <v>2608</v>
      </c>
      <c r="B2610" s="16">
        <v>1</v>
      </c>
      <c r="C2610" s="20">
        <v>0.38</v>
      </c>
      <c r="D2610" s="20">
        <v>0.66935230714124105</v>
      </c>
      <c r="E2610" s="20">
        <v>0.06</v>
      </c>
      <c r="F2610" s="8" t="s">
        <v>436</v>
      </c>
      <c r="G2610" s="24">
        <v>1.361593594909265</v>
      </c>
      <c r="H2610" s="24">
        <v>1.3694768742673609</v>
      </c>
      <c r="I2610" s="25">
        <v>1.3934271556827407</v>
      </c>
      <c r="X2610" s="15">
        <v>2609</v>
      </c>
      <c r="Y2610" s="39">
        <v>0.48682597953414319</v>
      </c>
      <c r="Z2610" s="39">
        <v>0.47975326409930108</v>
      </c>
      <c r="AA2610" s="39">
        <v>0.47637942954559775</v>
      </c>
      <c r="AB2610" s="39">
        <v>0.48668860615175807</v>
      </c>
      <c r="AC2610" s="39">
        <v>0.48043150931375728</v>
      </c>
      <c r="AD2610" s="39">
        <v>0.4721771477841436</v>
      </c>
      <c r="AE2610" s="39">
        <v>0.46976549169386744</v>
      </c>
      <c r="AF2610" s="40">
        <v>0.48426216512827747</v>
      </c>
    </row>
    <row r="2611" spans="1:32">
      <c r="A2611" s="15">
        <v>2609</v>
      </c>
      <c r="B2611" s="16">
        <v>0</v>
      </c>
      <c r="C2611" s="20">
        <v>0.92</v>
      </c>
      <c r="D2611" s="20">
        <v>0.20258497911151899</v>
      </c>
      <c r="E2611" s="20">
        <v>0.08</v>
      </c>
      <c r="F2611" s="8" t="s">
        <v>434</v>
      </c>
      <c r="G2611" s="24">
        <v>1.3372654696541368</v>
      </c>
      <c r="H2611" s="24">
        <v>1.3450078953769322</v>
      </c>
      <c r="I2611" s="25">
        <v>1.368530247747737</v>
      </c>
      <c r="X2611" s="15">
        <v>2610</v>
      </c>
      <c r="Y2611" s="39">
        <v>0.48381072849877238</v>
      </c>
      <c r="Z2611" s="39">
        <v>0.47794818372537956</v>
      </c>
      <c r="AA2611" s="39">
        <v>0.4804714341041727</v>
      </c>
      <c r="AB2611" s="39">
        <v>0.48453195694788825</v>
      </c>
      <c r="AC2611" s="39">
        <v>0.475661654066239</v>
      </c>
      <c r="AD2611" s="39">
        <v>0.47003391559643237</v>
      </c>
      <c r="AE2611" s="39">
        <v>0.4757177099420134</v>
      </c>
      <c r="AF2611" s="40">
        <v>0.48155780326197212</v>
      </c>
    </row>
    <row r="2612" spans="1:32">
      <c r="A2612" s="15">
        <v>2610</v>
      </c>
      <c r="B2612" s="16">
        <v>0</v>
      </c>
      <c r="C2612" s="20">
        <v>0.94</v>
      </c>
      <c r="D2612" s="20">
        <v>0.17188516685452584</v>
      </c>
      <c r="E2612" s="20">
        <v>0.06</v>
      </c>
      <c r="F2612" s="8" t="s">
        <v>434</v>
      </c>
      <c r="G2612" s="24">
        <v>0.48394761822256988</v>
      </c>
      <c r="H2612" s="24">
        <v>0.48674955140101428</v>
      </c>
      <c r="I2612" s="25">
        <v>0.49526213672020841</v>
      </c>
      <c r="X2612" s="15">
        <v>2611</v>
      </c>
      <c r="Y2612" s="39">
        <v>0.48265413449599964</v>
      </c>
      <c r="Z2612" s="39">
        <v>0.49546343751935112</v>
      </c>
      <c r="AA2612" s="39">
        <v>0.48432759960591482</v>
      </c>
      <c r="AB2612" s="39">
        <v>0.47011302675745409</v>
      </c>
      <c r="AC2612" s="39">
        <v>0.4753718940547903</v>
      </c>
      <c r="AD2612" s="39">
        <v>0.48850071265245565</v>
      </c>
      <c r="AE2612" s="39">
        <v>0.47933741820372655</v>
      </c>
      <c r="AF2612" s="40">
        <v>0.4662003862353355</v>
      </c>
    </row>
    <row r="2613" spans="1:32">
      <c r="A2613" s="15">
        <v>2611</v>
      </c>
      <c r="B2613" s="16">
        <v>1</v>
      </c>
      <c r="C2613" s="20">
        <v>0.01</v>
      </c>
      <c r="D2613" s="20">
        <v>0.99999999999999978</v>
      </c>
      <c r="E2613" s="20">
        <v>1</v>
      </c>
      <c r="F2613" s="8" t="s">
        <v>436</v>
      </c>
      <c r="G2613" s="24">
        <v>0.9242129982376146</v>
      </c>
      <c r="H2613" s="24">
        <v>0.92956395558548321</v>
      </c>
      <c r="I2613" s="25">
        <v>0.94582076046345986</v>
      </c>
      <c r="X2613" s="15">
        <v>2612</v>
      </c>
      <c r="Y2613" s="39">
        <v>0.5014151541128582</v>
      </c>
      <c r="Z2613" s="39">
        <v>0.4772389435508842</v>
      </c>
      <c r="AA2613" s="39">
        <v>0.48177282965730539</v>
      </c>
      <c r="AB2613" s="39">
        <v>0.49075378638228018</v>
      </c>
      <c r="AC2613" s="39">
        <v>0.49244994959301452</v>
      </c>
      <c r="AD2613" s="39">
        <v>0.47166589073222076</v>
      </c>
      <c r="AE2613" s="39">
        <v>0.47590996123497287</v>
      </c>
      <c r="AF2613" s="40">
        <v>0.48522970137062998</v>
      </c>
    </row>
    <row r="2614" spans="1:32">
      <c r="A2614" s="15">
        <v>2612</v>
      </c>
      <c r="B2614" s="16">
        <v>1</v>
      </c>
      <c r="C2614" s="20">
        <v>0.37</v>
      </c>
      <c r="D2614" s="20">
        <v>0.71876837972342078</v>
      </c>
      <c r="E2614" s="20">
        <v>7.0000000000000007E-2</v>
      </c>
      <c r="F2614" s="8" t="s">
        <v>436</v>
      </c>
      <c r="G2614" s="24">
        <v>1.3888598154285647</v>
      </c>
      <c r="H2614" s="24">
        <v>1.396900959243571</v>
      </c>
      <c r="I2614" s="25">
        <v>1.4213308504757218</v>
      </c>
      <c r="X2614" s="15">
        <v>2613</v>
      </c>
      <c r="Y2614" s="39">
        <v>0.49014935595891534</v>
      </c>
      <c r="Z2614" s="39">
        <v>0.48212025616061477</v>
      </c>
      <c r="AA2614" s="39">
        <v>0.49092957344149607</v>
      </c>
      <c r="AB2614" s="39">
        <v>0.47301254669933884</v>
      </c>
      <c r="AC2614" s="39">
        <v>0.48334717326240317</v>
      </c>
      <c r="AD2614" s="39">
        <v>0.47446060045668709</v>
      </c>
      <c r="AE2614" s="39">
        <v>0.48398027579438524</v>
      </c>
      <c r="AF2614" s="40">
        <v>0.46949103474786286</v>
      </c>
    </row>
    <row r="2615" spans="1:32">
      <c r="A2615" s="15">
        <v>2613</v>
      </c>
      <c r="B2615" s="16">
        <v>0</v>
      </c>
      <c r="C2615" s="20">
        <v>0.33</v>
      </c>
      <c r="D2615" s="20">
        <v>0.62099156665421185</v>
      </c>
      <c r="E2615" s="20">
        <v>0.06</v>
      </c>
      <c r="F2615" s="8" t="s">
        <v>436</v>
      </c>
      <c r="G2615" s="24">
        <v>1.0196212248536156</v>
      </c>
      <c r="H2615" s="24">
        <v>1.0255245714799639</v>
      </c>
      <c r="I2615" s="25">
        <v>1.0434595965591364</v>
      </c>
      <c r="X2615" s="15">
        <v>2614</v>
      </c>
      <c r="Y2615" s="39">
        <v>0.49875069417630458</v>
      </c>
      <c r="Z2615" s="39">
        <v>0.50103833808514975</v>
      </c>
      <c r="AA2615" s="39">
        <v>0.4866862032675634</v>
      </c>
      <c r="AB2615" s="39">
        <v>0.48526262034902801</v>
      </c>
      <c r="AC2615" s="39">
        <v>0.49233239522083405</v>
      </c>
      <c r="AD2615" s="39">
        <v>0.49218766950311882</v>
      </c>
      <c r="AE2615" s="39">
        <v>0.47982402174456396</v>
      </c>
      <c r="AF2615" s="40">
        <v>0.47974768052210925</v>
      </c>
    </row>
    <row r="2616" spans="1:32">
      <c r="A2616" s="15">
        <v>2614</v>
      </c>
      <c r="B2616" s="16">
        <v>1</v>
      </c>
      <c r="C2616" s="20">
        <v>0.11</v>
      </c>
      <c r="D2616" s="20">
        <v>0.90032025721590969</v>
      </c>
      <c r="E2616" s="20">
        <v>0.44</v>
      </c>
      <c r="F2616" s="8" t="s">
        <v>436</v>
      </c>
      <c r="G2616" s="24">
        <v>1.0639557449701029</v>
      </c>
      <c r="H2616" s="24">
        <v>1.0701157771512246</v>
      </c>
      <c r="I2616" s="25">
        <v>1.0888306415577675</v>
      </c>
      <c r="X2616" s="15">
        <v>2615</v>
      </c>
      <c r="Y2616" s="39">
        <v>0.47247078879100052</v>
      </c>
      <c r="Z2616" s="39">
        <v>0.47367562423366755</v>
      </c>
      <c r="AA2616" s="39">
        <v>0.47294573374607235</v>
      </c>
      <c r="AB2616" s="39">
        <v>0.48440396972274119</v>
      </c>
      <c r="AC2616" s="39">
        <v>0.46662583567462096</v>
      </c>
      <c r="AD2616" s="39">
        <v>0.46937576468124603</v>
      </c>
      <c r="AE2616" s="39">
        <v>0.46571797634436179</v>
      </c>
      <c r="AF2616" s="40">
        <v>0.47819655264272876</v>
      </c>
    </row>
    <row r="2617" spans="1:32">
      <c r="A2617" s="15">
        <v>2615</v>
      </c>
      <c r="B2617" s="16">
        <v>0</v>
      </c>
      <c r="C2617" s="20">
        <v>0.91</v>
      </c>
      <c r="D2617" s="20">
        <v>0.21727233298780477</v>
      </c>
      <c r="E2617" s="20">
        <v>0.09</v>
      </c>
      <c r="F2617" s="8" t="s">
        <v>434</v>
      </c>
      <c r="G2617" s="24">
        <v>0.92519973630219421</v>
      </c>
      <c r="H2617" s="24">
        <v>0.93055640661158479</v>
      </c>
      <c r="I2617" s="25">
        <v>0.9468305681034721</v>
      </c>
      <c r="X2617" s="15">
        <v>2616</v>
      </c>
      <c r="Y2617" s="39">
        <v>0.48158924089776861</v>
      </c>
      <c r="Z2617" s="39">
        <v>0.48096642599368766</v>
      </c>
      <c r="AA2617" s="39">
        <v>0.49102317704827575</v>
      </c>
      <c r="AB2617" s="39">
        <v>0.49444216382354461</v>
      </c>
      <c r="AC2617" s="39">
        <v>0.47411217695870694</v>
      </c>
      <c r="AD2617" s="39">
        <v>0.47315882288536248</v>
      </c>
      <c r="AE2617" s="39">
        <v>0.48490207972315408</v>
      </c>
      <c r="AF2617" s="40">
        <v>0.48984675954728452</v>
      </c>
    </row>
    <row r="2618" spans="1:32">
      <c r="A2618" s="15">
        <v>2616</v>
      </c>
      <c r="B2618" s="16">
        <v>1</v>
      </c>
      <c r="C2618" s="20">
        <v>0.24</v>
      </c>
      <c r="D2618" s="20">
        <v>0.72155328101166549</v>
      </c>
      <c r="E2618" s="20">
        <v>0.13</v>
      </c>
      <c r="F2618" s="8" t="s">
        <v>436</v>
      </c>
      <c r="G2618" s="24">
        <v>1.042967629517592</v>
      </c>
      <c r="H2618" s="24">
        <v>1.0490061458676092</v>
      </c>
      <c r="I2618" s="25">
        <v>1.0673518316342512</v>
      </c>
      <c r="X2618" s="15">
        <v>2617</v>
      </c>
      <c r="Y2618" s="39">
        <v>0.49958567410104127</v>
      </c>
      <c r="Z2618" s="39">
        <v>0.48565500586590876</v>
      </c>
      <c r="AA2618" s="39">
        <v>0.48845598919694844</v>
      </c>
      <c r="AB2618" s="39">
        <v>0.49258108315028987</v>
      </c>
      <c r="AC2618" s="39">
        <v>0.4919406953770149</v>
      </c>
      <c r="AD2618" s="39">
        <v>0.48053731563894203</v>
      </c>
      <c r="AE2618" s="39">
        <v>0.47971323394827936</v>
      </c>
      <c r="AF2618" s="40">
        <v>0.48548183115887306</v>
      </c>
    </row>
    <row r="2619" spans="1:32">
      <c r="A2619" s="15">
        <v>2617</v>
      </c>
      <c r="B2619" s="16">
        <v>1</v>
      </c>
      <c r="C2619" s="20">
        <v>0.95</v>
      </c>
      <c r="D2619" s="20">
        <v>0.15570568692893463</v>
      </c>
      <c r="E2619" s="20">
        <v>0.05</v>
      </c>
      <c r="F2619" s="8" t="s">
        <v>434</v>
      </c>
      <c r="G2619" s="24">
        <v>0.37478234848296832</v>
      </c>
      <c r="H2619" s="24">
        <v>0.37695224261483035</v>
      </c>
      <c r="I2619" s="25">
        <v>0.38354462285901192</v>
      </c>
      <c r="X2619" s="15">
        <v>2618</v>
      </c>
      <c r="Y2619" s="39">
        <v>0.49023067412719606</v>
      </c>
      <c r="Z2619" s="39">
        <v>0.48885087328200694</v>
      </c>
      <c r="AA2619" s="39">
        <v>0.4850544426112709</v>
      </c>
      <c r="AB2619" s="39">
        <v>0.46947010778982456</v>
      </c>
      <c r="AC2619" s="39">
        <v>0.48169148877115747</v>
      </c>
      <c r="AD2619" s="39">
        <v>0.48386465559738906</v>
      </c>
      <c r="AE2619" s="39">
        <v>0.47940489064064634</v>
      </c>
      <c r="AF2619" s="40">
        <v>0.46702385585838047</v>
      </c>
    </row>
    <row r="2620" spans="1:32">
      <c r="A2620" s="15">
        <v>2618</v>
      </c>
      <c r="B2620" s="16">
        <v>1</v>
      </c>
      <c r="C2620" s="20">
        <v>0.02</v>
      </c>
      <c r="D2620" s="20">
        <v>0.99917029198757767</v>
      </c>
      <c r="E2620" s="20">
        <v>1</v>
      </c>
      <c r="F2620" s="8" t="s">
        <v>436</v>
      </c>
      <c r="G2620" s="24">
        <v>1.1283445526422544</v>
      </c>
      <c r="H2620" s="24">
        <v>1.1348773795840978</v>
      </c>
      <c r="I2620" s="25">
        <v>1.1547248360280258</v>
      </c>
      <c r="X2620" s="15">
        <v>2619</v>
      </c>
      <c r="Y2620" s="39">
        <v>0.4989447527771329</v>
      </c>
      <c r="Z2620" s="39">
        <v>0.48409507334513346</v>
      </c>
      <c r="AA2620" s="39">
        <v>0.48795592822491285</v>
      </c>
      <c r="AB2620" s="39">
        <v>0.48123923073171537</v>
      </c>
      <c r="AC2620" s="39">
        <v>0.48944995686569265</v>
      </c>
      <c r="AD2620" s="39">
        <v>0.47656966705272513</v>
      </c>
      <c r="AE2620" s="39">
        <v>0.47840775507490985</v>
      </c>
      <c r="AF2620" s="40">
        <v>0.47699551738256124</v>
      </c>
    </row>
    <row r="2621" spans="1:32">
      <c r="A2621" s="15">
        <v>2619</v>
      </c>
      <c r="B2621" s="16">
        <v>0</v>
      </c>
      <c r="C2621" s="20">
        <v>0.03</v>
      </c>
      <c r="D2621" s="20">
        <v>0.9948936026028764</v>
      </c>
      <c r="E2621" s="20">
        <v>1</v>
      </c>
      <c r="F2621" s="8" t="s">
        <v>436</v>
      </c>
      <c r="G2621" s="24">
        <v>1.0860446323900601</v>
      </c>
      <c r="H2621" s="24">
        <v>1.0923325535909982</v>
      </c>
      <c r="I2621" s="25">
        <v>1.1114359590951479</v>
      </c>
      <c r="X2621" s="15">
        <v>2620</v>
      </c>
      <c r="Y2621" s="39">
        <v>0.49627228804157453</v>
      </c>
      <c r="Z2621" s="39">
        <v>0.47919062526969231</v>
      </c>
      <c r="AA2621" s="39">
        <v>0.47779163328408292</v>
      </c>
      <c r="AB2621" s="39">
        <v>0.48895576235106236</v>
      </c>
      <c r="AC2621" s="39">
        <v>0.49000957709566012</v>
      </c>
      <c r="AD2621" s="39">
        <v>0.47437018864720354</v>
      </c>
      <c r="AE2621" s="39">
        <v>0.47096844101369739</v>
      </c>
      <c r="AF2621" s="40">
        <v>0.48387413403059543</v>
      </c>
    </row>
    <row r="2622" spans="1:32">
      <c r="A2622" s="15">
        <v>2620</v>
      </c>
      <c r="B2622" s="16">
        <v>0</v>
      </c>
      <c r="C2622" s="20">
        <v>0.14000000000000001</v>
      </c>
      <c r="D2622" s="20">
        <v>0.85091342770587275</v>
      </c>
      <c r="E2622" s="20">
        <v>0.09</v>
      </c>
      <c r="F2622" s="8" t="s">
        <v>436</v>
      </c>
      <c r="G2622" s="24">
        <v>0.8005511066001656</v>
      </c>
      <c r="H2622" s="24">
        <v>0.80518609316102885</v>
      </c>
      <c r="I2622" s="25">
        <v>0.81926769898096907</v>
      </c>
      <c r="X2622" s="15">
        <v>2621</v>
      </c>
      <c r="Y2622" s="39">
        <v>0.48828802153970352</v>
      </c>
      <c r="Z2622" s="39">
        <v>0.47654692223324396</v>
      </c>
      <c r="AA2622" s="39">
        <v>0.47136586808868614</v>
      </c>
      <c r="AB2622" s="39">
        <v>0.47735413882870015</v>
      </c>
      <c r="AC2622" s="39">
        <v>0.48335961252208287</v>
      </c>
      <c r="AD2622" s="39">
        <v>0.46718440051432719</v>
      </c>
      <c r="AE2622" s="39">
        <v>0.46369854563960894</v>
      </c>
      <c r="AF2622" s="40">
        <v>0.47121921465375965</v>
      </c>
    </row>
    <row r="2623" spans="1:32">
      <c r="A2623" s="15">
        <v>2621</v>
      </c>
      <c r="B2623" s="16">
        <v>0</v>
      </c>
      <c r="C2623" s="20">
        <v>0.53</v>
      </c>
      <c r="D2623" s="20">
        <v>0.48585207236698491</v>
      </c>
      <c r="E2623" s="20">
        <v>0.14000000000000001</v>
      </c>
      <c r="F2623" s="8" t="s">
        <v>438</v>
      </c>
      <c r="G2623" s="24">
        <v>0.5172182108124378</v>
      </c>
      <c r="H2623" s="24">
        <v>0.52021277222942264</v>
      </c>
      <c r="I2623" s="25">
        <v>0.52931058360899408</v>
      </c>
      <c r="X2623" s="15">
        <v>2622</v>
      </c>
      <c r="Y2623" s="39">
        <v>0.48764284390052015</v>
      </c>
      <c r="Z2623" s="39">
        <v>0.47998590893657955</v>
      </c>
      <c r="AA2623" s="39">
        <v>0.47724025235257717</v>
      </c>
      <c r="AB2623" s="39">
        <v>0.49278289208366755</v>
      </c>
      <c r="AC2623" s="39">
        <v>0.48209748479267822</v>
      </c>
      <c r="AD2623" s="39">
        <v>0.47583051373258711</v>
      </c>
      <c r="AE2623" s="39">
        <v>0.47080950527964055</v>
      </c>
      <c r="AF2623" s="40">
        <v>0.48794576626955155</v>
      </c>
    </row>
    <row r="2624" spans="1:32">
      <c r="A2624" s="15">
        <v>2622</v>
      </c>
      <c r="B2624" s="16">
        <v>0</v>
      </c>
      <c r="C2624" s="20">
        <v>0.12</v>
      </c>
      <c r="D2624" s="20">
        <v>0.85488616452113442</v>
      </c>
      <c r="E2624" s="20">
        <v>0.15</v>
      </c>
      <c r="F2624" s="8" t="s">
        <v>436</v>
      </c>
      <c r="G2624" s="24">
        <v>1.0551261876153093</v>
      </c>
      <c r="H2624" s="24">
        <v>1.061235098913154</v>
      </c>
      <c r="I2624" s="25">
        <v>1.0797946523780095</v>
      </c>
      <c r="X2624" s="15">
        <v>2623</v>
      </c>
      <c r="Y2624" s="39">
        <v>0.48485532255648284</v>
      </c>
      <c r="Z2624" s="39">
        <v>0.49605325288617452</v>
      </c>
      <c r="AA2624" s="39">
        <v>0.46486988538852425</v>
      </c>
      <c r="AB2624" s="39">
        <v>0.49646861011752685</v>
      </c>
      <c r="AC2624" s="39">
        <v>0.4777089575935386</v>
      </c>
      <c r="AD2624" s="39">
        <v>0.49153859485146795</v>
      </c>
      <c r="AE2624" s="39">
        <v>0.4594070702365573</v>
      </c>
      <c r="AF2624" s="40">
        <v>0.49180655065119144</v>
      </c>
    </row>
    <row r="2625" spans="1:32">
      <c r="A2625" s="15">
        <v>2623</v>
      </c>
      <c r="B2625" s="16">
        <v>1</v>
      </c>
      <c r="C2625" s="20">
        <v>0.5</v>
      </c>
      <c r="D2625" s="20">
        <v>0.48109136145461551</v>
      </c>
      <c r="E2625" s="20">
        <v>0.05</v>
      </c>
      <c r="F2625" s="8" t="s">
        <v>438</v>
      </c>
      <c r="G2625" s="24">
        <v>0.62084699196270032</v>
      </c>
      <c r="H2625" s="24">
        <v>0.62444153757056331</v>
      </c>
      <c r="I2625" s="25">
        <v>0.63536216780045918</v>
      </c>
      <c r="X2625" s="15">
        <v>2624</v>
      </c>
      <c r="Y2625" s="39">
        <v>0.48787578606153686</v>
      </c>
      <c r="Z2625" s="39">
        <v>0.48789117958725531</v>
      </c>
      <c r="AA2625" s="39">
        <v>0.49286269308937453</v>
      </c>
      <c r="AB2625" s="39">
        <v>0.49598017805371841</v>
      </c>
      <c r="AC2625" s="39">
        <v>0.48185380214969625</v>
      </c>
      <c r="AD2625" s="39">
        <v>0.48135261720452877</v>
      </c>
      <c r="AE2625" s="39">
        <v>0.48416898128662661</v>
      </c>
      <c r="AF2625" s="40">
        <v>0.48933967531749462</v>
      </c>
    </row>
    <row r="2626" spans="1:32">
      <c r="A2626" s="15">
        <v>2624</v>
      </c>
      <c r="B2626" s="16">
        <v>0</v>
      </c>
      <c r="C2626" s="20">
        <v>0.13</v>
      </c>
      <c r="D2626" s="20">
        <v>0.85495509495285782</v>
      </c>
      <c r="E2626" s="20">
        <v>0.5</v>
      </c>
      <c r="F2626" s="8" t="s">
        <v>436</v>
      </c>
      <c r="G2626" s="24">
        <v>0.85866181830104316</v>
      </c>
      <c r="H2626" s="24">
        <v>0.86363325104948296</v>
      </c>
      <c r="I2626" s="25">
        <v>0.87873701788992709</v>
      </c>
      <c r="X2626" s="15">
        <v>2625</v>
      </c>
      <c r="Y2626" s="39">
        <v>0.486900746385516</v>
      </c>
      <c r="Z2626" s="39">
        <v>0.49461634036555013</v>
      </c>
      <c r="AA2626" s="39">
        <v>0.48618236106415413</v>
      </c>
      <c r="AB2626" s="39">
        <v>0.49586653283504539</v>
      </c>
      <c r="AC2626" s="39">
        <v>0.47885074656831089</v>
      </c>
      <c r="AD2626" s="39">
        <v>0.48958605157123053</v>
      </c>
      <c r="AE2626" s="39">
        <v>0.4804835155186879</v>
      </c>
      <c r="AF2626" s="40">
        <v>0.49216572713823975</v>
      </c>
    </row>
    <row r="2627" spans="1:32">
      <c r="A2627" s="15">
        <v>2625</v>
      </c>
      <c r="B2627" s="16">
        <v>1</v>
      </c>
      <c r="C2627" s="20">
        <v>0.02</v>
      </c>
      <c r="D2627" s="20">
        <v>0.99835916395484214</v>
      </c>
      <c r="E2627" s="20">
        <v>1</v>
      </c>
      <c r="F2627" s="8" t="s">
        <v>436</v>
      </c>
      <c r="G2627" s="24">
        <v>1.0526613248086751</v>
      </c>
      <c r="H2627" s="24">
        <v>1.0587559651800431</v>
      </c>
      <c r="I2627" s="25">
        <v>1.0772721619795254</v>
      </c>
      <c r="X2627" s="15">
        <v>2626</v>
      </c>
      <c r="Y2627" s="39">
        <v>0.49148227694123675</v>
      </c>
      <c r="Z2627" s="39">
        <v>0.49041263572597166</v>
      </c>
      <c r="AA2627" s="39">
        <v>0.48425294359653842</v>
      </c>
      <c r="AB2627" s="39">
        <v>0.49611597264394752</v>
      </c>
      <c r="AC2627" s="39">
        <v>0.48400084966066848</v>
      </c>
      <c r="AD2627" s="39">
        <v>0.48486281185525276</v>
      </c>
      <c r="AE2627" s="39">
        <v>0.47828965908446469</v>
      </c>
      <c r="AF2627" s="40">
        <v>0.49270713173360481</v>
      </c>
    </row>
    <row r="2628" spans="1:32">
      <c r="A2628" s="15">
        <v>2626</v>
      </c>
      <c r="B2628" s="16">
        <v>1</v>
      </c>
      <c r="C2628" s="20">
        <v>0.02</v>
      </c>
      <c r="D2628" s="20">
        <v>0.99679477127711513</v>
      </c>
      <c r="E2628" s="20">
        <v>1</v>
      </c>
      <c r="F2628" s="8" t="s">
        <v>436</v>
      </c>
      <c r="G2628" s="24">
        <v>1.1027555569936989</v>
      </c>
      <c r="H2628" s="24">
        <v>1.10914023018251</v>
      </c>
      <c r="I2628" s="25">
        <v>1.1285375790104712</v>
      </c>
      <c r="X2628" s="15">
        <v>2627</v>
      </c>
      <c r="Y2628" s="39">
        <v>0.47995124009519979</v>
      </c>
      <c r="Z2628" s="39">
        <v>0.49666930412045202</v>
      </c>
      <c r="AA2628" s="39">
        <v>0.49504988233345565</v>
      </c>
      <c r="AB2628" s="39">
        <v>0.49010544759934666</v>
      </c>
      <c r="AC2628" s="39">
        <v>0.47132496353495423</v>
      </c>
      <c r="AD2628" s="39">
        <v>0.49209015579986576</v>
      </c>
      <c r="AE2628" s="39">
        <v>0.48550612391690912</v>
      </c>
      <c r="AF2628" s="40">
        <v>0.48621516399848513</v>
      </c>
    </row>
    <row r="2629" spans="1:32">
      <c r="A2629" s="15">
        <v>2627</v>
      </c>
      <c r="B2629" s="16">
        <v>1</v>
      </c>
      <c r="C2629" s="20">
        <v>0.08</v>
      </c>
      <c r="D2629" s="20">
        <v>0.94777444464209082</v>
      </c>
      <c r="E2629" s="20">
        <v>0.4</v>
      </c>
      <c r="F2629" s="8" t="s">
        <v>436</v>
      </c>
      <c r="G2629" s="24">
        <v>0.87482940261470254</v>
      </c>
      <c r="H2629" s="24">
        <v>0.87989444154942775</v>
      </c>
      <c r="I2629" s="25">
        <v>0.89528259441780766</v>
      </c>
      <c r="X2629" s="15">
        <v>2628</v>
      </c>
      <c r="Y2629" s="39">
        <v>0.48281114254216878</v>
      </c>
      <c r="Z2629" s="39">
        <v>0.47787160157484943</v>
      </c>
      <c r="AA2629" s="39">
        <v>0.48362296470525462</v>
      </c>
      <c r="AB2629" s="39">
        <v>0.46706308512148376</v>
      </c>
      <c r="AC2629" s="39">
        <v>0.47438682184086989</v>
      </c>
      <c r="AD2629" s="39">
        <v>0.47242343068323395</v>
      </c>
      <c r="AE2629" s="39">
        <v>0.47713081113555966</v>
      </c>
      <c r="AF2629" s="40">
        <v>0.46120490342871662</v>
      </c>
    </row>
    <row r="2630" spans="1:32">
      <c r="A2630" s="15">
        <v>2628</v>
      </c>
      <c r="B2630" s="16">
        <v>0</v>
      </c>
      <c r="C2630" s="20">
        <v>0.32</v>
      </c>
      <c r="D2630" s="20">
        <v>0.60370850561832634</v>
      </c>
      <c r="E2630" s="20">
        <v>0.14000000000000001</v>
      </c>
      <c r="F2630" s="8" t="s">
        <v>436</v>
      </c>
      <c r="G2630" s="24">
        <v>0.5172455795639429</v>
      </c>
      <c r="H2630" s="24">
        <v>0.52024029943901295</v>
      </c>
      <c r="I2630" s="25">
        <v>0.52933859223190993</v>
      </c>
      <c r="X2630" s="15">
        <v>2629</v>
      </c>
      <c r="Y2630" s="39">
        <v>0.50125632398245989</v>
      </c>
      <c r="Z2630" s="39">
        <v>0.46238722411364119</v>
      </c>
      <c r="AA2630" s="39">
        <v>0.49425130499912262</v>
      </c>
      <c r="AB2630" s="39">
        <v>0.50769962911476574</v>
      </c>
      <c r="AC2630" s="39">
        <v>0.49244594377765721</v>
      </c>
      <c r="AD2630" s="39">
        <v>0.45456982608071972</v>
      </c>
      <c r="AE2630" s="39">
        <v>0.48804084225569594</v>
      </c>
      <c r="AF2630" s="40">
        <v>0.50378320842738411</v>
      </c>
    </row>
    <row r="2631" spans="1:32">
      <c r="A2631" s="15">
        <v>2629</v>
      </c>
      <c r="B2631" s="16">
        <v>0</v>
      </c>
      <c r="C2631" s="20">
        <v>0.37</v>
      </c>
      <c r="D2631" s="20">
        <v>0.70478338978242616</v>
      </c>
      <c r="E2631" s="20">
        <v>0.05</v>
      </c>
      <c r="F2631" s="8" t="s">
        <v>436</v>
      </c>
      <c r="G2631" s="24">
        <v>0.77888010896891946</v>
      </c>
      <c r="H2631" s="24">
        <v>0.78338962598517381</v>
      </c>
      <c r="I2631" s="25">
        <v>0.79709004134287853</v>
      </c>
      <c r="X2631" s="15">
        <v>2630</v>
      </c>
      <c r="Y2631" s="39">
        <v>0.48489440783414267</v>
      </c>
      <c r="Z2631" s="39">
        <v>0.47442207903853689</v>
      </c>
      <c r="AA2631" s="39">
        <v>0.48026012452229067</v>
      </c>
      <c r="AB2631" s="39">
        <v>0.48949139999149605</v>
      </c>
      <c r="AC2631" s="39">
        <v>0.47851795422651516</v>
      </c>
      <c r="AD2631" s="39">
        <v>0.46788097923149541</v>
      </c>
      <c r="AE2631" s="39">
        <v>0.4719296987409598</v>
      </c>
      <c r="AF2631" s="40">
        <v>0.48545352716837986</v>
      </c>
    </row>
    <row r="2632" spans="1:32">
      <c r="A2632" s="15">
        <v>2630</v>
      </c>
      <c r="B2632" s="16">
        <v>1</v>
      </c>
      <c r="C2632" s="20">
        <v>0.92</v>
      </c>
      <c r="D2632" s="20">
        <v>0.20258497911151899</v>
      </c>
      <c r="E2632" s="20">
        <v>0.08</v>
      </c>
      <c r="F2632" s="8" t="s">
        <v>434</v>
      </c>
      <c r="G2632" s="24">
        <v>0.77237452182683297</v>
      </c>
      <c r="H2632" s="24">
        <v>0.77684637315413185</v>
      </c>
      <c r="I2632" s="25">
        <v>0.79043235595030881</v>
      </c>
      <c r="X2632" s="15">
        <v>2631</v>
      </c>
      <c r="Y2632" s="39">
        <v>0.47135461778929805</v>
      </c>
      <c r="Z2632" s="39">
        <v>0.48437239104985153</v>
      </c>
      <c r="AA2632" s="39">
        <v>0.48141204140798405</v>
      </c>
      <c r="AB2632" s="39">
        <v>0.48977323793925415</v>
      </c>
      <c r="AC2632" s="39">
        <v>0.46547364997390256</v>
      </c>
      <c r="AD2632" s="39">
        <v>0.47458224713059705</v>
      </c>
      <c r="AE2632" s="39">
        <v>0.47591869872282833</v>
      </c>
      <c r="AF2632" s="40">
        <v>0.48515604929909956</v>
      </c>
    </row>
    <row r="2633" spans="1:32">
      <c r="A2633" s="15">
        <v>2631</v>
      </c>
      <c r="B2633" s="16">
        <v>1</v>
      </c>
      <c r="C2633" s="20">
        <v>0.02</v>
      </c>
      <c r="D2633" s="20">
        <v>0.99917029198757767</v>
      </c>
      <c r="E2633" s="20">
        <v>1</v>
      </c>
      <c r="F2633" s="8" t="s">
        <v>436</v>
      </c>
      <c r="G2633" s="24">
        <v>1.1526230910521507</v>
      </c>
      <c r="H2633" s="24">
        <v>1.159296484534118</v>
      </c>
      <c r="I2633" s="25">
        <v>1.1795709977954731</v>
      </c>
      <c r="X2633" s="15">
        <v>2632</v>
      </c>
      <c r="Y2633" s="39">
        <v>0.49199408436177577</v>
      </c>
      <c r="Z2633" s="39">
        <v>0.48726848198224465</v>
      </c>
      <c r="AA2633" s="39">
        <v>0.49856210296767822</v>
      </c>
      <c r="AB2633" s="39">
        <v>0.48790579078224222</v>
      </c>
      <c r="AC2633" s="39">
        <v>0.48494037697268871</v>
      </c>
      <c r="AD2633" s="39">
        <v>0.48086059893748373</v>
      </c>
      <c r="AE2633" s="39">
        <v>0.49114957527907072</v>
      </c>
      <c r="AF2633" s="40">
        <v>0.48419569318170375</v>
      </c>
    </row>
    <row r="2634" spans="1:32">
      <c r="A2634" s="15">
        <v>2632</v>
      </c>
      <c r="B2634" s="16">
        <v>0</v>
      </c>
      <c r="C2634" s="20">
        <v>0.52</v>
      </c>
      <c r="D2634" s="20">
        <v>0.47161807292475916</v>
      </c>
      <c r="E2634" s="20">
        <v>0.06</v>
      </c>
      <c r="F2634" s="8" t="s">
        <v>438</v>
      </c>
      <c r="G2634" s="24">
        <v>0.56400448901575129</v>
      </c>
      <c r="H2634" s="24">
        <v>0.56726993104100376</v>
      </c>
      <c r="I2634" s="25">
        <v>0.57719070790274041</v>
      </c>
      <c r="X2634" s="15">
        <v>2633</v>
      </c>
      <c r="Y2634" s="39">
        <v>0.48769758603661945</v>
      </c>
      <c r="Z2634" s="39">
        <v>0.48084850394914597</v>
      </c>
      <c r="AA2634" s="39">
        <v>0.47252325397998607</v>
      </c>
      <c r="AB2634" s="39">
        <v>0.48961611839640878</v>
      </c>
      <c r="AC2634" s="39">
        <v>0.48035967277434255</v>
      </c>
      <c r="AD2634" s="39">
        <v>0.47154851593438246</v>
      </c>
      <c r="AE2634" s="39">
        <v>0.4664213344724783</v>
      </c>
      <c r="AF2634" s="40">
        <v>0.48783372048481705</v>
      </c>
    </row>
    <row r="2635" spans="1:32">
      <c r="A2635" s="15">
        <v>2633</v>
      </c>
      <c r="B2635" s="16">
        <v>1</v>
      </c>
      <c r="C2635" s="20">
        <v>0.91</v>
      </c>
      <c r="D2635" s="20">
        <v>0.21727233298780477</v>
      </c>
      <c r="E2635" s="20">
        <v>0.09</v>
      </c>
      <c r="F2635" s="8" t="s">
        <v>434</v>
      </c>
      <c r="G2635" s="24">
        <v>1.5050476291874901</v>
      </c>
      <c r="H2635" s="24">
        <v>1.5137614707863967</v>
      </c>
      <c r="I2635" s="25">
        <v>1.5402350928696384</v>
      </c>
      <c r="X2635" s="15">
        <v>2634</v>
      </c>
      <c r="Y2635" s="39">
        <v>0.48890483396194545</v>
      </c>
      <c r="Z2635" s="39">
        <v>0.49206857137329912</v>
      </c>
      <c r="AA2635" s="39">
        <v>0.49441154295601536</v>
      </c>
      <c r="AB2635" s="39">
        <v>0.48747686291277448</v>
      </c>
      <c r="AC2635" s="39">
        <v>0.48277107838701105</v>
      </c>
      <c r="AD2635" s="39">
        <v>0.48647432575537919</v>
      </c>
      <c r="AE2635" s="39">
        <v>0.48876803568361632</v>
      </c>
      <c r="AF2635" s="40">
        <v>0.48115837763725389</v>
      </c>
    </row>
    <row r="2636" spans="1:32">
      <c r="A2636" s="15">
        <v>2634</v>
      </c>
      <c r="B2636" s="16">
        <v>1</v>
      </c>
      <c r="C2636" s="20">
        <v>0.12</v>
      </c>
      <c r="D2636" s="20">
        <v>0.91210218650558517</v>
      </c>
      <c r="E2636" s="20">
        <v>0.13</v>
      </c>
      <c r="F2636" s="8" t="s">
        <v>436</v>
      </c>
      <c r="G2636" s="24">
        <v>0.84005473923997387</v>
      </c>
      <c r="H2636" s="24">
        <v>0.844918441750239</v>
      </c>
      <c r="I2636" s="25">
        <v>0.85969491211874249</v>
      </c>
      <c r="X2636" s="15">
        <v>2635</v>
      </c>
      <c r="Y2636" s="39">
        <v>0.48309000788118783</v>
      </c>
      <c r="Z2636" s="39">
        <v>0.47520052973401994</v>
      </c>
      <c r="AA2636" s="39">
        <v>0.47080994316804847</v>
      </c>
      <c r="AB2636" s="39">
        <v>0.49695940444085418</v>
      </c>
      <c r="AC2636" s="39">
        <v>0.47693070965995765</v>
      </c>
      <c r="AD2636" s="39">
        <v>0.46777031651944195</v>
      </c>
      <c r="AE2636" s="39">
        <v>0.46384187437046942</v>
      </c>
      <c r="AF2636" s="40">
        <v>0.49154832612507754</v>
      </c>
    </row>
    <row r="2637" spans="1:32">
      <c r="A2637" s="15">
        <v>2635</v>
      </c>
      <c r="B2637" s="16">
        <v>1</v>
      </c>
      <c r="C2637" s="20">
        <v>0.01</v>
      </c>
      <c r="D2637" s="20">
        <v>0.99999999999999978</v>
      </c>
      <c r="E2637" s="20">
        <v>1</v>
      </c>
      <c r="F2637" s="8" t="s">
        <v>436</v>
      </c>
      <c r="G2637" s="24">
        <v>1.0855062013849428</v>
      </c>
      <c r="H2637" s="24">
        <v>1.0917910052077995</v>
      </c>
      <c r="I2637" s="25">
        <v>1.1108849397698535</v>
      </c>
      <c r="X2637" s="15">
        <v>2636</v>
      </c>
      <c r="Y2637" s="39">
        <v>0.49066638555017655</v>
      </c>
      <c r="Z2637" s="39">
        <v>0.48311611729976606</v>
      </c>
      <c r="AA2637" s="39">
        <v>0.49513258318228853</v>
      </c>
      <c r="AB2637" s="39">
        <v>0.48366199486974909</v>
      </c>
      <c r="AC2637" s="39">
        <v>0.48224266665289511</v>
      </c>
      <c r="AD2637" s="39">
        <v>0.47535601392620536</v>
      </c>
      <c r="AE2637" s="39">
        <v>0.48621355641555269</v>
      </c>
      <c r="AF2637" s="40">
        <v>0.47766255483884035</v>
      </c>
    </row>
    <row r="2638" spans="1:32">
      <c r="A2638" s="15">
        <v>2636</v>
      </c>
      <c r="B2638" s="16">
        <v>1</v>
      </c>
      <c r="C2638" s="20">
        <v>0.02</v>
      </c>
      <c r="D2638" s="20">
        <v>0.99604261948721451</v>
      </c>
      <c r="E2638" s="20">
        <v>1</v>
      </c>
      <c r="F2638" s="8" t="s">
        <v>436</v>
      </c>
      <c r="G2638" s="24">
        <v>1.0295487494498765</v>
      </c>
      <c r="H2638" s="24">
        <v>1.0355095739095661</v>
      </c>
      <c r="I2638" s="25">
        <v>1.0536192230533108</v>
      </c>
      <c r="X2638" s="15">
        <v>2637</v>
      </c>
      <c r="Y2638" s="39">
        <v>0.48086411154232195</v>
      </c>
      <c r="Z2638" s="39">
        <v>0.49198634559751708</v>
      </c>
      <c r="AA2638" s="39">
        <v>0.49272735533860412</v>
      </c>
      <c r="AB2638" s="39">
        <v>0.48853886201079555</v>
      </c>
      <c r="AC2638" s="39">
        <v>0.47571643337219971</v>
      </c>
      <c r="AD2638" s="39">
        <v>0.48290021094167279</v>
      </c>
      <c r="AE2638" s="39">
        <v>0.4877335247100183</v>
      </c>
      <c r="AF2638" s="40">
        <v>0.48485229285630904</v>
      </c>
    </row>
    <row r="2639" spans="1:32">
      <c r="A2639" s="15">
        <v>2637</v>
      </c>
      <c r="B2639" s="16">
        <v>0</v>
      </c>
      <c r="C2639" s="20">
        <v>0.91</v>
      </c>
      <c r="D2639" s="20">
        <v>0.21727233298780477</v>
      </c>
      <c r="E2639" s="20">
        <v>0.09</v>
      </c>
      <c r="F2639" s="8" t="s">
        <v>434</v>
      </c>
      <c r="G2639" s="24">
        <v>0.60342806531521509</v>
      </c>
      <c r="H2639" s="24">
        <v>0.60692175978409379</v>
      </c>
      <c r="I2639" s="25">
        <v>0.61753599301218176</v>
      </c>
      <c r="X2639" s="15">
        <v>2638</v>
      </c>
      <c r="Y2639" s="39">
        <v>0.49218407882276444</v>
      </c>
      <c r="Z2639" s="39">
        <v>0.49317914500121202</v>
      </c>
      <c r="AA2639" s="39">
        <v>0.48387088823395358</v>
      </c>
      <c r="AB2639" s="39">
        <v>0.4857021898334386</v>
      </c>
      <c r="AC2639" s="39">
        <v>0.48329927883239593</v>
      </c>
      <c r="AD2639" s="39">
        <v>0.48531717086511089</v>
      </c>
      <c r="AE2639" s="39">
        <v>0.47845045728186775</v>
      </c>
      <c r="AF2639" s="40">
        <v>0.47981772135046219</v>
      </c>
    </row>
    <row r="2640" spans="1:32">
      <c r="A2640" s="15">
        <v>2638</v>
      </c>
      <c r="B2640" s="16">
        <v>0</v>
      </c>
      <c r="C2640" s="20">
        <v>0.08</v>
      </c>
      <c r="D2640" s="20">
        <v>0.94616737920027261</v>
      </c>
      <c r="E2640" s="20">
        <v>7.0000000000000007E-2</v>
      </c>
      <c r="F2640" s="8" t="s">
        <v>436</v>
      </c>
      <c r="G2640" s="24">
        <v>0.94160231288506646</v>
      </c>
      <c r="H2640" s="24">
        <v>0.94705394992599778</v>
      </c>
      <c r="I2640" s="25">
        <v>0.96361663093396233</v>
      </c>
      <c r="X2640" s="15">
        <v>2639</v>
      </c>
      <c r="Y2640" s="39">
        <v>0.49931502514232745</v>
      </c>
      <c r="Z2640" s="39">
        <v>0.47359450542463843</v>
      </c>
      <c r="AA2640" s="39">
        <v>0.48345673085652974</v>
      </c>
      <c r="AB2640" s="39">
        <v>0.49869674162951294</v>
      </c>
      <c r="AC2640" s="39">
        <v>0.49185516303557758</v>
      </c>
      <c r="AD2640" s="39">
        <v>0.46824334808912427</v>
      </c>
      <c r="AE2640" s="39">
        <v>0.47572815286240105</v>
      </c>
      <c r="AF2640" s="40">
        <v>0.49581554014406237</v>
      </c>
    </row>
    <row r="2641" spans="1:32">
      <c r="A2641" s="15">
        <v>2639</v>
      </c>
      <c r="B2641" s="16">
        <v>1</v>
      </c>
      <c r="C2641" s="20">
        <v>0.94</v>
      </c>
      <c r="D2641" s="20">
        <v>0.17188516685452584</v>
      </c>
      <c r="E2641" s="20">
        <v>0.06</v>
      </c>
      <c r="F2641" s="8" t="s">
        <v>434</v>
      </c>
      <c r="G2641" s="24">
        <v>0.34352073367347152</v>
      </c>
      <c r="H2641" s="24">
        <v>0.34550963103533561</v>
      </c>
      <c r="I2641" s="25">
        <v>0.35155212291709687</v>
      </c>
      <c r="X2641" s="15">
        <v>2640</v>
      </c>
      <c r="Y2641" s="39">
        <v>0.49183377611459139</v>
      </c>
      <c r="Z2641" s="39">
        <v>0.49557621206750463</v>
      </c>
      <c r="AA2641" s="39">
        <v>0.48551165788418021</v>
      </c>
      <c r="AB2641" s="39">
        <v>0.47259570404970569</v>
      </c>
      <c r="AC2641" s="39">
        <v>0.48539624616385668</v>
      </c>
      <c r="AD2641" s="39">
        <v>0.48659809677699811</v>
      </c>
      <c r="AE2641" s="39">
        <v>0.48053658117070286</v>
      </c>
      <c r="AF2641" s="40">
        <v>0.46864892117582629</v>
      </c>
    </row>
    <row r="2642" spans="1:32">
      <c r="A2642" s="15">
        <v>2640</v>
      </c>
      <c r="B2642" s="16">
        <v>1</v>
      </c>
      <c r="C2642" s="20">
        <v>0.9</v>
      </c>
      <c r="D2642" s="20">
        <v>0.231595386583653</v>
      </c>
      <c r="E2642" s="20">
        <v>0.1</v>
      </c>
      <c r="F2642" s="8" t="s">
        <v>434</v>
      </c>
      <c r="G2642" s="24">
        <v>1.4374649814588885</v>
      </c>
      <c r="H2642" s="24">
        <v>1.4457875367783968</v>
      </c>
      <c r="I2642" s="25">
        <v>1.4710723875293201</v>
      </c>
      <c r="X2642" s="15">
        <v>2641</v>
      </c>
      <c r="Y2642" s="39">
        <v>0.4858034422465628</v>
      </c>
      <c r="Z2642" s="39">
        <v>0.4963321254068459</v>
      </c>
      <c r="AA2642" s="39">
        <v>0.497043978674649</v>
      </c>
      <c r="AB2642" s="39">
        <v>0.48130878215757378</v>
      </c>
      <c r="AC2642" s="39">
        <v>0.47821663596713265</v>
      </c>
      <c r="AD2642" s="39">
        <v>0.49134602273067951</v>
      </c>
      <c r="AE2642" s="39">
        <v>0.48940769138409829</v>
      </c>
      <c r="AF2642" s="40">
        <v>0.47695471732123629</v>
      </c>
    </row>
    <row r="2643" spans="1:32">
      <c r="A2643" s="15">
        <v>2641</v>
      </c>
      <c r="B2643" s="16">
        <v>0</v>
      </c>
      <c r="C2643" s="20">
        <v>0.15</v>
      </c>
      <c r="D2643" s="20">
        <v>0.893327279409453</v>
      </c>
      <c r="E2643" s="20">
        <v>0.06</v>
      </c>
      <c r="F2643" s="8" t="s">
        <v>436</v>
      </c>
      <c r="G2643" s="24">
        <v>0.82671676379700698</v>
      </c>
      <c r="H2643" s="24">
        <v>0.83150324283407029</v>
      </c>
      <c r="I2643" s="25">
        <v>0.8460450996831177</v>
      </c>
      <c r="X2643" s="15">
        <v>2642</v>
      </c>
      <c r="Y2643" s="39">
        <v>0.49111848890274523</v>
      </c>
      <c r="Z2643" s="39">
        <v>0.47890894807252649</v>
      </c>
      <c r="AA2643" s="39">
        <v>0.49343429188721388</v>
      </c>
      <c r="AB2643" s="39">
        <v>0.48504860939388306</v>
      </c>
      <c r="AC2643" s="39">
        <v>0.48275419125490582</v>
      </c>
      <c r="AD2643" s="39">
        <v>0.4722947489650875</v>
      </c>
      <c r="AE2643" s="39">
        <v>0.48520935875606758</v>
      </c>
      <c r="AF2643" s="40">
        <v>0.48183044599697539</v>
      </c>
    </row>
    <row r="2644" spans="1:32">
      <c r="A2644" s="15">
        <v>2642</v>
      </c>
      <c r="B2644" s="16">
        <v>1</v>
      </c>
      <c r="C2644" s="20">
        <v>0.12</v>
      </c>
      <c r="D2644" s="20">
        <v>0.89444965323225845</v>
      </c>
      <c r="E2644" s="20">
        <v>0.14000000000000001</v>
      </c>
      <c r="F2644" s="8" t="s">
        <v>436</v>
      </c>
      <c r="G2644" s="24">
        <v>1.0089775972623605</v>
      </c>
      <c r="H2644" s="24">
        <v>1.0148193200018167</v>
      </c>
      <c r="I2644" s="25">
        <v>1.0325671248435822</v>
      </c>
      <c r="X2644" s="15">
        <v>2643</v>
      </c>
      <c r="Y2644" s="39">
        <v>0.4780704123418581</v>
      </c>
      <c r="Z2644" s="39">
        <v>0.50193070501652848</v>
      </c>
      <c r="AA2644" s="39">
        <v>0.48362682108807425</v>
      </c>
      <c r="AB2644" s="39">
        <v>0.49560631246695525</v>
      </c>
      <c r="AC2644" s="39">
        <v>0.46984596532851974</v>
      </c>
      <c r="AD2644" s="39">
        <v>0.4947400905702628</v>
      </c>
      <c r="AE2644" s="39">
        <v>0.47905971642655443</v>
      </c>
      <c r="AF2644" s="40">
        <v>0.4932650144235004</v>
      </c>
    </row>
    <row r="2645" spans="1:32">
      <c r="A2645" s="15">
        <v>2643</v>
      </c>
      <c r="B2645" s="16">
        <v>1</v>
      </c>
      <c r="C2645" s="20">
        <v>0.02</v>
      </c>
      <c r="D2645" s="20">
        <v>0.99835916395484214</v>
      </c>
      <c r="E2645" s="20">
        <v>1</v>
      </c>
      <c r="F2645" s="8" t="s">
        <v>436</v>
      </c>
      <c r="G2645" s="24">
        <v>1.1887550170562109</v>
      </c>
      <c r="H2645" s="24">
        <v>1.1956376051668114</v>
      </c>
      <c r="I2645" s="25">
        <v>1.2165476750282505</v>
      </c>
      <c r="X2645" s="15">
        <v>2644</v>
      </c>
      <c r="Y2645" s="39">
        <v>0.48287131831746716</v>
      </c>
      <c r="Z2645" s="39">
        <v>0.48185284315154187</v>
      </c>
      <c r="AA2645" s="39">
        <v>0.49127074335476573</v>
      </c>
      <c r="AB2645" s="39">
        <v>0.48883020763505552</v>
      </c>
      <c r="AC2645" s="39">
        <v>0.4762763511489761</v>
      </c>
      <c r="AD2645" s="39">
        <v>0.47417245638074135</v>
      </c>
      <c r="AE2645" s="39">
        <v>0.48160816452388316</v>
      </c>
      <c r="AF2645" s="40">
        <v>0.48198466559018333</v>
      </c>
    </row>
    <row r="2646" spans="1:32">
      <c r="A2646" s="15">
        <v>2644</v>
      </c>
      <c r="B2646" s="16">
        <v>0</v>
      </c>
      <c r="C2646" s="20">
        <v>0.02</v>
      </c>
      <c r="D2646" s="20">
        <v>0.99835916395484214</v>
      </c>
      <c r="E2646" s="20">
        <v>1</v>
      </c>
      <c r="F2646" s="8" t="s">
        <v>436</v>
      </c>
      <c r="G2646" s="24">
        <v>1.0520525532712053</v>
      </c>
      <c r="H2646" s="24">
        <v>1.0581436690107646</v>
      </c>
      <c r="I2646" s="25">
        <v>1.0766491575859318</v>
      </c>
      <c r="X2646" s="15">
        <v>2645</v>
      </c>
      <c r="Y2646" s="39">
        <v>0.48656245671622556</v>
      </c>
      <c r="Z2646" s="39">
        <v>0.48620030447216628</v>
      </c>
      <c r="AA2646" s="39">
        <v>0.47703921644017022</v>
      </c>
      <c r="AB2646" s="39">
        <v>0.48525988204051523</v>
      </c>
      <c r="AC2646" s="39">
        <v>0.48124475892274804</v>
      </c>
      <c r="AD2646" s="39">
        <v>0.47761717255165798</v>
      </c>
      <c r="AE2646" s="39">
        <v>0.47242974180269731</v>
      </c>
      <c r="AF2646" s="40">
        <v>0.48198198292297084</v>
      </c>
    </row>
    <row r="2647" spans="1:32">
      <c r="A2647" s="15">
        <v>2645</v>
      </c>
      <c r="B2647" s="16">
        <v>0</v>
      </c>
      <c r="C2647" s="20">
        <v>0.83</v>
      </c>
      <c r="D2647" s="20">
        <v>0.32436397807848893</v>
      </c>
      <c r="E2647" s="20">
        <v>0.17</v>
      </c>
      <c r="F2647" s="8" t="s">
        <v>434</v>
      </c>
      <c r="G2647" s="24">
        <v>1.0974719400713187</v>
      </c>
      <c r="H2647" s="24">
        <v>1.1038260224668299</v>
      </c>
      <c r="I2647" s="25">
        <v>1.1231304330548824</v>
      </c>
      <c r="X2647" s="15">
        <v>2646</v>
      </c>
      <c r="Y2647" s="39">
        <v>0.49311169541467992</v>
      </c>
      <c r="Z2647" s="39">
        <v>0.49522743442504086</v>
      </c>
      <c r="AA2647" s="39">
        <v>0.48838332523651129</v>
      </c>
      <c r="AB2647" s="39">
        <v>0.49103779898601674</v>
      </c>
      <c r="AC2647" s="39">
        <v>0.486756795951932</v>
      </c>
      <c r="AD2647" s="39">
        <v>0.48931759844065759</v>
      </c>
      <c r="AE2647" s="39">
        <v>0.48072144542305556</v>
      </c>
      <c r="AF2647" s="40">
        <v>0.48808358181962291</v>
      </c>
    </row>
    <row r="2648" spans="1:32">
      <c r="A2648" s="15">
        <v>2646</v>
      </c>
      <c r="B2648" s="16">
        <v>1</v>
      </c>
      <c r="C2648" s="20">
        <v>0.14000000000000001</v>
      </c>
      <c r="D2648" s="20">
        <v>0.88902959729119091</v>
      </c>
      <c r="E2648" s="20">
        <v>0.41</v>
      </c>
      <c r="F2648" s="8" t="s">
        <v>436</v>
      </c>
      <c r="G2648" s="24">
        <v>1.0310824677595538</v>
      </c>
      <c r="H2648" s="24">
        <v>1.0370521720567638</v>
      </c>
      <c r="I2648" s="25">
        <v>1.0551887991367048</v>
      </c>
      <c r="X2648" s="15">
        <v>2647</v>
      </c>
      <c r="Y2648" s="39">
        <v>0.47930523922226737</v>
      </c>
      <c r="Z2648" s="39">
        <v>0.48575251536569369</v>
      </c>
      <c r="AA2648" s="39">
        <v>0.47931012513449578</v>
      </c>
      <c r="AB2648" s="39">
        <v>0.48867833823414025</v>
      </c>
      <c r="AC2648" s="39">
        <v>0.47261671619881257</v>
      </c>
      <c r="AD2648" s="39">
        <v>0.4782053874595486</v>
      </c>
      <c r="AE2648" s="39">
        <v>0.47370731482348238</v>
      </c>
      <c r="AF2648" s="40">
        <v>0.48525698913638871</v>
      </c>
    </row>
    <row r="2649" spans="1:32">
      <c r="A2649" s="15">
        <v>2647</v>
      </c>
      <c r="B2649" s="16">
        <v>1</v>
      </c>
      <c r="C2649" s="20">
        <v>0.67</v>
      </c>
      <c r="D2649" s="20">
        <v>0.43197608874191185</v>
      </c>
      <c r="E2649" s="20">
        <v>0.11</v>
      </c>
      <c r="F2649" s="8" t="s">
        <v>438</v>
      </c>
      <c r="G2649" s="24">
        <v>1.0725888323627379</v>
      </c>
      <c r="H2649" s="24">
        <v>1.0787988479162063</v>
      </c>
      <c r="I2649" s="25">
        <v>1.0976655673794342</v>
      </c>
      <c r="X2649" s="15">
        <v>2648</v>
      </c>
      <c r="Y2649" s="39">
        <v>0.48794889599443403</v>
      </c>
      <c r="Z2649" s="39">
        <v>0.47313789373288401</v>
      </c>
      <c r="AA2649" s="39">
        <v>0.47813700860256225</v>
      </c>
      <c r="AB2649" s="39">
        <v>0.48912756754858033</v>
      </c>
      <c r="AC2649" s="39">
        <v>0.48055244748434889</v>
      </c>
      <c r="AD2649" s="39">
        <v>0.46687847766293428</v>
      </c>
      <c r="AE2649" s="39">
        <v>0.47442200200717516</v>
      </c>
      <c r="AF2649" s="40">
        <v>0.48608640268302894</v>
      </c>
    </row>
    <row r="2650" spans="1:32">
      <c r="A2650" s="15">
        <v>2648</v>
      </c>
      <c r="B2650" s="16">
        <v>1</v>
      </c>
      <c r="C2650" s="20">
        <v>0.02</v>
      </c>
      <c r="D2650" s="20">
        <v>0.99835916395484214</v>
      </c>
      <c r="E2650" s="20">
        <v>1</v>
      </c>
      <c r="F2650" s="8" t="s">
        <v>436</v>
      </c>
      <c r="G2650" s="24">
        <v>1.1451969318283541</v>
      </c>
      <c r="H2650" s="24">
        <v>1.1518273297439956</v>
      </c>
      <c r="I2650" s="25">
        <v>1.1719712176822659</v>
      </c>
      <c r="X2650" s="15">
        <v>2649</v>
      </c>
      <c r="Y2650" s="39">
        <v>0.46172466065104023</v>
      </c>
      <c r="Z2650" s="39">
        <v>0.5041423292053453</v>
      </c>
      <c r="AA2650" s="39">
        <v>0.47933315498179024</v>
      </c>
      <c r="AB2650" s="39">
        <v>0.48214540474479761</v>
      </c>
      <c r="AC2650" s="39">
        <v>0.45838231094309856</v>
      </c>
      <c r="AD2650" s="39">
        <v>0.49680470327066356</v>
      </c>
      <c r="AE2650" s="39">
        <v>0.47415947037589751</v>
      </c>
      <c r="AF2650" s="40">
        <v>0.4770919772886098</v>
      </c>
    </row>
    <row r="2651" spans="1:32">
      <c r="A2651" s="15">
        <v>2649</v>
      </c>
      <c r="B2651" s="16">
        <v>1</v>
      </c>
      <c r="C2651" s="20">
        <v>0.91</v>
      </c>
      <c r="D2651" s="20">
        <v>0.21727233298780477</v>
      </c>
      <c r="E2651" s="20">
        <v>0.09</v>
      </c>
      <c r="F2651" s="8" t="s">
        <v>434</v>
      </c>
      <c r="G2651" s="24">
        <v>1.3003545556475475</v>
      </c>
      <c r="H2651" s="24">
        <v>1.3078832766000175</v>
      </c>
      <c r="I2651" s="25">
        <v>1.3307563700575447</v>
      </c>
      <c r="X2651" s="15">
        <v>2650</v>
      </c>
      <c r="Y2651" s="39">
        <v>0.49071830422593077</v>
      </c>
      <c r="Z2651" s="39">
        <v>0.48112631956861474</v>
      </c>
      <c r="AA2651" s="39">
        <v>0.47501377346865126</v>
      </c>
      <c r="AB2651" s="39">
        <v>0.48110155210189043</v>
      </c>
      <c r="AC2651" s="39">
        <v>0.48519545219988147</v>
      </c>
      <c r="AD2651" s="39">
        <v>0.47557270447131167</v>
      </c>
      <c r="AE2651" s="39">
        <v>0.46933743539455069</v>
      </c>
      <c r="AF2651" s="40">
        <v>0.47831778079623771</v>
      </c>
    </row>
    <row r="2652" spans="1:32">
      <c r="A2652" s="15">
        <v>2650</v>
      </c>
      <c r="B2652" s="16">
        <v>0</v>
      </c>
      <c r="C2652" s="20">
        <v>0.92</v>
      </c>
      <c r="D2652" s="20">
        <v>0.20258497911151899</v>
      </c>
      <c r="E2652" s="20">
        <v>0.08</v>
      </c>
      <c r="F2652" s="8" t="s">
        <v>434</v>
      </c>
      <c r="G2652" s="24">
        <v>0.66445556414727502</v>
      </c>
      <c r="H2652" s="24">
        <v>0.6683025922566892</v>
      </c>
      <c r="I2652" s="25">
        <v>0.67999029246976384</v>
      </c>
      <c r="X2652" s="15">
        <v>2651</v>
      </c>
      <c r="Y2652" s="39">
        <v>0.49432655808726339</v>
      </c>
      <c r="Z2652" s="39">
        <v>0.48725291413641769</v>
      </c>
      <c r="AA2652" s="39">
        <v>0.472340241518868</v>
      </c>
      <c r="AB2652" s="39">
        <v>0.49056314863354422</v>
      </c>
      <c r="AC2652" s="39">
        <v>0.48695075728971587</v>
      </c>
      <c r="AD2652" s="39">
        <v>0.47921273855706348</v>
      </c>
      <c r="AE2652" s="39">
        <v>0.46626809445731543</v>
      </c>
      <c r="AF2652" s="40">
        <v>0.48780045988739212</v>
      </c>
    </row>
    <row r="2653" spans="1:32">
      <c r="A2653" s="15">
        <v>2651</v>
      </c>
      <c r="B2653" s="16">
        <v>1</v>
      </c>
      <c r="C2653" s="20">
        <v>0.9</v>
      </c>
      <c r="D2653" s="20">
        <v>0.231595386583653</v>
      </c>
      <c r="E2653" s="20">
        <v>0.1</v>
      </c>
      <c r="F2653" s="8" t="s">
        <v>434</v>
      </c>
      <c r="G2653" s="24">
        <v>1.4567322329080639</v>
      </c>
      <c r="H2653" s="24">
        <v>1.4651663406953603</v>
      </c>
      <c r="I2653" s="25">
        <v>1.4907901002778425</v>
      </c>
      <c r="X2653" s="15">
        <v>2652</v>
      </c>
      <c r="Y2653" s="39">
        <v>0.48441165805332503</v>
      </c>
      <c r="Z2653" s="39">
        <v>0.482246101231594</v>
      </c>
      <c r="AA2653" s="39">
        <v>0.48100069446943777</v>
      </c>
      <c r="AB2653" s="39">
        <v>0.48980375950119726</v>
      </c>
      <c r="AC2653" s="39">
        <v>0.4759127823393563</v>
      </c>
      <c r="AD2653" s="39">
        <v>0.47454037108610553</v>
      </c>
      <c r="AE2653" s="39">
        <v>0.47552183424792693</v>
      </c>
      <c r="AF2653" s="40">
        <v>0.48631919815652175</v>
      </c>
    </row>
    <row r="2654" spans="1:32">
      <c r="A2654" s="15">
        <v>2652</v>
      </c>
      <c r="B2654" s="16">
        <v>0</v>
      </c>
      <c r="C2654" s="20">
        <v>0.39</v>
      </c>
      <c r="D2654" s="20">
        <v>0.65916869293351443</v>
      </c>
      <c r="E2654" s="20">
        <v>0.08</v>
      </c>
      <c r="F2654" s="8" t="s">
        <v>436</v>
      </c>
      <c r="G2654" s="24">
        <v>1.6456762584430948</v>
      </c>
      <c r="H2654" s="24">
        <v>1.6552043039089355</v>
      </c>
      <c r="I2654" s="25">
        <v>1.6578926537592125</v>
      </c>
      <c r="X2654" s="15">
        <v>2653</v>
      </c>
      <c r="Y2654" s="39">
        <v>0.47406633047909469</v>
      </c>
      <c r="Z2654" s="39">
        <v>0.4930760267169268</v>
      </c>
      <c r="AA2654" s="39">
        <v>0.47530246237880025</v>
      </c>
      <c r="AB2654" s="39">
        <v>0.49603772516823202</v>
      </c>
      <c r="AC2654" s="39">
        <v>0.47013303185407296</v>
      </c>
      <c r="AD2654" s="39">
        <v>0.48669735199779457</v>
      </c>
      <c r="AE2654" s="39">
        <v>0.46750184584546212</v>
      </c>
      <c r="AF2654" s="40">
        <v>0.4899873364717241</v>
      </c>
    </row>
    <row r="2655" spans="1:32">
      <c r="A2655" s="15">
        <v>2653</v>
      </c>
      <c r="B2655" s="16">
        <v>1</v>
      </c>
      <c r="C2655" s="20">
        <v>0.14000000000000001</v>
      </c>
      <c r="D2655" s="20">
        <v>0.88602762565337445</v>
      </c>
      <c r="E2655" s="20">
        <v>0.1</v>
      </c>
      <c r="F2655" s="8" t="s">
        <v>436</v>
      </c>
      <c r="G2655" s="24">
        <v>1.006813733642097</v>
      </c>
      <c r="H2655" s="24">
        <v>1.0126429281635336</v>
      </c>
      <c r="I2655" s="25">
        <v>1.030352670882472</v>
      </c>
      <c r="X2655" s="15">
        <v>2654</v>
      </c>
      <c r="Y2655" s="39">
        <v>0.48888360633380107</v>
      </c>
      <c r="Z2655" s="39">
        <v>0.48052806664764702</v>
      </c>
      <c r="AA2655" s="39">
        <v>0.50328496821163404</v>
      </c>
      <c r="AB2655" s="39">
        <v>0.50123612455079514</v>
      </c>
      <c r="AC2655" s="39">
        <v>0.48118993764550555</v>
      </c>
      <c r="AD2655" s="39">
        <v>0.47200727755058713</v>
      </c>
      <c r="AE2655" s="39">
        <v>0.49505147020472634</v>
      </c>
      <c r="AF2655" s="40">
        <v>0.49839884250285393</v>
      </c>
    </row>
    <row r="2656" spans="1:32">
      <c r="A2656" s="15">
        <v>2654</v>
      </c>
      <c r="B2656" s="16">
        <v>1</v>
      </c>
      <c r="C2656" s="20">
        <v>0.02</v>
      </c>
      <c r="D2656" s="20">
        <v>0.99917029198757767</v>
      </c>
      <c r="E2656" s="20">
        <v>1</v>
      </c>
      <c r="F2656" s="8" t="s">
        <v>436</v>
      </c>
      <c r="G2656" s="24">
        <v>0.98758278690534307</v>
      </c>
      <c r="H2656" s="24">
        <v>0.99330063915400946</v>
      </c>
      <c r="I2656" s="25">
        <v>1.0106721116372832</v>
      </c>
      <c r="X2656" s="15">
        <v>2655</v>
      </c>
      <c r="Y2656" s="39">
        <v>0.48576458464017297</v>
      </c>
      <c r="Z2656" s="39">
        <v>0.48682745210872325</v>
      </c>
      <c r="AA2656" s="39">
        <v>0.47079967642240195</v>
      </c>
      <c r="AB2656" s="39">
        <v>0.47902157477125112</v>
      </c>
      <c r="AC2656" s="39">
        <v>0.47729853471692996</v>
      </c>
      <c r="AD2656" s="39">
        <v>0.48150735587528259</v>
      </c>
      <c r="AE2656" s="39">
        <v>0.46778844882890208</v>
      </c>
      <c r="AF2656" s="40">
        <v>0.47296142284692921</v>
      </c>
    </row>
    <row r="2657" spans="1:32">
      <c r="A2657" s="15">
        <v>2655</v>
      </c>
      <c r="B2657" s="16">
        <v>0</v>
      </c>
      <c r="C2657" s="20">
        <v>0.02</v>
      </c>
      <c r="D2657" s="20">
        <v>0.99917029198757767</v>
      </c>
      <c r="E2657" s="20">
        <v>1</v>
      </c>
      <c r="F2657" s="8" t="s">
        <v>436</v>
      </c>
      <c r="G2657" s="24">
        <v>0.99950441543812041</v>
      </c>
      <c r="H2657" s="24">
        <v>1.0052912908729112</v>
      </c>
      <c r="I2657" s="25">
        <v>1.0228724634894386</v>
      </c>
      <c r="X2657" s="15">
        <v>2656</v>
      </c>
      <c r="Y2657" s="39">
        <v>0.48032774234102871</v>
      </c>
      <c r="Z2657" s="39">
        <v>0.48248686385644896</v>
      </c>
      <c r="AA2657" s="39">
        <v>0.47543532085031764</v>
      </c>
      <c r="AB2657" s="39">
        <v>0.49447547961633354</v>
      </c>
      <c r="AC2657" s="39">
        <v>0.47170255185825</v>
      </c>
      <c r="AD2657" s="39">
        <v>0.47435483907934362</v>
      </c>
      <c r="AE2657" s="39">
        <v>0.4698434137994309</v>
      </c>
      <c r="AF2657" s="40">
        <v>0.48876376254124915</v>
      </c>
    </row>
    <row r="2658" spans="1:32">
      <c r="A2658" s="15">
        <v>2656</v>
      </c>
      <c r="B2658" s="16">
        <v>0</v>
      </c>
      <c r="C2658" s="20">
        <v>0.92</v>
      </c>
      <c r="D2658" s="20">
        <v>0.20258497911151899</v>
      </c>
      <c r="E2658" s="20">
        <v>0.08</v>
      </c>
      <c r="F2658" s="8" t="s">
        <v>434</v>
      </c>
      <c r="G2658" s="24">
        <v>0.53809969219794818</v>
      </c>
      <c r="H2658" s="24">
        <v>0.54121515206200888</v>
      </c>
      <c r="I2658" s="25">
        <v>0.55068026639998346</v>
      </c>
      <c r="X2658" s="15">
        <v>2657</v>
      </c>
      <c r="Y2658" s="39">
        <v>0.48883082533850475</v>
      </c>
      <c r="Z2658" s="39">
        <v>0.49128123336671364</v>
      </c>
      <c r="AA2658" s="39">
        <v>0.4824530744147239</v>
      </c>
      <c r="AB2658" s="39">
        <v>0.488922428909082</v>
      </c>
      <c r="AC2658" s="39">
        <v>0.48063167049625954</v>
      </c>
      <c r="AD2658" s="39">
        <v>0.48402401681612833</v>
      </c>
      <c r="AE2658" s="39">
        <v>0.47197496512621268</v>
      </c>
      <c r="AF2658" s="40">
        <v>0.48502476364800567</v>
      </c>
    </row>
    <row r="2659" spans="1:32">
      <c r="A2659" s="15">
        <v>2657</v>
      </c>
      <c r="B2659" s="16">
        <v>1</v>
      </c>
      <c r="C2659" s="20">
        <v>0.02</v>
      </c>
      <c r="D2659" s="20">
        <v>0.99917029198757767</v>
      </c>
      <c r="E2659" s="20">
        <v>1</v>
      </c>
      <c r="F2659" s="8" t="s">
        <v>436</v>
      </c>
      <c r="G2659" s="24">
        <v>1.039951748780692</v>
      </c>
      <c r="H2659" s="24">
        <v>1.0459728039510674</v>
      </c>
      <c r="I2659" s="25">
        <v>1.0642654407076129</v>
      </c>
      <c r="X2659" s="15">
        <v>2658</v>
      </c>
      <c r="Y2659" s="39">
        <v>0.47567431170764951</v>
      </c>
      <c r="Z2659" s="39">
        <v>0.48337970505156486</v>
      </c>
      <c r="AA2659" s="39">
        <v>0.48825336474046982</v>
      </c>
      <c r="AB2659" s="39">
        <v>0.49909066994186285</v>
      </c>
      <c r="AC2659" s="39">
        <v>0.47085206750395897</v>
      </c>
      <c r="AD2659" s="39">
        <v>0.47758087975109392</v>
      </c>
      <c r="AE2659" s="39">
        <v>0.47958694956908116</v>
      </c>
      <c r="AF2659" s="40">
        <v>0.49226391902433869</v>
      </c>
    </row>
    <row r="2660" spans="1:32">
      <c r="A2660" s="15">
        <v>2658</v>
      </c>
      <c r="B2660" s="16">
        <v>1</v>
      </c>
      <c r="C2660" s="20">
        <v>0.92</v>
      </c>
      <c r="D2660" s="20">
        <v>0.20258497911151899</v>
      </c>
      <c r="E2660" s="20">
        <v>0.08</v>
      </c>
      <c r="F2660" s="8" t="s">
        <v>434</v>
      </c>
      <c r="G2660" s="24">
        <v>0.54721132490602109</v>
      </c>
      <c r="H2660" s="24">
        <v>0.55037953879765256</v>
      </c>
      <c r="I2660" s="25">
        <v>0.56000492575172045</v>
      </c>
      <c r="X2660" s="15">
        <v>2659</v>
      </c>
      <c r="Y2660" s="39">
        <v>0.49261941065762332</v>
      </c>
      <c r="Z2660" s="39">
        <v>0.48552506233746823</v>
      </c>
      <c r="AA2660" s="39">
        <v>0.48959565963436508</v>
      </c>
      <c r="AB2660" s="39">
        <v>0.49337719140008351</v>
      </c>
      <c r="AC2660" s="39">
        <v>0.48538597880762535</v>
      </c>
      <c r="AD2660" s="39">
        <v>0.47860286927262435</v>
      </c>
      <c r="AE2660" s="39">
        <v>0.47981235489497348</v>
      </c>
      <c r="AF2660" s="40">
        <v>0.4885596938970922</v>
      </c>
    </row>
    <row r="2661" spans="1:32">
      <c r="A2661" s="15">
        <v>2659</v>
      </c>
      <c r="B2661" s="16">
        <v>1</v>
      </c>
      <c r="C2661" s="20">
        <v>0.93</v>
      </c>
      <c r="D2661" s="20">
        <v>0.18747949848141848</v>
      </c>
      <c r="E2661" s="20">
        <v>7.0000000000000007E-2</v>
      </c>
      <c r="F2661" s="8" t="s">
        <v>434</v>
      </c>
      <c r="G2661" s="24">
        <v>2.911088071467903</v>
      </c>
      <c r="H2661" s="24">
        <v>2.3557193791407478</v>
      </c>
      <c r="I2661" s="25">
        <v>1.6578926537592125</v>
      </c>
      <c r="X2661" s="15">
        <v>2660</v>
      </c>
      <c r="Y2661" s="39">
        <v>0.47652581212677259</v>
      </c>
      <c r="Z2661" s="39">
        <v>0.50067897188645638</v>
      </c>
      <c r="AA2661" s="39">
        <v>0.49192687833076854</v>
      </c>
      <c r="AB2661" s="39">
        <v>0.49819001093261711</v>
      </c>
      <c r="AC2661" s="39">
        <v>0.46859981699332059</v>
      </c>
      <c r="AD2661" s="39">
        <v>0.49171958857101744</v>
      </c>
      <c r="AE2661" s="39">
        <v>0.48730173389450532</v>
      </c>
      <c r="AF2661" s="40">
        <v>0.49766918088279544</v>
      </c>
    </row>
    <row r="2662" spans="1:32">
      <c r="A2662" s="15">
        <v>2660</v>
      </c>
      <c r="B2662" s="16">
        <v>1</v>
      </c>
      <c r="C2662" s="20">
        <v>0.62</v>
      </c>
      <c r="D2662" s="20">
        <v>0.44558077609518382</v>
      </c>
      <c r="E2662" s="20">
        <v>0.08</v>
      </c>
      <c r="F2662" s="8" t="s">
        <v>438</v>
      </c>
      <c r="G2662" s="24">
        <v>0.68791962378599281</v>
      </c>
      <c r="H2662" s="24">
        <v>0.69190250281134735</v>
      </c>
      <c r="I2662" s="25">
        <v>0.7040029332499429</v>
      </c>
      <c r="X2662" s="15">
        <v>2661</v>
      </c>
      <c r="Y2662" s="39">
        <v>0.49636775644224895</v>
      </c>
      <c r="Z2662" s="39">
        <v>0.48670430051260954</v>
      </c>
      <c r="AA2662" s="39">
        <v>0.49637291579525178</v>
      </c>
      <c r="AB2662" s="39">
        <v>0.49583525919438204</v>
      </c>
      <c r="AC2662" s="39">
        <v>0.49081764381917098</v>
      </c>
      <c r="AD2662" s="39">
        <v>0.48154259655710685</v>
      </c>
      <c r="AE2662" s="39">
        <v>0.48813576480646725</v>
      </c>
      <c r="AF2662" s="40">
        <v>0.48917747000102663</v>
      </c>
    </row>
    <row r="2663" spans="1:32">
      <c r="A2663" s="15">
        <v>2661</v>
      </c>
      <c r="B2663" s="16">
        <v>1</v>
      </c>
      <c r="C2663" s="20">
        <v>0.13</v>
      </c>
      <c r="D2663" s="20">
        <v>0.89879354090034491</v>
      </c>
      <c r="E2663" s="20">
        <v>0.34</v>
      </c>
      <c r="F2663" s="8" t="s">
        <v>436</v>
      </c>
      <c r="G2663" s="24">
        <v>1.0107654415155125</v>
      </c>
      <c r="H2663" s="24">
        <v>1.0166175154168346</v>
      </c>
      <c r="I2663" s="25">
        <v>1.0343967682421613</v>
      </c>
      <c r="X2663" s="15">
        <v>2662</v>
      </c>
      <c r="Y2663" s="39">
        <v>0.50185820780759471</v>
      </c>
      <c r="Z2663" s="39">
        <v>0.47588461042723024</v>
      </c>
      <c r="AA2663" s="39">
        <v>0.49913202824075775</v>
      </c>
      <c r="AB2663" s="39">
        <v>0.5003938094707977</v>
      </c>
      <c r="AC2663" s="39">
        <v>0.49496902613423566</v>
      </c>
      <c r="AD2663" s="39">
        <v>0.47132499572902947</v>
      </c>
      <c r="AE2663" s="39">
        <v>0.49155253857949055</v>
      </c>
      <c r="AF2663" s="40">
        <v>0.49760960446906571</v>
      </c>
    </row>
    <row r="2664" spans="1:32">
      <c r="A2664" s="15">
        <v>2662</v>
      </c>
      <c r="B2664" s="16">
        <v>0</v>
      </c>
      <c r="C2664" s="20">
        <v>0.02</v>
      </c>
      <c r="D2664" s="20">
        <v>0.99835916395484214</v>
      </c>
      <c r="E2664" s="20">
        <v>1</v>
      </c>
      <c r="F2664" s="8" t="s">
        <v>436</v>
      </c>
      <c r="G2664" s="24">
        <v>1.0881020004631128</v>
      </c>
      <c r="H2664" s="24">
        <v>1.094401833300036</v>
      </c>
      <c r="I2664" s="25">
        <v>1.113541427682063</v>
      </c>
      <c r="X2664" s="15">
        <v>2663</v>
      </c>
      <c r="Y2664" s="39">
        <v>0.46969966009690356</v>
      </c>
      <c r="Z2664" s="39">
        <v>0.49076567264945886</v>
      </c>
      <c r="AA2664" s="39">
        <v>0.48595359555699208</v>
      </c>
      <c r="AB2664" s="39">
        <v>0.49330481809409105</v>
      </c>
      <c r="AC2664" s="39">
        <v>0.45942552118195945</v>
      </c>
      <c r="AD2664" s="39">
        <v>0.48317573753561666</v>
      </c>
      <c r="AE2664" s="39">
        <v>0.47908402395229788</v>
      </c>
      <c r="AF2664" s="40">
        <v>0.48709612021534421</v>
      </c>
    </row>
    <row r="2665" spans="1:32">
      <c r="A2665" s="15">
        <v>2663</v>
      </c>
      <c r="B2665" s="16">
        <v>0</v>
      </c>
      <c r="C2665" s="20">
        <v>0.02</v>
      </c>
      <c r="D2665" s="20">
        <v>0.99756714174924133</v>
      </c>
      <c r="E2665" s="20">
        <v>1</v>
      </c>
      <c r="F2665" s="8" t="s">
        <v>436</v>
      </c>
      <c r="G2665" s="24">
        <v>1.0335207991452293</v>
      </c>
      <c r="H2665" s="24">
        <v>1.039504620758761</v>
      </c>
      <c r="I2665" s="25">
        <v>1.057684137819302</v>
      </c>
      <c r="X2665" s="15">
        <v>2664</v>
      </c>
      <c r="Y2665" s="39">
        <v>0.48851035512193525</v>
      </c>
      <c r="Z2665" s="39">
        <v>0.49602614442326093</v>
      </c>
      <c r="AA2665" s="39">
        <v>0.48710295297146095</v>
      </c>
      <c r="AB2665" s="39">
        <v>0.47116161010392327</v>
      </c>
      <c r="AC2665" s="39">
        <v>0.48099453420066013</v>
      </c>
      <c r="AD2665" s="39">
        <v>0.48616234668621194</v>
      </c>
      <c r="AE2665" s="39">
        <v>0.48040156787235178</v>
      </c>
      <c r="AF2665" s="40">
        <v>0.46688656259923889</v>
      </c>
    </row>
    <row r="2666" spans="1:32">
      <c r="A2666" s="15">
        <v>2664</v>
      </c>
      <c r="B2666" s="16">
        <v>0</v>
      </c>
      <c r="C2666" s="20">
        <v>0.24</v>
      </c>
      <c r="D2666" s="20">
        <v>0.7332468694284523</v>
      </c>
      <c r="E2666" s="20">
        <v>0.1</v>
      </c>
      <c r="F2666" s="8" t="s">
        <v>436</v>
      </c>
      <c r="G2666" s="24">
        <v>0.65507216591364592</v>
      </c>
      <c r="H2666" s="24">
        <v>0.65886486654246634</v>
      </c>
      <c r="I2666" s="25">
        <v>0.67038751381377615</v>
      </c>
      <c r="X2666" s="15">
        <v>2665</v>
      </c>
      <c r="Y2666" s="39">
        <v>0.48234501061213625</v>
      </c>
      <c r="Z2666" s="39">
        <v>0.49062028876856523</v>
      </c>
      <c r="AA2666" s="39">
        <v>0.48215606651258075</v>
      </c>
      <c r="AB2666" s="39">
        <v>0.48422061232597102</v>
      </c>
      <c r="AC2666" s="39">
        <v>0.47558164750309512</v>
      </c>
      <c r="AD2666" s="39">
        <v>0.48450685249998188</v>
      </c>
      <c r="AE2666" s="39">
        <v>0.47615614843743653</v>
      </c>
      <c r="AF2666" s="40">
        <v>0.48048255618224162</v>
      </c>
    </row>
    <row r="2667" spans="1:32">
      <c r="A2667" s="15">
        <v>2665</v>
      </c>
      <c r="B2667" s="16">
        <v>1</v>
      </c>
      <c r="C2667" s="20">
        <v>0.02</v>
      </c>
      <c r="D2667" s="20">
        <v>0.99835916395484214</v>
      </c>
      <c r="E2667" s="20">
        <v>1</v>
      </c>
      <c r="F2667" s="8" t="s">
        <v>436</v>
      </c>
      <c r="G2667" s="24">
        <v>1.0753591626471692</v>
      </c>
      <c r="H2667" s="24">
        <v>1.081585217705838</v>
      </c>
      <c r="I2667" s="25">
        <v>1.1005006669737403</v>
      </c>
      <c r="X2667" s="15">
        <v>2666</v>
      </c>
      <c r="Y2667" s="39">
        <v>0.4825674181243933</v>
      </c>
      <c r="Z2667" s="39">
        <v>0.48995727190974181</v>
      </c>
      <c r="AA2667" s="39">
        <v>0.49168037159676287</v>
      </c>
      <c r="AB2667" s="39">
        <v>0.49150273024110941</v>
      </c>
      <c r="AC2667" s="39">
        <v>0.47464012612466044</v>
      </c>
      <c r="AD2667" s="39">
        <v>0.486042703099137</v>
      </c>
      <c r="AE2667" s="39">
        <v>0.48192328648871635</v>
      </c>
      <c r="AF2667" s="40">
        <v>0.48723815097240919</v>
      </c>
    </row>
    <row r="2668" spans="1:32">
      <c r="A2668" s="15">
        <v>2666</v>
      </c>
      <c r="B2668" s="16">
        <v>1</v>
      </c>
      <c r="C2668" s="20">
        <v>0.94</v>
      </c>
      <c r="D2668" s="20">
        <v>0.17188516685452584</v>
      </c>
      <c r="E2668" s="20">
        <v>0.06</v>
      </c>
      <c r="F2668" s="8" t="s">
        <v>434</v>
      </c>
      <c r="G2668" s="24">
        <v>0.925774731504443</v>
      </c>
      <c r="H2668" s="24">
        <v>0.931134730889283</v>
      </c>
      <c r="I2668" s="25">
        <v>0.94741900648346766</v>
      </c>
      <c r="X2668" s="15">
        <v>2667</v>
      </c>
      <c r="Y2668" s="39">
        <v>0.50148725274991202</v>
      </c>
      <c r="Z2668" s="39">
        <v>0.48081961520648892</v>
      </c>
      <c r="AA2668" s="39">
        <v>0.4791549391024193</v>
      </c>
      <c r="AB2668" s="39">
        <v>0.49461639075445851</v>
      </c>
      <c r="AC2668" s="39">
        <v>0.49576067663370821</v>
      </c>
      <c r="AD2668" s="39">
        <v>0.47495884649527431</v>
      </c>
      <c r="AE2668" s="39">
        <v>0.47509147485173797</v>
      </c>
      <c r="AF2668" s="40">
        <v>0.49146322973046336</v>
      </c>
    </row>
    <row r="2669" spans="1:32">
      <c r="A2669" s="15">
        <v>2667</v>
      </c>
      <c r="B2669" s="16">
        <v>1</v>
      </c>
      <c r="C2669" s="20">
        <v>0.91</v>
      </c>
      <c r="D2669" s="20">
        <v>0.21727233298780477</v>
      </c>
      <c r="E2669" s="20">
        <v>0.09</v>
      </c>
      <c r="F2669" s="8" t="s">
        <v>434</v>
      </c>
      <c r="G2669" s="24">
        <v>0.63386274108561247</v>
      </c>
      <c r="H2669" s="24">
        <v>0.63753264455853476</v>
      </c>
      <c r="I2669" s="25">
        <v>0.64868222038239587</v>
      </c>
      <c r="X2669" s="15">
        <v>2668</v>
      </c>
      <c r="Y2669" s="39">
        <v>0.47605460832281893</v>
      </c>
      <c r="Z2669" s="39">
        <v>0.47923042384561071</v>
      </c>
      <c r="AA2669" s="39">
        <v>0.49742811505563522</v>
      </c>
      <c r="AB2669" s="39">
        <v>0.47367883923604481</v>
      </c>
      <c r="AC2669" s="39">
        <v>0.4704388454426745</v>
      </c>
      <c r="AD2669" s="39">
        <v>0.47253724037165834</v>
      </c>
      <c r="AE2669" s="39">
        <v>0.48648578964204314</v>
      </c>
      <c r="AF2669" s="40">
        <v>0.46819310446262913</v>
      </c>
    </row>
    <row r="2670" spans="1:32">
      <c r="A2670" s="15">
        <v>2668</v>
      </c>
      <c r="B2670" s="16">
        <v>0</v>
      </c>
      <c r="C2670" s="20">
        <v>0.27</v>
      </c>
      <c r="D2670" s="20">
        <v>0.72782277014974084</v>
      </c>
      <c r="E2670" s="20">
        <v>0.08</v>
      </c>
      <c r="F2670" s="8" t="s">
        <v>436</v>
      </c>
      <c r="G2670" s="24">
        <v>1.2145070142901555</v>
      </c>
      <c r="H2670" s="24">
        <v>1.2215386998913604</v>
      </c>
      <c r="I2670" s="25">
        <v>1.2429017445487056</v>
      </c>
      <c r="X2670" s="15">
        <v>2669</v>
      </c>
      <c r="Y2670" s="39">
        <v>0.47324776269570451</v>
      </c>
      <c r="Z2670" s="39">
        <v>0.49290030191982648</v>
      </c>
      <c r="AA2670" s="39">
        <v>0.49103912492527196</v>
      </c>
      <c r="AB2670" s="39">
        <v>0.48361566186220806</v>
      </c>
      <c r="AC2670" s="39">
        <v>0.46557655538589776</v>
      </c>
      <c r="AD2670" s="39">
        <v>0.48346532935058895</v>
      </c>
      <c r="AE2670" s="39">
        <v>0.4865895712157346</v>
      </c>
      <c r="AF2670" s="40">
        <v>0.47812091014688707</v>
      </c>
    </row>
    <row r="2671" spans="1:32">
      <c r="A2671" s="15">
        <v>2669</v>
      </c>
      <c r="B2671" s="16">
        <v>0</v>
      </c>
      <c r="C2671" s="20">
        <v>0.37</v>
      </c>
      <c r="D2671" s="20">
        <v>0.66407018713495614</v>
      </c>
      <c r="E2671" s="20">
        <v>0.09</v>
      </c>
      <c r="F2671" s="8" t="s">
        <v>436</v>
      </c>
      <c r="G2671" s="24">
        <v>0.78465781962391246</v>
      </c>
      <c r="H2671" s="24">
        <v>0.78920078811005756</v>
      </c>
      <c r="I2671" s="25">
        <v>0.80300283276202533</v>
      </c>
      <c r="X2671" s="15">
        <v>2670</v>
      </c>
      <c r="Y2671" s="39">
        <v>0.48648825837415055</v>
      </c>
      <c r="Z2671" s="39">
        <v>0.48705903959020441</v>
      </c>
      <c r="AA2671" s="39">
        <v>0.49469879763098124</v>
      </c>
      <c r="AB2671" s="39">
        <v>0.49681051275300747</v>
      </c>
      <c r="AC2671" s="39">
        <v>0.47811655007788334</v>
      </c>
      <c r="AD2671" s="39">
        <v>0.48207424458814868</v>
      </c>
      <c r="AE2671" s="39">
        <v>0.48751884420164898</v>
      </c>
      <c r="AF2671" s="40">
        <v>0.49369928591500395</v>
      </c>
    </row>
    <row r="2672" spans="1:32">
      <c r="A2672" s="15">
        <v>2670</v>
      </c>
      <c r="B2672" s="16">
        <v>0</v>
      </c>
      <c r="C2672" s="20">
        <v>0.23</v>
      </c>
      <c r="D2672" s="20">
        <v>0.75678183959145007</v>
      </c>
      <c r="E2672" s="20">
        <v>0.09</v>
      </c>
      <c r="F2672" s="8" t="s">
        <v>436</v>
      </c>
      <c r="G2672" s="24">
        <v>0.67828783922250557</v>
      </c>
      <c r="H2672" s="24">
        <v>0.68221495267381893</v>
      </c>
      <c r="I2672" s="25">
        <v>0.69414596108245608</v>
      </c>
      <c r="X2672" s="15">
        <v>2671</v>
      </c>
      <c r="Y2672" s="39">
        <v>0.49013383710827224</v>
      </c>
      <c r="Z2672" s="39">
        <v>0.47348763256054133</v>
      </c>
      <c r="AA2672" s="39">
        <v>0.48822163327290008</v>
      </c>
      <c r="AB2672" s="39">
        <v>0.48878780488456647</v>
      </c>
      <c r="AC2672" s="39">
        <v>0.48273911790062496</v>
      </c>
      <c r="AD2672" s="39">
        <v>0.46659445710817737</v>
      </c>
      <c r="AE2672" s="39">
        <v>0.48101049226742992</v>
      </c>
      <c r="AF2672" s="40">
        <v>0.48123561832924927</v>
      </c>
    </row>
    <row r="2673" spans="1:32">
      <c r="A2673" s="15">
        <v>2671</v>
      </c>
      <c r="B2673" s="16">
        <v>0</v>
      </c>
      <c r="C2673" s="20">
        <v>0.37</v>
      </c>
      <c r="D2673" s="20">
        <v>0.6670110596653076</v>
      </c>
      <c r="E2673" s="20">
        <v>0.12</v>
      </c>
      <c r="F2673" s="8" t="s">
        <v>436</v>
      </c>
      <c r="G2673" s="24">
        <v>0.66784849895981979</v>
      </c>
      <c r="H2673" s="24">
        <v>0.67171517129572789</v>
      </c>
      <c r="I2673" s="25">
        <v>0.68346255285857416</v>
      </c>
      <c r="X2673" s="15">
        <v>2672</v>
      </c>
      <c r="Y2673" s="39">
        <v>0.49054742139338975</v>
      </c>
      <c r="Z2673" s="39">
        <v>0.48254657190730216</v>
      </c>
      <c r="AA2673" s="39">
        <v>0.48895170963754392</v>
      </c>
      <c r="AB2673" s="39">
        <v>0.48545725117550864</v>
      </c>
      <c r="AC2673" s="39">
        <v>0.48557334944620267</v>
      </c>
      <c r="AD2673" s="39">
        <v>0.47541140904141793</v>
      </c>
      <c r="AE2673" s="39">
        <v>0.48347605263246424</v>
      </c>
      <c r="AF2673" s="40">
        <v>0.47980108733700655</v>
      </c>
    </row>
    <row r="2674" spans="1:32">
      <c r="A2674" s="15">
        <v>2672</v>
      </c>
      <c r="B2674" s="16">
        <v>0</v>
      </c>
      <c r="C2674" s="20">
        <v>0.92</v>
      </c>
      <c r="D2674" s="20">
        <v>0.20258497911151899</v>
      </c>
      <c r="E2674" s="20">
        <v>0.08</v>
      </c>
      <c r="F2674" s="8" t="s">
        <v>434</v>
      </c>
      <c r="G2674" s="24">
        <v>0.49084251288421726</v>
      </c>
      <c r="H2674" s="24">
        <v>0.49368436574278185</v>
      </c>
      <c r="I2674" s="25">
        <v>0.50231823149990784</v>
      </c>
      <c r="X2674" s="15">
        <v>2673</v>
      </c>
      <c r="Y2674" s="39">
        <v>0.48421859353096935</v>
      </c>
      <c r="Z2674" s="39">
        <v>0.48694578833078811</v>
      </c>
      <c r="AA2674" s="39">
        <v>0.47728416458547818</v>
      </c>
      <c r="AB2674" s="39">
        <v>0.49349827581723943</v>
      </c>
      <c r="AC2674" s="39">
        <v>0.47625713480952853</v>
      </c>
      <c r="AD2674" s="39">
        <v>0.47769748972981346</v>
      </c>
      <c r="AE2674" s="39">
        <v>0.46988722338478811</v>
      </c>
      <c r="AF2674" s="40">
        <v>0.48740692046563699</v>
      </c>
    </row>
    <row r="2675" spans="1:32">
      <c r="A2675" s="15">
        <v>2673</v>
      </c>
      <c r="B2675" s="16">
        <v>0</v>
      </c>
      <c r="C2675" s="20">
        <v>0.6</v>
      </c>
      <c r="D2675" s="20">
        <v>0.4791360925138563</v>
      </c>
      <c r="E2675" s="20">
        <v>0.04</v>
      </c>
      <c r="F2675" s="8" t="s">
        <v>438</v>
      </c>
      <c r="G2675" s="24">
        <v>0.84076130040376229</v>
      </c>
      <c r="H2675" s="24">
        <v>0.84562909372281103</v>
      </c>
      <c r="I2675" s="25">
        <v>0.86041799242438921</v>
      </c>
      <c r="X2675" s="15">
        <v>2674</v>
      </c>
      <c r="Y2675" s="39">
        <v>0.49185236870539134</v>
      </c>
      <c r="Z2675" s="39">
        <v>0.49096312710156503</v>
      </c>
      <c r="AA2675" s="39">
        <v>0.49454977152677637</v>
      </c>
      <c r="AB2675" s="39">
        <v>0.50456274470207652</v>
      </c>
      <c r="AC2675" s="39">
        <v>0.48748384040894066</v>
      </c>
      <c r="AD2675" s="39">
        <v>0.48345345363119191</v>
      </c>
      <c r="AE2675" s="39">
        <v>0.4873899033077938</v>
      </c>
      <c r="AF2675" s="40">
        <v>0.50042447605482776</v>
      </c>
    </row>
    <row r="2676" spans="1:32">
      <c r="A2676" s="15">
        <v>2674</v>
      </c>
      <c r="B2676" s="16">
        <v>1</v>
      </c>
      <c r="C2676" s="20">
        <v>0.93</v>
      </c>
      <c r="D2676" s="20">
        <v>0.18747949848141848</v>
      </c>
      <c r="E2676" s="20">
        <v>7.0000000000000007E-2</v>
      </c>
      <c r="F2676" s="8" t="s">
        <v>434</v>
      </c>
      <c r="G2676" s="24">
        <v>0.67299123339555444</v>
      </c>
      <c r="H2676" s="24">
        <v>0.67688768085112594</v>
      </c>
      <c r="I2676" s="25">
        <v>0.68872552254645292</v>
      </c>
      <c r="X2676" s="15">
        <v>2675</v>
      </c>
      <c r="Y2676" s="39">
        <v>0.48691879563795171</v>
      </c>
      <c r="Z2676" s="39">
        <v>0.47907757576600524</v>
      </c>
      <c r="AA2676" s="39">
        <v>0.47048869225799433</v>
      </c>
      <c r="AB2676" s="39">
        <v>0.49050826334962988</v>
      </c>
      <c r="AC2676" s="39">
        <v>0.48101737384095122</v>
      </c>
      <c r="AD2676" s="39">
        <v>0.47429457952058429</v>
      </c>
      <c r="AE2676" s="39">
        <v>0.46696425212005255</v>
      </c>
      <c r="AF2676" s="40">
        <v>0.48581075509767502</v>
      </c>
    </row>
    <row r="2677" spans="1:32">
      <c r="A2677" s="15">
        <v>2675</v>
      </c>
      <c r="B2677" s="16">
        <v>1</v>
      </c>
      <c r="C2677" s="20">
        <v>0.02</v>
      </c>
      <c r="D2677" s="20">
        <v>0.99756714174924133</v>
      </c>
      <c r="E2677" s="20">
        <v>1</v>
      </c>
      <c r="F2677" s="8" t="s">
        <v>436</v>
      </c>
      <c r="G2677" s="24">
        <v>1.0121451396612389</v>
      </c>
      <c r="H2677" s="24">
        <v>1.0180052016626471</v>
      </c>
      <c r="I2677" s="25">
        <v>1.0358087232264446</v>
      </c>
      <c r="X2677" s="15">
        <v>2676</v>
      </c>
      <c r="Y2677" s="39">
        <v>0.49116342436248228</v>
      </c>
      <c r="Z2677" s="39">
        <v>0.48385345797824986</v>
      </c>
      <c r="AA2677" s="39">
        <v>0.47847693549030595</v>
      </c>
      <c r="AB2677" s="39">
        <v>0.47927945683038503</v>
      </c>
      <c r="AC2677" s="39">
        <v>0.48417186595584838</v>
      </c>
      <c r="AD2677" s="39">
        <v>0.47551814720155294</v>
      </c>
      <c r="AE2677" s="39">
        <v>0.47067213343491193</v>
      </c>
      <c r="AF2677" s="40">
        <v>0.47462686880216154</v>
      </c>
    </row>
    <row r="2678" spans="1:32">
      <c r="A2678" s="15">
        <v>2676</v>
      </c>
      <c r="B2678" s="16">
        <v>1</v>
      </c>
      <c r="C2678" s="20">
        <v>0.09</v>
      </c>
      <c r="D2678" s="20">
        <v>0.8933710120622621</v>
      </c>
      <c r="E2678" s="20">
        <v>0.22</v>
      </c>
      <c r="F2678" s="8" t="s">
        <v>436</v>
      </c>
      <c r="G2678" s="24">
        <v>1.4253917618399399</v>
      </c>
      <c r="H2678" s="24">
        <v>1.4336444162996296</v>
      </c>
      <c r="I2678" s="25">
        <v>1.4587169004467846</v>
      </c>
      <c r="X2678" s="15">
        <v>2677</v>
      </c>
      <c r="Y2678" s="39">
        <v>0.49693879270099101</v>
      </c>
      <c r="Z2678" s="39">
        <v>0.49438441376052572</v>
      </c>
      <c r="AA2678" s="39">
        <v>0.49137143272066741</v>
      </c>
      <c r="AB2678" s="39">
        <v>0.4910880846175304</v>
      </c>
      <c r="AC2678" s="39">
        <v>0.48730209018757575</v>
      </c>
      <c r="AD2678" s="39">
        <v>0.48429539890426287</v>
      </c>
      <c r="AE2678" s="39">
        <v>0.48614804884489415</v>
      </c>
      <c r="AF2678" s="40">
        <v>0.48993444213197918</v>
      </c>
    </row>
    <row r="2679" spans="1:32">
      <c r="A2679" s="15">
        <v>2677</v>
      </c>
      <c r="B2679" s="16">
        <v>1</v>
      </c>
      <c r="C2679" s="20">
        <v>0.02</v>
      </c>
      <c r="D2679" s="20">
        <v>0.99835916395484214</v>
      </c>
      <c r="E2679" s="20">
        <v>1</v>
      </c>
      <c r="F2679" s="8" t="s">
        <v>436</v>
      </c>
      <c r="G2679" s="24">
        <v>1.063715722923007</v>
      </c>
      <c r="H2679" s="24">
        <v>1.0698743654377434</v>
      </c>
      <c r="I2679" s="25">
        <v>1.0885850078829056</v>
      </c>
      <c r="X2679" s="15">
        <v>2678</v>
      </c>
      <c r="Y2679" s="39">
        <v>0.48419521434579449</v>
      </c>
      <c r="Z2679" s="39">
        <v>0.48209118596372857</v>
      </c>
      <c r="AA2679" s="39">
        <v>0.50268862631278644</v>
      </c>
      <c r="AB2679" s="39">
        <v>0.47257329870721393</v>
      </c>
      <c r="AC2679" s="39">
        <v>0.47737483715160878</v>
      </c>
      <c r="AD2679" s="39">
        <v>0.47822961957421295</v>
      </c>
      <c r="AE2679" s="39">
        <v>0.49441764473201377</v>
      </c>
      <c r="AF2679" s="40">
        <v>0.46749048510427943</v>
      </c>
    </row>
    <row r="2680" spans="1:32">
      <c r="A2680" s="15">
        <v>2678</v>
      </c>
      <c r="B2680" s="16">
        <v>0</v>
      </c>
      <c r="C2680" s="20">
        <v>0.02</v>
      </c>
      <c r="D2680" s="20">
        <v>0.99835916395484214</v>
      </c>
      <c r="E2680" s="20">
        <v>1</v>
      </c>
      <c r="F2680" s="8" t="s">
        <v>436</v>
      </c>
      <c r="G2680" s="24">
        <v>1.1147876487206012</v>
      </c>
      <c r="H2680" s="24">
        <v>1.1212419846492343</v>
      </c>
      <c r="I2680" s="25">
        <v>1.1408509766458712</v>
      </c>
      <c r="X2680" s="15">
        <v>2679</v>
      </c>
      <c r="Y2680" s="39">
        <v>0.48162503151309499</v>
      </c>
      <c r="Z2680" s="39">
        <v>0.48264883146736037</v>
      </c>
      <c r="AA2680" s="39">
        <v>0.49532994077040637</v>
      </c>
      <c r="AB2680" s="39">
        <v>0.489376297391931</v>
      </c>
      <c r="AC2680" s="39">
        <v>0.47675540434057989</v>
      </c>
      <c r="AD2680" s="39">
        <v>0.4728896433370624</v>
      </c>
      <c r="AE2680" s="39">
        <v>0.48669018077944293</v>
      </c>
      <c r="AF2680" s="40">
        <v>0.4822888719351241</v>
      </c>
    </row>
    <row r="2681" spans="1:32">
      <c r="A2681" s="15">
        <v>2679</v>
      </c>
      <c r="B2681" s="16">
        <v>0</v>
      </c>
      <c r="C2681" s="20">
        <v>0.02</v>
      </c>
      <c r="D2681" s="20">
        <v>0.99835916395484214</v>
      </c>
      <c r="E2681" s="20">
        <v>1</v>
      </c>
      <c r="F2681" s="8" t="s">
        <v>436</v>
      </c>
      <c r="G2681" s="24">
        <v>1.1209858011373748</v>
      </c>
      <c r="H2681" s="24">
        <v>1.1274760227863785</v>
      </c>
      <c r="I2681" s="25">
        <v>1.1471940396015752</v>
      </c>
      <c r="X2681" s="15">
        <v>2680</v>
      </c>
      <c r="Y2681" s="39">
        <v>0.49496409959291832</v>
      </c>
      <c r="Z2681" s="39">
        <v>0.48793668986614114</v>
      </c>
      <c r="AA2681" s="39">
        <v>0.4962146857745901</v>
      </c>
      <c r="AB2681" s="39">
        <v>0.48168421652900489</v>
      </c>
      <c r="AC2681" s="39">
        <v>0.4876669295044252</v>
      </c>
      <c r="AD2681" s="39">
        <v>0.48170339368697268</v>
      </c>
      <c r="AE2681" s="39">
        <v>0.49022428973699295</v>
      </c>
      <c r="AF2681" s="40">
        <v>0.47601125434655078</v>
      </c>
    </row>
    <row r="2682" spans="1:32">
      <c r="A2682" s="15">
        <v>2680</v>
      </c>
      <c r="B2682" s="16">
        <v>1</v>
      </c>
      <c r="C2682" s="20">
        <v>0.88</v>
      </c>
      <c r="D2682" s="20">
        <v>0.25930874124763043</v>
      </c>
      <c r="E2682" s="20">
        <v>0.12</v>
      </c>
      <c r="F2682" s="8" t="s">
        <v>434</v>
      </c>
      <c r="G2682" s="24">
        <v>0.83529626128240375</v>
      </c>
      <c r="H2682" s="24">
        <v>0.84013241341992984</v>
      </c>
      <c r="I2682" s="25">
        <v>0.85482518268509466</v>
      </c>
      <c r="X2682" s="15">
        <v>2681</v>
      </c>
      <c r="Y2682" s="39">
        <v>0.50446521676785516</v>
      </c>
      <c r="Z2682" s="39">
        <v>0.47479877381932911</v>
      </c>
      <c r="AA2682" s="39">
        <v>0.48165837733827105</v>
      </c>
      <c r="AB2682" s="39">
        <v>0.49285842001590774</v>
      </c>
      <c r="AC2682" s="39">
        <v>0.49528394345090276</v>
      </c>
      <c r="AD2682" s="39">
        <v>0.47061265930748758</v>
      </c>
      <c r="AE2682" s="39">
        <v>0.473442959354402</v>
      </c>
      <c r="AF2682" s="40">
        <v>0.48877140908107336</v>
      </c>
    </row>
    <row r="2683" spans="1:32">
      <c r="A2683" s="15">
        <v>2681</v>
      </c>
      <c r="B2683" s="16">
        <v>1</v>
      </c>
      <c r="C2683" s="20">
        <v>0.11</v>
      </c>
      <c r="D2683" s="20">
        <v>0.92200770090192108</v>
      </c>
      <c r="E2683" s="20">
        <v>0.06</v>
      </c>
      <c r="F2683" s="8" t="s">
        <v>436</v>
      </c>
      <c r="G2683" s="24">
        <v>0.65959931963794904</v>
      </c>
      <c r="H2683" s="24">
        <v>0.66341823133124511</v>
      </c>
      <c r="I2683" s="25">
        <v>0.67502051073810043</v>
      </c>
      <c r="X2683" s="15">
        <v>2682</v>
      </c>
      <c r="Y2683" s="39">
        <v>0.50214841588640935</v>
      </c>
      <c r="Z2683" s="39">
        <v>0.4844829368823711</v>
      </c>
      <c r="AA2683" s="39">
        <v>0.48369008258414592</v>
      </c>
      <c r="AB2683" s="39">
        <v>0.49291562400123928</v>
      </c>
      <c r="AC2683" s="39">
        <v>0.49573420911430599</v>
      </c>
      <c r="AD2683" s="39">
        <v>0.47848543785232722</v>
      </c>
      <c r="AE2683" s="39">
        <v>0.47543814736561607</v>
      </c>
      <c r="AF2683" s="40">
        <v>0.48955965430060844</v>
      </c>
    </row>
    <row r="2684" spans="1:32">
      <c r="A2684" s="15">
        <v>2682</v>
      </c>
      <c r="B2684" s="16">
        <v>1</v>
      </c>
      <c r="C2684" s="20">
        <v>0.02</v>
      </c>
      <c r="D2684" s="20">
        <v>0.99679477127711513</v>
      </c>
      <c r="E2684" s="20">
        <v>1</v>
      </c>
      <c r="F2684" s="8" t="s">
        <v>436</v>
      </c>
      <c r="G2684" s="24">
        <v>1.028944702942767</v>
      </c>
      <c r="H2684" s="24">
        <v>1.0349020301273675</v>
      </c>
      <c r="I2684" s="25">
        <v>1.0530010541595609</v>
      </c>
      <c r="X2684" s="15">
        <v>2683</v>
      </c>
      <c r="Y2684" s="39">
        <v>0.49125332400327648</v>
      </c>
      <c r="Z2684" s="39">
        <v>0.47131809236566979</v>
      </c>
      <c r="AA2684" s="39">
        <v>0.48223473356207314</v>
      </c>
      <c r="AB2684" s="39">
        <v>0.47307610413769419</v>
      </c>
      <c r="AC2684" s="39">
        <v>0.48454661021643453</v>
      </c>
      <c r="AD2684" s="39">
        <v>0.46119031049458081</v>
      </c>
      <c r="AE2684" s="39">
        <v>0.47672866368072186</v>
      </c>
      <c r="AF2684" s="40">
        <v>0.46633793453604766</v>
      </c>
    </row>
    <row r="2685" spans="1:32">
      <c r="A2685" s="15">
        <v>2683</v>
      </c>
      <c r="B2685" s="16">
        <v>0</v>
      </c>
      <c r="C2685" s="20">
        <v>0.92</v>
      </c>
      <c r="D2685" s="20">
        <v>0.20258497911151899</v>
      </c>
      <c r="E2685" s="20">
        <v>0.08</v>
      </c>
      <c r="F2685" s="8" t="s">
        <v>434</v>
      </c>
      <c r="G2685" s="24">
        <v>0.54558961881225343</v>
      </c>
      <c r="H2685" s="24">
        <v>0.54874844343955398</v>
      </c>
      <c r="I2685" s="25">
        <v>0.5583453047619914</v>
      </c>
      <c r="X2685" s="15">
        <v>2684</v>
      </c>
      <c r="Y2685" s="39">
        <v>0.490541882200136</v>
      </c>
      <c r="Z2685" s="39">
        <v>0.49689713477775527</v>
      </c>
      <c r="AA2685" s="39">
        <v>0.48361869813874547</v>
      </c>
      <c r="AB2685" s="39">
        <v>0.48779904035171001</v>
      </c>
      <c r="AC2685" s="39">
        <v>0.48488181518997148</v>
      </c>
      <c r="AD2685" s="39">
        <v>0.4911764208080317</v>
      </c>
      <c r="AE2685" s="39">
        <v>0.47694662396129966</v>
      </c>
      <c r="AF2685" s="40">
        <v>0.48491740748676326</v>
      </c>
    </row>
    <row r="2686" spans="1:32">
      <c r="A2686" s="15">
        <v>2684</v>
      </c>
      <c r="B2686" s="16">
        <v>0</v>
      </c>
      <c r="C2686" s="20">
        <v>0.02</v>
      </c>
      <c r="D2686" s="20">
        <v>0.99756714174924133</v>
      </c>
      <c r="E2686" s="20">
        <v>1</v>
      </c>
      <c r="F2686" s="8" t="s">
        <v>436</v>
      </c>
      <c r="G2686" s="24">
        <v>1.1359647637906354</v>
      </c>
      <c r="H2686" s="24">
        <v>1.1425417098099149</v>
      </c>
      <c r="I2686" s="25">
        <v>1.1625232049289149</v>
      </c>
      <c r="X2686" s="15">
        <v>2685</v>
      </c>
      <c r="Y2686" s="39">
        <v>0.49211203730610864</v>
      </c>
      <c r="Z2686" s="39">
        <v>0.47539445063956359</v>
      </c>
      <c r="AA2686" s="39">
        <v>0.47745068562006027</v>
      </c>
      <c r="AB2686" s="39">
        <v>0.48998346198797899</v>
      </c>
      <c r="AC2686" s="39">
        <v>0.48376062090776012</v>
      </c>
      <c r="AD2686" s="39">
        <v>0.46946521759332172</v>
      </c>
      <c r="AE2686" s="39">
        <v>0.47346585692617371</v>
      </c>
      <c r="AF2686" s="40">
        <v>0.4854572729725698</v>
      </c>
    </row>
    <row r="2687" spans="1:32">
      <c r="A2687" s="15">
        <v>2685</v>
      </c>
      <c r="B2687" s="16">
        <v>0</v>
      </c>
      <c r="C2687" s="20">
        <v>0.94</v>
      </c>
      <c r="D2687" s="20">
        <v>0.17188516685452584</v>
      </c>
      <c r="E2687" s="20">
        <v>0.06</v>
      </c>
      <c r="F2687" s="8" t="s">
        <v>434</v>
      </c>
      <c r="G2687" s="24">
        <v>1.1927478314209596</v>
      </c>
      <c r="H2687" s="24">
        <v>1.1996535369075378</v>
      </c>
      <c r="I2687" s="25">
        <v>1.2206338399340217</v>
      </c>
      <c r="X2687" s="15">
        <v>2686</v>
      </c>
      <c r="Y2687" s="39">
        <v>0.49567671610621822</v>
      </c>
      <c r="Z2687" s="39">
        <v>0.49504178259141907</v>
      </c>
      <c r="AA2687" s="39">
        <v>0.48863271522792573</v>
      </c>
      <c r="AB2687" s="39">
        <v>0.48653482311053758</v>
      </c>
      <c r="AC2687" s="39">
        <v>0.48723968285514224</v>
      </c>
      <c r="AD2687" s="39">
        <v>0.49062122336952729</v>
      </c>
      <c r="AE2687" s="39">
        <v>0.47974446109464253</v>
      </c>
      <c r="AF2687" s="40">
        <v>0.48067849983168892</v>
      </c>
    </row>
    <row r="2688" spans="1:32">
      <c r="A2688" s="15">
        <v>2686</v>
      </c>
      <c r="B2688" s="16">
        <v>1</v>
      </c>
      <c r="C2688" s="20">
        <v>0.45</v>
      </c>
      <c r="D2688" s="20">
        <v>0.49398149363323918</v>
      </c>
      <c r="E2688" s="20">
        <v>0.14000000000000001</v>
      </c>
      <c r="F2688" s="8" t="s">
        <v>436</v>
      </c>
      <c r="G2688" s="24">
        <v>1.7307276754590326</v>
      </c>
      <c r="H2688" s="24">
        <v>1.7407481469194177</v>
      </c>
      <c r="I2688" s="25">
        <v>1.6578926537592125</v>
      </c>
      <c r="X2688" s="15">
        <v>2687</v>
      </c>
      <c r="Y2688" s="39">
        <v>0.4953008611936528</v>
      </c>
      <c r="Z2688" s="39">
        <v>0.48237450927132541</v>
      </c>
      <c r="AA2688" s="39">
        <v>0.48141051269837354</v>
      </c>
      <c r="AB2688" s="39">
        <v>0.48456222118629544</v>
      </c>
      <c r="AC2688" s="39">
        <v>0.49062276113420911</v>
      </c>
      <c r="AD2688" s="39">
        <v>0.47445063763675632</v>
      </c>
      <c r="AE2688" s="39">
        <v>0.47615396673860949</v>
      </c>
      <c r="AF2688" s="40">
        <v>0.48046212740096556</v>
      </c>
    </row>
    <row r="2689" spans="1:32">
      <c r="A2689" s="15">
        <v>2687</v>
      </c>
      <c r="B2689" s="16">
        <v>0</v>
      </c>
      <c r="C2689" s="20">
        <v>0.93</v>
      </c>
      <c r="D2689" s="20">
        <v>0.18747949848141848</v>
      </c>
      <c r="E2689" s="20">
        <v>7.0000000000000007E-2</v>
      </c>
      <c r="F2689" s="8" t="s">
        <v>434</v>
      </c>
      <c r="G2689" s="24">
        <v>1.4786070358368939</v>
      </c>
      <c r="H2689" s="24">
        <v>1.4871677931494496</v>
      </c>
      <c r="I2689" s="25">
        <v>1.5131763281069117</v>
      </c>
      <c r="X2689" s="15">
        <v>2688</v>
      </c>
      <c r="Y2689" s="39">
        <v>0.47959326320440665</v>
      </c>
      <c r="Z2689" s="39">
        <v>0.49650983558992989</v>
      </c>
      <c r="AA2689" s="39">
        <v>0.49669007846205504</v>
      </c>
      <c r="AB2689" s="39">
        <v>0.49395319989303554</v>
      </c>
      <c r="AC2689" s="39">
        <v>0.47109110635681578</v>
      </c>
      <c r="AD2689" s="39">
        <v>0.48712852023662523</v>
      </c>
      <c r="AE2689" s="39">
        <v>0.48765062050271546</v>
      </c>
      <c r="AF2689" s="40">
        <v>0.49193306512624774</v>
      </c>
    </row>
    <row r="2690" spans="1:32">
      <c r="A2690" s="15">
        <v>2688</v>
      </c>
      <c r="B2690" s="16">
        <v>1</v>
      </c>
      <c r="C2690" s="20">
        <v>0.41</v>
      </c>
      <c r="D2690" s="20">
        <v>0.58940409575781316</v>
      </c>
      <c r="E2690" s="20">
        <v>0.11</v>
      </c>
      <c r="F2690" s="8" t="s">
        <v>436</v>
      </c>
      <c r="G2690" s="24">
        <v>0.74358255213514202</v>
      </c>
      <c r="H2690" s="24">
        <v>0.74788770530728066</v>
      </c>
      <c r="I2690" s="25">
        <v>0.76096724052673781</v>
      </c>
      <c r="X2690" s="15">
        <v>2689</v>
      </c>
      <c r="Y2690" s="39">
        <v>0.4847351265426344</v>
      </c>
      <c r="Z2690" s="39">
        <v>0.47449235972056064</v>
      </c>
      <c r="AA2690" s="39">
        <v>0.47492300231641976</v>
      </c>
      <c r="AB2690" s="39">
        <v>0.48756677974649693</v>
      </c>
      <c r="AC2690" s="39">
        <v>0.47775914081511706</v>
      </c>
      <c r="AD2690" s="39">
        <v>0.46742919516086617</v>
      </c>
      <c r="AE2690" s="39">
        <v>0.46595046223610403</v>
      </c>
      <c r="AF2690" s="40">
        <v>0.48410934460972749</v>
      </c>
    </row>
    <row r="2691" spans="1:32">
      <c r="A2691" s="15">
        <v>2689</v>
      </c>
      <c r="B2691" s="16">
        <v>0</v>
      </c>
      <c r="C2691" s="20">
        <v>0.33</v>
      </c>
      <c r="D2691" s="20">
        <v>0.68000072505162878</v>
      </c>
      <c r="E2691" s="20">
        <v>0.1</v>
      </c>
      <c r="F2691" s="8" t="s">
        <v>436</v>
      </c>
      <c r="G2691" s="24">
        <v>1.1737134572515253</v>
      </c>
      <c r="H2691" s="24">
        <v>1.1805089585703215</v>
      </c>
      <c r="I2691" s="25">
        <v>1.2011544490509563</v>
      </c>
      <c r="X2691" s="15">
        <v>2690</v>
      </c>
      <c r="Y2691" s="39">
        <v>0.49039180072123734</v>
      </c>
      <c r="Z2691" s="39">
        <v>0.48233982514633977</v>
      </c>
      <c r="AA2691" s="39">
        <v>0.4730670299282283</v>
      </c>
      <c r="AB2691" s="39">
        <v>0.48851744554617638</v>
      </c>
      <c r="AC2691" s="39">
        <v>0.48169730895156432</v>
      </c>
      <c r="AD2691" s="39">
        <v>0.47581815407916522</v>
      </c>
      <c r="AE2691" s="39">
        <v>0.46680966092841863</v>
      </c>
      <c r="AF2691" s="40">
        <v>0.48674895840100596</v>
      </c>
    </row>
    <row r="2692" spans="1:32">
      <c r="A2692" s="15">
        <v>2690</v>
      </c>
      <c r="B2692" s="16">
        <v>0</v>
      </c>
      <c r="C2692" s="20">
        <v>0.02</v>
      </c>
      <c r="D2692" s="20">
        <v>0.99679477127711513</v>
      </c>
      <c r="E2692" s="20">
        <v>1</v>
      </c>
      <c r="F2692" s="8" t="s">
        <v>436</v>
      </c>
      <c r="G2692" s="24">
        <v>1.0396351080593893</v>
      </c>
      <c r="H2692" s="24">
        <v>1.0456543299608132</v>
      </c>
      <c r="I2692" s="25">
        <v>1.0639413970419347</v>
      </c>
      <c r="X2692" s="15">
        <v>2691</v>
      </c>
      <c r="Y2692" s="39">
        <v>0.49600388052674316</v>
      </c>
      <c r="Z2692" s="39">
        <v>0.4948375095474753</v>
      </c>
      <c r="AA2692" s="39">
        <v>0.493339245685748</v>
      </c>
      <c r="AB2692" s="39">
        <v>0.50595219010985637</v>
      </c>
      <c r="AC2692" s="39">
        <v>0.49099311700892184</v>
      </c>
      <c r="AD2692" s="39">
        <v>0.4876585620041049</v>
      </c>
      <c r="AE2692" s="39">
        <v>0.48599986438887738</v>
      </c>
      <c r="AF2692" s="40">
        <v>0.50103381660567248</v>
      </c>
    </row>
    <row r="2693" spans="1:32">
      <c r="A2693" s="15">
        <v>2691</v>
      </c>
      <c r="B2693" s="16">
        <v>0</v>
      </c>
      <c r="C2693" s="20">
        <v>0.88</v>
      </c>
      <c r="D2693" s="20">
        <v>0.25930874124763043</v>
      </c>
      <c r="E2693" s="20">
        <v>0.12</v>
      </c>
      <c r="F2693" s="8" t="s">
        <v>434</v>
      </c>
      <c r="G2693" s="24">
        <v>1.0119205449480575</v>
      </c>
      <c r="H2693" s="24">
        <v>1.0177793066034058</v>
      </c>
      <c r="I2693" s="25">
        <v>1.0355788775709274</v>
      </c>
      <c r="X2693" s="15">
        <v>2692</v>
      </c>
      <c r="Y2693" s="39">
        <v>0.4776495181100649</v>
      </c>
      <c r="Z2693" s="39">
        <v>0.47352924129816137</v>
      </c>
      <c r="AA2693" s="39">
        <v>0.49654803300933742</v>
      </c>
      <c r="AB2693" s="39">
        <v>0.48726785097705877</v>
      </c>
      <c r="AC2693" s="39">
        <v>0.46985067348430326</v>
      </c>
      <c r="AD2693" s="39">
        <v>0.46646404780658479</v>
      </c>
      <c r="AE2693" s="39">
        <v>0.48829134910462368</v>
      </c>
      <c r="AF2693" s="40">
        <v>0.48356356219042035</v>
      </c>
    </row>
    <row r="2694" spans="1:32">
      <c r="A2694" s="15">
        <v>2692</v>
      </c>
      <c r="B2694" s="16">
        <v>0</v>
      </c>
      <c r="C2694" s="20">
        <v>0.95</v>
      </c>
      <c r="D2694" s="20">
        <v>0.15570568692893463</v>
      </c>
      <c r="E2694" s="20">
        <v>0.05</v>
      </c>
      <c r="F2694" s="8" t="s">
        <v>434</v>
      </c>
      <c r="G2694" s="24">
        <v>0.67207356146647179</v>
      </c>
      <c r="H2694" s="24">
        <v>0.6759646958358162</v>
      </c>
      <c r="I2694" s="25">
        <v>0.68778639578295142</v>
      </c>
      <c r="X2694" s="15">
        <v>2693</v>
      </c>
      <c r="Y2694" s="39">
        <v>0.49944566373726512</v>
      </c>
      <c r="Z2694" s="39">
        <v>0.49904170141553733</v>
      </c>
      <c r="AA2694" s="39">
        <v>0.49338912596251805</v>
      </c>
      <c r="AB2694" s="39">
        <v>0.48802826547376549</v>
      </c>
      <c r="AC2694" s="39">
        <v>0.49202417073169608</v>
      </c>
      <c r="AD2694" s="39">
        <v>0.49004459069003109</v>
      </c>
      <c r="AE2694" s="39">
        <v>0.48494507856052715</v>
      </c>
      <c r="AF2694" s="40">
        <v>0.48549230010295158</v>
      </c>
    </row>
    <row r="2695" spans="1:32">
      <c r="A2695" s="15">
        <v>2693</v>
      </c>
      <c r="B2695" s="16">
        <v>1</v>
      </c>
      <c r="C2695" s="20">
        <v>0.34</v>
      </c>
      <c r="D2695" s="20">
        <v>0.60804184351187995</v>
      </c>
      <c r="E2695" s="20">
        <v>0.16</v>
      </c>
      <c r="F2695" s="8" t="s">
        <v>436</v>
      </c>
      <c r="G2695" s="24">
        <v>0.92141176570256866</v>
      </c>
      <c r="H2695" s="24">
        <v>0.9267465046290938</v>
      </c>
      <c r="I2695" s="25">
        <v>0.94295403613521045</v>
      </c>
      <c r="X2695" s="15">
        <v>2694</v>
      </c>
      <c r="Y2695" s="39">
        <v>0.50118865526698386</v>
      </c>
      <c r="Z2695" s="39">
        <v>0.47783535556947471</v>
      </c>
      <c r="AA2695" s="39">
        <v>0.4905247742693094</v>
      </c>
      <c r="AB2695" s="39">
        <v>0.48943227508393933</v>
      </c>
      <c r="AC2695" s="39">
        <v>0.4925082377420828</v>
      </c>
      <c r="AD2695" s="39">
        <v>0.47091196663827889</v>
      </c>
      <c r="AE2695" s="39">
        <v>0.4864744067415207</v>
      </c>
      <c r="AF2695" s="40">
        <v>0.48488082667633281</v>
      </c>
    </row>
    <row r="2696" spans="1:32">
      <c r="A2696" s="15">
        <v>2694</v>
      </c>
      <c r="B2696" s="16">
        <v>0</v>
      </c>
      <c r="C2696" s="20">
        <v>0.03</v>
      </c>
      <c r="D2696" s="20">
        <v>0.9948936026028764</v>
      </c>
      <c r="E2696" s="20">
        <v>1</v>
      </c>
      <c r="F2696" s="8" t="s">
        <v>436</v>
      </c>
      <c r="G2696" s="24">
        <v>1.101717216113911</v>
      </c>
      <c r="H2696" s="24">
        <v>1.1080958775740719</v>
      </c>
      <c r="I2696" s="25">
        <v>1.1274749621002851</v>
      </c>
      <c r="X2696" s="15">
        <v>2695</v>
      </c>
      <c r="Y2696" s="39">
        <v>0.49039190279059297</v>
      </c>
      <c r="Z2696" s="39">
        <v>0.48125937975131233</v>
      </c>
      <c r="AA2696" s="39">
        <v>0.4763730167630183</v>
      </c>
      <c r="AB2696" s="39">
        <v>0.48799580009999938</v>
      </c>
      <c r="AC2696" s="39">
        <v>0.48303286744693263</v>
      </c>
      <c r="AD2696" s="39">
        <v>0.47161601305482725</v>
      </c>
      <c r="AE2696" s="39">
        <v>0.47300969964247103</v>
      </c>
      <c r="AF2696" s="40">
        <v>0.48203106791142963</v>
      </c>
    </row>
    <row r="2697" spans="1:32">
      <c r="A2697" s="15">
        <v>2695</v>
      </c>
      <c r="B2697" s="16">
        <v>0</v>
      </c>
      <c r="C2697" s="20">
        <v>0.26</v>
      </c>
      <c r="D2697" s="20">
        <v>0.83367147050670298</v>
      </c>
      <c r="E2697" s="20">
        <v>0.27</v>
      </c>
      <c r="F2697" s="8" t="s">
        <v>436</v>
      </c>
      <c r="G2697" s="24">
        <v>0.86136594087337226</v>
      </c>
      <c r="H2697" s="24">
        <v>0.86635302980125928</v>
      </c>
      <c r="I2697" s="25">
        <v>0.88150436186001169</v>
      </c>
      <c r="X2697" s="15">
        <v>2696</v>
      </c>
      <c r="Y2697" s="39">
        <v>0.46881792875164685</v>
      </c>
      <c r="Z2697" s="39">
        <v>0.48904103265293808</v>
      </c>
      <c r="AA2697" s="39">
        <v>0.47951826223333277</v>
      </c>
      <c r="AB2697" s="39">
        <v>0.48485651761424148</v>
      </c>
      <c r="AC2697" s="39">
        <v>0.46403954497232697</v>
      </c>
      <c r="AD2697" s="39">
        <v>0.48054900344701396</v>
      </c>
      <c r="AE2697" s="39">
        <v>0.47432440778780582</v>
      </c>
      <c r="AF2697" s="40">
        <v>0.48093857925496414</v>
      </c>
    </row>
    <row r="2698" spans="1:32">
      <c r="A2698" s="15">
        <v>2696</v>
      </c>
      <c r="B2698" s="16">
        <v>1</v>
      </c>
      <c r="C2698" s="20">
        <v>0.02</v>
      </c>
      <c r="D2698" s="20">
        <v>0.99756714174924133</v>
      </c>
      <c r="E2698" s="20">
        <v>1</v>
      </c>
      <c r="F2698" s="8" t="s">
        <v>436</v>
      </c>
      <c r="G2698" s="24">
        <v>1.0643885769029997</v>
      </c>
      <c r="H2698" s="24">
        <v>1.0705511150705296</v>
      </c>
      <c r="I2698" s="25">
        <v>1.0892735929431148</v>
      </c>
      <c r="X2698" s="15">
        <v>2697</v>
      </c>
      <c r="Y2698" s="39">
        <v>0.49500191135879101</v>
      </c>
      <c r="Z2698" s="39">
        <v>0.48028140443355899</v>
      </c>
      <c r="AA2698" s="39">
        <v>0.49032786426534486</v>
      </c>
      <c r="AB2698" s="39">
        <v>0.49182732691681236</v>
      </c>
      <c r="AC2698" s="39">
        <v>0.48726993574072813</v>
      </c>
      <c r="AD2698" s="39">
        <v>0.47400334932173582</v>
      </c>
      <c r="AE2698" s="39">
        <v>0.48560053627837291</v>
      </c>
      <c r="AF2698" s="40">
        <v>0.48936121943735411</v>
      </c>
    </row>
    <row r="2699" spans="1:32">
      <c r="A2699" s="15">
        <v>2697</v>
      </c>
      <c r="B2699" s="16">
        <v>0</v>
      </c>
      <c r="C2699" s="20">
        <v>0.35</v>
      </c>
      <c r="D2699" s="20">
        <v>0.60139346485190714</v>
      </c>
      <c r="E2699" s="20">
        <v>0.09</v>
      </c>
      <c r="F2699" s="8" t="s">
        <v>436</v>
      </c>
      <c r="G2699" s="24">
        <v>0.93083371450243502</v>
      </c>
      <c r="H2699" s="24">
        <v>0.93622300410749215</v>
      </c>
      <c r="I2699" s="25">
        <v>0.95259626665558905</v>
      </c>
      <c r="X2699" s="15">
        <v>2698</v>
      </c>
      <c r="Y2699" s="39">
        <v>0.48265200118293039</v>
      </c>
      <c r="Z2699" s="39">
        <v>0.4848788106838135</v>
      </c>
      <c r="AA2699" s="39">
        <v>0.47410985981452508</v>
      </c>
      <c r="AB2699" s="39">
        <v>0.48494794544007369</v>
      </c>
      <c r="AC2699" s="39">
        <v>0.47764377142813258</v>
      </c>
      <c r="AD2699" s="39">
        <v>0.4769267810319065</v>
      </c>
      <c r="AE2699" s="39">
        <v>0.46873519117842827</v>
      </c>
      <c r="AF2699" s="40">
        <v>0.48015899461797584</v>
      </c>
    </row>
    <row r="2700" spans="1:32">
      <c r="A2700" s="15">
        <v>2698</v>
      </c>
      <c r="B2700" s="16">
        <v>0</v>
      </c>
      <c r="C2700" s="20">
        <v>0.03</v>
      </c>
      <c r="D2700" s="20">
        <v>0.99721793853459939</v>
      </c>
      <c r="E2700" s="20">
        <v>1</v>
      </c>
      <c r="F2700" s="8" t="s">
        <v>436</v>
      </c>
      <c r="G2700" s="24">
        <v>0.97112942342488762</v>
      </c>
      <c r="H2700" s="24">
        <v>0.97675201489884</v>
      </c>
      <c r="I2700" s="25">
        <v>0.99383407453009986</v>
      </c>
      <c r="X2700" s="15">
        <v>2699</v>
      </c>
      <c r="Y2700" s="39">
        <v>0.48570494910932033</v>
      </c>
      <c r="Z2700" s="39">
        <v>0.49519192518185684</v>
      </c>
      <c r="AA2700" s="39">
        <v>0.48876031670226455</v>
      </c>
      <c r="AB2700" s="39">
        <v>0.47748917187635964</v>
      </c>
      <c r="AC2700" s="39">
        <v>0.47985911053957564</v>
      </c>
      <c r="AD2700" s="39">
        <v>0.48818044254203896</v>
      </c>
      <c r="AE2700" s="39">
        <v>0.48139445004057757</v>
      </c>
      <c r="AF2700" s="40">
        <v>0.46855982344079078</v>
      </c>
    </row>
    <row r="2701" spans="1:32">
      <c r="A2701" s="15">
        <v>2699</v>
      </c>
      <c r="B2701" s="16">
        <v>0</v>
      </c>
      <c r="C2701" s="20">
        <v>0.02</v>
      </c>
      <c r="D2701" s="20">
        <v>0.99679477127711513</v>
      </c>
      <c r="E2701" s="20">
        <v>1</v>
      </c>
      <c r="F2701" s="8" t="s">
        <v>436</v>
      </c>
      <c r="G2701" s="24">
        <v>0.93221446788364204</v>
      </c>
      <c r="H2701" s="24">
        <v>0.93761175169832922</v>
      </c>
      <c r="I2701" s="25">
        <v>0.95400930154637298</v>
      </c>
      <c r="X2701" s="15">
        <v>2700</v>
      </c>
      <c r="Y2701" s="39">
        <v>0.48436523952659438</v>
      </c>
      <c r="Z2701" s="39">
        <v>0.47459187699178484</v>
      </c>
      <c r="AA2701" s="39">
        <v>0.48797944590677744</v>
      </c>
      <c r="AB2701" s="39">
        <v>0.48839855022814532</v>
      </c>
      <c r="AC2701" s="39">
        <v>0.47675612468209905</v>
      </c>
      <c r="AD2701" s="39">
        <v>0.46880503527392531</v>
      </c>
      <c r="AE2701" s="39">
        <v>0.47831073379061362</v>
      </c>
      <c r="AF2701" s="40">
        <v>0.48477327816756721</v>
      </c>
    </row>
    <row r="2702" spans="1:32">
      <c r="A2702" s="15">
        <v>2700</v>
      </c>
      <c r="B2702" s="16">
        <v>1</v>
      </c>
      <c r="C2702" s="20">
        <v>0.53</v>
      </c>
      <c r="D2702" s="20">
        <v>0.51935649485059421</v>
      </c>
      <c r="E2702" s="20">
        <v>0.03</v>
      </c>
      <c r="F2702" s="8" t="s">
        <v>438</v>
      </c>
      <c r="G2702" s="24">
        <v>0.93091924736797282</v>
      </c>
      <c r="H2702" s="24">
        <v>0.93630903218648853</v>
      </c>
      <c r="I2702" s="25">
        <v>0.95268379924827262</v>
      </c>
      <c r="X2702" s="15">
        <v>2701</v>
      </c>
      <c r="Y2702" s="39">
        <v>0.48387250454402075</v>
      </c>
      <c r="Z2702" s="39">
        <v>0.48942420570307615</v>
      </c>
      <c r="AA2702" s="39">
        <v>0.48983945012776431</v>
      </c>
      <c r="AB2702" s="39">
        <v>0.5023580165392173</v>
      </c>
      <c r="AC2702" s="39">
        <v>0.47734233553380084</v>
      </c>
      <c r="AD2702" s="39">
        <v>0.48148334878780669</v>
      </c>
      <c r="AE2702" s="39">
        <v>0.48031697775891763</v>
      </c>
      <c r="AF2702" s="40">
        <v>0.49689093918674915</v>
      </c>
    </row>
    <row r="2703" spans="1:32">
      <c r="A2703" s="15">
        <v>2701</v>
      </c>
      <c r="B2703" s="16">
        <v>0</v>
      </c>
      <c r="C2703" s="20">
        <v>0.02</v>
      </c>
      <c r="D2703" s="20">
        <v>0.99917029198757767</v>
      </c>
      <c r="E2703" s="20">
        <v>1</v>
      </c>
      <c r="F2703" s="8" t="s">
        <v>436</v>
      </c>
      <c r="G2703" s="24">
        <v>1.0987532352176022</v>
      </c>
      <c r="H2703" s="24">
        <v>1.1051147359849507</v>
      </c>
      <c r="I2703" s="25">
        <v>1.1244416844135485</v>
      </c>
      <c r="X2703" s="15">
        <v>2702</v>
      </c>
      <c r="Y2703" s="39">
        <v>0.47326805806543354</v>
      </c>
      <c r="Z2703" s="39">
        <v>0.48086921593887083</v>
      </c>
      <c r="AA2703" s="39">
        <v>0.48022743393849654</v>
      </c>
      <c r="AB2703" s="39">
        <v>0.48241209725350753</v>
      </c>
      <c r="AC2703" s="39">
        <v>0.46893104807943375</v>
      </c>
      <c r="AD2703" s="39">
        <v>0.4753504949847886</v>
      </c>
      <c r="AE2703" s="39">
        <v>0.47573278825512538</v>
      </c>
      <c r="AF2703" s="40">
        <v>0.47617813474118187</v>
      </c>
    </row>
    <row r="2704" spans="1:32">
      <c r="A2704" s="15">
        <v>2702</v>
      </c>
      <c r="B2704" s="16">
        <v>1</v>
      </c>
      <c r="C2704" s="20">
        <v>0.02</v>
      </c>
      <c r="D2704" s="20">
        <v>0.99756714174924133</v>
      </c>
      <c r="E2704" s="20">
        <v>1</v>
      </c>
      <c r="F2704" s="8" t="s">
        <v>436</v>
      </c>
      <c r="G2704" s="24">
        <v>1.1132515235625309</v>
      </c>
      <c r="H2704" s="24">
        <v>1.1196969657186056</v>
      </c>
      <c r="I2704" s="25">
        <v>1.139278937442848</v>
      </c>
      <c r="X2704" s="15">
        <v>2703</v>
      </c>
      <c r="Y2704" s="39">
        <v>0.48805054909054257</v>
      </c>
      <c r="Z2704" s="39">
        <v>0.49224160836064834</v>
      </c>
      <c r="AA2704" s="39">
        <v>0.48825851245247709</v>
      </c>
      <c r="AB2704" s="39">
        <v>0.49849642120686094</v>
      </c>
      <c r="AC2704" s="39">
        <v>0.47978642723154474</v>
      </c>
      <c r="AD2704" s="39">
        <v>0.48595928439484687</v>
      </c>
      <c r="AE2704" s="39">
        <v>0.47898361851427629</v>
      </c>
      <c r="AF2704" s="40">
        <v>0.492480785856107</v>
      </c>
    </row>
    <row r="2705" spans="1:32">
      <c r="A2705" s="15">
        <v>2703</v>
      </c>
      <c r="B2705" s="16">
        <v>1</v>
      </c>
      <c r="C2705" s="20">
        <v>0.2</v>
      </c>
      <c r="D2705" s="20">
        <v>0.78058799853859329</v>
      </c>
      <c r="E2705" s="20">
        <v>0.13</v>
      </c>
      <c r="F2705" s="8" t="s">
        <v>436</v>
      </c>
      <c r="G2705" s="24">
        <v>0.96829674777239394</v>
      </c>
      <c r="H2705" s="24">
        <v>0.97390293877737899</v>
      </c>
      <c r="I2705" s="25">
        <v>0.99093517195580494</v>
      </c>
      <c r="X2705" s="15">
        <v>2704</v>
      </c>
      <c r="Y2705" s="39">
        <v>0.47674240074857371</v>
      </c>
      <c r="Z2705" s="39">
        <v>0.4891676197710127</v>
      </c>
      <c r="AA2705" s="39">
        <v>0.48886574976557723</v>
      </c>
      <c r="AB2705" s="39">
        <v>0.48154574808531364</v>
      </c>
      <c r="AC2705" s="39">
        <v>0.46762113316767689</v>
      </c>
      <c r="AD2705" s="39">
        <v>0.47923145469415768</v>
      </c>
      <c r="AE2705" s="39">
        <v>0.48117369541038801</v>
      </c>
      <c r="AF2705" s="40">
        <v>0.47817009496913693</v>
      </c>
    </row>
    <row r="2706" spans="1:32">
      <c r="A2706" s="15">
        <v>2704</v>
      </c>
      <c r="B2706" s="16">
        <v>1</v>
      </c>
      <c r="C2706" s="20">
        <v>0.1</v>
      </c>
      <c r="D2706" s="20">
        <v>0.9342528462970241</v>
      </c>
      <c r="E2706" s="20">
        <v>0.41</v>
      </c>
      <c r="F2706" s="8" t="s">
        <v>436</v>
      </c>
      <c r="G2706" s="24">
        <v>1.1878263023570308</v>
      </c>
      <c r="H2706" s="24">
        <v>1.194703513446584</v>
      </c>
      <c r="I2706" s="25">
        <v>1.2155972473187213</v>
      </c>
      <c r="X2706" s="15">
        <v>2705</v>
      </c>
      <c r="Y2706" s="39">
        <v>0.48473854748814271</v>
      </c>
      <c r="Z2706" s="39">
        <v>0.5010522542949486</v>
      </c>
      <c r="AA2706" s="39">
        <v>0.48501566924689166</v>
      </c>
      <c r="AB2706" s="39">
        <v>0.48820773289539565</v>
      </c>
      <c r="AC2706" s="39">
        <v>0.47876101080536826</v>
      </c>
      <c r="AD2706" s="39">
        <v>0.49332534741066841</v>
      </c>
      <c r="AE2706" s="39">
        <v>0.47879962163884432</v>
      </c>
      <c r="AF2706" s="40">
        <v>0.48467295586330267</v>
      </c>
    </row>
    <row r="2707" spans="1:32">
      <c r="A2707" s="15">
        <v>2705</v>
      </c>
      <c r="B2707" s="16">
        <v>1</v>
      </c>
      <c r="C2707" s="20">
        <v>0.91</v>
      </c>
      <c r="D2707" s="20">
        <v>0.21727233298780477</v>
      </c>
      <c r="E2707" s="20">
        <v>0.09</v>
      </c>
      <c r="F2707" s="8" t="s">
        <v>434</v>
      </c>
      <c r="G2707" s="24">
        <v>0.55027385295399533</v>
      </c>
      <c r="H2707" s="24">
        <v>0.55345979810129253</v>
      </c>
      <c r="I2707" s="25">
        <v>0.5631390545865228</v>
      </c>
      <c r="X2707" s="15">
        <v>2706</v>
      </c>
      <c r="Y2707" s="39">
        <v>0.48251400708442765</v>
      </c>
      <c r="Z2707" s="39">
        <v>0.48653462707166334</v>
      </c>
      <c r="AA2707" s="39">
        <v>0.4889581828889199</v>
      </c>
      <c r="AB2707" s="39">
        <v>0.47109815214573936</v>
      </c>
      <c r="AC2707" s="39">
        <v>0.47313058889474469</v>
      </c>
      <c r="AD2707" s="39">
        <v>0.47904609616412686</v>
      </c>
      <c r="AE2707" s="39">
        <v>0.48328714079605767</v>
      </c>
      <c r="AF2707" s="40">
        <v>0.46818065429407335</v>
      </c>
    </row>
    <row r="2708" spans="1:32">
      <c r="A2708" s="15">
        <v>2706</v>
      </c>
      <c r="B2708" s="16">
        <v>1</v>
      </c>
      <c r="C2708" s="20">
        <v>0.95</v>
      </c>
      <c r="D2708" s="20">
        <v>0.15570568692893463</v>
      </c>
      <c r="E2708" s="20">
        <v>0.05</v>
      </c>
      <c r="F2708" s="8" t="s">
        <v>434</v>
      </c>
      <c r="G2708" s="24">
        <v>0.6753370729489323</v>
      </c>
      <c r="H2708" s="24">
        <v>0.67924710221672568</v>
      </c>
      <c r="I2708" s="25">
        <v>0.69112620697150651</v>
      </c>
      <c r="X2708" s="15">
        <v>2707</v>
      </c>
      <c r="Y2708" s="39">
        <v>0.48766380533183562</v>
      </c>
      <c r="Z2708" s="39">
        <v>0.49155500640100053</v>
      </c>
      <c r="AA2708" s="39">
        <v>0.48622249110542054</v>
      </c>
      <c r="AB2708" s="39">
        <v>0.48570450417797173</v>
      </c>
      <c r="AC2708" s="39">
        <v>0.48286970790007616</v>
      </c>
      <c r="AD2708" s="39">
        <v>0.48242278969241204</v>
      </c>
      <c r="AE2708" s="39">
        <v>0.47810077780250243</v>
      </c>
      <c r="AF2708" s="40">
        <v>0.48096642660117411</v>
      </c>
    </row>
    <row r="2709" spans="1:32">
      <c r="A2709" s="15">
        <v>2707</v>
      </c>
      <c r="B2709" s="16">
        <v>1</v>
      </c>
      <c r="C2709" s="20">
        <v>0.9</v>
      </c>
      <c r="D2709" s="20">
        <v>0.23159538658365303</v>
      </c>
      <c r="E2709" s="20">
        <v>0.1</v>
      </c>
      <c r="F2709" s="8" t="s">
        <v>434</v>
      </c>
      <c r="G2709" s="24">
        <v>0.83698387774031413</v>
      </c>
      <c r="H2709" s="24">
        <v>0.84182980074635549</v>
      </c>
      <c r="I2709" s="25">
        <v>0.85655225499919896</v>
      </c>
      <c r="X2709" s="15">
        <v>2708</v>
      </c>
      <c r="Y2709" s="39">
        <v>0.47503507299389286</v>
      </c>
      <c r="Z2709" s="39">
        <v>0.48632008395232151</v>
      </c>
      <c r="AA2709" s="39">
        <v>0.48556293675517559</v>
      </c>
      <c r="AB2709" s="39">
        <v>0.5013705615257279</v>
      </c>
      <c r="AC2709" s="39">
        <v>0.46933486875021291</v>
      </c>
      <c r="AD2709" s="39">
        <v>0.48079404632544848</v>
      </c>
      <c r="AE2709" s="39">
        <v>0.48123324450211707</v>
      </c>
      <c r="AF2709" s="40">
        <v>0.49672816220452448</v>
      </c>
    </row>
    <row r="2710" spans="1:32">
      <c r="A2710" s="15">
        <v>2708</v>
      </c>
      <c r="B2710" s="16">
        <v>0</v>
      </c>
      <c r="C2710" s="20">
        <v>0.02</v>
      </c>
      <c r="D2710" s="20">
        <v>0.99756714174924133</v>
      </c>
      <c r="E2710" s="20">
        <v>1</v>
      </c>
      <c r="F2710" s="8" t="s">
        <v>436</v>
      </c>
      <c r="G2710" s="24">
        <v>1.0149102995362602</v>
      </c>
      <c r="H2710" s="24">
        <v>1.020786371107518</v>
      </c>
      <c r="I2710" s="25">
        <v>1.0386385315290576</v>
      </c>
      <c r="X2710" s="15">
        <v>2709</v>
      </c>
      <c r="Y2710" s="39">
        <v>0.47646905940503664</v>
      </c>
      <c r="Z2710" s="39">
        <v>0.47641303945504049</v>
      </c>
      <c r="AA2710" s="39">
        <v>0.48520793791232381</v>
      </c>
      <c r="AB2710" s="39">
        <v>0.48531221419121867</v>
      </c>
      <c r="AC2710" s="39">
        <v>0.46856529119384194</v>
      </c>
      <c r="AD2710" s="39">
        <v>0.47114549002602152</v>
      </c>
      <c r="AE2710" s="39">
        <v>0.47621842275121695</v>
      </c>
      <c r="AF2710" s="40">
        <v>0.48165333982329794</v>
      </c>
    </row>
    <row r="2711" spans="1:32">
      <c r="A2711" s="15">
        <v>2709</v>
      </c>
      <c r="B2711" s="16">
        <v>0</v>
      </c>
      <c r="C2711" s="20">
        <v>0.45</v>
      </c>
      <c r="D2711" s="20">
        <v>0.47842216576231722</v>
      </c>
      <c r="E2711" s="20">
        <v>0.11</v>
      </c>
      <c r="F2711" s="8" t="s">
        <v>436</v>
      </c>
      <c r="G2711" s="24">
        <v>1.2575324731280599</v>
      </c>
      <c r="H2711" s="24">
        <v>1.2648132651533825</v>
      </c>
      <c r="I2711" s="25">
        <v>1.2869331228943428</v>
      </c>
      <c r="X2711" s="15">
        <v>2710</v>
      </c>
      <c r="Y2711" s="39">
        <v>0.49599328284719268</v>
      </c>
      <c r="Z2711" s="39">
        <v>0.47004803255138305</v>
      </c>
      <c r="AA2711" s="39">
        <v>0.49101562544656363</v>
      </c>
      <c r="AB2711" s="39">
        <v>0.47944968297748042</v>
      </c>
      <c r="AC2711" s="39">
        <v>0.48831814361852949</v>
      </c>
      <c r="AD2711" s="39">
        <v>0.46638124645916396</v>
      </c>
      <c r="AE2711" s="39">
        <v>0.4838241736162906</v>
      </c>
      <c r="AF2711" s="40">
        <v>0.47609854587094019</v>
      </c>
    </row>
    <row r="2712" spans="1:32">
      <c r="A2712" s="15">
        <v>2710</v>
      </c>
      <c r="B2712" s="16">
        <v>0</v>
      </c>
      <c r="C2712" s="20">
        <v>0.62</v>
      </c>
      <c r="D2712" s="20">
        <v>0.53244519415713432</v>
      </c>
      <c r="E2712" s="20">
        <v>0.21</v>
      </c>
      <c r="F2712" s="8" t="s">
        <v>438</v>
      </c>
      <c r="G2712" s="24">
        <v>0.93321984664234281</v>
      </c>
      <c r="H2712" s="24">
        <v>0.93862295134341278</v>
      </c>
      <c r="I2712" s="25">
        <v>0.95503818569312426</v>
      </c>
      <c r="X2712" s="15">
        <v>2711</v>
      </c>
      <c r="Y2712" s="39">
        <v>0.49227160701525685</v>
      </c>
      <c r="Z2712" s="39">
        <v>0.47292021623849129</v>
      </c>
      <c r="AA2712" s="39">
        <v>0.49708183635640485</v>
      </c>
      <c r="AB2712" s="39">
        <v>0.49272178958644558</v>
      </c>
      <c r="AC2712" s="39">
        <v>0.48542132238877894</v>
      </c>
      <c r="AD2712" s="39">
        <v>0.46782815504774772</v>
      </c>
      <c r="AE2712" s="39">
        <v>0.49103889903456022</v>
      </c>
      <c r="AF2712" s="40">
        <v>0.49225527253852608</v>
      </c>
    </row>
    <row r="2713" spans="1:32">
      <c r="A2713" s="15">
        <v>2711</v>
      </c>
      <c r="B2713" s="16">
        <v>0</v>
      </c>
      <c r="C2713" s="20">
        <v>0.02</v>
      </c>
      <c r="D2713" s="20">
        <v>0.99756714174924133</v>
      </c>
      <c r="E2713" s="20">
        <v>1</v>
      </c>
      <c r="F2713" s="8" t="s">
        <v>436</v>
      </c>
      <c r="G2713" s="24">
        <v>1.0519787690993607</v>
      </c>
      <c r="H2713" s="24">
        <v>1.058069457647399</v>
      </c>
      <c r="I2713" s="25">
        <v>1.0765736483671076</v>
      </c>
      <c r="X2713" s="15">
        <v>2712</v>
      </c>
      <c r="Y2713" s="39">
        <v>0.48327685003027893</v>
      </c>
      <c r="Z2713" s="39">
        <v>0.4793095897260034</v>
      </c>
      <c r="AA2713" s="39">
        <v>0.49442489590203542</v>
      </c>
      <c r="AB2713" s="39">
        <v>0.47450368621300337</v>
      </c>
      <c r="AC2713" s="39">
        <v>0.47735355544908475</v>
      </c>
      <c r="AD2713" s="39">
        <v>0.47319788942783436</v>
      </c>
      <c r="AE2713" s="39">
        <v>0.48578768682669865</v>
      </c>
      <c r="AF2713" s="40">
        <v>0.47028676014931531</v>
      </c>
    </row>
    <row r="2714" spans="1:32">
      <c r="A2714" s="15">
        <v>2712</v>
      </c>
      <c r="B2714" s="16">
        <v>1</v>
      </c>
      <c r="C2714" s="20">
        <v>0.27</v>
      </c>
      <c r="D2714" s="20">
        <v>0.76926410317487715</v>
      </c>
      <c r="E2714" s="20">
        <v>0.45</v>
      </c>
      <c r="F2714" s="8" t="s">
        <v>436</v>
      </c>
      <c r="G2714" s="24">
        <v>0.78406426102085369</v>
      </c>
      <c r="H2714" s="24">
        <v>0.78860379295419714</v>
      </c>
      <c r="I2714" s="25">
        <v>0.80239539697569118</v>
      </c>
      <c r="X2714" s="15">
        <v>2713</v>
      </c>
      <c r="Y2714" s="39">
        <v>0.49726974519036549</v>
      </c>
      <c r="Z2714" s="39">
        <v>0.47701652051266419</v>
      </c>
      <c r="AA2714" s="39">
        <v>0.48297561577783799</v>
      </c>
      <c r="AB2714" s="39">
        <v>0.49543709737029884</v>
      </c>
      <c r="AC2714" s="39">
        <v>0.48966956709979276</v>
      </c>
      <c r="AD2714" s="39">
        <v>0.46916078753939772</v>
      </c>
      <c r="AE2714" s="39">
        <v>0.4764820444987013</v>
      </c>
      <c r="AF2714" s="40">
        <v>0.49236517066129382</v>
      </c>
    </row>
    <row r="2715" spans="1:32">
      <c r="A2715" s="15">
        <v>2713</v>
      </c>
      <c r="B2715" s="16">
        <v>1</v>
      </c>
      <c r="C2715" s="20">
        <v>0.3</v>
      </c>
      <c r="D2715" s="20">
        <v>0.79367640486684432</v>
      </c>
      <c r="E2715" s="20">
        <v>0.08</v>
      </c>
      <c r="F2715" s="8" t="s">
        <v>436</v>
      </c>
      <c r="G2715" s="24">
        <v>0.84961343694034785</v>
      </c>
      <c r="H2715" s="24">
        <v>0.85453248187037278</v>
      </c>
      <c r="I2715" s="25">
        <v>0.86947708867895968</v>
      </c>
      <c r="X2715" s="15">
        <v>2714</v>
      </c>
      <c r="Y2715" s="39">
        <v>0.49010387497097524</v>
      </c>
      <c r="Z2715" s="39">
        <v>0.47620799738246272</v>
      </c>
      <c r="AA2715" s="39">
        <v>0.48063571308097125</v>
      </c>
      <c r="AB2715" s="39">
        <v>0.49170798519571929</v>
      </c>
      <c r="AC2715" s="39">
        <v>0.48326673959761968</v>
      </c>
      <c r="AD2715" s="39">
        <v>0.46806948185442038</v>
      </c>
      <c r="AE2715" s="39">
        <v>0.47032304663806762</v>
      </c>
      <c r="AF2715" s="40">
        <v>0.48640720870083443</v>
      </c>
    </row>
    <row r="2716" spans="1:32">
      <c r="A2716" s="15">
        <v>2714</v>
      </c>
      <c r="B2716" s="16">
        <v>0</v>
      </c>
      <c r="C2716" s="20">
        <v>0.39</v>
      </c>
      <c r="D2716" s="20">
        <v>0.70880345586333537</v>
      </c>
      <c r="E2716" s="20">
        <v>0.1</v>
      </c>
      <c r="F2716" s="8" t="s">
        <v>436</v>
      </c>
      <c r="G2716" s="24">
        <v>0.61216052944298427</v>
      </c>
      <c r="H2716" s="24">
        <v>0.61570478265013928</v>
      </c>
      <c r="I2716" s="25">
        <v>0.62647261896074147</v>
      </c>
      <c r="X2716" s="15">
        <v>2715</v>
      </c>
      <c r="Y2716" s="39">
        <v>0.4960093422373254</v>
      </c>
      <c r="Z2716" s="39">
        <v>0.48968112133421893</v>
      </c>
      <c r="AA2716" s="39">
        <v>0.49028883051665156</v>
      </c>
      <c r="AB2716" s="39">
        <v>0.47753040390647766</v>
      </c>
      <c r="AC2716" s="39">
        <v>0.48878492687010733</v>
      </c>
      <c r="AD2716" s="39">
        <v>0.48505061546469935</v>
      </c>
      <c r="AE2716" s="39">
        <v>0.48452787445701112</v>
      </c>
      <c r="AF2716" s="40">
        <v>0.47308628617243914</v>
      </c>
    </row>
    <row r="2717" spans="1:32">
      <c r="A2717" s="15">
        <v>2715</v>
      </c>
      <c r="B2717" s="16">
        <v>1</v>
      </c>
      <c r="C2717" s="20">
        <v>0.87</v>
      </c>
      <c r="D2717" s="20">
        <v>0.27276032039195819</v>
      </c>
      <c r="E2717" s="20">
        <v>0.13</v>
      </c>
      <c r="F2717" s="8" t="s">
        <v>434</v>
      </c>
      <c r="G2717" s="24">
        <v>0.90273678473696473</v>
      </c>
      <c r="H2717" s="24">
        <v>0.9079634002906205</v>
      </c>
      <c r="I2717" s="25">
        <v>0.92384244093777201</v>
      </c>
      <c r="X2717" s="15">
        <v>2716</v>
      </c>
      <c r="Y2717" s="39">
        <v>0.48864952629990094</v>
      </c>
      <c r="Z2717" s="39">
        <v>0.49933445342415045</v>
      </c>
      <c r="AA2717" s="39">
        <v>0.47529699105116802</v>
      </c>
      <c r="AB2717" s="39">
        <v>0.48399161393373002</v>
      </c>
      <c r="AC2717" s="39">
        <v>0.48118157963216657</v>
      </c>
      <c r="AD2717" s="39">
        <v>0.49367249508182032</v>
      </c>
      <c r="AE2717" s="39">
        <v>0.46758128714725966</v>
      </c>
      <c r="AF2717" s="40">
        <v>0.47832593162407788</v>
      </c>
    </row>
    <row r="2718" spans="1:32">
      <c r="A2718" s="15">
        <v>2716</v>
      </c>
      <c r="B2718" s="16">
        <v>1</v>
      </c>
      <c r="C2718" s="20">
        <v>0.36</v>
      </c>
      <c r="D2718" s="20">
        <v>0.61596246667315124</v>
      </c>
      <c r="E2718" s="20">
        <v>0.06</v>
      </c>
      <c r="F2718" s="8" t="s">
        <v>436</v>
      </c>
      <c r="G2718" s="24">
        <v>0.73393917029286138</v>
      </c>
      <c r="H2718" s="24">
        <v>0.73818849074567483</v>
      </c>
      <c r="I2718" s="25">
        <v>0.75109839994031657</v>
      </c>
      <c r="X2718" s="15">
        <v>2717</v>
      </c>
      <c r="Y2718" s="39">
        <v>0.48486518128420264</v>
      </c>
      <c r="Z2718" s="39">
        <v>0.49177732373700833</v>
      </c>
      <c r="AA2718" s="39">
        <v>0.46849025925270454</v>
      </c>
      <c r="AB2718" s="39">
        <v>0.4824239651013571</v>
      </c>
      <c r="AC2718" s="39">
        <v>0.48039466364604927</v>
      </c>
      <c r="AD2718" s="39">
        <v>0.48279694963064729</v>
      </c>
      <c r="AE2718" s="39">
        <v>0.46058195595697188</v>
      </c>
      <c r="AF2718" s="40">
        <v>0.47806000985295477</v>
      </c>
    </row>
    <row r="2719" spans="1:32">
      <c r="A2719" s="15">
        <v>2717</v>
      </c>
      <c r="B2719" s="16">
        <v>0</v>
      </c>
      <c r="C2719" s="20">
        <v>0.13</v>
      </c>
      <c r="D2719" s="20">
        <v>0.92153883122170976</v>
      </c>
      <c r="E2719" s="20">
        <v>0.06</v>
      </c>
      <c r="F2719" s="8" t="s">
        <v>436</v>
      </c>
      <c r="G2719" s="24">
        <v>1.0357093029114697</v>
      </c>
      <c r="H2719" s="24">
        <v>1.0417057954031768</v>
      </c>
      <c r="I2719" s="25">
        <v>1.0599238080039994</v>
      </c>
      <c r="X2719" s="15">
        <v>2718</v>
      </c>
      <c r="Y2719" s="39">
        <v>0.48304025682846879</v>
      </c>
      <c r="Z2719" s="39">
        <v>0.47297308636003044</v>
      </c>
      <c r="AA2719" s="39">
        <v>0.4795750766109716</v>
      </c>
      <c r="AB2719" s="39">
        <v>0.48705794769839905</v>
      </c>
      <c r="AC2719" s="39">
        <v>0.47475177932644175</v>
      </c>
      <c r="AD2719" s="39">
        <v>0.46534315540922289</v>
      </c>
      <c r="AE2719" s="39">
        <v>0.47316479730323219</v>
      </c>
      <c r="AF2719" s="40">
        <v>0.48005662621347867</v>
      </c>
    </row>
    <row r="2720" spans="1:32">
      <c r="A2720" s="15">
        <v>2718</v>
      </c>
      <c r="B2720" s="16">
        <v>0</v>
      </c>
      <c r="C2720" s="20">
        <v>0.21</v>
      </c>
      <c r="D2720" s="20">
        <v>0.79183220276472699</v>
      </c>
      <c r="E2720" s="20">
        <v>0.12</v>
      </c>
      <c r="F2720" s="8" t="s">
        <v>436</v>
      </c>
      <c r="G2720" s="24">
        <v>1.2125579956958317</v>
      </c>
      <c r="H2720" s="24">
        <v>1.2195783969768763</v>
      </c>
      <c r="I2720" s="25">
        <v>1.2409071586117453</v>
      </c>
      <c r="X2720" s="15">
        <v>2719</v>
      </c>
      <c r="Y2720" s="39">
        <v>0.48414112456536024</v>
      </c>
      <c r="Z2720" s="39">
        <v>0.50521097791913028</v>
      </c>
      <c r="AA2720" s="39">
        <v>0.47343499517646803</v>
      </c>
      <c r="AB2720" s="39">
        <v>0.49752603625472436</v>
      </c>
      <c r="AC2720" s="39">
        <v>0.47693250760516381</v>
      </c>
      <c r="AD2720" s="39">
        <v>0.49812654905129905</v>
      </c>
      <c r="AE2720" s="39">
        <v>0.46756901191908201</v>
      </c>
      <c r="AF2720" s="40">
        <v>0.49189428229205501</v>
      </c>
    </row>
    <row r="2721" spans="1:32">
      <c r="A2721" s="15">
        <v>2719</v>
      </c>
      <c r="B2721" s="16">
        <v>0</v>
      </c>
      <c r="C2721" s="20">
        <v>0.24</v>
      </c>
      <c r="D2721" s="20">
        <v>0.72434191933090186</v>
      </c>
      <c r="E2721" s="20">
        <v>0.12</v>
      </c>
      <c r="F2721" s="8" t="s">
        <v>436</v>
      </c>
      <c r="G2721" s="24">
        <v>0.96488065280261515</v>
      </c>
      <c r="H2721" s="24">
        <v>0.97046706548970763</v>
      </c>
      <c r="I2721" s="25">
        <v>0.98743920993374634</v>
      </c>
      <c r="X2721" s="15">
        <v>2720</v>
      </c>
      <c r="Y2721" s="39">
        <v>0.49779077003999644</v>
      </c>
      <c r="Z2721" s="39">
        <v>0.5003127593867448</v>
      </c>
      <c r="AA2721" s="39">
        <v>0.47947698708761088</v>
      </c>
      <c r="AB2721" s="39">
        <v>0.4990404601475279</v>
      </c>
      <c r="AC2721" s="39">
        <v>0.48713363644764268</v>
      </c>
      <c r="AD2721" s="39">
        <v>0.49021240480329054</v>
      </c>
      <c r="AE2721" s="39">
        <v>0.46892091049652301</v>
      </c>
      <c r="AF2721" s="40">
        <v>0.49444677595903774</v>
      </c>
    </row>
    <row r="2722" spans="1:32">
      <c r="A2722" s="15">
        <v>2720</v>
      </c>
      <c r="B2722" s="16">
        <v>0</v>
      </c>
      <c r="C2722" s="20">
        <v>0.93</v>
      </c>
      <c r="D2722" s="20">
        <v>0.18747949848141848</v>
      </c>
      <c r="E2722" s="20">
        <v>7.0000000000000007E-2</v>
      </c>
      <c r="F2722" s="8" t="s">
        <v>434</v>
      </c>
      <c r="G2722" s="24">
        <v>0.53614068302456741</v>
      </c>
      <c r="H2722" s="24">
        <v>0.53924480072556513</v>
      </c>
      <c r="I2722" s="25">
        <v>0.54867545630787795</v>
      </c>
      <c r="X2722" s="15">
        <v>2721</v>
      </c>
      <c r="Y2722" s="39">
        <v>0.4878371640084645</v>
      </c>
      <c r="Z2722" s="39">
        <v>0.48784384925182972</v>
      </c>
      <c r="AA2722" s="39">
        <v>0.46746977983031118</v>
      </c>
      <c r="AB2722" s="39">
        <v>0.49394351081203752</v>
      </c>
      <c r="AC2722" s="39">
        <v>0.47899012360313376</v>
      </c>
      <c r="AD2722" s="39">
        <v>0.48023601719622161</v>
      </c>
      <c r="AE2722" s="39">
        <v>0.46416036831586449</v>
      </c>
      <c r="AF2722" s="40">
        <v>0.4888048507926796</v>
      </c>
    </row>
    <row r="2723" spans="1:32">
      <c r="A2723" s="15">
        <v>2721</v>
      </c>
      <c r="B2723" s="16">
        <v>0</v>
      </c>
      <c r="C2723" s="20">
        <v>0.93</v>
      </c>
      <c r="D2723" s="20">
        <v>0.18747949848141848</v>
      </c>
      <c r="E2723" s="20">
        <v>7.0000000000000007E-2</v>
      </c>
      <c r="F2723" s="8" t="s">
        <v>434</v>
      </c>
      <c r="G2723" s="24">
        <v>0.79333310740468355</v>
      </c>
      <c r="H2723" s="24">
        <v>0.79792630359265049</v>
      </c>
      <c r="I2723" s="25">
        <v>0.81188094560148427</v>
      </c>
      <c r="X2723" s="15">
        <v>2722</v>
      </c>
      <c r="Y2723" s="39">
        <v>0.48890368786082172</v>
      </c>
      <c r="Z2723" s="39">
        <v>0.48971998121062305</v>
      </c>
      <c r="AA2723" s="39">
        <v>0.47771942913903803</v>
      </c>
      <c r="AB2723" s="39">
        <v>0.48171258067580125</v>
      </c>
      <c r="AC2723" s="39">
        <v>0.48256151019542398</v>
      </c>
      <c r="AD2723" s="39">
        <v>0.48064442868977131</v>
      </c>
      <c r="AE2723" s="39">
        <v>0.46960068141958011</v>
      </c>
      <c r="AF2723" s="40">
        <v>0.47656348231275414</v>
      </c>
    </row>
    <row r="2724" spans="1:32">
      <c r="A2724" s="15">
        <v>2722</v>
      </c>
      <c r="B2724" s="16">
        <v>1</v>
      </c>
      <c r="C2724" s="20">
        <v>0.89</v>
      </c>
      <c r="D2724" s="20">
        <v>0.24559627500636821</v>
      </c>
      <c r="E2724" s="20">
        <v>0.11</v>
      </c>
      <c r="F2724" s="8" t="s">
        <v>434</v>
      </c>
      <c r="G2724" s="24">
        <v>0.55278175102647331</v>
      </c>
      <c r="H2724" s="24">
        <v>0.55598221626345135</v>
      </c>
      <c r="I2724" s="25">
        <v>0.56570558639964297</v>
      </c>
      <c r="X2724" s="15">
        <v>2723</v>
      </c>
      <c r="Y2724" s="39">
        <v>0.4878774694381432</v>
      </c>
      <c r="Z2724" s="39">
        <v>0.4923877540053509</v>
      </c>
      <c r="AA2724" s="39">
        <v>0.5038683207354655</v>
      </c>
      <c r="AB2724" s="39">
        <v>0.49773186606312697</v>
      </c>
      <c r="AC2724" s="39">
        <v>0.48006652780807652</v>
      </c>
      <c r="AD2724" s="39">
        <v>0.48645354624655834</v>
      </c>
      <c r="AE2724" s="39">
        <v>0.49917616618848804</v>
      </c>
      <c r="AF2724" s="40">
        <v>0.49519111936776167</v>
      </c>
    </row>
    <row r="2725" spans="1:32">
      <c r="A2725" s="15">
        <v>2723</v>
      </c>
      <c r="B2725" s="16">
        <v>0</v>
      </c>
      <c r="C2725" s="20">
        <v>0.91</v>
      </c>
      <c r="D2725" s="20">
        <v>0.21727233298780477</v>
      </c>
      <c r="E2725" s="20">
        <v>0.09</v>
      </c>
      <c r="F2725" s="8" t="s">
        <v>434</v>
      </c>
      <c r="G2725" s="24">
        <v>1.729355112995804</v>
      </c>
      <c r="H2725" s="24">
        <v>1.7393676376698834</v>
      </c>
      <c r="I2725" s="25">
        <v>1.6578926537592125</v>
      </c>
      <c r="X2725" s="15">
        <v>2724</v>
      </c>
      <c r="Y2725" s="39">
        <v>0.47582889945527723</v>
      </c>
      <c r="Z2725" s="39">
        <v>0.49671637105090938</v>
      </c>
      <c r="AA2725" s="39">
        <v>0.48626817931626171</v>
      </c>
      <c r="AB2725" s="39">
        <v>0.48977563764959903</v>
      </c>
      <c r="AC2725" s="39">
        <v>0.46759477150520101</v>
      </c>
      <c r="AD2725" s="39">
        <v>0.49045180908635244</v>
      </c>
      <c r="AE2725" s="39">
        <v>0.48284268642697403</v>
      </c>
      <c r="AF2725" s="40">
        <v>0.48545031067185551</v>
      </c>
    </row>
    <row r="2726" spans="1:32">
      <c r="A2726" s="15">
        <v>2724</v>
      </c>
      <c r="B2726" s="16">
        <v>0</v>
      </c>
      <c r="C2726" s="20">
        <v>0.02</v>
      </c>
      <c r="D2726" s="20">
        <v>0.99604261948721451</v>
      </c>
      <c r="E2726" s="20">
        <v>1</v>
      </c>
      <c r="F2726" s="8" t="s">
        <v>436</v>
      </c>
      <c r="G2726" s="24">
        <v>1.0107567866295855</v>
      </c>
      <c r="H2726" s="24">
        <v>1.0166088104213273</v>
      </c>
      <c r="I2726" s="25">
        <v>1.0343879110081635</v>
      </c>
      <c r="X2726" s="15">
        <v>2725</v>
      </c>
      <c r="Y2726" s="39">
        <v>0.48153289560690121</v>
      </c>
      <c r="Z2726" s="39">
        <v>0.49179420018887343</v>
      </c>
      <c r="AA2726" s="39">
        <v>0.47731047030249674</v>
      </c>
      <c r="AB2726" s="39">
        <v>0.49895813363219682</v>
      </c>
      <c r="AC2726" s="39">
        <v>0.47317710963740223</v>
      </c>
      <c r="AD2726" s="39">
        <v>0.4858884268684866</v>
      </c>
      <c r="AE2726" s="39">
        <v>0.46917180929727997</v>
      </c>
      <c r="AF2726" s="40">
        <v>0.49468572862107357</v>
      </c>
    </row>
    <row r="2727" spans="1:32">
      <c r="A2727" s="15">
        <v>2725</v>
      </c>
      <c r="B2727" s="16">
        <v>1</v>
      </c>
      <c r="C2727" s="20">
        <v>0.38</v>
      </c>
      <c r="D2727" s="20">
        <v>0.76418977669540167</v>
      </c>
      <c r="E2727" s="20">
        <v>7.0000000000000007E-2</v>
      </c>
      <c r="F2727" s="8" t="s">
        <v>436</v>
      </c>
      <c r="G2727" s="24">
        <v>2.1419820580157301</v>
      </c>
      <c r="H2727" s="24">
        <v>2.1543835873755186</v>
      </c>
      <c r="I2727" s="25">
        <v>1.6578926537592125</v>
      </c>
      <c r="X2727" s="15">
        <v>2726</v>
      </c>
      <c r="Y2727" s="39">
        <v>0.49010744080213403</v>
      </c>
      <c r="Z2727" s="39">
        <v>0.48277297809540265</v>
      </c>
      <c r="AA2727" s="39">
        <v>0.48870929988655626</v>
      </c>
      <c r="AB2727" s="39">
        <v>0.49014785617716228</v>
      </c>
      <c r="AC2727" s="39">
        <v>0.48360064054837582</v>
      </c>
      <c r="AD2727" s="39">
        <v>0.47616956571602076</v>
      </c>
      <c r="AE2727" s="39">
        <v>0.4826612397151786</v>
      </c>
      <c r="AF2727" s="40">
        <v>0.48489886014122746</v>
      </c>
    </row>
    <row r="2728" spans="1:32">
      <c r="A2728" s="15">
        <v>2726</v>
      </c>
      <c r="B2728" s="16">
        <v>0</v>
      </c>
      <c r="C2728" s="20">
        <v>0.14000000000000001</v>
      </c>
      <c r="D2728" s="20">
        <v>0.86861779625863433</v>
      </c>
      <c r="E2728" s="20">
        <v>0.13</v>
      </c>
      <c r="F2728" s="8" t="s">
        <v>436</v>
      </c>
      <c r="G2728" s="24">
        <v>0.86596390804043855</v>
      </c>
      <c r="H2728" s="24">
        <v>0.8709776180245592</v>
      </c>
      <c r="I2728" s="25">
        <v>0.88620982781951829</v>
      </c>
      <c r="X2728" s="15">
        <v>2727</v>
      </c>
      <c r="Y2728" s="39">
        <v>0.49139409532649836</v>
      </c>
      <c r="Z2728" s="39">
        <v>0.48974714019277371</v>
      </c>
      <c r="AA2728" s="39">
        <v>0.48556763050996504</v>
      </c>
      <c r="AB2728" s="39">
        <v>0.4718181162783866</v>
      </c>
      <c r="AC2728" s="39">
        <v>0.48613384926880593</v>
      </c>
      <c r="AD2728" s="39">
        <v>0.48188923367544401</v>
      </c>
      <c r="AE2728" s="39">
        <v>0.47588176371891006</v>
      </c>
      <c r="AF2728" s="40">
        <v>0.46882620220335158</v>
      </c>
    </row>
    <row r="2729" spans="1:32">
      <c r="A2729" s="15">
        <v>2727</v>
      </c>
      <c r="B2729" s="16">
        <v>1</v>
      </c>
      <c r="C2729" s="20">
        <v>0.02</v>
      </c>
      <c r="D2729" s="20">
        <v>0.99835916395484214</v>
      </c>
      <c r="E2729" s="20">
        <v>1</v>
      </c>
      <c r="F2729" s="8" t="s">
        <v>436</v>
      </c>
      <c r="G2729" s="24">
        <v>0.98289655763740469</v>
      </c>
      <c r="H2729" s="24">
        <v>0.98858727781480304</v>
      </c>
      <c r="I2729" s="25">
        <v>1.0058763200412337</v>
      </c>
      <c r="X2729" s="15">
        <v>2728</v>
      </c>
      <c r="Y2729" s="39">
        <v>0.48995703538187185</v>
      </c>
      <c r="Z2729" s="39">
        <v>0.47676805203301625</v>
      </c>
      <c r="AA2729" s="39">
        <v>0.49339739039958241</v>
      </c>
      <c r="AB2729" s="39">
        <v>0.49216936604848449</v>
      </c>
      <c r="AC2729" s="39">
        <v>0.48182861265467924</v>
      </c>
      <c r="AD2729" s="39">
        <v>0.47132672071221493</v>
      </c>
      <c r="AE2729" s="39">
        <v>0.48494571318379487</v>
      </c>
      <c r="AF2729" s="40">
        <v>0.48542954454951992</v>
      </c>
    </row>
    <row r="2730" spans="1:32">
      <c r="A2730" s="15">
        <v>2728</v>
      </c>
      <c r="B2730" s="16">
        <v>0</v>
      </c>
      <c r="C2730" s="20">
        <v>0.09</v>
      </c>
      <c r="D2730" s="20">
        <v>0.93064935506353241</v>
      </c>
      <c r="E2730" s="20">
        <v>0.06</v>
      </c>
      <c r="F2730" s="8" t="s">
        <v>436</v>
      </c>
      <c r="G2730" s="24">
        <v>1.1320272667139051</v>
      </c>
      <c r="H2730" s="24">
        <v>1.1385814156301846</v>
      </c>
      <c r="I2730" s="25">
        <v>1.1584936506091452</v>
      </c>
      <c r="X2730" s="15">
        <v>2729</v>
      </c>
      <c r="Y2730" s="39">
        <v>0.47900280711871124</v>
      </c>
      <c r="Z2730" s="39">
        <v>0.48892892135281474</v>
      </c>
      <c r="AA2730" s="39">
        <v>0.4779088186571237</v>
      </c>
      <c r="AB2730" s="39">
        <v>0.4885791429938528</v>
      </c>
      <c r="AC2730" s="39">
        <v>0.47173062957576367</v>
      </c>
      <c r="AD2730" s="39">
        <v>0.48011933450872191</v>
      </c>
      <c r="AE2730" s="39">
        <v>0.47463968730143363</v>
      </c>
      <c r="AF2730" s="40">
        <v>0.48408973308762054</v>
      </c>
    </row>
    <row r="2731" spans="1:32">
      <c r="A2731" s="15">
        <v>2729</v>
      </c>
      <c r="B2731" s="16">
        <v>0</v>
      </c>
      <c r="C2731" s="20">
        <v>0.13</v>
      </c>
      <c r="D2731" s="20">
        <v>0.89589700321390708</v>
      </c>
      <c r="E2731" s="20">
        <v>0.06</v>
      </c>
      <c r="F2731" s="8" t="s">
        <v>436</v>
      </c>
      <c r="G2731" s="24">
        <v>1.0297316224050557</v>
      </c>
      <c r="H2731" s="24">
        <v>1.0356935056524761</v>
      </c>
      <c r="I2731" s="25">
        <v>1.053806371511367</v>
      </c>
      <c r="X2731" s="15">
        <v>2730</v>
      </c>
      <c r="Y2731" s="39">
        <v>0.48557456606006777</v>
      </c>
      <c r="Z2731" s="39">
        <v>0.493179300068742</v>
      </c>
      <c r="AA2731" s="39">
        <v>0.48677204628475362</v>
      </c>
      <c r="AB2731" s="39">
        <v>0.48564133953529276</v>
      </c>
      <c r="AC2731" s="39">
        <v>0.47831762532385225</v>
      </c>
      <c r="AD2731" s="39">
        <v>0.48929833317576871</v>
      </c>
      <c r="AE2731" s="39">
        <v>0.47671466359436848</v>
      </c>
      <c r="AF2731" s="40">
        <v>0.48086631036273353</v>
      </c>
    </row>
    <row r="2732" spans="1:32">
      <c r="A2732" s="15">
        <v>2730</v>
      </c>
      <c r="B2732" s="16">
        <v>0</v>
      </c>
      <c r="C2732" s="20">
        <v>0.02</v>
      </c>
      <c r="D2732" s="20">
        <v>0.99531127541355291</v>
      </c>
      <c r="E2732" s="20">
        <v>1</v>
      </c>
      <c r="F2732" s="8" t="s">
        <v>436</v>
      </c>
      <c r="G2732" s="24">
        <v>1.1056340019730782</v>
      </c>
      <c r="H2732" s="24">
        <v>1.1120353406235763</v>
      </c>
      <c r="I2732" s="25">
        <v>1.1314833209817921</v>
      </c>
      <c r="X2732" s="15">
        <v>2731</v>
      </c>
      <c r="Y2732" s="39">
        <v>0.48201597026483883</v>
      </c>
      <c r="Z2732" s="39">
        <v>0.48090867951930677</v>
      </c>
      <c r="AA2732" s="39">
        <v>0.47888902442241527</v>
      </c>
      <c r="AB2732" s="39">
        <v>0.47565558390225504</v>
      </c>
      <c r="AC2732" s="39">
        <v>0.47589151230218646</v>
      </c>
      <c r="AD2732" s="39">
        <v>0.47551087060680663</v>
      </c>
      <c r="AE2732" s="39">
        <v>0.47200020148992938</v>
      </c>
      <c r="AF2732" s="40">
        <v>0.46932216813634819</v>
      </c>
    </row>
    <row r="2733" spans="1:32">
      <c r="A2733" s="15">
        <v>2731</v>
      </c>
      <c r="B2733" s="16">
        <v>0</v>
      </c>
      <c r="C2733" s="20">
        <v>0.23</v>
      </c>
      <c r="D2733" s="20">
        <v>0.76539944404427873</v>
      </c>
      <c r="E2733" s="20">
        <v>0.1</v>
      </c>
      <c r="F2733" s="8" t="s">
        <v>436</v>
      </c>
      <c r="G2733" s="24">
        <v>1.0326216234218417</v>
      </c>
      <c r="H2733" s="24">
        <v>1.038600239037456</v>
      </c>
      <c r="I2733" s="25">
        <v>1.0567639396960269</v>
      </c>
      <c r="X2733" s="15">
        <v>2732</v>
      </c>
      <c r="Y2733" s="39">
        <v>0.48135333987492501</v>
      </c>
      <c r="Z2733" s="39">
        <v>0.48593479421150854</v>
      </c>
      <c r="AA2733" s="39">
        <v>0.48556342750456344</v>
      </c>
      <c r="AB2733" s="39">
        <v>0.48329947502148912</v>
      </c>
      <c r="AC2733" s="39">
        <v>0.47295328423914529</v>
      </c>
      <c r="AD2733" s="39">
        <v>0.47707521484351229</v>
      </c>
      <c r="AE2733" s="39">
        <v>0.47846115679599455</v>
      </c>
      <c r="AF2733" s="40">
        <v>0.47936223506122916</v>
      </c>
    </row>
    <row r="2734" spans="1:32">
      <c r="A2734" s="15">
        <v>2732</v>
      </c>
      <c r="B2734" s="16">
        <v>1</v>
      </c>
      <c r="C2734" s="20">
        <v>0.5</v>
      </c>
      <c r="D2734" s="20">
        <v>0.57073034969186764</v>
      </c>
      <c r="E2734" s="20">
        <v>0.08</v>
      </c>
      <c r="F2734" s="8" t="s">
        <v>438</v>
      </c>
      <c r="G2734" s="24">
        <v>1.6541082719298275</v>
      </c>
      <c r="H2734" s="24">
        <v>1.6636851366014251</v>
      </c>
      <c r="I2734" s="25">
        <v>1.6578926537592125</v>
      </c>
      <c r="X2734" s="15">
        <v>2733</v>
      </c>
      <c r="Y2734" s="39">
        <v>0.47625613723644705</v>
      </c>
      <c r="Z2734" s="39">
        <v>0.46784448481605084</v>
      </c>
      <c r="AA2734" s="39">
        <v>0.48724553817177163</v>
      </c>
      <c r="AB2734" s="39">
        <v>0.48361570820646504</v>
      </c>
      <c r="AC2734" s="39">
        <v>0.46597679057387442</v>
      </c>
      <c r="AD2734" s="39">
        <v>0.46355501553410994</v>
      </c>
      <c r="AE2734" s="39">
        <v>0.4796016283004107</v>
      </c>
      <c r="AF2734" s="40">
        <v>0.47878676712015511</v>
      </c>
    </row>
    <row r="2735" spans="1:32">
      <c r="A2735" s="15">
        <v>2733</v>
      </c>
      <c r="B2735" s="16">
        <v>0</v>
      </c>
      <c r="C2735" s="20">
        <v>0.39</v>
      </c>
      <c r="D2735" s="20">
        <v>0.58366903002590265</v>
      </c>
      <c r="E2735" s="20">
        <v>0.09</v>
      </c>
      <c r="F2735" s="8" t="s">
        <v>436</v>
      </c>
      <c r="G2735" s="24">
        <v>0.87029368044956035</v>
      </c>
      <c r="H2735" s="24">
        <v>0.87533245871072463</v>
      </c>
      <c r="I2735" s="25">
        <v>0.89064082872562811</v>
      </c>
      <c r="X2735" s="15">
        <v>2734</v>
      </c>
      <c r="Y2735" s="39">
        <v>0.47973319638737177</v>
      </c>
      <c r="Z2735" s="39">
        <v>0.4914132135345804</v>
      </c>
      <c r="AA2735" s="39">
        <v>0.47635984409510995</v>
      </c>
      <c r="AB2735" s="39">
        <v>0.49396540151071505</v>
      </c>
      <c r="AC2735" s="39">
        <v>0.47337788105878031</v>
      </c>
      <c r="AD2735" s="39">
        <v>0.48313097869795141</v>
      </c>
      <c r="AE2735" s="39">
        <v>0.4706817399861053</v>
      </c>
      <c r="AF2735" s="40">
        <v>0.49239428433151594</v>
      </c>
    </row>
    <row r="2736" spans="1:32">
      <c r="A2736" s="15">
        <v>2734</v>
      </c>
      <c r="B2736" s="16">
        <v>1</v>
      </c>
      <c r="C2736" s="20">
        <v>0.31</v>
      </c>
      <c r="D2736" s="20">
        <v>0.69337568245850389</v>
      </c>
      <c r="E2736" s="20">
        <v>0.11</v>
      </c>
      <c r="F2736" s="8" t="s">
        <v>436</v>
      </c>
      <c r="G2736" s="24">
        <v>1.0669401738939936</v>
      </c>
      <c r="H2736" s="24">
        <v>1.0731174851567882</v>
      </c>
      <c r="I2736" s="25">
        <v>1.0918848453394998</v>
      </c>
      <c r="X2736" s="15">
        <v>2735</v>
      </c>
      <c r="Y2736" s="39">
        <v>0.4960424423428349</v>
      </c>
      <c r="Z2736" s="39">
        <v>0.4686448686466137</v>
      </c>
      <c r="AA2736" s="39">
        <v>0.48372131260259255</v>
      </c>
      <c r="AB2736" s="39">
        <v>0.49543349367723633</v>
      </c>
      <c r="AC2736" s="39">
        <v>0.49106646921210223</v>
      </c>
      <c r="AD2736" s="39">
        <v>0.45834832465635039</v>
      </c>
      <c r="AE2736" s="39">
        <v>0.47803955113866553</v>
      </c>
      <c r="AF2736" s="40">
        <v>0.49260739825382366</v>
      </c>
    </row>
    <row r="2737" spans="1:32">
      <c r="A2737" s="15">
        <v>2735</v>
      </c>
      <c r="B2737" s="16">
        <v>1</v>
      </c>
      <c r="C2737" s="20">
        <v>0.22</v>
      </c>
      <c r="D2737" s="20">
        <v>0.75847967347362655</v>
      </c>
      <c r="E2737" s="20">
        <v>0.15</v>
      </c>
      <c r="F2737" s="8" t="s">
        <v>436</v>
      </c>
      <c r="G2737" s="24">
        <v>0.9127924173678964</v>
      </c>
      <c r="H2737" s="24">
        <v>0.91807725246771366</v>
      </c>
      <c r="I2737" s="25">
        <v>0.93413317058566181</v>
      </c>
      <c r="X2737" s="15">
        <v>2736</v>
      </c>
      <c r="Y2737" s="39">
        <v>0.48572303199989009</v>
      </c>
      <c r="Z2737" s="39">
        <v>0.51385701913881376</v>
      </c>
      <c r="AA2737" s="39">
        <v>0.48132806992561894</v>
      </c>
      <c r="AB2737" s="39">
        <v>0.50683985967858192</v>
      </c>
      <c r="AC2737" s="39">
        <v>0.47815452930527513</v>
      </c>
      <c r="AD2737" s="39">
        <v>0.50609067421524723</v>
      </c>
      <c r="AE2737" s="39">
        <v>0.47393882752831307</v>
      </c>
      <c r="AF2737" s="40">
        <v>0.50512951311094922</v>
      </c>
    </row>
    <row r="2738" spans="1:32">
      <c r="A2738" s="15">
        <v>2736</v>
      </c>
      <c r="B2738" s="16">
        <v>1</v>
      </c>
      <c r="C2738" s="20">
        <v>0.51</v>
      </c>
      <c r="D2738" s="20">
        <v>0.61858189461178348</v>
      </c>
      <c r="E2738" s="20">
        <v>7.0000000000000007E-2</v>
      </c>
      <c r="F2738" s="8" t="s">
        <v>438</v>
      </c>
      <c r="G2738" s="24">
        <v>0.9476888461215075</v>
      </c>
      <c r="H2738" s="24">
        <v>0.95317572263624706</v>
      </c>
      <c r="I2738" s="25">
        <v>0.96984546509367919</v>
      </c>
      <c r="X2738" s="15">
        <v>2737</v>
      </c>
      <c r="Y2738" s="39">
        <v>0.48971095766433126</v>
      </c>
      <c r="Z2738" s="39">
        <v>0.48826910572113208</v>
      </c>
      <c r="AA2738" s="39">
        <v>0.48327419451726766</v>
      </c>
      <c r="AB2738" s="39">
        <v>0.49121882501212405</v>
      </c>
      <c r="AC2738" s="39">
        <v>0.4828796873902616</v>
      </c>
      <c r="AD2738" s="39">
        <v>0.48339409612660522</v>
      </c>
      <c r="AE2738" s="39">
        <v>0.47747762083334477</v>
      </c>
      <c r="AF2738" s="40">
        <v>0.48720185919506148</v>
      </c>
    </row>
    <row r="2739" spans="1:32">
      <c r="A2739" s="15">
        <v>2737</v>
      </c>
      <c r="B2739" s="16">
        <v>1</v>
      </c>
      <c r="C2739" s="20">
        <v>0.14000000000000001</v>
      </c>
      <c r="D2739" s="20">
        <v>0.87364865927100532</v>
      </c>
      <c r="E2739" s="20">
        <v>0.1</v>
      </c>
      <c r="F2739" s="8" t="s">
        <v>436</v>
      </c>
      <c r="G2739" s="24">
        <v>0.97713415435942452</v>
      </c>
      <c r="H2739" s="24">
        <v>0.98279151169273771</v>
      </c>
      <c r="I2739" s="25">
        <v>0.99997919387998158</v>
      </c>
      <c r="X2739" s="15">
        <v>2738</v>
      </c>
      <c r="Y2739" s="39">
        <v>0.4825601341165493</v>
      </c>
      <c r="Z2739" s="39">
        <v>0.49468269614164967</v>
      </c>
      <c r="AA2739" s="39">
        <v>0.47575874411514635</v>
      </c>
      <c r="AB2739" s="39">
        <v>0.48178844512504587</v>
      </c>
      <c r="AC2739" s="39">
        <v>0.47820898890623759</v>
      </c>
      <c r="AD2739" s="39">
        <v>0.48948743705100123</v>
      </c>
      <c r="AE2739" s="39">
        <v>0.46870443795309641</v>
      </c>
      <c r="AF2739" s="40">
        <v>0.47629482135863405</v>
      </c>
    </row>
    <row r="2740" spans="1:32">
      <c r="A2740" s="15">
        <v>2738</v>
      </c>
      <c r="B2740" s="16">
        <v>0</v>
      </c>
      <c r="C2740" s="20">
        <v>0.9</v>
      </c>
      <c r="D2740" s="20">
        <v>0.231595386583653</v>
      </c>
      <c r="E2740" s="20">
        <v>0.1</v>
      </c>
      <c r="F2740" s="8" t="s">
        <v>434</v>
      </c>
      <c r="G2740" s="24">
        <v>1.3551884547495705</v>
      </c>
      <c r="H2740" s="24">
        <v>1.3630346499810992</v>
      </c>
      <c r="I2740" s="25">
        <v>1.3868722656863117</v>
      </c>
      <c r="X2740" s="15">
        <v>2739</v>
      </c>
      <c r="Y2740" s="39">
        <v>0.48513486541930895</v>
      </c>
      <c r="Z2740" s="39">
        <v>0.50223130779169423</v>
      </c>
      <c r="AA2740" s="39">
        <v>0.49051063271286804</v>
      </c>
      <c r="AB2740" s="39">
        <v>0.50266076315277253</v>
      </c>
      <c r="AC2740" s="39">
        <v>0.47790723615734138</v>
      </c>
      <c r="AD2740" s="39">
        <v>0.49645585176006768</v>
      </c>
      <c r="AE2740" s="39">
        <v>0.4844436693769037</v>
      </c>
      <c r="AF2740" s="40">
        <v>0.49940705548811748</v>
      </c>
    </row>
    <row r="2741" spans="1:32">
      <c r="A2741" s="15">
        <v>2739</v>
      </c>
      <c r="B2741" s="16">
        <v>0</v>
      </c>
      <c r="C2741" s="20">
        <v>0.92</v>
      </c>
      <c r="D2741" s="20">
        <v>0.20258497911151899</v>
      </c>
      <c r="E2741" s="20">
        <v>0.08</v>
      </c>
      <c r="F2741" s="8" t="s">
        <v>434</v>
      </c>
      <c r="G2741" s="24">
        <v>0.59954894531319136</v>
      </c>
      <c r="H2741" s="24">
        <v>0.60302018066743124</v>
      </c>
      <c r="I2741" s="25">
        <v>0.61356618060179635</v>
      </c>
      <c r="X2741" s="15">
        <v>2740</v>
      </c>
      <c r="Y2741" s="39">
        <v>0.48785616793496539</v>
      </c>
      <c r="Z2741" s="39">
        <v>0.48556053935090504</v>
      </c>
      <c r="AA2741" s="39">
        <v>0.47804339649728428</v>
      </c>
      <c r="AB2741" s="39">
        <v>0.47671259634279767</v>
      </c>
      <c r="AC2741" s="39">
        <v>0.47793633333815355</v>
      </c>
      <c r="AD2741" s="39">
        <v>0.47730512230881667</v>
      </c>
      <c r="AE2741" s="39">
        <v>0.46964643223406533</v>
      </c>
      <c r="AF2741" s="40">
        <v>0.4719387642359823</v>
      </c>
    </row>
    <row r="2742" spans="1:32">
      <c r="A2742" s="15">
        <v>2740</v>
      </c>
      <c r="B2742" s="16">
        <v>1</v>
      </c>
      <c r="C2742" s="20">
        <v>0.02</v>
      </c>
      <c r="D2742" s="20">
        <v>0.99917029198757767</v>
      </c>
      <c r="E2742" s="20">
        <v>1</v>
      </c>
      <c r="F2742" s="8" t="s">
        <v>436</v>
      </c>
      <c r="G2742" s="24">
        <v>1.0226598527252118</v>
      </c>
      <c r="H2742" s="24">
        <v>1.0285807922313053</v>
      </c>
      <c r="I2742" s="25">
        <v>1.0465692664401691</v>
      </c>
      <c r="X2742" s="15">
        <v>2741</v>
      </c>
      <c r="Y2742" s="39">
        <v>0.49581059813086042</v>
      </c>
      <c r="Z2742" s="39">
        <v>0.47364075452814386</v>
      </c>
      <c r="AA2742" s="39">
        <v>0.49488628833178472</v>
      </c>
      <c r="AB2742" s="39">
        <v>0.48708648834729845</v>
      </c>
      <c r="AC2742" s="39">
        <v>0.48694423476865217</v>
      </c>
      <c r="AD2742" s="39">
        <v>0.46786271215111058</v>
      </c>
      <c r="AE2742" s="39">
        <v>0.48822667809568487</v>
      </c>
      <c r="AF2742" s="40">
        <v>0.48231049937358744</v>
      </c>
    </row>
    <row r="2743" spans="1:32">
      <c r="A2743" s="15">
        <v>2741</v>
      </c>
      <c r="B2743" s="16">
        <v>0</v>
      </c>
      <c r="C2743" s="20">
        <v>0.02</v>
      </c>
      <c r="D2743" s="20">
        <v>0.99835916395484214</v>
      </c>
      <c r="E2743" s="20">
        <v>1</v>
      </c>
      <c r="F2743" s="8" t="s">
        <v>436</v>
      </c>
      <c r="G2743" s="24">
        <v>1.1140394393312663</v>
      </c>
      <c r="H2743" s="24">
        <v>1.1204894433185209</v>
      </c>
      <c r="I2743" s="25">
        <v>1.1400852743943815</v>
      </c>
      <c r="X2743" s="15">
        <v>2742</v>
      </c>
      <c r="Y2743" s="39">
        <v>0.48165308890269842</v>
      </c>
      <c r="Z2743" s="39">
        <v>0.49003108982536409</v>
      </c>
      <c r="AA2743" s="39">
        <v>0.47579293775615683</v>
      </c>
      <c r="AB2743" s="39">
        <v>0.48947686628387915</v>
      </c>
      <c r="AC2743" s="39">
        <v>0.47752713095921862</v>
      </c>
      <c r="AD2743" s="39">
        <v>0.48116258433870901</v>
      </c>
      <c r="AE2743" s="39">
        <v>0.46899014266942812</v>
      </c>
      <c r="AF2743" s="40">
        <v>0.48463520051301068</v>
      </c>
    </row>
    <row r="2744" spans="1:32">
      <c r="A2744" s="15">
        <v>2742</v>
      </c>
      <c r="B2744" s="16">
        <v>0</v>
      </c>
      <c r="C2744" s="20">
        <v>0.02</v>
      </c>
      <c r="D2744" s="20">
        <v>0.99756714174924133</v>
      </c>
      <c r="E2744" s="20">
        <v>1</v>
      </c>
      <c r="F2744" s="8" t="s">
        <v>436</v>
      </c>
      <c r="G2744" s="24">
        <v>1.1113885604059082</v>
      </c>
      <c r="H2744" s="24">
        <v>1.1178232164808406</v>
      </c>
      <c r="I2744" s="25">
        <v>1.1373724188882806</v>
      </c>
      <c r="X2744" s="15">
        <v>2743</v>
      </c>
      <c r="Y2744" s="39">
        <v>0.49221945241922394</v>
      </c>
      <c r="Z2744" s="39">
        <v>0.47819919304777531</v>
      </c>
      <c r="AA2744" s="39">
        <v>0.49693287192686481</v>
      </c>
      <c r="AB2744" s="39">
        <v>0.4864120505654268</v>
      </c>
      <c r="AC2744" s="39">
        <v>0.48366734691413193</v>
      </c>
      <c r="AD2744" s="39">
        <v>0.47201332917617739</v>
      </c>
      <c r="AE2744" s="39">
        <v>0.49086399463437297</v>
      </c>
      <c r="AF2744" s="40">
        <v>0.4828701006072455</v>
      </c>
    </row>
    <row r="2745" spans="1:32">
      <c r="A2745" s="15">
        <v>2743</v>
      </c>
      <c r="B2745" s="16">
        <v>1</v>
      </c>
      <c r="C2745" s="20">
        <v>0.23</v>
      </c>
      <c r="D2745" s="20">
        <v>0.8449001158290611</v>
      </c>
      <c r="E2745" s="20">
        <v>7.0000000000000007E-2</v>
      </c>
      <c r="F2745" s="8" t="s">
        <v>436</v>
      </c>
      <c r="G2745" s="24">
        <v>1.1097692666580488</v>
      </c>
      <c r="H2745" s="24">
        <v>1.1161945474355173</v>
      </c>
      <c r="I2745" s="25">
        <v>1.1357152666442258</v>
      </c>
      <c r="X2745" s="15">
        <v>2744</v>
      </c>
      <c r="Y2745" s="39">
        <v>0.47711051267193572</v>
      </c>
      <c r="Z2745" s="39">
        <v>0.47558501656410718</v>
      </c>
      <c r="AA2745" s="39">
        <v>0.49010300291846115</v>
      </c>
      <c r="AB2745" s="39">
        <v>0.49128687786272063</v>
      </c>
      <c r="AC2745" s="39">
        <v>0.47227868339067341</v>
      </c>
      <c r="AD2745" s="39">
        <v>0.46780970565369973</v>
      </c>
      <c r="AE2745" s="39">
        <v>0.48422276336654618</v>
      </c>
      <c r="AF2745" s="40">
        <v>0.48549312243497683</v>
      </c>
    </row>
    <row r="2746" spans="1:32">
      <c r="A2746" s="15">
        <v>2744</v>
      </c>
      <c r="B2746" s="16">
        <v>0</v>
      </c>
      <c r="C2746" s="20">
        <v>0.88</v>
      </c>
      <c r="D2746" s="20">
        <v>0.25930874124763043</v>
      </c>
      <c r="E2746" s="20">
        <v>0.12</v>
      </c>
      <c r="F2746" s="8" t="s">
        <v>434</v>
      </c>
      <c r="G2746" s="24">
        <v>2.1736484294050324</v>
      </c>
      <c r="H2746" s="24">
        <v>2.1862332989720992</v>
      </c>
      <c r="I2746" s="25">
        <v>1.6578926537592125</v>
      </c>
      <c r="X2746" s="15">
        <v>2745</v>
      </c>
      <c r="Y2746" s="39">
        <v>0.49109270010643696</v>
      </c>
      <c r="Z2746" s="39">
        <v>0.48920531630934427</v>
      </c>
      <c r="AA2746" s="39">
        <v>0.48651332609126824</v>
      </c>
      <c r="AB2746" s="39">
        <v>0.49728528121534693</v>
      </c>
      <c r="AC2746" s="39">
        <v>0.4854969078765059</v>
      </c>
      <c r="AD2746" s="39">
        <v>0.47843465658191325</v>
      </c>
      <c r="AE2746" s="39">
        <v>0.47995707622379508</v>
      </c>
      <c r="AF2746" s="40">
        <v>0.49134128592002663</v>
      </c>
    </row>
    <row r="2747" spans="1:32">
      <c r="A2747" s="15">
        <v>2745</v>
      </c>
      <c r="B2747" s="16">
        <v>1</v>
      </c>
      <c r="C2747" s="20">
        <v>0.19</v>
      </c>
      <c r="D2747" s="20">
        <v>0.84742208910336614</v>
      </c>
      <c r="E2747" s="20">
        <v>0.1</v>
      </c>
      <c r="F2747" s="8" t="s">
        <v>436</v>
      </c>
      <c r="G2747" s="24">
        <v>1.2642429949414804</v>
      </c>
      <c r="H2747" s="24">
        <v>1.2715626391751944</v>
      </c>
      <c r="I2747" s="25">
        <v>1.2938005342559866</v>
      </c>
      <c r="X2747" s="15">
        <v>2746</v>
      </c>
      <c r="Y2747" s="39">
        <v>0.47638936706530821</v>
      </c>
      <c r="Z2747" s="39">
        <v>0.49324186148885812</v>
      </c>
      <c r="AA2747" s="39">
        <v>0.49170947468220988</v>
      </c>
      <c r="AB2747" s="39">
        <v>0.48665609335598375</v>
      </c>
      <c r="AC2747" s="39">
        <v>0.47108072513020355</v>
      </c>
      <c r="AD2747" s="39">
        <v>0.4851714689711582</v>
      </c>
      <c r="AE2747" s="39">
        <v>0.48388214323411394</v>
      </c>
      <c r="AF2747" s="40">
        <v>0.48380937495087728</v>
      </c>
    </row>
    <row r="2748" spans="1:32">
      <c r="A2748" s="15">
        <v>2746</v>
      </c>
      <c r="B2748" s="16">
        <v>0</v>
      </c>
      <c r="C2748" s="20">
        <v>0.33</v>
      </c>
      <c r="D2748" s="20">
        <v>0.7152085804151157</v>
      </c>
      <c r="E2748" s="20">
        <v>7.0000000000000007E-2</v>
      </c>
      <c r="F2748" s="8" t="s">
        <v>436</v>
      </c>
      <c r="G2748" s="24">
        <v>1.7211326867759267</v>
      </c>
      <c r="H2748" s="24">
        <v>1.7310976057010257</v>
      </c>
      <c r="I2748" s="25">
        <v>1.6578926537592125</v>
      </c>
      <c r="X2748" s="15">
        <v>2747</v>
      </c>
      <c r="Y2748" s="39">
        <v>0.48486810069842839</v>
      </c>
      <c r="Z2748" s="39">
        <v>0.48316781313853541</v>
      </c>
      <c r="AA2748" s="39">
        <v>0.48919334660124936</v>
      </c>
      <c r="AB2748" s="39">
        <v>0.48243757233444512</v>
      </c>
      <c r="AC2748" s="39">
        <v>0.47884595234557575</v>
      </c>
      <c r="AD2748" s="39">
        <v>0.47738800586959784</v>
      </c>
      <c r="AE2748" s="39">
        <v>0.48131023862456224</v>
      </c>
      <c r="AF2748" s="40">
        <v>0.47874079373242107</v>
      </c>
    </row>
    <row r="2749" spans="1:32">
      <c r="A2749" s="15">
        <v>2747</v>
      </c>
      <c r="B2749" s="16">
        <v>0</v>
      </c>
      <c r="C2749" s="20">
        <v>0.01</v>
      </c>
      <c r="D2749" s="20">
        <v>0.99999999999999978</v>
      </c>
      <c r="E2749" s="20">
        <v>1</v>
      </c>
      <c r="F2749" s="8" t="s">
        <v>436</v>
      </c>
      <c r="G2749" s="24">
        <v>1.0014849272837676</v>
      </c>
      <c r="H2749" s="24">
        <v>1.0072832693766052</v>
      </c>
      <c r="I2749" s="25">
        <v>1.0248992789784319</v>
      </c>
      <c r="X2749" s="15">
        <v>2748</v>
      </c>
      <c r="Y2749" s="39">
        <v>0.47711970704616741</v>
      </c>
      <c r="Z2749" s="39">
        <v>0.48591700902746765</v>
      </c>
      <c r="AA2749" s="39">
        <v>0.48619164238436102</v>
      </c>
      <c r="AB2749" s="39">
        <v>0.49693743292225212</v>
      </c>
      <c r="AC2749" s="39">
        <v>0.47063525017627794</v>
      </c>
      <c r="AD2749" s="39">
        <v>0.47988518935886654</v>
      </c>
      <c r="AE2749" s="39">
        <v>0.48016947298977913</v>
      </c>
      <c r="AF2749" s="40">
        <v>0.49271101025031544</v>
      </c>
    </row>
    <row r="2750" spans="1:32">
      <c r="A2750" s="15">
        <v>2748</v>
      </c>
      <c r="B2750" s="16">
        <v>1</v>
      </c>
      <c r="C2750" s="20">
        <v>0.02</v>
      </c>
      <c r="D2750" s="20">
        <v>0.99835916395484214</v>
      </c>
      <c r="E2750" s="20">
        <v>1</v>
      </c>
      <c r="F2750" s="8" t="s">
        <v>436</v>
      </c>
      <c r="G2750" s="24">
        <v>1.0774370949609426</v>
      </c>
      <c r="H2750" s="24">
        <v>1.0836751807173011</v>
      </c>
      <c r="I2750" s="25">
        <v>1.1026271805858108</v>
      </c>
      <c r="X2750" s="15">
        <v>2749</v>
      </c>
      <c r="Y2750" s="39">
        <v>0.49035590431340115</v>
      </c>
      <c r="Z2750" s="39">
        <v>0.49432564033688375</v>
      </c>
      <c r="AA2750" s="39">
        <v>0.49967548004334106</v>
      </c>
      <c r="AB2750" s="39">
        <v>0.48079868511298124</v>
      </c>
      <c r="AC2750" s="39">
        <v>0.48400687101209422</v>
      </c>
      <c r="AD2750" s="39">
        <v>0.48901788131832619</v>
      </c>
      <c r="AE2750" s="39">
        <v>0.49315519091020393</v>
      </c>
      <c r="AF2750" s="40">
        <v>0.47814998276860138</v>
      </c>
    </row>
    <row r="2751" spans="1:32">
      <c r="A2751" s="15">
        <v>2749</v>
      </c>
      <c r="B2751" s="16">
        <v>1</v>
      </c>
      <c r="C2751" s="20">
        <v>0.23</v>
      </c>
      <c r="D2751" s="20">
        <v>0.80712790046017002</v>
      </c>
      <c r="E2751" s="20">
        <v>0.48</v>
      </c>
      <c r="F2751" s="8" t="s">
        <v>436</v>
      </c>
      <c r="G2751" s="24">
        <v>0.66340707246481778</v>
      </c>
      <c r="H2751" s="24">
        <v>0.66724803007502542</v>
      </c>
      <c r="I2751" s="25">
        <v>0.67891728743485047</v>
      </c>
      <c r="X2751" s="15">
        <v>2750</v>
      </c>
      <c r="Y2751" s="39">
        <v>0.47467795247035616</v>
      </c>
      <c r="Z2751" s="39">
        <v>0.48854211032437966</v>
      </c>
      <c r="AA2751" s="39">
        <v>0.49663710948520151</v>
      </c>
      <c r="AB2751" s="39">
        <v>0.50155681750501258</v>
      </c>
      <c r="AC2751" s="39">
        <v>0.46632958008418818</v>
      </c>
      <c r="AD2751" s="39">
        <v>0.48111684767825741</v>
      </c>
      <c r="AE2751" s="39">
        <v>0.49003489639345099</v>
      </c>
      <c r="AF2751" s="40">
        <v>0.49798672360122204</v>
      </c>
    </row>
    <row r="2752" spans="1:32">
      <c r="A2752" s="15">
        <v>2750</v>
      </c>
      <c r="B2752" s="16">
        <v>0</v>
      </c>
      <c r="C2752" s="20">
        <v>0.89</v>
      </c>
      <c r="D2752" s="20">
        <v>0.24559627500636821</v>
      </c>
      <c r="E2752" s="20">
        <v>0.11</v>
      </c>
      <c r="F2752" s="8" t="s">
        <v>434</v>
      </c>
      <c r="G2752" s="24">
        <v>0.84873168748760741</v>
      </c>
      <c r="H2752" s="24">
        <v>0.85364562731337379</v>
      </c>
      <c r="I2752" s="25">
        <v>0.86857472424617255</v>
      </c>
      <c r="X2752" s="15">
        <v>2751</v>
      </c>
      <c r="Y2752" s="39">
        <v>0.47434291722484762</v>
      </c>
      <c r="Z2752" s="39">
        <v>0.47602337697914882</v>
      </c>
      <c r="AA2752" s="39">
        <v>0.47861966749529861</v>
      </c>
      <c r="AB2752" s="39">
        <v>0.48629537424372093</v>
      </c>
      <c r="AC2752" s="39">
        <v>0.46465167747473934</v>
      </c>
      <c r="AD2752" s="39">
        <v>0.47080570462067384</v>
      </c>
      <c r="AE2752" s="39">
        <v>0.47501466084804578</v>
      </c>
      <c r="AF2752" s="40">
        <v>0.47895676783744306</v>
      </c>
    </row>
    <row r="2753" spans="1:32">
      <c r="A2753" s="15">
        <v>2751</v>
      </c>
      <c r="B2753" s="16">
        <v>0</v>
      </c>
      <c r="C2753" s="20">
        <v>0.02</v>
      </c>
      <c r="D2753" s="20">
        <v>0.99756714174924133</v>
      </c>
      <c r="E2753" s="20">
        <v>1</v>
      </c>
      <c r="F2753" s="8" t="s">
        <v>436</v>
      </c>
      <c r="G2753" s="24">
        <v>1.0544202120185766</v>
      </c>
      <c r="H2753" s="24">
        <v>1.0605250358979215</v>
      </c>
      <c r="I2753" s="25">
        <v>1.0790721713297624</v>
      </c>
      <c r="X2753" s="15">
        <v>2752</v>
      </c>
      <c r="Y2753" s="39">
        <v>0.49510180564634515</v>
      </c>
      <c r="Z2753" s="39">
        <v>0.50031094787273012</v>
      </c>
      <c r="AA2753" s="39">
        <v>0.49231225458971883</v>
      </c>
      <c r="AB2753" s="39">
        <v>0.49740205983721131</v>
      </c>
      <c r="AC2753" s="39">
        <v>0.48817170700179036</v>
      </c>
      <c r="AD2753" s="39">
        <v>0.49326437890537111</v>
      </c>
      <c r="AE2753" s="39">
        <v>0.48267726404129851</v>
      </c>
      <c r="AF2753" s="40">
        <v>0.4905524949725692</v>
      </c>
    </row>
    <row r="2754" spans="1:32">
      <c r="A2754" s="15">
        <v>2752</v>
      </c>
      <c r="B2754" s="16">
        <v>0</v>
      </c>
      <c r="C2754" s="20">
        <v>0.92</v>
      </c>
      <c r="D2754" s="20">
        <v>0.20258497911151899</v>
      </c>
      <c r="E2754" s="20">
        <v>0.08</v>
      </c>
      <c r="F2754" s="8" t="s">
        <v>434</v>
      </c>
      <c r="G2754" s="24">
        <v>1.1438215111855252</v>
      </c>
      <c r="H2754" s="24">
        <v>1.1504439457667306</v>
      </c>
      <c r="I2754" s="25">
        <v>1.1705636402073349</v>
      </c>
      <c r="X2754" s="15">
        <v>2753</v>
      </c>
      <c r="Y2754" s="39">
        <v>0.50289432631416298</v>
      </c>
      <c r="Z2754" s="39">
        <v>0.47764597829751532</v>
      </c>
      <c r="AA2754" s="39">
        <v>0.48248939986182016</v>
      </c>
      <c r="AB2754" s="39">
        <v>0.49718950206661972</v>
      </c>
      <c r="AC2754" s="39">
        <v>0.4954660289968067</v>
      </c>
      <c r="AD2754" s="39">
        <v>0.47245458841361015</v>
      </c>
      <c r="AE2754" s="39">
        <v>0.47626463133350977</v>
      </c>
      <c r="AF2754" s="40">
        <v>0.49463261785041734</v>
      </c>
    </row>
    <row r="2755" spans="1:32">
      <c r="A2755" s="15">
        <v>2753</v>
      </c>
      <c r="B2755" s="16">
        <v>0</v>
      </c>
      <c r="C2755" s="20">
        <v>0.89</v>
      </c>
      <c r="D2755" s="20">
        <v>0.24559627500636821</v>
      </c>
      <c r="E2755" s="20">
        <v>0.11</v>
      </c>
      <c r="F2755" s="8" t="s">
        <v>434</v>
      </c>
      <c r="G2755" s="24">
        <v>1.7435806401200542</v>
      </c>
      <c r="H2755" s="24">
        <v>1.7536755269650162</v>
      </c>
      <c r="I2755" s="25">
        <v>1.6578926537592125</v>
      </c>
      <c r="X2755" s="15">
        <v>2754</v>
      </c>
      <c r="Y2755" s="39">
        <v>0.49231002578490085</v>
      </c>
      <c r="Z2755" s="39">
        <v>0.5014422011600751</v>
      </c>
      <c r="AA2755" s="39">
        <v>0.48067268141095959</v>
      </c>
      <c r="AB2755" s="39">
        <v>0.49389742970994144</v>
      </c>
      <c r="AC2755" s="39">
        <v>0.48641654455840438</v>
      </c>
      <c r="AD2755" s="39">
        <v>0.4941445182732348</v>
      </c>
      <c r="AE2755" s="39">
        <v>0.47456803629988492</v>
      </c>
      <c r="AF2755" s="40">
        <v>0.49039672611704166</v>
      </c>
    </row>
    <row r="2756" spans="1:32">
      <c r="A2756" s="15">
        <v>2754</v>
      </c>
      <c r="B2756" s="16">
        <v>0</v>
      </c>
      <c r="C2756" s="20">
        <v>0.93</v>
      </c>
      <c r="D2756" s="20">
        <v>0.18747949848141848</v>
      </c>
      <c r="E2756" s="20">
        <v>7.0000000000000007E-2</v>
      </c>
      <c r="F2756" s="8" t="s">
        <v>434</v>
      </c>
      <c r="G2756" s="24">
        <v>0.84855252240045498</v>
      </c>
      <c r="H2756" s="24">
        <v>0.85346542490609989</v>
      </c>
      <c r="I2756" s="25">
        <v>0.86839137034474267</v>
      </c>
      <c r="X2756" s="15">
        <v>2755</v>
      </c>
      <c r="Y2756" s="39">
        <v>0.48216125351083866</v>
      </c>
      <c r="Z2756" s="39">
        <v>0.49580041810129694</v>
      </c>
      <c r="AA2756" s="39">
        <v>0.49089993066812482</v>
      </c>
      <c r="AB2756" s="39">
        <v>0.49049699244404649</v>
      </c>
      <c r="AC2756" s="39">
        <v>0.47669232686397711</v>
      </c>
      <c r="AD2756" s="39">
        <v>0.48756052839136443</v>
      </c>
      <c r="AE2756" s="39">
        <v>0.48395243758951495</v>
      </c>
      <c r="AF2756" s="40">
        <v>0.48724194722423708</v>
      </c>
    </row>
    <row r="2757" spans="1:32">
      <c r="A2757" s="15">
        <v>2755</v>
      </c>
      <c r="B2757" s="16">
        <v>1</v>
      </c>
      <c r="C2757" s="20">
        <v>0.25</v>
      </c>
      <c r="D2757" s="20">
        <v>0.7374903575206162</v>
      </c>
      <c r="E2757" s="20">
        <v>0.09</v>
      </c>
      <c r="F2757" s="8" t="s">
        <v>436</v>
      </c>
      <c r="G2757" s="24">
        <v>1.0866489494128291</v>
      </c>
      <c r="H2757" s="24">
        <v>1.0929403694550728</v>
      </c>
      <c r="I2757" s="25">
        <v>1.1120544048291143</v>
      </c>
      <c r="X2757" s="15">
        <v>2756</v>
      </c>
      <c r="Y2757" s="39">
        <v>0.47938248789538701</v>
      </c>
      <c r="Z2757" s="39">
        <v>0.48966316393215403</v>
      </c>
      <c r="AA2757" s="39">
        <v>0.49641417191087811</v>
      </c>
      <c r="AB2757" s="39">
        <v>0.49813832174431832</v>
      </c>
      <c r="AC2757" s="39">
        <v>0.47006099929977452</v>
      </c>
      <c r="AD2757" s="39">
        <v>0.47975441850817019</v>
      </c>
      <c r="AE2757" s="39">
        <v>0.48785466965645957</v>
      </c>
      <c r="AF2757" s="40">
        <v>0.49322507996876147</v>
      </c>
    </row>
    <row r="2758" spans="1:32">
      <c r="A2758" s="15">
        <v>2756</v>
      </c>
      <c r="B2758" s="16">
        <v>1</v>
      </c>
      <c r="C2758" s="20">
        <v>0.02</v>
      </c>
      <c r="D2758" s="20">
        <v>0.99835916395484214</v>
      </c>
      <c r="E2758" s="20">
        <v>1</v>
      </c>
      <c r="F2758" s="8" t="s">
        <v>436</v>
      </c>
      <c r="G2758" s="24">
        <v>1.1625297722987793</v>
      </c>
      <c r="H2758" s="24">
        <v>1.1692605229364141</v>
      </c>
      <c r="I2758" s="25">
        <v>1.1897092936301161</v>
      </c>
      <c r="X2758" s="15">
        <v>2757</v>
      </c>
      <c r="Y2758" s="39">
        <v>0.47240186600636402</v>
      </c>
      <c r="Z2758" s="39">
        <v>0.47374730778342694</v>
      </c>
      <c r="AA2758" s="39">
        <v>0.47741136017901808</v>
      </c>
      <c r="AB2758" s="39">
        <v>0.47611167656410674</v>
      </c>
      <c r="AC2758" s="39">
        <v>0.46437723596433034</v>
      </c>
      <c r="AD2758" s="39">
        <v>0.46936027133476949</v>
      </c>
      <c r="AE2758" s="39">
        <v>0.47036180641514846</v>
      </c>
      <c r="AF2758" s="40">
        <v>0.47074036470601166</v>
      </c>
    </row>
    <row r="2759" spans="1:32">
      <c r="A2759" s="15">
        <v>2757</v>
      </c>
      <c r="B2759" s="16">
        <v>0</v>
      </c>
      <c r="C2759" s="20">
        <v>0.48</v>
      </c>
      <c r="D2759" s="20">
        <v>0.47111217233675318</v>
      </c>
      <c r="E2759" s="20">
        <v>0.09</v>
      </c>
      <c r="F2759" s="8" t="s">
        <v>436</v>
      </c>
      <c r="G2759" s="24">
        <v>1.478771460007126</v>
      </c>
      <c r="H2759" s="24">
        <v>1.4873331692936569</v>
      </c>
      <c r="I2759" s="25">
        <v>1.5133445964541694</v>
      </c>
      <c r="X2759" s="15">
        <v>2758</v>
      </c>
      <c r="Y2759" s="39">
        <v>0.47624648330277408</v>
      </c>
      <c r="Z2759" s="39">
        <v>0.48258479556698641</v>
      </c>
      <c r="AA2759" s="39">
        <v>0.49204935460329813</v>
      </c>
      <c r="AB2759" s="39">
        <v>0.49672947119767563</v>
      </c>
      <c r="AC2759" s="39">
        <v>0.47225840648763956</v>
      </c>
      <c r="AD2759" s="39">
        <v>0.47793112600100301</v>
      </c>
      <c r="AE2759" s="39">
        <v>0.48064273163099219</v>
      </c>
      <c r="AF2759" s="40">
        <v>0.49200774338077735</v>
      </c>
    </row>
    <row r="2760" spans="1:32">
      <c r="A2760" s="15">
        <v>2758</v>
      </c>
      <c r="B2760" s="16">
        <v>0</v>
      </c>
      <c r="C2760" s="20">
        <v>0.91</v>
      </c>
      <c r="D2760" s="20">
        <v>0.21727233298780477</v>
      </c>
      <c r="E2760" s="20">
        <v>0.09</v>
      </c>
      <c r="F2760" s="8" t="s">
        <v>434</v>
      </c>
      <c r="G2760" s="24">
        <v>0.93661739610479322</v>
      </c>
      <c r="H2760" s="24">
        <v>0.94204017175000221</v>
      </c>
      <c r="I2760" s="25">
        <v>0.95851516862066888</v>
      </c>
      <c r="X2760" s="15">
        <v>2759</v>
      </c>
      <c r="Y2760" s="39">
        <v>0.47830585425375433</v>
      </c>
      <c r="Z2760" s="39">
        <v>0.48001111406055391</v>
      </c>
      <c r="AA2760" s="39">
        <v>0.48834024927513875</v>
      </c>
      <c r="AB2760" s="39">
        <v>0.49456982300466013</v>
      </c>
      <c r="AC2760" s="39">
        <v>0.46981337181385158</v>
      </c>
      <c r="AD2760" s="39">
        <v>0.47545952722097201</v>
      </c>
      <c r="AE2760" s="39">
        <v>0.48107264562994512</v>
      </c>
      <c r="AF2760" s="40">
        <v>0.48935550946301765</v>
      </c>
    </row>
    <row r="2761" spans="1:32">
      <c r="A2761" s="15">
        <v>2759</v>
      </c>
      <c r="B2761" s="16">
        <v>0</v>
      </c>
      <c r="C2761" s="20">
        <v>0.16</v>
      </c>
      <c r="D2761" s="20">
        <v>0.89189116155809522</v>
      </c>
      <c r="E2761" s="20">
        <v>0.05</v>
      </c>
      <c r="F2761" s="8" t="s">
        <v>436</v>
      </c>
      <c r="G2761" s="24">
        <v>0.88053908461877484</v>
      </c>
      <c r="H2761" s="24">
        <v>0.88563718115486678</v>
      </c>
      <c r="I2761" s="25">
        <v>0.9011257667010304</v>
      </c>
      <c r="X2761" s="15">
        <v>2760</v>
      </c>
      <c r="Y2761" s="39">
        <v>0.49115496075854886</v>
      </c>
      <c r="Z2761" s="39">
        <v>0.48852028614834814</v>
      </c>
      <c r="AA2761" s="39">
        <v>0.49410567035933134</v>
      </c>
      <c r="AB2761" s="39">
        <v>0.48851571812525169</v>
      </c>
      <c r="AC2761" s="39">
        <v>0.48221143402530625</v>
      </c>
      <c r="AD2761" s="39">
        <v>0.48100473989208031</v>
      </c>
      <c r="AE2761" s="39">
        <v>0.48508481698381289</v>
      </c>
      <c r="AF2761" s="40">
        <v>0.48458520432672736</v>
      </c>
    </row>
    <row r="2762" spans="1:32">
      <c r="A2762" s="15">
        <v>2760</v>
      </c>
      <c r="B2762" s="16">
        <v>1</v>
      </c>
      <c r="C2762" s="20">
        <v>0.02</v>
      </c>
      <c r="D2762" s="20">
        <v>0.99679477127711513</v>
      </c>
      <c r="E2762" s="20">
        <v>1</v>
      </c>
      <c r="F2762" s="8" t="s">
        <v>436</v>
      </c>
      <c r="G2762" s="24">
        <v>1.0435877562297313</v>
      </c>
      <c r="H2762" s="24">
        <v>1.04962986295512</v>
      </c>
      <c r="I2762" s="25">
        <v>1.0679864566823492</v>
      </c>
      <c r="X2762" s="15">
        <v>2761</v>
      </c>
      <c r="Y2762" s="39">
        <v>0.46793613940493173</v>
      </c>
      <c r="Z2762" s="39">
        <v>0.47093727446081091</v>
      </c>
      <c r="AA2762" s="39">
        <v>0.48495255447609964</v>
      </c>
      <c r="AB2762" s="39">
        <v>0.49761006384005207</v>
      </c>
      <c r="AC2762" s="39">
        <v>0.46363686343692134</v>
      </c>
      <c r="AD2762" s="39">
        <v>0.46467963397008921</v>
      </c>
      <c r="AE2762" s="39">
        <v>0.47737920459860217</v>
      </c>
      <c r="AF2762" s="40">
        <v>0.49112385933953029</v>
      </c>
    </row>
    <row r="2763" spans="1:32">
      <c r="A2763" s="15">
        <v>2761</v>
      </c>
      <c r="B2763" s="16">
        <v>0</v>
      </c>
      <c r="C2763" s="20">
        <v>0.56000000000000005</v>
      </c>
      <c r="D2763" s="20">
        <v>0.54735937759752806</v>
      </c>
      <c r="E2763" s="20">
        <v>7.0000000000000007E-2</v>
      </c>
      <c r="F2763" s="8" t="s">
        <v>438</v>
      </c>
      <c r="G2763" s="24">
        <v>0.7934344012420107</v>
      </c>
      <c r="H2763" s="24">
        <v>0.79802818389543984</v>
      </c>
      <c r="I2763" s="25">
        <v>0.8119846076517192</v>
      </c>
      <c r="X2763" s="15">
        <v>2762</v>
      </c>
      <c r="Y2763" s="39">
        <v>0.49196850159167738</v>
      </c>
      <c r="Z2763" s="39">
        <v>0.48780870761923323</v>
      </c>
      <c r="AA2763" s="39">
        <v>0.48770247146245055</v>
      </c>
      <c r="AB2763" s="39">
        <v>0.4886673007929504</v>
      </c>
      <c r="AC2763" s="39">
        <v>0.48278410922697285</v>
      </c>
      <c r="AD2763" s="39">
        <v>0.48257799076599672</v>
      </c>
      <c r="AE2763" s="39">
        <v>0.4819118925219289</v>
      </c>
      <c r="AF2763" s="40">
        <v>0.48254147288070065</v>
      </c>
    </row>
    <row r="2764" spans="1:32">
      <c r="A2764" s="15">
        <v>2762</v>
      </c>
      <c r="B2764" s="16">
        <v>0</v>
      </c>
      <c r="C2764" s="20">
        <v>0.01</v>
      </c>
      <c r="D2764" s="20">
        <v>0.99999999999999978</v>
      </c>
      <c r="E2764" s="20">
        <v>1</v>
      </c>
      <c r="F2764" s="8" t="s">
        <v>436</v>
      </c>
      <c r="G2764" s="24">
        <v>1.0761498560198497</v>
      </c>
      <c r="H2764" s="24">
        <v>1.0823804889913162</v>
      </c>
      <c r="I2764" s="25">
        <v>1.101309846468584</v>
      </c>
      <c r="X2764" s="15">
        <v>2763</v>
      </c>
      <c r="Y2764" s="39">
        <v>0.49600522949911185</v>
      </c>
      <c r="Z2764" s="39">
        <v>0.48715680638004011</v>
      </c>
      <c r="AA2764" s="39">
        <v>0.48524024842369301</v>
      </c>
      <c r="AB2764" s="39">
        <v>0.48559986211260192</v>
      </c>
      <c r="AC2764" s="39">
        <v>0.48593135448720109</v>
      </c>
      <c r="AD2764" s="39">
        <v>0.4808712393216541</v>
      </c>
      <c r="AE2764" s="39">
        <v>0.47689703658625993</v>
      </c>
      <c r="AF2764" s="40">
        <v>0.47918246569998874</v>
      </c>
    </row>
    <row r="2765" spans="1:32">
      <c r="A2765" s="15">
        <v>2763</v>
      </c>
      <c r="B2765" s="16">
        <v>0</v>
      </c>
      <c r="C2765" s="20">
        <v>0.24</v>
      </c>
      <c r="D2765" s="20">
        <v>0.73045876235034268</v>
      </c>
      <c r="E2765" s="20">
        <v>0.09</v>
      </c>
      <c r="F2765" s="8" t="s">
        <v>436</v>
      </c>
      <c r="G2765" s="24">
        <v>1.1329002988634496</v>
      </c>
      <c r="H2765" s="24">
        <v>1.1394595024130272</v>
      </c>
      <c r="I2765" s="25">
        <v>1.1593870939313726</v>
      </c>
      <c r="X2765" s="15">
        <v>2764</v>
      </c>
      <c r="Y2765" s="39">
        <v>0.49490848340846688</v>
      </c>
      <c r="Z2765" s="39">
        <v>0.48083038328705224</v>
      </c>
      <c r="AA2765" s="39">
        <v>0.4783776681424789</v>
      </c>
      <c r="AB2765" s="39">
        <v>0.49521459013337393</v>
      </c>
      <c r="AC2765" s="39">
        <v>0.48518375985661671</v>
      </c>
      <c r="AD2765" s="39">
        <v>0.47474029755525055</v>
      </c>
      <c r="AE2765" s="39">
        <v>0.47094903451040798</v>
      </c>
      <c r="AF2765" s="40">
        <v>0.49300209883590562</v>
      </c>
    </row>
    <row r="2766" spans="1:32">
      <c r="A2766" s="15">
        <v>2764</v>
      </c>
      <c r="B2766" s="16">
        <v>0</v>
      </c>
      <c r="C2766" s="20">
        <v>0.02</v>
      </c>
      <c r="D2766" s="20">
        <v>0.99835916395484214</v>
      </c>
      <c r="E2766" s="20">
        <v>1</v>
      </c>
      <c r="F2766" s="8" t="s">
        <v>436</v>
      </c>
      <c r="G2766" s="24">
        <v>1.049051041941335</v>
      </c>
      <c r="H2766" s="24">
        <v>1.0551247796964516</v>
      </c>
      <c r="I2766" s="25">
        <v>1.0735774720178095</v>
      </c>
      <c r="X2766" s="15">
        <v>2765</v>
      </c>
      <c r="Y2766" s="39">
        <v>0.47074253095020313</v>
      </c>
      <c r="Z2766" s="39">
        <v>0.48745324373670934</v>
      </c>
      <c r="AA2766" s="39">
        <v>0.48012876460949178</v>
      </c>
      <c r="AB2766" s="39">
        <v>0.48558275378375421</v>
      </c>
      <c r="AC2766" s="39">
        <v>0.46230421881107686</v>
      </c>
      <c r="AD2766" s="39">
        <v>0.47867783415393372</v>
      </c>
      <c r="AE2766" s="39">
        <v>0.47386770162850073</v>
      </c>
      <c r="AF2766" s="40">
        <v>0.48147415082415146</v>
      </c>
    </row>
    <row r="2767" spans="1:32">
      <c r="A2767" s="15">
        <v>2765</v>
      </c>
      <c r="B2767" s="16">
        <v>1</v>
      </c>
      <c r="C2767" s="20">
        <v>0.24</v>
      </c>
      <c r="D2767" s="20">
        <v>0.7538320081394575</v>
      </c>
      <c r="E2767" s="20">
        <v>7.0000000000000007E-2</v>
      </c>
      <c r="F2767" s="8" t="s">
        <v>436</v>
      </c>
      <c r="G2767" s="24">
        <v>0.98034325923651744</v>
      </c>
      <c r="H2767" s="24">
        <v>0.98601919646792224</v>
      </c>
      <c r="I2767" s="25">
        <v>1.0032633264566138</v>
      </c>
      <c r="X2767" s="15">
        <v>2766</v>
      </c>
      <c r="Y2767" s="39">
        <v>0.47759806943372335</v>
      </c>
      <c r="Z2767" s="39">
        <v>0.49625457246076421</v>
      </c>
      <c r="AA2767" s="39">
        <v>0.48768624321297294</v>
      </c>
      <c r="AB2767" s="39">
        <v>0.50020270843595438</v>
      </c>
      <c r="AC2767" s="39">
        <v>0.47021461204010961</v>
      </c>
      <c r="AD2767" s="39">
        <v>0.4871043525414705</v>
      </c>
      <c r="AE2767" s="39">
        <v>0.47951926310876936</v>
      </c>
      <c r="AF2767" s="40">
        <v>0.49507088222331269</v>
      </c>
    </row>
    <row r="2768" spans="1:32">
      <c r="A2768" s="15">
        <v>2766</v>
      </c>
      <c r="B2768" s="16">
        <v>0</v>
      </c>
      <c r="C2768" s="20">
        <v>0.95</v>
      </c>
      <c r="D2768" s="20">
        <v>0.15570568692893463</v>
      </c>
      <c r="E2768" s="20">
        <v>0.05</v>
      </c>
      <c r="F2768" s="8" t="s">
        <v>434</v>
      </c>
      <c r="G2768" s="24">
        <v>0.82183911943734633</v>
      </c>
      <c r="H2768" s="24">
        <v>0.82659735815862057</v>
      </c>
      <c r="I2768" s="25">
        <v>0.84105341778043741</v>
      </c>
      <c r="X2768" s="15">
        <v>2767</v>
      </c>
      <c r="Y2768" s="39">
        <v>0.48057339574227059</v>
      </c>
      <c r="Z2768" s="39">
        <v>0.47464019131297847</v>
      </c>
      <c r="AA2768" s="39">
        <v>0.48146005371039191</v>
      </c>
      <c r="AB2768" s="39">
        <v>0.48396780746034102</v>
      </c>
      <c r="AC2768" s="39">
        <v>0.47254926607459447</v>
      </c>
      <c r="AD2768" s="39">
        <v>0.46886240635904397</v>
      </c>
      <c r="AE2768" s="39">
        <v>0.4763923976899202</v>
      </c>
      <c r="AF2768" s="40">
        <v>0.47865556763853562</v>
      </c>
    </row>
    <row r="2769" spans="1:32">
      <c r="A2769" s="15">
        <v>2767</v>
      </c>
      <c r="B2769" s="16">
        <v>1</v>
      </c>
      <c r="C2769" s="20">
        <v>0.02</v>
      </c>
      <c r="D2769" s="20">
        <v>0.99835916395484214</v>
      </c>
      <c r="E2769" s="20">
        <v>1</v>
      </c>
      <c r="F2769" s="8" t="s">
        <v>436</v>
      </c>
      <c r="G2769" s="24">
        <v>1.005655758572888</v>
      </c>
      <c r="H2769" s="24">
        <v>1.0114782487142553</v>
      </c>
      <c r="I2769" s="25">
        <v>1.0291676227792257</v>
      </c>
      <c r="X2769" s="15">
        <v>2768</v>
      </c>
      <c r="Y2769" s="39">
        <v>0.5010702167446448</v>
      </c>
      <c r="Z2769" s="39">
        <v>0.47491615969369638</v>
      </c>
      <c r="AA2769" s="39">
        <v>0.49965889160096999</v>
      </c>
      <c r="AB2769" s="39">
        <v>0.49250858313153983</v>
      </c>
      <c r="AC2769" s="39">
        <v>0.49541380162075327</v>
      </c>
      <c r="AD2769" s="39">
        <v>0.46696382958633925</v>
      </c>
      <c r="AE2769" s="39">
        <v>0.49293649139937146</v>
      </c>
      <c r="AF2769" s="40">
        <v>0.48645651784062716</v>
      </c>
    </row>
    <row r="2770" spans="1:32">
      <c r="A2770" s="15">
        <v>2768</v>
      </c>
      <c r="B2770" s="16">
        <v>0</v>
      </c>
      <c r="C2770" s="20">
        <v>0.91</v>
      </c>
      <c r="D2770" s="20">
        <v>0.21727233298780477</v>
      </c>
      <c r="E2770" s="20">
        <v>0.09</v>
      </c>
      <c r="F2770" s="8" t="s">
        <v>434</v>
      </c>
      <c r="G2770" s="24">
        <v>0.39260543733210745</v>
      </c>
      <c r="H2770" s="24">
        <v>0.39487852259893602</v>
      </c>
      <c r="I2770" s="25">
        <v>0.40178440901355217</v>
      </c>
      <c r="X2770" s="15">
        <v>2769</v>
      </c>
      <c r="Y2770" s="39">
        <v>0.48387649580979236</v>
      </c>
      <c r="Z2770" s="39">
        <v>0.49384866777374686</v>
      </c>
      <c r="AA2770" s="39">
        <v>0.47857439440614241</v>
      </c>
      <c r="AB2770" s="39">
        <v>0.47321589007174425</v>
      </c>
      <c r="AC2770" s="39">
        <v>0.47748927738748193</v>
      </c>
      <c r="AD2770" s="39">
        <v>0.48944014770278194</v>
      </c>
      <c r="AE2770" s="39">
        <v>0.46992174595228631</v>
      </c>
      <c r="AF2770" s="40">
        <v>0.46859681671852765</v>
      </c>
    </row>
    <row r="2771" spans="1:32">
      <c r="A2771" s="15">
        <v>2769</v>
      </c>
      <c r="B2771" s="16">
        <v>0</v>
      </c>
      <c r="C2771" s="20">
        <v>0.52</v>
      </c>
      <c r="D2771" s="20">
        <v>0.46784425933520968</v>
      </c>
      <c r="E2771" s="20">
        <v>7.0000000000000007E-2</v>
      </c>
      <c r="F2771" s="8" t="s">
        <v>438</v>
      </c>
      <c r="G2771" s="24">
        <v>1.2036706374904287</v>
      </c>
      <c r="H2771" s="24">
        <v>1.2106395832360253</v>
      </c>
      <c r="I2771" s="25">
        <v>1.2318120172186091</v>
      </c>
      <c r="X2771" s="15">
        <v>2770</v>
      </c>
      <c r="Y2771" s="39">
        <v>0.48571680563500136</v>
      </c>
      <c r="Z2771" s="39">
        <v>0.47992807280524519</v>
      </c>
      <c r="AA2771" s="39">
        <v>0.49291977619396127</v>
      </c>
      <c r="AB2771" s="39">
        <v>0.49137589017626354</v>
      </c>
      <c r="AC2771" s="39">
        <v>0.47981997513524405</v>
      </c>
      <c r="AD2771" s="39">
        <v>0.47306433824124516</v>
      </c>
      <c r="AE2771" s="39">
        <v>0.48716055259977881</v>
      </c>
      <c r="AF2771" s="40">
        <v>0.4858313406770105</v>
      </c>
    </row>
    <row r="2772" spans="1:32">
      <c r="A2772" s="15">
        <v>2770</v>
      </c>
      <c r="B2772" s="16">
        <v>1</v>
      </c>
      <c r="C2772" s="20">
        <v>0.38</v>
      </c>
      <c r="D2772" s="20">
        <v>0.7063293876158131</v>
      </c>
      <c r="E2772" s="20">
        <v>0.44</v>
      </c>
      <c r="F2772" s="8" t="s">
        <v>436</v>
      </c>
      <c r="G2772" s="24">
        <v>1.2322916072229761</v>
      </c>
      <c r="H2772" s="24">
        <v>1.2394262610776186</v>
      </c>
      <c r="I2772" s="25">
        <v>1.2611021347664688</v>
      </c>
      <c r="X2772" s="15">
        <v>2771</v>
      </c>
      <c r="Y2772" s="39">
        <v>0.49483349705811097</v>
      </c>
      <c r="Z2772" s="39">
        <v>0.47715576131350912</v>
      </c>
      <c r="AA2772" s="39">
        <v>0.49052478739436767</v>
      </c>
      <c r="AB2772" s="39">
        <v>0.48802083487736903</v>
      </c>
      <c r="AC2772" s="39">
        <v>0.48877430646591891</v>
      </c>
      <c r="AD2772" s="39">
        <v>0.47112451915448783</v>
      </c>
      <c r="AE2772" s="39">
        <v>0.48276669705740333</v>
      </c>
      <c r="AF2772" s="40">
        <v>0.48331370175535915</v>
      </c>
    </row>
    <row r="2773" spans="1:32">
      <c r="A2773" s="15">
        <v>2771</v>
      </c>
      <c r="B2773" s="16">
        <v>1</v>
      </c>
      <c r="C2773" s="20">
        <v>0.31</v>
      </c>
      <c r="D2773" s="20">
        <v>0.76117827134946692</v>
      </c>
      <c r="E2773" s="20">
        <v>0.05</v>
      </c>
      <c r="F2773" s="8" t="s">
        <v>436</v>
      </c>
      <c r="G2773" s="24">
        <v>0.81052347993973528</v>
      </c>
      <c r="H2773" s="24">
        <v>0.81521620399671557</v>
      </c>
      <c r="I2773" s="25">
        <v>0.82947322276568469</v>
      </c>
      <c r="X2773" s="15">
        <v>2772</v>
      </c>
      <c r="Y2773" s="39">
        <v>0.47789037249985433</v>
      </c>
      <c r="Z2773" s="39">
        <v>0.47427358262406116</v>
      </c>
      <c r="AA2773" s="39">
        <v>0.48851568931146638</v>
      </c>
      <c r="AB2773" s="39">
        <v>0.49321184415230857</v>
      </c>
      <c r="AC2773" s="39">
        <v>0.46860448333926508</v>
      </c>
      <c r="AD2773" s="39">
        <v>0.46812061551589867</v>
      </c>
      <c r="AE2773" s="39">
        <v>0.48244820753899242</v>
      </c>
      <c r="AF2773" s="40">
        <v>0.48713782427516999</v>
      </c>
    </row>
    <row r="2774" spans="1:32">
      <c r="A2774" s="15">
        <v>2772</v>
      </c>
      <c r="B2774" s="16">
        <v>1</v>
      </c>
      <c r="C2774" s="20">
        <v>0.03</v>
      </c>
      <c r="D2774" s="20">
        <v>0.9956483904099791</v>
      </c>
      <c r="E2774" s="20">
        <v>1</v>
      </c>
      <c r="F2774" s="8" t="s">
        <v>436</v>
      </c>
      <c r="G2774" s="24">
        <v>1.1693441473776838</v>
      </c>
      <c r="H2774" s="24">
        <v>1.1761143515076078</v>
      </c>
      <c r="I2774" s="25">
        <v>1.196682986308647</v>
      </c>
      <c r="X2774" s="15">
        <v>2773</v>
      </c>
      <c r="Y2774" s="39">
        <v>0.4733432936074603</v>
      </c>
      <c r="Z2774" s="39">
        <v>0.4862500015549262</v>
      </c>
      <c r="AA2774" s="39">
        <v>0.48471526925477698</v>
      </c>
      <c r="AB2774" s="39">
        <v>0.486270924247582</v>
      </c>
      <c r="AC2774" s="39">
        <v>0.46913339021591144</v>
      </c>
      <c r="AD2774" s="39">
        <v>0.48108126030999582</v>
      </c>
      <c r="AE2774" s="39">
        <v>0.47698195439099317</v>
      </c>
      <c r="AF2774" s="40">
        <v>0.48128331048490552</v>
      </c>
    </row>
    <row r="2775" spans="1:32">
      <c r="A2775" s="15">
        <v>2773</v>
      </c>
      <c r="B2775" s="16">
        <v>0</v>
      </c>
      <c r="C2775" s="20">
        <v>0.08</v>
      </c>
      <c r="D2775" s="20">
        <v>0.94167480803070069</v>
      </c>
      <c r="E2775" s="20">
        <v>0.48</v>
      </c>
      <c r="F2775" s="8" t="s">
        <v>436</v>
      </c>
      <c r="G2775" s="24">
        <v>1.4184165323921825</v>
      </c>
      <c r="H2775" s="24">
        <v>1.4266288020538465</v>
      </c>
      <c r="I2775" s="25">
        <v>1.4515785926830274</v>
      </c>
      <c r="X2775" s="15">
        <v>2774</v>
      </c>
      <c r="Y2775" s="39">
        <v>0.48473201568600588</v>
      </c>
      <c r="Z2775" s="39">
        <v>0.47756297244180812</v>
      </c>
      <c r="AA2775" s="39">
        <v>0.497436986778999</v>
      </c>
      <c r="AB2775" s="39">
        <v>0.493554500263923</v>
      </c>
      <c r="AC2775" s="39">
        <v>0.47724331254289604</v>
      </c>
      <c r="AD2775" s="39">
        <v>0.47199792802809692</v>
      </c>
      <c r="AE2775" s="39">
        <v>0.49199156055012555</v>
      </c>
      <c r="AF2775" s="40">
        <v>0.48866478309315803</v>
      </c>
    </row>
    <row r="2776" spans="1:32">
      <c r="A2776" s="15">
        <v>2774</v>
      </c>
      <c r="B2776" s="16">
        <v>0</v>
      </c>
      <c r="C2776" s="20">
        <v>0.89</v>
      </c>
      <c r="D2776" s="20">
        <v>0.24559627500636821</v>
      </c>
      <c r="E2776" s="20">
        <v>0.11</v>
      </c>
      <c r="F2776" s="8" t="s">
        <v>434</v>
      </c>
      <c r="G2776" s="24">
        <v>0.71178454664617097</v>
      </c>
      <c r="H2776" s="24">
        <v>0.71590559748319504</v>
      </c>
      <c r="I2776" s="25">
        <v>0.72842580928723943</v>
      </c>
      <c r="X2776" s="15">
        <v>2775</v>
      </c>
      <c r="Y2776" s="39">
        <v>0.48374940437329161</v>
      </c>
      <c r="Z2776" s="39">
        <v>0.48672255979571794</v>
      </c>
      <c r="AA2776" s="39">
        <v>0.49807860785413788</v>
      </c>
      <c r="AB2776" s="39">
        <v>0.49038949969972651</v>
      </c>
      <c r="AC2776" s="39">
        <v>0.47475037216666571</v>
      </c>
      <c r="AD2776" s="39">
        <v>0.47865959190673774</v>
      </c>
      <c r="AE2776" s="39">
        <v>0.49192152125302213</v>
      </c>
      <c r="AF2776" s="40">
        <v>0.48443694301637297</v>
      </c>
    </row>
    <row r="2777" spans="1:32">
      <c r="A2777" s="15">
        <v>2775</v>
      </c>
      <c r="B2777" s="16">
        <v>0</v>
      </c>
      <c r="C2777" s="20">
        <v>0.03</v>
      </c>
      <c r="D2777" s="20">
        <v>0.99144377102310133</v>
      </c>
      <c r="E2777" s="20">
        <v>1</v>
      </c>
      <c r="F2777" s="8" t="s">
        <v>436</v>
      </c>
      <c r="G2777" s="24">
        <v>1.0322308490280403</v>
      </c>
      <c r="H2777" s="24">
        <v>1.0382072021596624</v>
      </c>
      <c r="I2777" s="25">
        <v>1.0563640291396728</v>
      </c>
      <c r="X2777" s="15">
        <v>2776</v>
      </c>
      <c r="Y2777" s="39">
        <v>0.48739609128652833</v>
      </c>
      <c r="Z2777" s="39">
        <v>0.49937273041791147</v>
      </c>
      <c r="AA2777" s="39">
        <v>0.49640074311490479</v>
      </c>
      <c r="AB2777" s="39">
        <v>0.48689603170806811</v>
      </c>
      <c r="AC2777" s="39">
        <v>0.48094067038262839</v>
      </c>
      <c r="AD2777" s="39">
        <v>0.48920884850094964</v>
      </c>
      <c r="AE2777" s="39">
        <v>0.48987040221986339</v>
      </c>
      <c r="AF2777" s="40">
        <v>0.48116354143046441</v>
      </c>
    </row>
    <row r="2778" spans="1:32">
      <c r="A2778" s="15">
        <v>2776</v>
      </c>
      <c r="B2778" s="16">
        <v>1</v>
      </c>
      <c r="C2778" s="20">
        <v>0.89</v>
      </c>
      <c r="D2778" s="20">
        <v>0.24559627500636821</v>
      </c>
      <c r="E2778" s="20">
        <v>0.11</v>
      </c>
      <c r="F2778" s="8" t="s">
        <v>434</v>
      </c>
      <c r="G2778" s="24">
        <v>1.0074979393074159</v>
      </c>
      <c r="H2778" s="24">
        <v>1.0133310952050063</v>
      </c>
      <c r="I2778" s="25">
        <v>1.0310528730262627</v>
      </c>
      <c r="X2778" s="15">
        <v>2777</v>
      </c>
      <c r="Y2778" s="39">
        <v>0.48685189252074568</v>
      </c>
      <c r="Z2778" s="39">
        <v>0.49575103127017206</v>
      </c>
      <c r="AA2778" s="39">
        <v>0.48013698321211051</v>
      </c>
      <c r="AB2778" s="39">
        <v>0.49629631464635726</v>
      </c>
      <c r="AC2778" s="39">
        <v>0.47961531449941763</v>
      </c>
      <c r="AD2778" s="39">
        <v>0.4895327889517635</v>
      </c>
      <c r="AE2778" s="39">
        <v>0.4711961024347025</v>
      </c>
      <c r="AF2778" s="40">
        <v>0.49325073853114154</v>
      </c>
    </row>
    <row r="2779" spans="1:32">
      <c r="A2779" s="15">
        <v>2777</v>
      </c>
      <c r="B2779" s="16">
        <v>0</v>
      </c>
      <c r="C2779" s="20">
        <v>0.02</v>
      </c>
      <c r="D2779" s="20">
        <v>0.99917029198757767</v>
      </c>
      <c r="E2779" s="20">
        <v>1</v>
      </c>
      <c r="F2779" s="8" t="s">
        <v>436</v>
      </c>
      <c r="G2779" s="24">
        <v>1.0806611011774716</v>
      </c>
      <c r="H2779" s="24">
        <v>1.0869178531068733</v>
      </c>
      <c r="I2779" s="25">
        <v>1.1059265628897506</v>
      </c>
      <c r="X2779" s="15">
        <v>2778</v>
      </c>
      <c r="Y2779" s="39">
        <v>0.47020579833113357</v>
      </c>
      <c r="Z2779" s="39">
        <v>0.49814558564704164</v>
      </c>
      <c r="AA2779" s="39">
        <v>0.47544018026128188</v>
      </c>
      <c r="AB2779" s="39">
        <v>0.49842362688392994</v>
      </c>
      <c r="AC2779" s="39">
        <v>0.46627115603107783</v>
      </c>
      <c r="AD2779" s="39">
        <v>0.49199133233127301</v>
      </c>
      <c r="AE2779" s="39">
        <v>0.4677926094868054</v>
      </c>
      <c r="AF2779" s="40">
        <v>0.49344165230857101</v>
      </c>
    </row>
    <row r="2780" spans="1:32">
      <c r="A2780" s="15">
        <v>2778</v>
      </c>
      <c r="B2780" s="16">
        <v>1</v>
      </c>
      <c r="C2780" s="20">
        <v>0.21</v>
      </c>
      <c r="D2780" s="20">
        <v>0.78083830821367028</v>
      </c>
      <c r="E2780" s="20">
        <v>7.0000000000000007E-2</v>
      </c>
      <c r="F2780" s="8" t="s">
        <v>436</v>
      </c>
      <c r="G2780" s="24">
        <v>1.3095540192320567</v>
      </c>
      <c r="H2780" s="24">
        <v>1.3171360027304526</v>
      </c>
      <c r="I2780" s="25">
        <v>1.3401709137395188</v>
      </c>
      <c r="X2780" s="15">
        <v>2779</v>
      </c>
      <c r="Y2780" s="39">
        <v>0.49600147378130138</v>
      </c>
      <c r="Z2780" s="39">
        <v>0.49423349709882691</v>
      </c>
      <c r="AA2780" s="39">
        <v>0.50233278026220574</v>
      </c>
      <c r="AB2780" s="39">
        <v>0.48667786177379241</v>
      </c>
      <c r="AC2780" s="39">
        <v>0.48925807870665405</v>
      </c>
      <c r="AD2780" s="39">
        <v>0.48517728007783928</v>
      </c>
      <c r="AE2780" s="39">
        <v>0.49664081333190307</v>
      </c>
      <c r="AF2780" s="40">
        <v>0.48424108736427562</v>
      </c>
    </row>
    <row r="2781" spans="1:32">
      <c r="A2781" s="15">
        <v>2779</v>
      </c>
      <c r="B2781" s="16">
        <v>0</v>
      </c>
      <c r="C2781" s="20">
        <v>0.3</v>
      </c>
      <c r="D2781" s="20">
        <v>0.71342903861910112</v>
      </c>
      <c r="E2781" s="20">
        <v>0.05</v>
      </c>
      <c r="F2781" s="8" t="s">
        <v>436</v>
      </c>
      <c r="G2781" s="24">
        <v>0.93131221816862531</v>
      </c>
      <c r="H2781" s="24">
        <v>0.93670427818776814</v>
      </c>
      <c r="I2781" s="25">
        <v>0.95308595756266745</v>
      </c>
      <c r="X2781" s="15">
        <v>2780</v>
      </c>
      <c r="Y2781" s="39">
        <v>0.48348512905431879</v>
      </c>
      <c r="Z2781" s="39">
        <v>0.48554916196829556</v>
      </c>
      <c r="AA2781" s="39">
        <v>0.49773562661852921</v>
      </c>
      <c r="AB2781" s="39">
        <v>0.47952718751524087</v>
      </c>
      <c r="AC2781" s="39">
        <v>0.47408107683736767</v>
      </c>
      <c r="AD2781" s="39">
        <v>0.47877576198687349</v>
      </c>
      <c r="AE2781" s="39">
        <v>0.4911025320022962</v>
      </c>
      <c r="AF2781" s="40">
        <v>0.4735622931775052</v>
      </c>
    </row>
    <row r="2782" spans="1:32">
      <c r="A2782" s="15">
        <v>2780</v>
      </c>
      <c r="B2782" s="16">
        <v>1</v>
      </c>
      <c r="C2782" s="20">
        <v>0.55000000000000004</v>
      </c>
      <c r="D2782" s="20">
        <v>0.47565667557364061</v>
      </c>
      <c r="E2782" s="20">
        <v>0.05</v>
      </c>
      <c r="F2782" s="8" t="s">
        <v>438</v>
      </c>
      <c r="G2782" s="24">
        <v>1.4032826057739656</v>
      </c>
      <c r="H2782" s="24">
        <v>1.4114072538635523</v>
      </c>
      <c r="I2782" s="25">
        <v>1.4360908403898487</v>
      </c>
      <c r="X2782" s="15">
        <v>2781</v>
      </c>
      <c r="Y2782" s="39">
        <v>0.49097348092156518</v>
      </c>
      <c r="Z2782" s="39">
        <v>0.48947879486063134</v>
      </c>
      <c r="AA2782" s="39">
        <v>0.48353389928412333</v>
      </c>
      <c r="AB2782" s="39">
        <v>0.49137578532164483</v>
      </c>
      <c r="AC2782" s="39">
        <v>0.48534555497278631</v>
      </c>
      <c r="AD2782" s="39">
        <v>0.48234019305432019</v>
      </c>
      <c r="AE2782" s="39">
        <v>0.47305014342162699</v>
      </c>
      <c r="AF2782" s="40">
        <v>0.48767431244812309</v>
      </c>
    </row>
    <row r="2783" spans="1:32">
      <c r="A2783" s="15">
        <v>2781</v>
      </c>
      <c r="B2783" s="16">
        <v>0</v>
      </c>
      <c r="C2783" s="20">
        <v>0.02</v>
      </c>
      <c r="D2783" s="20">
        <v>0.99835916395484214</v>
      </c>
      <c r="E2783" s="20">
        <v>1</v>
      </c>
      <c r="F2783" s="8" t="s">
        <v>436</v>
      </c>
      <c r="G2783" s="24">
        <v>1.0991600358796609</v>
      </c>
      <c r="H2783" s="24">
        <v>1.105523891919004</v>
      </c>
      <c r="I2783" s="25">
        <v>1.1248579959264564</v>
      </c>
      <c r="X2783" s="15">
        <v>2782</v>
      </c>
      <c r="Y2783" s="39">
        <v>0.48078464159219336</v>
      </c>
      <c r="Z2783" s="39">
        <v>0.49424599831663862</v>
      </c>
      <c r="AA2783" s="39">
        <v>0.48638875199615672</v>
      </c>
      <c r="AB2783" s="39">
        <v>0.47602095810345252</v>
      </c>
      <c r="AC2783" s="39">
        <v>0.47454903285956895</v>
      </c>
      <c r="AD2783" s="39">
        <v>0.48569017742503529</v>
      </c>
      <c r="AE2783" s="39">
        <v>0.48164965274476534</v>
      </c>
      <c r="AF2783" s="40">
        <v>0.47225287559365919</v>
      </c>
    </row>
    <row r="2784" spans="1:32">
      <c r="A2784" s="15">
        <v>2782</v>
      </c>
      <c r="B2784" s="16">
        <v>0</v>
      </c>
      <c r="C2784" s="20">
        <v>0.93</v>
      </c>
      <c r="D2784" s="20">
        <v>0.18747949848141848</v>
      </c>
      <c r="E2784" s="20">
        <v>7.0000000000000007E-2</v>
      </c>
      <c r="F2784" s="8" t="s">
        <v>434</v>
      </c>
      <c r="G2784" s="24">
        <v>1.1849321089769633</v>
      </c>
      <c r="H2784" s="24">
        <v>1.1917925634256092</v>
      </c>
      <c r="I2784" s="25">
        <v>1.2126353887548582</v>
      </c>
      <c r="X2784" s="15">
        <v>2783</v>
      </c>
      <c r="Y2784" s="39">
        <v>0.4686270223671874</v>
      </c>
      <c r="Z2784" s="39">
        <v>0.48515896942373349</v>
      </c>
      <c r="AA2784" s="39">
        <v>0.47748390174050664</v>
      </c>
      <c r="AB2784" s="39">
        <v>0.49815622492707368</v>
      </c>
      <c r="AC2784" s="39">
        <v>0.46316335201438952</v>
      </c>
      <c r="AD2784" s="39">
        <v>0.47841611182324539</v>
      </c>
      <c r="AE2784" s="39">
        <v>0.47075343195668962</v>
      </c>
      <c r="AF2784" s="40">
        <v>0.49619091433678131</v>
      </c>
    </row>
    <row r="2785" spans="1:32">
      <c r="A2785" s="15">
        <v>2783</v>
      </c>
      <c r="B2785" s="16">
        <v>1</v>
      </c>
      <c r="C2785" s="20">
        <v>0.16</v>
      </c>
      <c r="D2785" s="20">
        <v>0.84333310683148699</v>
      </c>
      <c r="E2785" s="20">
        <v>0.1</v>
      </c>
      <c r="F2785" s="8" t="s">
        <v>436</v>
      </c>
      <c r="G2785" s="24">
        <v>1.4024729649801264</v>
      </c>
      <c r="H2785" s="24">
        <v>1.4105929254561833</v>
      </c>
      <c r="I2785" s="25">
        <v>1.4352622704900622</v>
      </c>
      <c r="X2785" s="15">
        <v>2784</v>
      </c>
      <c r="Y2785" s="39">
        <v>0.49748698619124965</v>
      </c>
      <c r="Z2785" s="39">
        <v>0.47414826789133135</v>
      </c>
      <c r="AA2785" s="39">
        <v>0.48172201733623166</v>
      </c>
      <c r="AB2785" s="39">
        <v>0.49286195621734563</v>
      </c>
      <c r="AC2785" s="39">
        <v>0.48957815317202963</v>
      </c>
      <c r="AD2785" s="39">
        <v>0.46620429380976841</v>
      </c>
      <c r="AE2785" s="39">
        <v>0.47543209697579014</v>
      </c>
      <c r="AF2785" s="40">
        <v>0.48858906668162833</v>
      </c>
    </row>
    <row r="2786" spans="1:32">
      <c r="A2786" s="15">
        <v>2784</v>
      </c>
      <c r="B2786" s="16">
        <v>0</v>
      </c>
      <c r="C2786" s="20">
        <v>0.89</v>
      </c>
      <c r="D2786" s="20">
        <v>0.24559627500636821</v>
      </c>
      <c r="E2786" s="20">
        <v>0.11</v>
      </c>
      <c r="F2786" s="8" t="s">
        <v>434</v>
      </c>
      <c r="G2786" s="24">
        <v>0.50044914182495082</v>
      </c>
      <c r="H2786" s="24">
        <v>0.50334661461292196</v>
      </c>
      <c r="I2786" s="25">
        <v>0.51214945991537186</v>
      </c>
      <c r="X2786" s="15">
        <v>2785</v>
      </c>
      <c r="Y2786" s="39">
        <v>0.49471505324678755</v>
      </c>
      <c r="Z2786" s="39">
        <v>0.48830979511108097</v>
      </c>
      <c r="AA2786" s="39">
        <v>0.48665202209167341</v>
      </c>
      <c r="AB2786" s="39">
        <v>0.49432667466527425</v>
      </c>
      <c r="AC2786" s="39">
        <v>0.48922437013219972</v>
      </c>
      <c r="AD2786" s="39">
        <v>0.48307200647761589</v>
      </c>
      <c r="AE2786" s="39">
        <v>0.48040210956358298</v>
      </c>
      <c r="AF2786" s="40">
        <v>0.49249279951126973</v>
      </c>
    </row>
    <row r="2787" spans="1:32">
      <c r="A2787" s="15">
        <v>2785</v>
      </c>
      <c r="B2787" s="16">
        <v>0</v>
      </c>
      <c r="C2787" s="20">
        <v>0.46</v>
      </c>
      <c r="D2787" s="20">
        <v>0.62926311114011058</v>
      </c>
      <c r="E2787" s="20">
        <v>0.04</v>
      </c>
      <c r="F2787" s="8" t="s">
        <v>436</v>
      </c>
      <c r="G2787" s="24">
        <v>0.86450294620741397</v>
      </c>
      <c r="H2787" s="24">
        <v>0.86950819759544229</v>
      </c>
      <c r="I2787" s="25">
        <v>0.88471470923261863</v>
      </c>
      <c r="X2787" s="15">
        <v>2786</v>
      </c>
      <c r="Y2787" s="39">
        <v>0.48695397108139427</v>
      </c>
      <c r="Z2787" s="39">
        <v>0.47744307686369203</v>
      </c>
      <c r="AA2787" s="39">
        <v>0.4888020753398169</v>
      </c>
      <c r="AB2787" s="39">
        <v>0.50221549190917048</v>
      </c>
      <c r="AC2787" s="39">
        <v>0.4784447915279828</v>
      </c>
      <c r="AD2787" s="39">
        <v>0.47270147511538679</v>
      </c>
      <c r="AE2787" s="39">
        <v>0.48111907194433484</v>
      </c>
      <c r="AF2787" s="40">
        <v>0.49884566259182567</v>
      </c>
    </row>
    <row r="2788" spans="1:32">
      <c r="A2788" s="15">
        <v>2786</v>
      </c>
      <c r="B2788" s="16">
        <v>0</v>
      </c>
      <c r="C2788" s="20">
        <v>0.12</v>
      </c>
      <c r="D2788" s="20">
        <v>0.91107051641761927</v>
      </c>
      <c r="E2788" s="20">
        <v>0.08</v>
      </c>
      <c r="F2788" s="8" t="s">
        <v>436</v>
      </c>
      <c r="G2788" s="24">
        <v>1.0288865981425048</v>
      </c>
      <c r="H2788" s="24">
        <v>1.0348435889151435</v>
      </c>
      <c r="I2788" s="25">
        <v>1.0529415908902982</v>
      </c>
      <c r="X2788" s="15">
        <v>2787</v>
      </c>
      <c r="Y2788" s="39">
        <v>0.48776064645266098</v>
      </c>
      <c r="Z2788" s="39">
        <v>0.47778518830917421</v>
      </c>
      <c r="AA2788" s="39">
        <v>0.49215328387144047</v>
      </c>
      <c r="AB2788" s="39">
        <v>0.49457802527945816</v>
      </c>
      <c r="AC2788" s="39">
        <v>0.48108526874644197</v>
      </c>
      <c r="AD2788" s="39">
        <v>0.46921758280326847</v>
      </c>
      <c r="AE2788" s="39">
        <v>0.48603214449741899</v>
      </c>
      <c r="AF2788" s="40">
        <v>0.49065528031166739</v>
      </c>
    </row>
    <row r="2789" spans="1:32">
      <c r="A2789" s="15">
        <v>2787</v>
      </c>
      <c r="B2789" s="16">
        <v>0</v>
      </c>
      <c r="C2789" s="20">
        <v>0.47</v>
      </c>
      <c r="D2789" s="20">
        <v>0.47147904543010166</v>
      </c>
      <c r="E2789" s="20">
        <v>0.09</v>
      </c>
      <c r="F2789" s="8" t="s">
        <v>436</v>
      </c>
      <c r="G2789" s="24">
        <v>0.86085317215298307</v>
      </c>
      <c r="H2789" s="24">
        <v>0.86583729228086692</v>
      </c>
      <c r="I2789" s="25">
        <v>0.88097960479428639</v>
      </c>
      <c r="X2789" s="15">
        <v>2788</v>
      </c>
      <c r="Y2789" s="39">
        <v>0.48072528235778339</v>
      </c>
      <c r="Z2789" s="39">
        <v>0.48750789477371415</v>
      </c>
      <c r="AA2789" s="39">
        <v>0.47764395159025591</v>
      </c>
      <c r="AB2789" s="39">
        <v>0.48443951285669723</v>
      </c>
      <c r="AC2789" s="39">
        <v>0.4713761697964331</v>
      </c>
      <c r="AD2789" s="39">
        <v>0.48207200297063085</v>
      </c>
      <c r="AE2789" s="39">
        <v>0.46992107295870489</v>
      </c>
      <c r="AF2789" s="40">
        <v>0.48271683592700021</v>
      </c>
    </row>
    <row r="2790" spans="1:32">
      <c r="A2790" s="15">
        <v>2788</v>
      </c>
      <c r="B2790" s="16">
        <v>0</v>
      </c>
      <c r="C2790" s="20">
        <v>0.93</v>
      </c>
      <c r="D2790" s="20">
        <v>0.18747949848141848</v>
      </c>
      <c r="E2790" s="20">
        <v>7.0000000000000007E-2</v>
      </c>
      <c r="F2790" s="8" t="s">
        <v>434</v>
      </c>
      <c r="G2790" s="24">
        <v>0.76079386538285609</v>
      </c>
      <c r="H2790" s="24">
        <v>0.76519866766538913</v>
      </c>
      <c r="I2790" s="25">
        <v>0.77858094798981159</v>
      </c>
      <c r="X2790" s="15">
        <v>2789</v>
      </c>
      <c r="Y2790" s="39">
        <v>0.48068992787858505</v>
      </c>
      <c r="Z2790" s="39">
        <v>0.50017348282734087</v>
      </c>
      <c r="AA2790" s="39">
        <v>0.47920918438838317</v>
      </c>
      <c r="AB2790" s="39">
        <v>0.49108240627465344</v>
      </c>
      <c r="AC2790" s="39">
        <v>0.47472623470167935</v>
      </c>
      <c r="AD2790" s="39">
        <v>0.49476704058023946</v>
      </c>
      <c r="AE2790" s="39">
        <v>0.47296825197860726</v>
      </c>
      <c r="AF2790" s="40">
        <v>0.49134550585666936</v>
      </c>
    </row>
    <row r="2791" spans="1:32">
      <c r="A2791" s="15">
        <v>2789</v>
      </c>
      <c r="B2791" s="16">
        <v>0</v>
      </c>
      <c r="C2791" s="20">
        <v>0.9</v>
      </c>
      <c r="D2791" s="20">
        <v>0.231595386583653</v>
      </c>
      <c r="E2791" s="20">
        <v>0.1</v>
      </c>
      <c r="F2791" s="8" t="s">
        <v>434</v>
      </c>
      <c r="G2791" s="24">
        <v>0.36244497528614661</v>
      </c>
      <c r="H2791" s="24">
        <v>0.36454343917640109</v>
      </c>
      <c r="I2791" s="25">
        <v>0.37091880638446439</v>
      </c>
      <c r="X2791" s="15">
        <v>2790</v>
      </c>
      <c r="Y2791" s="39">
        <v>0.48407082955271546</v>
      </c>
      <c r="Z2791" s="39">
        <v>0.47590336988522186</v>
      </c>
      <c r="AA2791" s="39">
        <v>0.49703021546432358</v>
      </c>
      <c r="AB2791" s="39">
        <v>0.47911568182266745</v>
      </c>
      <c r="AC2791" s="39">
        <v>0.47466936186563979</v>
      </c>
      <c r="AD2791" s="39">
        <v>0.4700862052635717</v>
      </c>
      <c r="AE2791" s="39">
        <v>0.49246321407185412</v>
      </c>
      <c r="AF2791" s="40">
        <v>0.47391391698694335</v>
      </c>
    </row>
    <row r="2792" spans="1:32">
      <c r="A2792" s="15">
        <v>2790</v>
      </c>
      <c r="B2792" s="16">
        <v>0</v>
      </c>
      <c r="C2792" s="20">
        <v>0.02</v>
      </c>
      <c r="D2792" s="20">
        <v>0.99460135128185911</v>
      </c>
      <c r="E2792" s="20">
        <v>1</v>
      </c>
      <c r="F2792" s="8" t="s">
        <v>436</v>
      </c>
      <c r="G2792" s="24">
        <v>1.0977886726342612</v>
      </c>
      <c r="H2792" s="24">
        <v>1.1041445888304635</v>
      </c>
      <c r="I2792" s="25">
        <v>1.1234545707094241</v>
      </c>
      <c r="X2792" s="15">
        <v>2791</v>
      </c>
      <c r="Y2792" s="39">
        <v>0.49109224204563107</v>
      </c>
      <c r="Z2792" s="39">
        <v>0.48206181453087782</v>
      </c>
      <c r="AA2792" s="39">
        <v>0.46837287625880863</v>
      </c>
      <c r="AB2792" s="39">
        <v>0.49404170303477341</v>
      </c>
      <c r="AC2792" s="39">
        <v>0.48120852043641937</v>
      </c>
      <c r="AD2792" s="39">
        <v>0.47447431993696476</v>
      </c>
      <c r="AE2792" s="39">
        <v>0.45952978145329237</v>
      </c>
      <c r="AF2792" s="40">
        <v>0.49028911625876315</v>
      </c>
    </row>
    <row r="2793" spans="1:32">
      <c r="A2793" s="15">
        <v>2791</v>
      </c>
      <c r="B2793" s="16">
        <v>0</v>
      </c>
      <c r="C2793" s="20">
        <v>0.38</v>
      </c>
      <c r="D2793" s="20">
        <v>0.65186743524427948</v>
      </c>
      <c r="E2793" s="20">
        <v>0.04</v>
      </c>
      <c r="F2793" s="8" t="s">
        <v>436</v>
      </c>
      <c r="G2793" s="24">
        <v>1.1080406413314294</v>
      </c>
      <c r="H2793" s="24">
        <v>1.1144559138095007</v>
      </c>
      <c r="I2793" s="25">
        <v>1.1339462266890454</v>
      </c>
      <c r="X2793" s="15">
        <v>2792</v>
      </c>
      <c r="Y2793" s="39">
        <v>0.4797762550601487</v>
      </c>
      <c r="Z2793" s="39">
        <v>0.49157891184243629</v>
      </c>
      <c r="AA2793" s="39">
        <v>0.46782860996535158</v>
      </c>
      <c r="AB2793" s="39">
        <v>0.48981614833415199</v>
      </c>
      <c r="AC2793" s="39">
        <v>0.47452100780660739</v>
      </c>
      <c r="AD2793" s="39">
        <v>0.48512468237348327</v>
      </c>
      <c r="AE2793" s="39">
        <v>0.45991473198996907</v>
      </c>
      <c r="AF2793" s="40">
        <v>0.48469885107855459</v>
      </c>
    </row>
    <row r="2794" spans="1:32">
      <c r="A2794" s="15">
        <v>2792</v>
      </c>
      <c r="B2794" s="16">
        <v>0</v>
      </c>
      <c r="C2794" s="20">
        <v>0.02</v>
      </c>
      <c r="D2794" s="20">
        <v>0.99679477127711513</v>
      </c>
      <c r="E2794" s="20">
        <v>1</v>
      </c>
      <c r="F2794" s="8" t="s">
        <v>436</v>
      </c>
      <c r="G2794" s="24">
        <v>1.0077110338079207</v>
      </c>
      <c r="H2794" s="24">
        <v>1.0135454234682753</v>
      </c>
      <c r="I2794" s="25">
        <v>1.0312709495983325</v>
      </c>
      <c r="X2794" s="15">
        <v>2793</v>
      </c>
      <c r="Y2794" s="39">
        <v>0.48017892542500679</v>
      </c>
      <c r="Z2794" s="39">
        <v>0.50456829385586421</v>
      </c>
      <c r="AA2794" s="39">
        <v>0.4877615068653145</v>
      </c>
      <c r="AB2794" s="39">
        <v>0.48183628307366666</v>
      </c>
      <c r="AC2794" s="39">
        <v>0.47395407690849473</v>
      </c>
      <c r="AD2794" s="39">
        <v>0.49743648094981657</v>
      </c>
      <c r="AE2794" s="39">
        <v>0.48208141367804774</v>
      </c>
      <c r="AF2794" s="40">
        <v>0.47707031967786917</v>
      </c>
    </row>
    <row r="2795" spans="1:32">
      <c r="A2795" s="15">
        <v>2793</v>
      </c>
      <c r="B2795" s="16">
        <v>0</v>
      </c>
      <c r="C2795" s="20">
        <v>0.03</v>
      </c>
      <c r="D2795" s="20">
        <v>0.99344694056334126</v>
      </c>
      <c r="E2795" s="20">
        <v>1</v>
      </c>
      <c r="F2795" s="8" t="s">
        <v>436</v>
      </c>
      <c r="G2795" s="24">
        <v>1.0447543776558699</v>
      </c>
      <c r="H2795" s="24">
        <v>1.0508032388215276</v>
      </c>
      <c r="I2795" s="25">
        <v>1.069180353291191</v>
      </c>
      <c r="X2795" s="15">
        <v>2794</v>
      </c>
      <c r="Y2795" s="39">
        <v>0.48335741104431768</v>
      </c>
      <c r="Z2795" s="39">
        <v>0.49512942473237026</v>
      </c>
      <c r="AA2795" s="39">
        <v>0.48785291103078515</v>
      </c>
      <c r="AB2795" s="39">
        <v>0.47333927228585904</v>
      </c>
      <c r="AC2795" s="39">
        <v>0.47737549013126546</v>
      </c>
      <c r="AD2795" s="39">
        <v>0.48736625309088499</v>
      </c>
      <c r="AE2795" s="39">
        <v>0.47836348319757627</v>
      </c>
      <c r="AF2795" s="40">
        <v>0.47173539684651522</v>
      </c>
    </row>
    <row r="2796" spans="1:32">
      <c r="A2796" s="15">
        <v>2794</v>
      </c>
      <c r="B2796" s="16">
        <v>1</v>
      </c>
      <c r="C2796" s="20">
        <v>0.02</v>
      </c>
      <c r="D2796" s="20">
        <v>0.99756714174924133</v>
      </c>
      <c r="E2796" s="20">
        <v>1</v>
      </c>
      <c r="F2796" s="8" t="s">
        <v>436</v>
      </c>
      <c r="G2796" s="24">
        <v>1.0543459104190225</v>
      </c>
      <c r="H2796" s="24">
        <v>1.060450304111072</v>
      </c>
      <c r="I2796" s="25">
        <v>1.0789961325859578</v>
      </c>
      <c r="X2796" s="15">
        <v>2795</v>
      </c>
      <c r="Y2796" s="39">
        <v>0.48617304478535628</v>
      </c>
      <c r="Z2796" s="39">
        <v>0.49373594246680963</v>
      </c>
      <c r="AA2796" s="39">
        <v>0.47596137603542155</v>
      </c>
      <c r="AB2796" s="39">
        <v>0.48116996476694246</v>
      </c>
      <c r="AC2796" s="39">
        <v>0.47861700902302839</v>
      </c>
      <c r="AD2796" s="39">
        <v>0.48382152367657316</v>
      </c>
      <c r="AE2796" s="39">
        <v>0.47019321486651205</v>
      </c>
      <c r="AF2796" s="40">
        <v>0.47693935531447051</v>
      </c>
    </row>
    <row r="2797" spans="1:32">
      <c r="A2797" s="15">
        <v>2795</v>
      </c>
      <c r="B2797" s="16">
        <v>0</v>
      </c>
      <c r="C2797" s="20">
        <v>0.95</v>
      </c>
      <c r="D2797" s="20">
        <v>0.15570568692893463</v>
      </c>
      <c r="E2797" s="20">
        <v>0.05</v>
      </c>
      <c r="F2797" s="8" t="s">
        <v>434</v>
      </c>
      <c r="G2797" s="24">
        <v>0.69648590448514724</v>
      </c>
      <c r="H2797" s="24">
        <v>0.70051838008914602</v>
      </c>
      <c r="I2797" s="25">
        <v>0.71276949046204419</v>
      </c>
      <c r="X2797" s="15">
        <v>2796</v>
      </c>
      <c r="Y2797" s="39">
        <v>0.48409844240593286</v>
      </c>
      <c r="Z2797" s="39">
        <v>0.50463865187440504</v>
      </c>
      <c r="AA2797" s="39">
        <v>0.49824005668256016</v>
      </c>
      <c r="AB2797" s="39">
        <v>0.4729943719455561</v>
      </c>
      <c r="AC2797" s="39">
        <v>0.47643467958012364</v>
      </c>
      <c r="AD2797" s="39">
        <v>0.49636316931316143</v>
      </c>
      <c r="AE2797" s="39">
        <v>0.4893560837333823</v>
      </c>
      <c r="AF2797" s="40">
        <v>0.46634700697950177</v>
      </c>
    </row>
    <row r="2798" spans="1:32">
      <c r="A2798" s="15">
        <v>2796</v>
      </c>
      <c r="B2798" s="16">
        <v>1</v>
      </c>
      <c r="C2798" s="20">
        <v>0.95</v>
      </c>
      <c r="D2798" s="20">
        <v>0.15570568692893463</v>
      </c>
      <c r="E2798" s="20">
        <v>0.05</v>
      </c>
      <c r="F2798" s="8" t="s">
        <v>434</v>
      </c>
      <c r="G2798" s="24">
        <v>1.0673727127614128</v>
      </c>
      <c r="H2798" s="24">
        <v>1.073552528313841</v>
      </c>
      <c r="I2798" s="25">
        <v>1.0923274968076055</v>
      </c>
      <c r="X2798" s="15">
        <v>2797</v>
      </c>
      <c r="Y2798" s="39">
        <v>0.48841278266457938</v>
      </c>
      <c r="Z2798" s="39">
        <v>0.47903948885125508</v>
      </c>
      <c r="AA2798" s="39">
        <v>0.48603844539799962</v>
      </c>
      <c r="AB2798" s="39">
        <v>0.48059686228944387</v>
      </c>
      <c r="AC2798" s="39">
        <v>0.47925912120338154</v>
      </c>
      <c r="AD2798" s="39">
        <v>0.47308116866234184</v>
      </c>
      <c r="AE2798" s="39">
        <v>0.47943972718763211</v>
      </c>
      <c r="AF2798" s="40">
        <v>0.47511166237796637</v>
      </c>
    </row>
    <row r="2799" spans="1:32">
      <c r="A2799" s="15">
        <v>2797</v>
      </c>
      <c r="B2799" s="16">
        <v>1</v>
      </c>
      <c r="C2799" s="20">
        <v>0.51</v>
      </c>
      <c r="D2799" s="20">
        <v>0.49501119326254361</v>
      </c>
      <c r="E2799" s="20">
        <v>0.04</v>
      </c>
      <c r="F2799" s="8" t="s">
        <v>438</v>
      </c>
      <c r="G2799" s="24">
        <v>0.55334706828364311</v>
      </c>
      <c r="H2799" s="24">
        <v>0.55655080656323896</v>
      </c>
      <c r="I2799" s="25">
        <v>0.56628412056773958</v>
      </c>
      <c r="X2799" s="15">
        <v>2798</v>
      </c>
      <c r="Y2799" s="39">
        <v>0.47789480789423594</v>
      </c>
      <c r="Z2799" s="39">
        <v>0.48046367030179632</v>
      </c>
      <c r="AA2799" s="39">
        <v>0.49090821591276251</v>
      </c>
      <c r="AB2799" s="39">
        <v>0.47106186697670188</v>
      </c>
      <c r="AC2799" s="39">
        <v>0.46902660906776572</v>
      </c>
      <c r="AD2799" s="39">
        <v>0.47049758128961883</v>
      </c>
      <c r="AE2799" s="39">
        <v>0.48369803630241587</v>
      </c>
      <c r="AF2799" s="40">
        <v>0.46887782050611915</v>
      </c>
    </row>
    <row r="2800" spans="1:32">
      <c r="A2800" s="15">
        <v>2798</v>
      </c>
      <c r="B2800" s="16">
        <v>1</v>
      </c>
      <c r="C2800" s="20">
        <v>0.92</v>
      </c>
      <c r="D2800" s="20">
        <v>0.20258497911151899</v>
      </c>
      <c r="E2800" s="20">
        <v>0.08</v>
      </c>
      <c r="F2800" s="8" t="s">
        <v>434</v>
      </c>
      <c r="G2800" s="24">
        <v>0.83629511005626889</v>
      </c>
      <c r="H2800" s="24">
        <v>0.84113704527323241</v>
      </c>
      <c r="I2800" s="25">
        <v>0.85584738417835071</v>
      </c>
      <c r="X2800" s="15">
        <v>2799</v>
      </c>
      <c r="Y2800" s="39">
        <v>0.47079485157705314</v>
      </c>
      <c r="Z2800" s="39">
        <v>0.49295200094001101</v>
      </c>
      <c r="AA2800" s="39">
        <v>0.47530574829625627</v>
      </c>
      <c r="AB2800" s="39">
        <v>0.49470940831846705</v>
      </c>
      <c r="AC2800" s="39">
        <v>0.4612312650448136</v>
      </c>
      <c r="AD2800" s="39">
        <v>0.48467769391392768</v>
      </c>
      <c r="AE2800" s="39">
        <v>0.47173199906166385</v>
      </c>
      <c r="AF2800" s="40">
        <v>0.49228092079470609</v>
      </c>
    </row>
    <row r="2801" spans="1:32">
      <c r="A2801" s="15">
        <v>2799</v>
      </c>
      <c r="B2801" s="16">
        <v>0</v>
      </c>
      <c r="C2801" s="20">
        <v>0.02</v>
      </c>
      <c r="D2801" s="20">
        <v>0.99756714174924133</v>
      </c>
      <c r="E2801" s="20">
        <v>1</v>
      </c>
      <c r="F2801" s="8" t="s">
        <v>436</v>
      </c>
      <c r="G2801" s="24">
        <v>0.93599182763435662</v>
      </c>
      <c r="H2801" s="24">
        <v>0.94141098139780255</v>
      </c>
      <c r="I2801" s="25">
        <v>0.9578749745879529</v>
      </c>
      <c r="X2801" s="15">
        <v>2800</v>
      </c>
      <c r="Y2801" s="39">
        <v>0.48798208573968932</v>
      </c>
      <c r="Z2801" s="39">
        <v>0.48294583675133484</v>
      </c>
      <c r="AA2801" s="39">
        <v>0.48993699154917769</v>
      </c>
      <c r="AB2801" s="39">
        <v>0.4923842387452102</v>
      </c>
      <c r="AC2801" s="39">
        <v>0.48140913288730391</v>
      </c>
      <c r="AD2801" s="39">
        <v>0.47733176977851816</v>
      </c>
      <c r="AE2801" s="39">
        <v>0.48249812496122685</v>
      </c>
      <c r="AF2801" s="40">
        <v>0.48448077792755145</v>
      </c>
    </row>
    <row r="2802" spans="1:32">
      <c r="A2802" s="15">
        <v>2800</v>
      </c>
      <c r="B2802" s="16">
        <v>1</v>
      </c>
      <c r="C2802" s="20">
        <v>0.91</v>
      </c>
      <c r="D2802" s="20">
        <v>0.21727233298780477</v>
      </c>
      <c r="E2802" s="20">
        <v>0.09</v>
      </c>
      <c r="F2802" s="8" t="s">
        <v>434</v>
      </c>
      <c r="G2802" s="24">
        <v>1.7207196324491818</v>
      </c>
      <c r="H2802" s="24">
        <v>1.7306821598951641</v>
      </c>
      <c r="I2802" s="25">
        <v>1.6578926537592125</v>
      </c>
      <c r="X2802" s="15">
        <v>2801</v>
      </c>
      <c r="Y2802" s="39">
        <v>0.47677325795792719</v>
      </c>
      <c r="Z2802" s="39">
        <v>0.48340461563228376</v>
      </c>
      <c r="AA2802" s="39">
        <v>0.47955099847511573</v>
      </c>
      <c r="AB2802" s="39">
        <v>0.48137871566102269</v>
      </c>
      <c r="AC2802" s="39">
        <v>0.46993525105907558</v>
      </c>
      <c r="AD2802" s="39">
        <v>0.47883971397700703</v>
      </c>
      <c r="AE2802" s="39">
        <v>0.47466142524709853</v>
      </c>
      <c r="AF2802" s="40">
        <v>0.47851938659611021</v>
      </c>
    </row>
    <row r="2803" spans="1:32">
      <c r="A2803" s="15">
        <v>2801</v>
      </c>
      <c r="B2803" s="16">
        <v>0</v>
      </c>
      <c r="C2803" s="20">
        <v>0.9</v>
      </c>
      <c r="D2803" s="20">
        <v>0.23159538658365303</v>
      </c>
      <c r="E2803" s="20">
        <v>0.1</v>
      </c>
      <c r="F2803" s="8" t="s">
        <v>434</v>
      </c>
      <c r="G2803" s="24">
        <v>0.60274339646774722</v>
      </c>
      <c r="H2803" s="24">
        <v>0.60623312687876574</v>
      </c>
      <c r="I2803" s="25">
        <v>0.61683531685721249</v>
      </c>
      <c r="X2803" s="15">
        <v>2802</v>
      </c>
      <c r="Y2803" s="39">
        <v>0.48575439452811042</v>
      </c>
      <c r="Z2803" s="39">
        <v>0.48961740922163932</v>
      </c>
      <c r="AA2803" s="39">
        <v>0.50035480584704084</v>
      </c>
      <c r="AB2803" s="39">
        <v>0.49042319546900492</v>
      </c>
      <c r="AC2803" s="39">
        <v>0.47880977739775421</v>
      </c>
      <c r="AD2803" s="39">
        <v>0.48084088708632511</v>
      </c>
      <c r="AE2803" s="39">
        <v>0.49394414575869261</v>
      </c>
      <c r="AF2803" s="40">
        <v>0.48636319609199269</v>
      </c>
    </row>
    <row r="2804" spans="1:32">
      <c r="A2804" s="15">
        <v>2802</v>
      </c>
      <c r="B2804" s="16">
        <v>1</v>
      </c>
      <c r="C2804" s="20">
        <v>0.94</v>
      </c>
      <c r="D2804" s="20">
        <v>0.17188516685452584</v>
      </c>
      <c r="E2804" s="20">
        <v>0.06</v>
      </c>
      <c r="F2804" s="8" t="s">
        <v>434</v>
      </c>
      <c r="G2804" s="24">
        <v>0.65382905878792341</v>
      </c>
      <c r="H2804" s="24">
        <v>0.65761456214379788</v>
      </c>
      <c r="I2804" s="25">
        <v>0.66911534329763922</v>
      </c>
      <c r="X2804" s="15">
        <v>2803</v>
      </c>
      <c r="Y2804" s="39">
        <v>0.48651195280702597</v>
      </c>
      <c r="Z2804" s="39">
        <v>0.49268310147593231</v>
      </c>
      <c r="AA2804" s="39">
        <v>0.49748941489543358</v>
      </c>
      <c r="AB2804" s="39">
        <v>0.48511822621213752</v>
      </c>
      <c r="AC2804" s="39">
        <v>0.47876699475900153</v>
      </c>
      <c r="AD2804" s="39">
        <v>0.48558524520760188</v>
      </c>
      <c r="AE2804" s="39">
        <v>0.49013057832256612</v>
      </c>
      <c r="AF2804" s="40">
        <v>0.48152030480250213</v>
      </c>
    </row>
    <row r="2805" spans="1:32">
      <c r="A2805" s="15">
        <v>2803</v>
      </c>
      <c r="B2805" s="16">
        <v>1</v>
      </c>
      <c r="C2805" s="20">
        <v>7.0000000000000007E-2</v>
      </c>
      <c r="D2805" s="20">
        <v>0.94667811108734945</v>
      </c>
      <c r="E2805" s="20">
        <v>0.44</v>
      </c>
      <c r="F2805" s="8" t="s">
        <v>436</v>
      </c>
      <c r="G2805" s="24">
        <v>1.1996454538519628</v>
      </c>
      <c r="H2805" s="24">
        <v>1.2065910948117493</v>
      </c>
      <c r="I2805" s="25">
        <v>1.2276927262573276</v>
      </c>
      <c r="X2805" s="15">
        <v>2804</v>
      </c>
      <c r="Y2805" s="39">
        <v>0.49670169577346895</v>
      </c>
      <c r="Z2805" s="39">
        <v>0.48879708150268247</v>
      </c>
      <c r="AA2805" s="39">
        <v>0.48717995912906148</v>
      </c>
      <c r="AB2805" s="39">
        <v>0.49668854731343043</v>
      </c>
      <c r="AC2805" s="39">
        <v>0.48805114647629383</v>
      </c>
      <c r="AD2805" s="39">
        <v>0.48144235105433197</v>
      </c>
      <c r="AE2805" s="39">
        <v>0.48124617580677848</v>
      </c>
      <c r="AF2805" s="40">
        <v>0.4934380783355527</v>
      </c>
    </row>
    <row r="2806" spans="1:32">
      <c r="A2806" s="15">
        <v>2804</v>
      </c>
      <c r="B2806" s="16">
        <v>0</v>
      </c>
      <c r="C2806" s="20">
        <v>0.02</v>
      </c>
      <c r="D2806" s="20">
        <v>0.99835916395484214</v>
      </c>
      <c r="E2806" s="20">
        <v>1</v>
      </c>
      <c r="F2806" s="8" t="s">
        <v>436</v>
      </c>
      <c r="G2806" s="24">
        <v>1.116007572948684</v>
      </c>
      <c r="H2806" s="24">
        <v>1.1224689719272032</v>
      </c>
      <c r="I2806" s="25">
        <v>1.1420994222566918</v>
      </c>
      <c r="X2806" s="15">
        <v>2805</v>
      </c>
      <c r="Y2806" s="39">
        <v>0.49596147773515786</v>
      </c>
      <c r="Z2806" s="39">
        <v>0.4740440724583021</v>
      </c>
      <c r="AA2806" s="39">
        <v>0.47503500342846239</v>
      </c>
      <c r="AB2806" s="39">
        <v>0.49728356177368638</v>
      </c>
      <c r="AC2806" s="39">
        <v>0.49124677411205075</v>
      </c>
      <c r="AD2806" s="39">
        <v>0.46593156691321685</v>
      </c>
      <c r="AE2806" s="39">
        <v>0.46763429614156249</v>
      </c>
      <c r="AF2806" s="40">
        <v>0.49246907790203892</v>
      </c>
    </row>
    <row r="2807" spans="1:32">
      <c r="A2807" s="15">
        <v>2805</v>
      </c>
      <c r="B2807" s="16">
        <v>1</v>
      </c>
      <c r="C2807" s="20">
        <v>0.28000000000000003</v>
      </c>
      <c r="D2807" s="20">
        <v>0.79521187377808855</v>
      </c>
      <c r="E2807" s="20">
        <v>0.04</v>
      </c>
      <c r="F2807" s="8" t="s">
        <v>436</v>
      </c>
      <c r="G2807" s="24">
        <v>1.1652634929257779</v>
      </c>
      <c r="H2807" s="24">
        <v>1.1720100711080415</v>
      </c>
      <c r="I2807" s="25">
        <v>1.1925069276465745</v>
      </c>
      <c r="X2807" s="15">
        <v>2806</v>
      </c>
      <c r="Y2807" s="39">
        <v>0.48643873207980209</v>
      </c>
      <c r="Z2807" s="39">
        <v>0.48711271759590147</v>
      </c>
      <c r="AA2807" s="39">
        <v>0.46729446907664929</v>
      </c>
      <c r="AB2807" s="39">
        <v>0.49536271344986588</v>
      </c>
      <c r="AC2807" s="39">
        <v>0.48077909278787473</v>
      </c>
      <c r="AD2807" s="39">
        <v>0.47886324705457312</v>
      </c>
      <c r="AE2807" s="39">
        <v>0.46211362742159334</v>
      </c>
      <c r="AF2807" s="40">
        <v>0.49072059623666014</v>
      </c>
    </row>
    <row r="2808" spans="1:32">
      <c r="A2808" s="15">
        <v>2806</v>
      </c>
      <c r="B2808" s="16">
        <v>0</v>
      </c>
      <c r="C2808" s="20">
        <v>0.91</v>
      </c>
      <c r="D2808" s="20">
        <v>0.21727233298780477</v>
      </c>
      <c r="E2808" s="20">
        <v>0.09</v>
      </c>
      <c r="F2808" s="8" t="s">
        <v>434</v>
      </c>
      <c r="G2808" s="24">
        <v>0.49651951615795376</v>
      </c>
      <c r="H2808" s="24">
        <v>0.4993942374163779</v>
      </c>
      <c r="I2808" s="25">
        <v>0.50812796103601909</v>
      </c>
      <c r="X2808" s="15">
        <v>2807</v>
      </c>
      <c r="Y2808" s="39">
        <v>0.47693650051107517</v>
      </c>
      <c r="Z2808" s="39">
        <v>0.48943486911202999</v>
      </c>
      <c r="AA2808" s="39">
        <v>0.5027532450983454</v>
      </c>
      <c r="AB2808" s="39">
        <v>0.48725063178382266</v>
      </c>
      <c r="AC2808" s="39">
        <v>0.4708608119947828</v>
      </c>
      <c r="AD2808" s="39">
        <v>0.47835332273666215</v>
      </c>
      <c r="AE2808" s="39">
        <v>0.49079530429588991</v>
      </c>
      <c r="AF2808" s="40">
        <v>0.48160996183233873</v>
      </c>
    </row>
    <row r="2809" spans="1:32">
      <c r="A2809" s="15">
        <v>2807</v>
      </c>
      <c r="B2809" s="16">
        <v>0</v>
      </c>
      <c r="C2809" s="20">
        <v>0.96</v>
      </c>
      <c r="D2809" s="20">
        <v>0.13880369068795359</v>
      </c>
      <c r="E2809" s="20">
        <v>0.04</v>
      </c>
      <c r="F2809" s="8" t="s">
        <v>434</v>
      </c>
      <c r="G2809" s="24">
        <v>0.55687583683064479</v>
      </c>
      <c r="H2809" s="24">
        <v>0.56010000577938457</v>
      </c>
      <c r="I2809" s="25">
        <v>0.56989539043408977</v>
      </c>
      <c r="X2809" s="15">
        <v>2808</v>
      </c>
      <c r="Y2809" s="39">
        <v>0.46608156854060623</v>
      </c>
      <c r="Z2809" s="39">
        <v>0.50198884504410224</v>
      </c>
      <c r="AA2809" s="39">
        <v>0.49659394910033561</v>
      </c>
      <c r="AB2809" s="39">
        <v>0.48790456032448548</v>
      </c>
      <c r="AC2809" s="39">
        <v>0.46069053062281184</v>
      </c>
      <c r="AD2809" s="39">
        <v>0.49121157852751829</v>
      </c>
      <c r="AE2809" s="39">
        <v>0.49359191303802286</v>
      </c>
      <c r="AF2809" s="40">
        <v>0.47948401860410494</v>
      </c>
    </row>
    <row r="2810" spans="1:32">
      <c r="A2810" s="15">
        <v>2808</v>
      </c>
      <c r="B2810" s="16">
        <v>0</v>
      </c>
      <c r="C2810" s="20">
        <v>0.93</v>
      </c>
      <c r="D2810" s="20">
        <v>0.18747949848141848</v>
      </c>
      <c r="E2810" s="20">
        <v>7.0000000000000007E-2</v>
      </c>
      <c r="F2810" s="8" t="s">
        <v>434</v>
      </c>
      <c r="G2810" s="24">
        <v>0.68241795588756848</v>
      </c>
      <c r="H2810" s="24">
        <v>0.68636898166013094</v>
      </c>
      <c r="I2810" s="25">
        <v>0.69837263836615759</v>
      </c>
      <c r="X2810" s="15">
        <v>2809</v>
      </c>
      <c r="Y2810" s="39">
        <v>0.50456061880491976</v>
      </c>
      <c r="Z2810" s="39">
        <v>0.48858916232306698</v>
      </c>
      <c r="AA2810" s="39">
        <v>0.49415306660117292</v>
      </c>
      <c r="AB2810" s="39">
        <v>0.47460940447017452</v>
      </c>
      <c r="AC2810" s="39">
        <v>0.49354809623492807</v>
      </c>
      <c r="AD2810" s="39">
        <v>0.48087237909159275</v>
      </c>
      <c r="AE2810" s="39">
        <v>0.48647204810457656</v>
      </c>
      <c r="AF2810" s="40">
        <v>0.47245893873571509</v>
      </c>
    </row>
    <row r="2811" spans="1:32">
      <c r="A2811" s="15">
        <v>2809</v>
      </c>
      <c r="B2811" s="16">
        <v>0</v>
      </c>
      <c r="C2811" s="20">
        <v>0.12</v>
      </c>
      <c r="D2811" s="20">
        <v>0.90507087257550711</v>
      </c>
      <c r="E2811" s="20">
        <v>0.43</v>
      </c>
      <c r="F2811" s="8" t="s">
        <v>436</v>
      </c>
      <c r="G2811" s="24">
        <v>0.95926414494683832</v>
      </c>
      <c r="H2811" s="24">
        <v>0.96481803948709932</v>
      </c>
      <c r="I2811" s="25">
        <v>0.98169139017636387</v>
      </c>
      <c r="X2811" s="15">
        <v>2810</v>
      </c>
      <c r="Y2811" s="39">
        <v>0.50554427084948506</v>
      </c>
      <c r="Z2811" s="39">
        <v>0.49176191508039957</v>
      </c>
      <c r="AA2811" s="39">
        <v>0.47307238968457277</v>
      </c>
      <c r="AB2811" s="39">
        <v>0.48603981284910724</v>
      </c>
      <c r="AC2811" s="39">
        <v>0.50002159654488365</v>
      </c>
      <c r="AD2811" s="39">
        <v>0.48328809492618152</v>
      </c>
      <c r="AE2811" s="39">
        <v>0.46703014931619224</v>
      </c>
      <c r="AF2811" s="40">
        <v>0.47908399535484042</v>
      </c>
    </row>
    <row r="2812" spans="1:32">
      <c r="A2812" s="15">
        <v>2810</v>
      </c>
      <c r="B2812" s="16">
        <v>0</v>
      </c>
      <c r="C2812" s="20">
        <v>0.91</v>
      </c>
      <c r="D2812" s="20">
        <v>0.21727233298780477</v>
      </c>
      <c r="E2812" s="20">
        <v>0.09</v>
      </c>
      <c r="F2812" s="8" t="s">
        <v>434</v>
      </c>
      <c r="G2812" s="24">
        <v>1.2629100227785328</v>
      </c>
      <c r="H2812" s="24">
        <v>1.2702219494436739</v>
      </c>
      <c r="I2812" s="25">
        <v>1.2924363976908877</v>
      </c>
      <c r="X2812" s="15">
        <v>2811</v>
      </c>
      <c r="Y2812" s="39">
        <v>0.48576947037293083</v>
      </c>
      <c r="Z2812" s="39">
        <v>0.4861496905122315</v>
      </c>
      <c r="AA2812" s="39">
        <v>0.47724115123000416</v>
      </c>
      <c r="AB2812" s="39">
        <v>0.48509837201435857</v>
      </c>
      <c r="AC2812" s="39">
        <v>0.47591711679633519</v>
      </c>
      <c r="AD2812" s="39">
        <v>0.47926020423324778</v>
      </c>
      <c r="AE2812" s="39">
        <v>0.46884180737210868</v>
      </c>
      <c r="AF2812" s="40">
        <v>0.48192341313583986</v>
      </c>
    </row>
    <row r="2813" spans="1:32">
      <c r="A2813" s="15">
        <v>2811</v>
      </c>
      <c r="B2813" s="16">
        <v>1</v>
      </c>
      <c r="C2813" s="20">
        <v>0.01</v>
      </c>
      <c r="D2813" s="20">
        <v>0.99999999999999978</v>
      </c>
      <c r="E2813" s="20">
        <v>1</v>
      </c>
      <c r="F2813" s="8" t="s">
        <v>436</v>
      </c>
      <c r="G2813" s="24">
        <v>1.0355515041896886</v>
      </c>
      <c r="H2813" s="24">
        <v>1.0415470830670759</v>
      </c>
      <c r="I2813" s="25">
        <v>1.0597623200057569</v>
      </c>
      <c r="X2813" s="15">
        <v>2812</v>
      </c>
      <c r="Y2813" s="39">
        <v>0.48384225683127086</v>
      </c>
      <c r="Z2813" s="39">
        <v>0.49798493009784178</v>
      </c>
      <c r="AA2813" s="39">
        <v>0.47868481235194915</v>
      </c>
      <c r="AB2813" s="39">
        <v>0.48938930473908571</v>
      </c>
      <c r="AC2813" s="39">
        <v>0.47806065366259076</v>
      </c>
      <c r="AD2813" s="39">
        <v>0.48888658218483055</v>
      </c>
      <c r="AE2813" s="39">
        <v>0.47389552367494903</v>
      </c>
      <c r="AF2813" s="40">
        <v>0.48617977320082667</v>
      </c>
    </row>
    <row r="2814" spans="1:32">
      <c r="A2814" s="15">
        <v>2812</v>
      </c>
      <c r="B2814" s="16">
        <v>0</v>
      </c>
      <c r="C2814" s="20">
        <v>0.95</v>
      </c>
      <c r="D2814" s="20">
        <v>0.15570568692893463</v>
      </c>
      <c r="E2814" s="20">
        <v>0.05</v>
      </c>
      <c r="F2814" s="8" t="s">
        <v>434</v>
      </c>
      <c r="G2814" s="24">
        <v>0.43439719440349311</v>
      </c>
      <c r="H2814" s="24">
        <v>0.43691224327612244</v>
      </c>
      <c r="I2814" s="25">
        <v>0.44455324209611791</v>
      </c>
      <c r="X2814" s="15">
        <v>2813</v>
      </c>
      <c r="Y2814" s="39">
        <v>0.47726020855128537</v>
      </c>
      <c r="Z2814" s="39">
        <v>0.49926551350054849</v>
      </c>
      <c r="AA2814" s="39">
        <v>0.49924728999161772</v>
      </c>
      <c r="AB2814" s="39">
        <v>0.48328665623880895</v>
      </c>
      <c r="AC2814" s="39">
        <v>0.47297965851485552</v>
      </c>
      <c r="AD2814" s="39">
        <v>0.49257956465577563</v>
      </c>
      <c r="AE2814" s="39">
        <v>0.48895695583987697</v>
      </c>
      <c r="AF2814" s="40">
        <v>0.48075470421578725</v>
      </c>
    </row>
    <row r="2815" spans="1:32">
      <c r="A2815" s="15">
        <v>2813</v>
      </c>
      <c r="B2815" s="16">
        <v>0</v>
      </c>
      <c r="C2815" s="20">
        <v>0.14000000000000001</v>
      </c>
      <c r="D2815" s="20">
        <v>0.90395851950600659</v>
      </c>
      <c r="E2815" s="20">
        <v>7.0000000000000007E-2</v>
      </c>
      <c r="F2815" s="8" t="s">
        <v>436</v>
      </c>
      <c r="G2815" s="24">
        <v>0.79556892440985205</v>
      </c>
      <c r="H2815" s="24">
        <v>0.80017506540757077</v>
      </c>
      <c r="I2815" s="25">
        <v>0.81416903519134953</v>
      </c>
      <c r="X2815" s="15">
        <v>2814</v>
      </c>
      <c r="Y2815" s="39">
        <v>0.48961235964696176</v>
      </c>
      <c r="Z2815" s="39">
        <v>0.49878719281663181</v>
      </c>
      <c r="AA2815" s="39">
        <v>0.46896545271753481</v>
      </c>
      <c r="AB2815" s="39">
        <v>0.48751246448510904</v>
      </c>
      <c r="AC2815" s="39">
        <v>0.4819310990327722</v>
      </c>
      <c r="AD2815" s="39">
        <v>0.49009965630088248</v>
      </c>
      <c r="AE2815" s="39">
        <v>0.46525842159652819</v>
      </c>
      <c r="AF2815" s="40">
        <v>0.47927047197550565</v>
      </c>
    </row>
    <row r="2816" spans="1:32">
      <c r="A2816" s="15">
        <v>2814</v>
      </c>
      <c r="B2816" s="16">
        <v>0</v>
      </c>
      <c r="C2816" s="20">
        <v>0.94</v>
      </c>
      <c r="D2816" s="20">
        <v>0.17188516685452584</v>
      </c>
      <c r="E2816" s="20">
        <v>0.06</v>
      </c>
      <c r="F2816" s="8" t="s">
        <v>434</v>
      </c>
      <c r="G2816" s="24">
        <v>0.61130840400552089</v>
      </c>
      <c r="H2816" s="24">
        <v>0.61484772362390416</v>
      </c>
      <c r="I2816" s="25">
        <v>0.62560057114188505</v>
      </c>
      <c r="X2816" s="15">
        <v>2815</v>
      </c>
      <c r="Y2816" s="39">
        <v>0.49077325743852557</v>
      </c>
      <c r="Z2816" s="39">
        <v>0.49049735428622593</v>
      </c>
      <c r="AA2816" s="39">
        <v>0.47046196010865349</v>
      </c>
      <c r="AB2816" s="39">
        <v>0.49389770476657729</v>
      </c>
      <c r="AC2816" s="39">
        <v>0.4799701004407545</v>
      </c>
      <c r="AD2816" s="39">
        <v>0.48330144189768282</v>
      </c>
      <c r="AE2816" s="39">
        <v>0.45969355708751908</v>
      </c>
      <c r="AF2816" s="40">
        <v>0.48979033905001695</v>
      </c>
    </row>
    <row r="2817" spans="1:32">
      <c r="A2817" s="15">
        <v>2815</v>
      </c>
      <c r="B2817" s="16">
        <v>0</v>
      </c>
      <c r="C2817" s="20">
        <v>0.93</v>
      </c>
      <c r="D2817" s="20">
        <v>0.18747949848141848</v>
      </c>
      <c r="E2817" s="20">
        <v>7.0000000000000007E-2</v>
      </c>
      <c r="F2817" s="8" t="s">
        <v>434</v>
      </c>
      <c r="G2817" s="24">
        <v>1.4436412410357453</v>
      </c>
      <c r="H2817" s="24">
        <v>1.4519995553216696</v>
      </c>
      <c r="I2817" s="25">
        <v>1.4773930457985092</v>
      </c>
      <c r="X2817" s="15">
        <v>2816</v>
      </c>
      <c r="Y2817" s="39">
        <v>0.46994917377563777</v>
      </c>
      <c r="Z2817" s="39">
        <v>0.46766522473290756</v>
      </c>
      <c r="AA2817" s="39">
        <v>0.46959428107385243</v>
      </c>
      <c r="AB2817" s="39">
        <v>0.49094634243367236</v>
      </c>
      <c r="AC2817" s="39">
        <v>0.46395866222226662</v>
      </c>
      <c r="AD2817" s="39">
        <v>0.46291783100625206</v>
      </c>
      <c r="AE2817" s="39">
        <v>0.46560020948210595</v>
      </c>
      <c r="AF2817" s="40">
        <v>0.48635392148464862</v>
      </c>
    </row>
    <row r="2818" spans="1:32">
      <c r="A2818" s="15">
        <v>2816</v>
      </c>
      <c r="B2818" s="16">
        <v>1</v>
      </c>
      <c r="C2818" s="20">
        <v>0.08</v>
      </c>
      <c r="D2818" s="20">
        <v>0.93717240647289324</v>
      </c>
      <c r="E2818" s="20">
        <v>0.09</v>
      </c>
      <c r="F2818" s="8" t="s">
        <v>436</v>
      </c>
      <c r="G2818" s="24">
        <v>0.80141829292878719</v>
      </c>
      <c r="H2818" s="24">
        <v>0.80605830027713776</v>
      </c>
      <c r="I2818" s="25">
        <v>0.82015515980911635</v>
      </c>
      <c r="X2818" s="15">
        <v>2817</v>
      </c>
      <c r="Y2818" s="39">
        <v>0.4923208337816195</v>
      </c>
      <c r="Z2818" s="39">
        <v>0.48585315677457053</v>
      </c>
      <c r="AA2818" s="39">
        <v>0.49876022107563123</v>
      </c>
      <c r="AB2818" s="39">
        <v>0.4933521784255428</v>
      </c>
      <c r="AC2818" s="39">
        <v>0.48707842622475567</v>
      </c>
      <c r="AD2818" s="39">
        <v>0.47932217554092466</v>
      </c>
      <c r="AE2818" s="39">
        <v>0.49197374655110293</v>
      </c>
      <c r="AF2818" s="40">
        <v>0.48992901735532979</v>
      </c>
    </row>
    <row r="2819" spans="1:32">
      <c r="A2819" s="15">
        <v>2817</v>
      </c>
      <c r="B2819" s="16">
        <v>1</v>
      </c>
      <c r="C2819" s="20">
        <v>0.02</v>
      </c>
      <c r="D2819" s="20">
        <v>0.99531127541355291</v>
      </c>
      <c r="E2819" s="20">
        <v>1</v>
      </c>
      <c r="F2819" s="8" t="s">
        <v>436</v>
      </c>
      <c r="G2819" s="24">
        <v>1.0573103907485495</v>
      </c>
      <c r="H2819" s="24">
        <v>1.0634319480250023</v>
      </c>
      <c r="I2819" s="25">
        <v>1.0820299213824787</v>
      </c>
      <c r="X2819" s="15">
        <v>2818</v>
      </c>
      <c r="Y2819" s="39">
        <v>0.47226439203437265</v>
      </c>
      <c r="Z2819" s="39">
        <v>0.50240651139507608</v>
      </c>
      <c r="AA2819" s="39">
        <v>0.47637758857870344</v>
      </c>
      <c r="AB2819" s="39">
        <v>0.48702655998084721</v>
      </c>
      <c r="AC2819" s="39">
        <v>0.46673909105345962</v>
      </c>
      <c r="AD2819" s="39">
        <v>0.49626023425263271</v>
      </c>
      <c r="AE2819" s="39">
        <v>0.47040756479210039</v>
      </c>
      <c r="AF2819" s="40">
        <v>0.47907377104327503</v>
      </c>
    </row>
    <row r="2820" spans="1:32">
      <c r="A2820" s="15">
        <v>2818</v>
      </c>
      <c r="B2820" s="16">
        <v>0</v>
      </c>
      <c r="C2820" s="20">
        <v>0.16</v>
      </c>
      <c r="D2820" s="20">
        <v>0.86028968483107648</v>
      </c>
      <c r="E2820" s="20">
        <v>0.06</v>
      </c>
      <c r="F2820" s="8" t="s">
        <v>436</v>
      </c>
      <c r="G2820" s="24">
        <v>0.68714977515540199</v>
      </c>
      <c r="H2820" s="24">
        <v>0.69112819695369476</v>
      </c>
      <c r="I2820" s="25">
        <v>0.70321508583964276</v>
      </c>
      <c r="X2820" s="15">
        <v>2819</v>
      </c>
      <c r="Y2820" s="39">
        <v>0.48014010721306793</v>
      </c>
      <c r="Z2820" s="39">
        <v>0.47484138030232981</v>
      </c>
      <c r="AA2820" s="39">
        <v>0.50425488795102058</v>
      </c>
      <c r="AB2820" s="39">
        <v>0.49037418288410162</v>
      </c>
      <c r="AC2820" s="39">
        <v>0.47516741330527013</v>
      </c>
      <c r="AD2820" s="39">
        <v>0.46889821267293835</v>
      </c>
      <c r="AE2820" s="39">
        <v>0.49594401885258454</v>
      </c>
      <c r="AF2820" s="40">
        <v>0.48488774774115873</v>
      </c>
    </row>
    <row r="2821" spans="1:32">
      <c r="A2821" s="15">
        <v>2819</v>
      </c>
      <c r="B2821" s="16">
        <v>1</v>
      </c>
      <c r="C2821" s="20">
        <v>0.02</v>
      </c>
      <c r="D2821" s="20">
        <v>0.99917029198757767</v>
      </c>
      <c r="E2821" s="20">
        <v>1</v>
      </c>
      <c r="F2821" s="8" t="s">
        <v>436</v>
      </c>
      <c r="G2821" s="24">
        <v>1.125312965297943</v>
      </c>
      <c r="H2821" s="24">
        <v>1.131828240122897</v>
      </c>
      <c r="I2821" s="25">
        <v>1.1516223712792333</v>
      </c>
      <c r="X2821" s="15">
        <v>2820</v>
      </c>
      <c r="Y2821" s="39">
        <v>0.49226866853803442</v>
      </c>
      <c r="Z2821" s="39">
        <v>0.48645849109158507</v>
      </c>
      <c r="AA2821" s="39">
        <v>0.49083408640635612</v>
      </c>
      <c r="AB2821" s="39">
        <v>0.48842513885409916</v>
      </c>
      <c r="AC2821" s="39">
        <v>0.48643299777235277</v>
      </c>
      <c r="AD2821" s="39">
        <v>0.4783818597577949</v>
      </c>
      <c r="AE2821" s="39">
        <v>0.48388353564590847</v>
      </c>
      <c r="AF2821" s="40">
        <v>0.48659474317550533</v>
      </c>
    </row>
    <row r="2822" spans="1:32">
      <c r="A2822" s="15">
        <v>2820</v>
      </c>
      <c r="B2822" s="16">
        <v>1</v>
      </c>
      <c r="C2822" s="20">
        <v>0.02</v>
      </c>
      <c r="D2822" s="20">
        <v>0.99835916395484214</v>
      </c>
      <c r="E2822" s="20">
        <v>1</v>
      </c>
      <c r="F2822" s="8" t="s">
        <v>436</v>
      </c>
      <c r="G2822" s="24">
        <v>1.0850360509885226</v>
      </c>
      <c r="H2822" s="24">
        <v>1.0913181327605934</v>
      </c>
      <c r="I2822" s="25">
        <v>1.1104037974289405</v>
      </c>
      <c r="X2822" s="15">
        <v>2821</v>
      </c>
      <c r="Y2822" s="39">
        <v>0.48238327508466716</v>
      </c>
      <c r="Z2822" s="39">
        <v>0.49915137350552374</v>
      </c>
      <c r="AA2822" s="39">
        <v>0.48410616015278773</v>
      </c>
      <c r="AB2822" s="39">
        <v>0.49457957931339069</v>
      </c>
      <c r="AC2822" s="39">
        <v>0.47721786055133913</v>
      </c>
      <c r="AD2822" s="39">
        <v>0.49278992465856947</v>
      </c>
      <c r="AE2822" s="39">
        <v>0.47478685093729855</v>
      </c>
      <c r="AF2822" s="40">
        <v>0.49143674672545307</v>
      </c>
    </row>
    <row r="2823" spans="1:32">
      <c r="A2823" s="15">
        <v>2821</v>
      </c>
      <c r="B2823" s="16">
        <v>0</v>
      </c>
      <c r="C2823" s="20">
        <v>0.93</v>
      </c>
      <c r="D2823" s="20">
        <v>0.18747949848141848</v>
      </c>
      <c r="E2823" s="20">
        <v>7.0000000000000007E-2</v>
      </c>
      <c r="F2823" s="8" t="s">
        <v>434</v>
      </c>
      <c r="G2823" s="24">
        <v>1.2084428517213295</v>
      </c>
      <c r="H2823" s="24">
        <v>1.2154394273691813</v>
      </c>
      <c r="I2823" s="25">
        <v>1.2366958040746392</v>
      </c>
      <c r="X2823" s="15">
        <v>2822</v>
      </c>
      <c r="Y2823" s="39">
        <v>0.50328227206742793</v>
      </c>
      <c r="Z2823" s="39">
        <v>0.47266309065364309</v>
      </c>
      <c r="AA2823" s="39">
        <v>0.50078609827761444</v>
      </c>
      <c r="AB2823" s="39">
        <v>0.48857822465126333</v>
      </c>
      <c r="AC2823" s="39">
        <v>0.4942963261874691</v>
      </c>
      <c r="AD2823" s="39">
        <v>0.46574147747387251</v>
      </c>
      <c r="AE2823" s="39">
        <v>0.49377748828405876</v>
      </c>
      <c r="AF2823" s="40">
        <v>0.48609742555642493</v>
      </c>
    </row>
    <row r="2824" spans="1:32">
      <c r="A2824" s="15">
        <v>2822</v>
      </c>
      <c r="B2824" s="16">
        <v>0</v>
      </c>
      <c r="C2824" s="20">
        <v>0.16</v>
      </c>
      <c r="D2824" s="20">
        <v>0.9154819031594662</v>
      </c>
      <c r="E2824" s="20">
        <v>0.54</v>
      </c>
      <c r="F2824" s="8" t="s">
        <v>436</v>
      </c>
      <c r="G2824" s="24">
        <v>1.105404930628971</v>
      </c>
      <c r="H2824" s="24">
        <v>1.1118049430148589</v>
      </c>
      <c r="I2824" s="25">
        <v>1.1312488940333538</v>
      </c>
      <c r="X2824" s="15">
        <v>2823</v>
      </c>
      <c r="Y2824" s="39">
        <v>0.47941682285182619</v>
      </c>
      <c r="Z2824" s="39">
        <v>0.49024403922881427</v>
      </c>
      <c r="AA2824" s="39">
        <v>0.50488768846259591</v>
      </c>
      <c r="AB2824" s="39">
        <v>0.48080855302068154</v>
      </c>
      <c r="AC2824" s="39">
        <v>0.47038203724419336</v>
      </c>
      <c r="AD2824" s="39">
        <v>0.48144044468025493</v>
      </c>
      <c r="AE2824" s="39">
        <v>0.49926991030125134</v>
      </c>
      <c r="AF2824" s="40">
        <v>0.47640278313994872</v>
      </c>
    </row>
    <row r="2825" spans="1:32">
      <c r="A2825" s="15">
        <v>2823</v>
      </c>
      <c r="B2825" s="16">
        <v>1</v>
      </c>
      <c r="C2825" s="20">
        <v>7.0000000000000007E-2</v>
      </c>
      <c r="D2825" s="20">
        <v>0.95068670505690622</v>
      </c>
      <c r="E2825" s="20">
        <v>0.53</v>
      </c>
      <c r="F2825" s="8" t="s">
        <v>436</v>
      </c>
      <c r="G2825" s="24">
        <v>1.0807451416059821</v>
      </c>
      <c r="H2825" s="24">
        <v>1.0870023801080131</v>
      </c>
      <c r="I2825" s="25">
        <v>1.1060125681527744</v>
      </c>
      <c r="X2825" s="15">
        <v>2824</v>
      </c>
      <c r="Y2825" s="39">
        <v>0.47558179283267393</v>
      </c>
      <c r="Z2825" s="39">
        <v>0.49581165228398449</v>
      </c>
      <c r="AA2825" s="39">
        <v>0.46531168853915161</v>
      </c>
      <c r="AB2825" s="39">
        <v>0.48223299963005994</v>
      </c>
      <c r="AC2825" s="39">
        <v>0.46850547007639104</v>
      </c>
      <c r="AD2825" s="39">
        <v>0.48951225458138248</v>
      </c>
      <c r="AE2825" s="39">
        <v>0.45937192981108682</v>
      </c>
      <c r="AF2825" s="40">
        <v>0.4772708900790032</v>
      </c>
    </row>
    <row r="2826" spans="1:32">
      <c r="A2826" s="15">
        <v>2824</v>
      </c>
      <c r="B2826" s="16">
        <v>0</v>
      </c>
      <c r="C2826" s="20">
        <v>0.92</v>
      </c>
      <c r="D2826" s="20">
        <v>0.20258497911151899</v>
      </c>
      <c r="E2826" s="20">
        <v>0.08</v>
      </c>
      <c r="F2826" s="8" t="s">
        <v>434</v>
      </c>
      <c r="G2826" s="24">
        <v>0.54111302318667154</v>
      </c>
      <c r="H2826" s="24">
        <v>0.54424592946798278</v>
      </c>
      <c r="I2826" s="25">
        <v>0.55376404796626444</v>
      </c>
      <c r="X2826" s="15">
        <v>2825</v>
      </c>
      <c r="Y2826" s="39">
        <v>0.48923943906088307</v>
      </c>
      <c r="Z2826" s="39">
        <v>0.48768313566165478</v>
      </c>
      <c r="AA2826" s="39">
        <v>0.50058332562277363</v>
      </c>
      <c r="AB2826" s="39">
        <v>0.47554988233598799</v>
      </c>
      <c r="AC2826" s="39">
        <v>0.48311152265544355</v>
      </c>
      <c r="AD2826" s="39">
        <v>0.47811621208798388</v>
      </c>
      <c r="AE2826" s="39">
        <v>0.49603849438521791</v>
      </c>
      <c r="AF2826" s="40">
        <v>0.47047349207261363</v>
      </c>
    </row>
    <row r="2827" spans="1:32">
      <c r="A2827" s="15">
        <v>2825</v>
      </c>
      <c r="B2827" s="16">
        <v>1</v>
      </c>
      <c r="C2827" s="20">
        <v>0.17</v>
      </c>
      <c r="D2827" s="20">
        <v>0.84423458073882951</v>
      </c>
      <c r="E2827" s="20">
        <v>0.05</v>
      </c>
      <c r="F2827" s="8" t="s">
        <v>436</v>
      </c>
      <c r="G2827" s="24">
        <v>0.9967850641989896</v>
      </c>
      <c r="H2827" s="24">
        <v>1.0025561952842397</v>
      </c>
      <c r="I2827" s="25">
        <v>1.0200895348118864</v>
      </c>
      <c r="X2827" s="15">
        <v>2826</v>
      </c>
      <c r="Y2827" s="39">
        <v>0.49522400691638491</v>
      </c>
      <c r="Z2827" s="39">
        <v>0.47682093923914565</v>
      </c>
      <c r="AA2827" s="39">
        <v>0.46332488240953812</v>
      </c>
      <c r="AB2827" s="39">
        <v>0.49231956407828137</v>
      </c>
      <c r="AC2827" s="39">
        <v>0.48945343625237231</v>
      </c>
      <c r="AD2827" s="39">
        <v>0.46977256096160236</v>
      </c>
      <c r="AE2827" s="39">
        <v>0.45757237284623098</v>
      </c>
      <c r="AF2827" s="40">
        <v>0.48664170777395027</v>
      </c>
    </row>
    <row r="2828" spans="1:32">
      <c r="A2828" s="15">
        <v>2826</v>
      </c>
      <c r="B2828" s="16">
        <v>0</v>
      </c>
      <c r="C2828" s="20">
        <v>0.56000000000000005</v>
      </c>
      <c r="D2828" s="20">
        <v>0.48858201815893942</v>
      </c>
      <c r="E2828" s="20">
        <v>0.04</v>
      </c>
      <c r="F2828" s="8" t="s">
        <v>438</v>
      </c>
      <c r="G2828" s="24">
        <v>1.4412340615987338</v>
      </c>
      <c r="H2828" s="24">
        <v>1.4495784389301674</v>
      </c>
      <c r="I2828" s="25">
        <v>1.474929587385754</v>
      </c>
      <c r="X2828" s="15">
        <v>2827</v>
      </c>
      <c r="Y2828" s="39">
        <v>0.49608983376186988</v>
      </c>
      <c r="Z2828" s="39">
        <v>0.47552554264700769</v>
      </c>
      <c r="AA2828" s="39">
        <v>0.49069180603209578</v>
      </c>
      <c r="AB2828" s="39">
        <v>0.48512572077098187</v>
      </c>
      <c r="AC2828" s="39">
        <v>0.49013039659443092</v>
      </c>
      <c r="AD2828" s="39">
        <v>0.46677476402305101</v>
      </c>
      <c r="AE2828" s="39">
        <v>0.48288758863500075</v>
      </c>
      <c r="AF2828" s="40">
        <v>0.48041255927543014</v>
      </c>
    </row>
    <row r="2829" spans="1:32">
      <c r="A2829" s="15">
        <v>2827</v>
      </c>
      <c r="B2829" s="16">
        <v>1</v>
      </c>
      <c r="C2829" s="20">
        <v>0.12</v>
      </c>
      <c r="D2829" s="20">
        <v>0.87499617004727481</v>
      </c>
      <c r="E2829" s="20">
        <v>0.1</v>
      </c>
      <c r="F2829" s="8" t="s">
        <v>436</v>
      </c>
      <c r="G2829" s="24">
        <v>1.1238587444832422</v>
      </c>
      <c r="H2829" s="24">
        <v>1.1303655997408792</v>
      </c>
      <c r="I2829" s="25">
        <v>1.1501341513132026</v>
      </c>
      <c r="X2829" s="15">
        <v>2828</v>
      </c>
      <c r="Y2829" s="39">
        <v>0.47815399602832148</v>
      </c>
      <c r="Z2829" s="39">
        <v>0.48971036344813684</v>
      </c>
      <c r="AA2829" s="39">
        <v>0.48000868927470869</v>
      </c>
      <c r="AB2829" s="39">
        <v>0.48817543615673731</v>
      </c>
      <c r="AC2829" s="39">
        <v>0.47222032052435486</v>
      </c>
      <c r="AD2829" s="39">
        <v>0.48165672794016612</v>
      </c>
      <c r="AE2829" s="39">
        <v>0.47380533523862134</v>
      </c>
      <c r="AF2829" s="40">
        <v>0.48424002984388598</v>
      </c>
    </row>
    <row r="2830" spans="1:32">
      <c r="A2830" s="15">
        <v>2828</v>
      </c>
      <c r="B2830" s="16">
        <v>1</v>
      </c>
      <c r="C2830" s="20">
        <v>0.34</v>
      </c>
      <c r="D2830" s="20">
        <v>0.70642176780888355</v>
      </c>
      <c r="E2830" s="20">
        <v>0.09</v>
      </c>
      <c r="F2830" s="8" t="s">
        <v>436</v>
      </c>
      <c r="G2830" s="24">
        <v>0.82195281425913047</v>
      </c>
      <c r="H2830" s="24">
        <v>0.82671171124440135</v>
      </c>
      <c r="I2830" s="25">
        <v>0.84116977074561505</v>
      </c>
      <c r="X2830" s="15">
        <v>2829</v>
      </c>
      <c r="Y2830" s="39">
        <v>0.48439215045955919</v>
      </c>
      <c r="Z2830" s="39">
        <v>0.48308664121476791</v>
      </c>
      <c r="AA2830" s="39">
        <v>0.4861220645723261</v>
      </c>
      <c r="AB2830" s="39">
        <v>0.49394571034487106</v>
      </c>
      <c r="AC2830" s="39">
        <v>0.47744440588993209</v>
      </c>
      <c r="AD2830" s="39">
        <v>0.47385171519213587</v>
      </c>
      <c r="AE2830" s="39">
        <v>0.48028213477541609</v>
      </c>
      <c r="AF2830" s="40">
        <v>0.49066769969848462</v>
      </c>
    </row>
    <row r="2831" spans="1:32">
      <c r="A2831" s="15">
        <v>2829</v>
      </c>
      <c r="B2831" s="16">
        <v>1</v>
      </c>
      <c r="C2831" s="20">
        <v>0.4</v>
      </c>
      <c r="D2831" s="20">
        <v>0.63058859517274701</v>
      </c>
      <c r="E2831" s="20">
        <v>0.04</v>
      </c>
      <c r="F2831" s="8" t="s">
        <v>436</v>
      </c>
      <c r="G2831" s="24">
        <v>1.5839358280594895</v>
      </c>
      <c r="H2831" s="24">
        <v>1.5931064121930922</v>
      </c>
      <c r="I2831" s="25">
        <v>1.6209676690084605</v>
      </c>
      <c r="X2831" s="15">
        <v>2830</v>
      </c>
      <c r="Y2831" s="39">
        <v>0.47133699571282878</v>
      </c>
      <c r="Z2831" s="39">
        <v>0.47930749382135501</v>
      </c>
      <c r="AA2831" s="39">
        <v>0.48506252458418492</v>
      </c>
      <c r="AB2831" s="39">
        <v>0.48382959336304115</v>
      </c>
      <c r="AC2831" s="39">
        <v>0.46601225727186069</v>
      </c>
      <c r="AD2831" s="39">
        <v>0.47137138207225027</v>
      </c>
      <c r="AE2831" s="39">
        <v>0.47911972555394422</v>
      </c>
      <c r="AF2831" s="40">
        <v>0.47919383216132372</v>
      </c>
    </row>
    <row r="2832" spans="1:32">
      <c r="A2832" s="15">
        <v>2830</v>
      </c>
      <c r="B2832" s="16">
        <v>0</v>
      </c>
      <c r="C2832" s="20">
        <v>0.21</v>
      </c>
      <c r="D2832" s="20">
        <v>0.88150170629131597</v>
      </c>
      <c r="E2832" s="20">
        <v>7.0000000000000007E-2</v>
      </c>
      <c r="F2832" s="8" t="s">
        <v>436</v>
      </c>
      <c r="G2832" s="24">
        <v>1.2231509064538488</v>
      </c>
      <c r="H2832" s="24">
        <v>1.2302326379842667</v>
      </c>
      <c r="I2832" s="25">
        <v>1.2517477277530304</v>
      </c>
      <c r="X2832" s="15">
        <v>2831</v>
      </c>
      <c r="Y2832" s="39">
        <v>0.48607357307458637</v>
      </c>
      <c r="Z2832" s="39">
        <v>0.49948369092163714</v>
      </c>
      <c r="AA2832" s="39">
        <v>0.49179208813270125</v>
      </c>
      <c r="AB2832" s="39">
        <v>0.47598418296793366</v>
      </c>
      <c r="AC2832" s="39">
        <v>0.47962530091602956</v>
      </c>
      <c r="AD2832" s="39">
        <v>0.49319434854402777</v>
      </c>
      <c r="AE2832" s="39">
        <v>0.48355640719404941</v>
      </c>
      <c r="AF2832" s="40">
        <v>0.47229533592086276</v>
      </c>
    </row>
    <row r="2833" spans="1:32">
      <c r="A2833" s="15">
        <v>2831</v>
      </c>
      <c r="B2833" s="16">
        <v>1</v>
      </c>
      <c r="C2833" s="20">
        <v>0.02</v>
      </c>
      <c r="D2833" s="20">
        <v>0.99756714174924133</v>
      </c>
      <c r="E2833" s="20">
        <v>1</v>
      </c>
      <c r="F2833" s="8" t="s">
        <v>436</v>
      </c>
      <c r="G2833" s="24">
        <v>1.024192961252808</v>
      </c>
      <c r="H2833" s="24">
        <v>1.0301227770659394</v>
      </c>
      <c r="I2833" s="25">
        <v>1.0481382184849999</v>
      </c>
      <c r="X2833" s="15">
        <v>2832</v>
      </c>
      <c r="Y2833" s="39">
        <v>0.4835576385232172</v>
      </c>
      <c r="Z2833" s="39">
        <v>0.4964537835701619</v>
      </c>
      <c r="AA2833" s="39">
        <v>0.47412963609735476</v>
      </c>
      <c r="AB2833" s="39">
        <v>0.48420439711217539</v>
      </c>
      <c r="AC2833" s="39">
        <v>0.47762404899855321</v>
      </c>
      <c r="AD2833" s="39">
        <v>0.48829076722738035</v>
      </c>
      <c r="AE2833" s="39">
        <v>0.46567648820922714</v>
      </c>
      <c r="AF2833" s="40">
        <v>0.48186381980006959</v>
      </c>
    </row>
    <row r="2834" spans="1:32">
      <c r="A2834" s="15">
        <v>2832</v>
      </c>
      <c r="B2834" s="16">
        <v>1</v>
      </c>
      <c r="C2834" s="20">
        <v>0.2</v>
      </c>
      <c r="D2834" s="20">
        <v>0.80280122428409262</v>
      </c>
      <c r="E2834" s="20">
        <v>0.09</v>
      </c>
      <c r="F2834" s="8" t="s">
        <v>436</v>
      </c>
      <c r="G2834" s="24">
        <v>1.1011312703360607</v>
      </c>
      <c r="H2834" s="24">
        <v>1.1075065393197348</v>
      </c>
      <c r="I2834" s="25">
        <v>1.1268753171242314</v>
      </c>
      <c r="X2834" s="15">
        <v>2833</v>
      </c>
      <c r="Y2834" s="39">
        <v>0.48861202792583508</v>
      </c>
      <c r="Z2834" s="39">
        <v>0.5021660885977266</v>
      </c>
      <c r="AA2834" s="39">
        <v>0.49916620518021393</v>
      </c>
      <c r="AB2834" s="39">
        <v>0.497883057802262</v>
      </c>
      <c r="AC2834" s="39">
        <v>0.48280409424322768</v>
      </c>
      <c r="AD2834" s="39">
        <v>0.49162105554968427</v>
      </c>
      <c r="AE2834" s="39">
        <v>0.49507910996058685</v>
      </c>
      <c r="AF2834" s="40">
        <v>0.49424651483906989</v>
      </c>
    </row>
    <row r="2835" spans="1:32">
      <c r="A2835" s="15">
        <v>2833</v>
      </c>
      <c r="B2835" s="16">
        <v>1</v>
      </c>
      <c r="C2835" s="20">
        <v>0.93</v>
      </c>
      <c r="D2835" s="20">
        <v>0.18747949848141848</v>
      </c>
      <c r="E2835" s="20">
        <v>7.0000000000000007E-2</v>
      </c>
      <c r="F2835" s="8" t="s">
        <v>434</v>
      </c>
      <c r="G2835" s="24">
        <v>0.51453121445686179</v>
      </c>
      <c r="H2835" s="24">
        <v>0.51751021885082271</v>
      </c>
      <c r="I2835" s="25">
        <v>0.52656076626035297</v>
      </c>
      <c r="X2835" s="15">
        <v>2834</v>
      </c>
      <c r="Y2835" s="39">
        <v>0.4781784053791906</v>
      </c>
      <c r="Z2835" s="39">
        <v>0.48075749642736298</v>
      </c>
      <c r="AA2835" s="39">
        <v>0.47857953882579801</v>
      </c>
      <c r="AB2835" s="39">
        <v>0.48834677047320668</v>
      </c>
      <c r="AC2835" s="39">
        <v>0.47218870714132205</v>
      </c>
      <c r="AD2835" s="39">
        <v>0.4746057827373984</v>
      </c>
      <c r="AE2835" s="39">
        <v>0.47157110239667593</v>
      </c>
      <c r="AF2835" s="40">
        <v>0.48407769614605739</v>
      </c>
    </row>
    <row r="2836" spans="1:32">
      <c r="A2836" s="15">
        <v>2834</v>
      </c>
      <c r="B2836" s="16">
        <v>0</v>
      </c>
      <c r="C2836" s="20">
        <v>0.92</v>
      </c>
      <c r="D2836" s="20">
        <v>0.20258497911151899</v>
      </c>
      <c r="E2836" s="20">
        <v>0.08</v>
      </c>
      <c r="F2836" s="8" t="s">
        <v>434</v>
      </c>
      <c r="G2836" s="24">
        <v>0.85234035116973894</v>
      </c>
      <c r="H2836" s="24">
        <v>0.85727518423708782</v>
      </c>
      <c r="I2836" s="25">
        <v>0.87226775716672122</v>
      </c>
      <c r="X2836" s="15">
        <v>2835</v>
      </c>
      <c r="Y2836" s="39">
        <v>0.49269118030852022</v>
      </c>
      <c r="Z2836" s="39">
        <v>0.48548672112567642</v>
      </c>
      <c r="AA2836" s="39">
        <v>0.4860513310258095</v>
      </c>
      <c r="AB2836" s="39">
        <v>0.48642110724246723</v>
      </c>
      <c r="AC2836" s="39">
        <v>0.4859452792949257</v>
      </c>
      <c r="AD2836" s="39">
        <v>0.47986945960112887</v>
      </c>
      <c r="AE2836" s="39">
        <v>0.48332504645313401</v>
      </c>
      <c r="AF2836" s="40">
        <v>0.48151552807460235</v>
      </c>
    </row>
    <row r="2837" spans="1:32">
      <c r="A2837" s="15">
        <v>2835</v>
      </c>
      <c r="B2837" s="16">
        <v>0</v>
      </c>
      <c r="C2837" s="20">
        <v>0.91</v>
      </c>
      <c r="D2837" s="20">
        <v>0.21727233298780477</v>
      </c>
      <c r="E2837" s="20">
        <v>0.09</v>
      </c>
      <c r="F2837" s="8" t="s">
        <v>434</v>
      </c>
      <c r="G2837" s="24">
        <v>1.4019884002617955</v>
      </c>
      <c r="H2837" s="24">
        <v>1.4101055552318218</v>
      </c>
      <c r="I2837" s="25">
        <v>1.4347663768256584</v>
      </c>
      <c r="X2837" s="15">
        <v>2836</v>
      </c>
      <c r="Y2837" s="39">
        <v>0.48769726575205929</v>
      </c>
      <c r="Z2837" s="39">
        <v>0.48904162702797521</v>
      </c>
      <c r="AA2837" s="39">
        <v>0.47248237697646195</v>
      </c>
      <c r="AB2837" s="39">
        <v>0.49241439694769629</v>
      </c>
      <c r="AC2837" s="39">
        <v>0.4798025283741138</v>
      </c>
      <c r="AD2837" s="39">
        <v>0.47998147324186857</v>
      </c>
      <c r="AE2837" s="39">
        <v>0.46710827681497802</v>
      </c>
      <c r="AF2837" s="40">
        <v>0.48650647884919762</v>
      </c>
    </row>
    <row r="2838" spans="1:32">
      <c r="A2838" s="15">
        <v>2836</v>
      </c>
      <c r="B2838" s="16">
        <v>1</v>
      </c>
      <c r="C2838" s="20">
        <v>0.89</v>
      </c>
      <c r="D2838" s="20">
        <v>0.24559627500636821</v>
      </c>
      <c r="E2838" s="20">
        <v>0.11</v>
      </c>
      <c r="F2838" s="8" t="s">
        <v>434</v>
      </c>
      <c r="G2838" s="24">
        <v>0.41387097269289547</v>
      </c>
      <c r="H2838" s="24">
        <v>0.41626717998128421</v>
      </c>
      <c r="I2838" s="25">
        <v>0.42354712482144213</v>
      </c>
      <c r="X2838" s="15">
        <v>2837</v>
      </c>
      <c r="Y2838" s="39">
        <v>0.477105221568631</v>
      </c>
      <c r="Z2838" s="39">
        <v>0.48889632549561324</v>
      </c>
      <c r="AA2838" s="39">
        <v>0.49555393928940666</v>
      </c>
      <c r="AB2838" s="39">
        <v>0.49036175660794029</v>
      </c>
      <c r="AC2838" s="39">
        <v>0.46707098001374209</v>
      </c>
      <c r="AD2838" s="39">
        <v>0.4804973399582172</v>
      </c>
      <c r="AE2838" s="39">
        <v>0.48958568792989277</v>
      </c>
      <c r="AF2838" s="40">
        <v>0.48685548841304532</v>
      </c>
    </row>
    <row r="2839" spans="1:32">
      <c r="A2839" s="15">
        <v>2837</v>
      </c>
      <c r="B2839" s="16">
        <v>0</v>
      </c>
      <c r="C2839" s="20">
        <v>0.89</v>
      </c>
      <c r="D2839" s="20">
        <v>0.24559627500636821</v>
      </c>
      <c r="E2839" s="20">
        <v>0.11</v>
      </c>
      <c r="F2839" s="8" t="s">
        <v>434</v>
      </c>
      <c r="G2839" s="24">
        <v>0.38195562912980191</v>
      </c>
      <c r="H2839" s="24">
        <v>0.38416705472557827</v>
      </c>
      <c r="I2839" s="25">
        <v>0.39088561218651935</v>
      </c>
      <c r="X2839" s="15">
        <v>2838</v>
      </c>
      <c r="Y2839" s="39">
        <v>0.49408008975026496</v>
      </c>
      <c r="Z2839" s="39">
        <v>0.48347730945856771</v>
      </c>
      <c r="AA2839" s="39">
        <v>0.48034034208085136</v>
      </c>
      <c r="AB2839" s="39">
        <v>0.49002463122149142</v>
      </c>
      <c r="AC2839" s="39">
        <v>0.48887386805000449</v>
      </c>
      <c r="AD2839" s="39">
        <v>0.47520230966559063</v>
      </c>
      <c r="AE2839" s="39">
        <v>0.47331116069601648</v>
      </c>
      <c r="AF2839" s="40">
        <v>0.48727120824703507</v>
      </c>
    </row>
    <row r="2840" spans="1:32">
      <c r="A2840" s="15">
        <v>2838</v>
      </c>
      <c r="B2840" s="16">
        <v>0</v>
      </c>
      <c r="C2840" s="20">
        <v>0.93</v>
      </c>
      <c r="D2840" s="20">
        <v>0.18747949848141848</v>
      </c>
      <c r="E2840" s="20">
        <v>7.0000000000000007E-2</v>
      </c>
      <c r="F2840" s="8" t="s">
        <v>434</v>
      </c>
      <c r="G2840" s="24">
        <v>2.804124313824679</v>
      </c>
      <c r="H2840" s="24">
        <v>2.3557193791407478</v>
      </c>
      <c r="I2840" s="25">
        <v>1.6578926537592125</v>
      </c>
      <c r="X2840" s="15">
        <v>2839</v>
      </c>
      <c r="Y2840" s="39">
        <v>0.47910945369697339</v>
      </c>
      <c r="Z2840" s="39">
        <v>0.47492095632186426</v>
      </c>
      <c r="AA2840" s="39">
        <v>0.474715512782108</v>
      </c>
      <c r="AB2840" s="39">
        <v>0.49740051271673474</v>
      </c>
      <c r="AC2840" s="39">
        <v>0.47660487779957778</v>
      </c>
      <c r="AD2840" s="39">
        <v>0.46960915068317882</v>
      </c>
      <c r="AE2840" s="39">
        <v>0.46903840298775273</v>
      </c>
      <c r="AF2840" s="40">
        <v>0.49174335702423622</v>
      </c>
    </row>
    <row r="2841" spans="1:32">
      <c r="A2841" s="15">
        <v>2839</v>
      </c>
      <c r="B2841" s="16">
        <v>0</v>
      </c>
      <c r="C2841" s="20">
        <v>0.01</v>
      </c>
      <c r="D2841" s="20">
        <v>0.99999999999999978</v>
      </c>
      <c r="E2841" s="20">
        <v>1</v>
      </c>
      <c r="F2841" s="8" t="s">
        <v>436</v>
      </c>
      <c r="G2841" s="24">
        <v>1.0806589562475846</v>
      </c>
      <c r="H2841" s="24">
        <v>1.0869156957583899</v>
      </c>
      <c r="I2841" s="25">
        <v>1.1059243678121864</v>
      </c>
      <c r="X2841" s="15">
        <v>2840</v>
      </c>
      <c r="Y2841" s="39">
        <v>0.48668987605408465</v>
      </c>
      <c r="Z2841" s="39">
        <v>0.48059643358366816</v>
      </c>
      <c r="AA2841" s="39">
        <v>0.49539485272631689</v>
      </c>
      <c r="AB2841" s="39">
        <v>0.48632791211288551</v>
      </c>
      <c r="AC2841" s="39">
        <v>0.4836978733608383</v>
      </c>
      <c r="AD2841" s="39">
        <v>0.4727304359525103</v>
      </c>
      <c r="AE2841" s="39">
        <v>0.4875525987282478</v>
      </c>
      <c r="AF2841" s="40">
        <v>0.48231607694812645</v>
      </c>
    </row>
    <row r="2842" spans="1:32">
      <c r="A2842" s="15">
        <v>2840</v>
      </c>
      <c r="B2842" s="16">
        <v>0</v>
      </c>
      <c r="C2842" s="20">
        <v>0.91</v>
      </c>
      <c r="D2842" s="20">
        <v>0.21727233298780477</v>
      </c>
      <c r="E2842" s="20">
        <v>0.09</v>
      </c>
      <c r="F2842" s="8" t="s">
        <v>434</v>
      </c>
      <c r="G2842" s="24">
        <v>0.81328353183236946</v>
      </c>
      <c r="H2842" s="24">
        <v>0.81799223588528525</v>
      </c>
      <c r="I2842" s="25">
        <v>0.83229780366314876</v>
      </c>
      <c r="X2842" s="15">
        <v>2841</v>
      </c>
      <c r="Y2842" s="39">
        <v>0.48202140240659619</v>
      </c>
      <c r="Z2842" s="39">
        <v>0.48116190673339154</v>
      </c>
      <c r="AA2842" s="39">
        <v>0.48406425617937615</v>
      </c>
      <c r="AB2842" s="39">
        <v>0.50008764235815706</v>
      </c>
      <c r="AC2842" s="39">
        <v>0.47635739512536407</v>
      </c>
      <c r="AD2842" s="39">
        <v>0.47326407330399867</v>
      </c>
      <c r="AE2842" s="39">
        <v>0.476607847090665</v>
      </c>
      <c r="AF2842" s="40">
        <v>0.49576478897791687</v>
      </c>
    </row>
    <row r="2843" spans="1:32">
      <c r="A2843" s="15">
        <v>2841</v>
      </c>
      <c r="B2843" s="16">
        <v>0</v>
      </c>
      <c r="C2843" s="20">
        <v>0.94</v>
      </c>
      <c r="D2843" s="20">
        <v>0.17188516685452584</v>
      </c>
      <c r="E2843" s="20">
        <v>0.06</v>
      </c>
      <c r="F2843" s="8" t="s">
        <v>434</v>
      </c>
      <c r="G2843" s="24">
        <v>0.34819755064752683</v>
      </c>
      <c r="H2843" s="24">
        <v>0.35021352558587998</v>
      </c>
      <c r="I2843" s="25">
        <v>0.35633828216327113</v>
      </c>
      <c r="X2843" s="15">
        <v>2842</v>
      </c>
      <c r="Y2843" s="39">
        <v>0.48974248839984852</v>
      </c>
      <c r="Z2843" s="39">
        <v>0.48570959056644269</v>
      </c>
      <c r="AA2843" s="39">
        <v>0.47574130854561397</v>
      </c>
      <c r="AB2843" s="39">
        <v>0.48157619039005145</v>
      </c>
      <c r="AC2843" s="39">
        <v>0.48445122310629174</v>
      </c>
      <c r="AD2843" s="39">
        <v>0.47655113408596189</v>
      </c>
      <c r="AE2843" s="39">
        <v>0.46597363091369676</v>
      </c>
      <c r="AF2843" s="40">
        <v>0.47964619682560017</v>
      </c>
    </row>
    <row r="2844" spans="1:32">
      <c r="A2844" s="15">
        <v>2842</v>
      </c>
      <c r="B2844" s="16">
        <v>0</v>
      </c>
      <c r="C2844" s="20">
        <v>0.96</v>
      </c>
      <c r="D2844" s="20">
        <v>0.13880369068795359</v>
      </c>
      <c r="E2844" s="20">
        <v>0.04</v>
      </c>
      <c r="F2844" s="8" t="s">
        <v>434</v>
      </c>
      <c r="G2844" s="24">
        <v>0.7465658605443557</v>
      </c>
      <c r="H2844" s="24">
        <v>0.75088828631067306</v>
      </c>
      <c r="I2844" s="25">
        <v>0.76402029759656931</v>
      </c>
      <c r="X2844" s="15">
        <v>2843</v>
      </c>
      <c r="Y2844" s="39">
        <v>0.47934047388728623</v>
      </c>
      <c r="Z2844" s="39">
        <v>0.47554004275629841</v>
      </c>
      <c r="AA2844" s="39">
        <v>0.47269611270576506</v>
      </c>
      <c r="AB2844" s="39">
        <v>0.49462851920190298</v>
      </c>
      <c r="AC2844" s="39">
        <v>0.47309025487008061</v>
      </c>
      <c r="AD2844" s="39">
        <v>0.46849919670079249</v>
      </c>
      <c r="AE2844" s="39">
        <v>0.46727430126470981</v>
      </c>
      <c r="AF2844" s="40">
        <v>0.49189079772379868</v>
      </c>
    </row>
    <row r="2845" spans="1:32">
      <c r="A2845" s="15">
        <v>2843</v>
      </c>
      <c r="B2845" s="16">
        <v>1</v>
      </c>
      <c r="C2845" s="20">
        <v>0.01</v>
      </c>
      <c r="D2845" s="20">
        <v>0.99999999999999978</v>
      </c>
      <c r="E2845" s="20">
        <v>1</v>
      </c>
      <c r="F2845" s="8" t="s">
        <v>436</v>
      </c>
      <c r="G2845" s="24">
        <v>1.0700435897818414</v>
      </c>
      <c r="H2845" s="24">
        <v>1.0762388690304576</v>
      </c>
      <c r="I2845" s="25">
        <v>1.095060817956933</v>
      </c>
      <c r="X2845" s="15">
        <v>2844</v>
      </c>
      <c r="Y2845" s="39">
        <v>0.4772926223931151</v>
      </c>
      <c r="Z2845" s="39">
        <v>0.47515145003317977</v>
      </c>
      <c r="AA2845" s="39">
        <v>0.49673148390063676</v>
      </c>
      <c r="AB2845" s="39">
        <v>0.49872125936469108</v>
      </c>
      <c r="AC2845" s="39">
        <v>0.46871099713245035</v>
      </c>
      <c r="AD2845" s="39">
        <v>0.4707728301284993</v>
      </c>
      <c r="AE2845" s="39">
        <v>0.48896790223565822</v>
      </c>
      <c r="AF2845" s="40">
        <v>0.49520919469335445</v>
      </c>
    </row>
    <row r="2846" spans="1:32">
      <c r="A2846" s="15">
        <v>2844</v>
      </c>
      <c r="B2846" s="16">
        <v>1</v>
      </c>
      <c r="C2846" s="20">
        <v>0.91</v>
      </c>
      <c r="D2846" s="20">
        <v>0.21727233298780477</v>
      </c>
      <c r="E2846" s="20">
        <v>0.09</v>
      </c>
      <c r="F2846" s="8" t="s">
        <v>434</v>
      </c>
      <c r="G2846" s="24">
        <v>1.0905155755917306</v>
      </c>
      <c r="H2846" s="24">
        <v>1.0968293824125663</v>
      </c>
      <c r="I2846" s="25">
        <v>1.1160114313153575</v>
      </c>
      <c r="X2846" s="15">
        <v>2845</v>
      </c>
      <c r="Y2846" s="39">
        <v>0.47790853224437835</v>
      </c>
      <c r="Z2846" s="39">
        <v>0.47546304407672507</v>
      </c>
      <c r="AA2846" s="39">
        <v>0.48904341170032412</v>
      </c>
      <c r="AB2846" s="39">
        <v>0.49500337788663362</v>
      </c>
      <c r="AC2846" s="39">
        <v>0.46790942359230137</v>
      </c>
      <c r="AD2846" s="39">
        <v>0.46949077424861224</v>
      </c>
      <c r="AE2846" s="39">
        <v>0.48272301967590475</v>
      </c>
      <c r="AF2846" s="40">
        <v>0.48997176645610679</v>
      </c>
    </row>
    <row r="2847" spans="1:32">
      <c r="A2847" s="15">
        <v>2845</v>
      </c>
      <c r="B2847" s="16">
        <v>1</v>
      </c>
      <c r="C2847" s="20">
        <v>0.16</v>
      </c>
      <c r="D2847" s="20">
        <v>0.87344722003476616</v>
      </c>
      <c r="E2847" s="20">
        <v>0.09</v>
      </c>
      <c r="F2847" s="8" t="s">
        <v>436</v>
      </c>
      <c r="G2847" s="24">
        <v>1.1970442241220027</v>
      </c>
      <c r="H2847" s="24">
        <v>1.2039748046256351</v>
      </c>
      <c r="I2847" s="25">
        <v>1.2250306807266735</v>
      </c>
      <c r="X2847" s="15">
        <v>2846</v>
      </c>
      <c r="Y2847" s="39">
        <v>0.49111681385289047</v>
      </c>
      <c r="Z2847" s="39">
        <v>0.47269999535895696</v>
      </c>
      <c r="AA2847" s="39">
        <v>0.48811143062384066</v>
      </c>
      <c r="AB2847" s="39">
        <v>0.50912545148933386</v>
      </c>
      <c r="AC2847" s="39">
        <v>0.48708422051671552</v>
      </c>
      <c r="AD2847" s="39">
        <v>0.46623963058961881</v>
      </c>
      <c r="AE2847" s="39">
        <v>0.48079668722823354</v>
      </c>
      <c r="AF2847" s="40">
        <v>0.50550109345455585</v>
      </c>
    </row>
    <row r="2848" spans="1:32">
      <c r="A2848" s="15">
        <v>2846</v>
      </c>
      <c r="B2848" s="16">
        <v>0</v>
      </c>
      <c r="C2848" s="20">
        <v>0.18</v>
      </c>
      <c r="D2848" s="20">
        <v>0.89530657315965234</v>
      </c>
      <c r="E2848" s="20">
        <v>0.03</v>
      </c>
      <c r="F2848" s="8" t="s">
        <v>436</v>
      </c>
      <c r="G2848" s="24">
        <v>0.74041596680252042</v>
      </c>
      <c r="H2848" s="24">
        <v>0.74470278625387654</v>
      </c>
      <c r="I2848" s="25">
        <v>0.75772662158599158</v>
      </c>
      <c r="X2848" s="15">
        <v>2847</v>
      </c>
      <c r="Y2848" s="39">
        <v>0.48532902819558277</v>
      </c>
      <c r="Z2848" s="39">
        <v>0.47074870790365697</v>
      </c>
      <c r="AA2848" s="39">
        <v>0.48575707065045104</v>
      </c>
      <c r="AB2848" s="39">
        <v>0.48703886820255199</v>
      </c>
      <c r="AC2848" s="39">
        <v>0.47861008331644928</v>
      </c>
      <c r="AD2848" s="39">
        <v>0.46168483982644543</v>
      </c>
      <c r="AE2848" s="39">
        <v>0.47883062226738105</v>
      </c>
      <c r="AF2848" s="40">
        <v>0.48214319771304681</v>
      </c>
    </row>
    <row r="2849" spans="1:32">
      <c r="A2849" s="15">
        <v>2847</v>
      </c>
      <c r="B2849" s="16">
        <v>0</v>
      </c>
      <c r="C2849" s="20">
        <v>0.02</v>
      </c>
      <c r="D2849" s="20">
        <v>0.99604261948721451</v>
      </c>
      <c r="E2849" s="20">
        <v>1</v>
      </c>
      <c r="F2849" s="8" t="s">
        <v>436</v>
      </c>
      <c r="G2849" s="24">
        <v>1.0617700423120064</v>
      </c>
      <c r="H2849" s="24">
        <v>1.067917419832654</v>
      </c>
      <c r="I2849" s="25">
        <v>1.086593837970099</v>
      </c>
      <c r="X2849" s="15">
        <v>2848</v>
      </c>
      <c r="Y2849" s="39">
        <v>0.47983856468993841</v>
      </c>
      <c r="Z2849" s="39">
        <v>0.48104560133525648</v>
      </c>
      <c r="AA2849" s="39">
        <v>0.48252833323829636</v>
      </c>
      <c r="AB2849" s="39">
        <v>0.49473828173474843</v>
      </c>
      <c r="AC2849" s="39">
        <v>0.47589490477397473</v>
      </c>
      <c r="AD2849" s="39">
        <v>0.47577939371661965</v>
      </c>
      <c r="AE2849" s="39">
        <v>0.4748890741022605</v>
      </c>
      <c r="AF2849" s="40">
        <v>0.49038460629101971</v>
      </c>
    </row>
    <row r="2850" spans="1:32">
      <c r="A2850" s="15">
        <v>2848</v>
      </c>
      <c r="B2850" s="16">
        <v>1</v>
      </c>
      <c r="C2850" s="20">
        <v>0.25</v>
      </c>
      <c r="D2850" s="20">
        <v>0.87187551783454309</v>
      </c>
      <c r="E2850" s="20">
        <v>0.02</v>
      </c>
      <c r="F2850" s="8" t="s">
        <v>436</v>
      </c>
      <c r="G2850" s="24">
        <v>1.0116033986722526</v>
      </c>
      <c r="H2850" s="24">
        <v>1.0174603241316178</v>
      </c>
      <c r="I2850" s="25">
        <v>1.0352543165310677</v>
      </c>
      <c r="X2850" s="15">
        <v>2849</v>
      </c>
      <c r="Y2850" s="39">
        <v>0.48222908887072558</v>
      </c>
      <c r="Z2850" s="39">
        <v>0.50425488971834653</v>
      </c>
      <c r="AA2850" s="39">
        <v>0.48547556381080942</v>
      </c>
      <c r="AB2850" s="39">
        <v>0.47777209804270315</v>
      </c>
      <c r="AC2850" s="39">
        <v>0.4756523056491328</v>
      </c>
      <c r="AD2850" s="39">
        <v>0.499258501708925</v>
      </c>
      <c r="AE2850" s="39">
        <v>0.47694214553031106</v>
      </c>
      <c r="AF2850" s="40">
        <v>0.47112988451204846</v>
      </c>
    </row>
    <row r="2851" spans="1:32">
      <c r="A2851" s="15">
        <v>2849</v>
      </c>
      <c r="B2851" s="16">
        <v>0</v>
      </c>
      <c r="C2851" s="20">
        <v>0.95</v>
      </c>
      <c r="D2851" s="20">
        <v>0.15570568692893463</v>
      </c>
      <c r="E2851" s="20">
        <v>0.05</v>
      </c>
      <c r="F2851" s="8" t="s">
        <v>434</v>
      </c>
      <c r="G2851" s="24">
        <v>0.7529305807412674</v>
      </c>
      <c r="H2851" s="24">
        <v>0.75728985661288484</v>
      </c>
      <c r="I2851" s="25">
        <v>0.77053382262625347</v>
      </c>
      <c r="X2851" s="15">
        <v>2850</v>
      </c>
      <c r="Y2851" s="39">
        <v>0.48940187064036317</v>
      </c>
      <c r="Z2851" s="39">
        <v>0.49343130971187021</v>
      </c>
      <c r="AA2851" s="39">
        <v>0.47873923917132183</v>
      </c>
      <c r="AB2851" s="39">
        <v>0.49138857349951293</v>
      </c>
      <c r="AC2851" s="39">
        <v>0.48262000485366502</v>
      </c>
      <c r="AD2851" s="39">
        <v>0.48823126457307797</v>
      </c>
      <c r="AE2851" s="39">
        <v>0.47086991150389435</v>
      </c>
      <c r="AF2851" s="40">
        <v>0.48498415780663928</v>
      </c>
    </row>
    <row r="2852" spans="1:32">
      <c r="A2852" s="15">
        <v>2850</v>
      </c>
      <c r="B2852" s="16">
        <v>1</v>
      </c>
      <c r="C2852" s="20">
        <v>0.96</v>
      </c>
      <c r="D2852" s="20">
        <v>0.13880369068795359</v>
      </c>
      <c r="E2852" s="20">
        <v>0.04</v>
      </c>
      <c r="F2852" s="8" t="s">
        <v>434</v>
      </c>
      <c r="G2852" s="24">
        <v>1.1578200977277178</v>
      </c>
      <c r="H2852" s="24">
        <v>1.164523580551764</v>
      </c>
      <c r="I2852" s="25">
        <v>1.1848895085883226</v>
      </c>
      <c r="X2852" s="15">
        <v>2851</v>
      </c>
      <c r="Y2852" s="39">
        <v>0.49249167236096919</v>
      </c>
      <c r="Z2852" s="39">
        <v>0.48089582003491904</v>
      </c>
      <c r="AA2852" s="39">
        <v>0.48841171540195571</v>
      </c>
      <c r="AB2852" s="39">
        <v>0.4922680851331705</v>
      </c>
      <c r="AC2852" s="39">
        <v>0.48500651927214927</v>
      </c>
      <c r="AD2852" s="39">
        <v>0.4729285097614867</v>
      </c>
      <c r="AE2852" s="39">
        <v>0.48082033812652109</v>
      </c>
      <c r="AF2852" s="40">
        <v>0.48831621128381791</v>
      </c>
    </row>
    <row r="2853" spans="1:32">
      <c r="A2853" s="15">
        <v>2851</v>
      </c>
      <c r="B2853" s="16">
        <v>1</v>
      </c>
      <c r="C2853" s="20">
        <v>0.11</v>
      </c>
      <c r="D2853" s="20">
        <v>0.94165532079588954</v>
      </c>
      <c r="E2853" s="20">
        <v>0.45</v>
      </c>
      <c r="F2853" s="8" t="s">
        <v>436</v>
      </c>
      <c r="G2853" s="24">
        <v>0.91759961911783572</v>
      </c>
      <c r="H2853" s="24">
        <v>0.92291228668871272</v>
      </c>
      <c r="I2853" s="25">
        <v>0.93905276295614259</v>
      </c>
      <c r="X2853" s="15">
        <v>2852</v>
      </c>
      <c r="Y2853" s="39">
        <v>0.47291472220015462</v>
      </c>
      <c r="Z2853" s="39">
        <v>0.47831968742603015</v>
      </c>
      <c r="AA2853" s="39">
        <v>0.48473908639908486</v>
      </c>
      <c r="AB2853" s="39">
        <v>0.4981306764411832</v>
      </c>
      <c r="AC2853" s="39">
        <v>0.46501858930712436</v>
      </c>
      <c r="AD2853" s="39">
        <v>0.47085914107026061</v>
      </c>
      <c r="AE2853" s="39">
        <v>0.47905006803181976</v>
      </c>
      <c r="AF2853" s="40">
        <v>0.49476841457304049</v>
      </c>
    </row>
    <row r="2854" spans="1:32">
      <c r="A2854" s="15">
        <v>2852</v>
      </c>
      <c r="B2854" s="16">
        <v>0</v>
      </c>
      <c r="C2854" s="20">
        <v>0.3</v>
      </c>
      <c r="D2854" s="20">
        <v>0.78795142494106396</v>
      </c>
      <c r="E2854" s="20">
        <v>0.04</v>
      </c>
      <c r="F2854" s="8" t="s">
        <v>436</v>
      </c>
      <c r="G2854" s="24">
        <v>1.115928111163258</v>
      </c>
      <c r="H2854" s="24">
        <v>1.1223890500783229</v>
      </c>
      <c r="I2854" s="25">
        <v>1.1420181026837548</v>
      </c>
      <c r="X2854" s="15">
        <v>2853</v>
      </c>
      <c r="Y2854" s="39">
        <v>0.47523584969542881</v>
      </c>
      <c r="Z2854" s="39">
        <v>0.47105200026484106</v>
      </c>
      <c r="AA2854" s="39">
        <v>0.47692904273655262</v>
      </c>
      <c r="AB2854" s="39">
        <v>0.47940999179222632</v>
      </c>
      <c r="AC2854" s="39">
        <v>0.47113013087099742</v>
      </c>
      <c r="AD2854" s="39">
        <v>0.46365381098674008</v>
      </c>
      <c r="AE2854" s="39">
        <v>0.47323275865827885</v>
      </c>
      <c r="AF2854" s="40">
        <v>0.47372634177239548</v>
      </c>
    </row>
    <row r="2855" spans="1:32">
      <c r="A2855" s="15">
        <v>2853</v>
      </c>
      <c r="B2855" s="16">
        <v>0</v>
      </c>
      <c r="C2855" s="20">
        <v>0.93</v>
      </c>
      <c r="D2855" s="20">
        <v>0.18747949848141848</v>
      </c>
      <c r="E2855" s="20">
        <v>7.0000000000000007E-2</v>
      </c>
      <c r="F2855" s="8" t="s">
        <v>434</v>
      </c>
      <c r="G2855" s="24">
        <v>0.72049690360902319</v>
      </c>
      <c r="H2855" s="24">
        <v>0.72466839676897121</v>
      </c>
      <c r="I2855" s="25">
        <v>0.73734185797271301</v>
      </c>
      <c r="X2855" s="15">
        <v>2854</v>
      </c>
      <c r="Y2855" s="39">
        <v>0.49390022748409851</v>
      </c>
      <c r="Z2855" s="39">
        <v>0.48669391758999403</v>
      </c>
      <c r="AA2855" s="39">
        <v>0.48956567584375132</v>
      </c>
      <c r="AB2855" s="39">
        <v>0.50105114323417776</v>
      </c>
      <c r="AC2855" s="39">
        <v>0.48729106034284697</v>
      </c>
      <c r="AD2855" s="39">
        <v>0.47832997972603636</v>
      </c>
      <c r="AE2855" s="39">
        <v>0.48470610852966367</v>
      </c>
      <c r="AF2855" s="40">
        <v>0.49355197035995696</v>
      </c>
    </row>
    <row r="2856" spans="1:32">
      <c r="A2856" s="15">
        <v>2854</v>
      </c>
      <c r="B2856" s="16">
        <v>1</v>
      </c>
      <c r="C2856" s="20">
        <v>0.02</v>
      </c>
      <c r="D2856" s="20">
        <v>0.99835916395484214</v>
      </c>
      <c r="E2856" s="20">
        <v>1</v>
      </c>
      <c r="F2856" s="8" t="s">
        <v>436</v>
      </c>
      <c r="G2856" s="24">
        <v>0.9916410014771817</v>
      </c>
      <c r="H2856" s="24">
        <v>0.99738234975233098</v>
      </c>
      <c r="I2856" s="25">
        <v>1.0148252057830911</v>
      </c>
      <c r="X2856" s="15">
        <v>2855</v>
      </c>
      <c r="Y2856" s="39">
        <v>0.48514164892141592</v>
      </c>
      <c r="Z2856" s="39">
        <v>0.47975066397559468</v>
      </c>
      <c r="AA2856" s="39">
        <v>0.49434599714012634</v>
      </c>
      <c r="AB2856" s="39">
        <v>0.47990349869679605</v>
      </c>
      <c r="AC2856" s="39">
        <v>0.48025629119311591</v>
      </c>
      <c r="AD2856" s="39">
        <v>0.4710780448041248</v>
      </c>
      <c r="AE2856" s="39">
        <v>0.48423420786510624</v>
      </c>
      <c r="AF2856" s="40">
        <v>0.47549982570398197</v>
      </c>
    </row>
    <row r="2857" spans="1:32">
      <c r="A2857" s="15">
        <v>2855</v>
      </c>
      <c r="B2857" s="16">
        <v>0</v>
      </c>
      <c r="C2857" s="20">
        <v>0.02</v>
      </c>
      <c r="D2857" s="20">
        <v>0.99917029198757767</v>
      </c>
      <c r="E2857" s="20">
        <v>1</v>
      </c>
      <c r="F2857" s="8" t="s">
        <v>436</v>
      </c>
      <c r="G2857" s="24">
        <v>1.0856917292560124</v>
      </c>
      <c r="H2857" s="24">
        <v>1.0919776072378853</v>
      </c>
      <c r="I2857" s="25">
        <v>1.1110748052147639</v>
      </c>
      <c r="X2857" s="15">
        <v>2856</v>
      </c>
      <c r="Y2857" s="39">
        <v>0.49078481254848105</v>
      </c>
      <c r="Z2857" s="39">
        <v>0.4922010422132182</v>
      </c>
      <c r="AA2857" s="39">
        <v>0.47583051035713636</v>
      </c>
      <c r="AB2857" s="39">
        <v>0.50543452517252518</v>
      </c>
      <c r="AC2857" s="39">
        <v>0.48405217393594574</v>
      </c>
      <c r="AD2857" s="39">
        <v>0.48514674012171149</v>
      </c>
      <c r="AE2857" s="39">
        <v>0.46908417494923021</v>
      </c>
      <c r="AF2857" s="40">
        <v>0.50075275559775356</v>
      </c>
    </row>
    <row r="2858" spans="1:32">
      <c r="A2858" s="15">
        <v>2856</v>
      </c>
      <c r="B2858" s="16">
        <v>1</v>
      </c>
      <c r="C2858" s="20">
        <v>0.88</v>
      </c>
      <c r="D2858" s="20">
        <v>0.25930874124763043</v>
      </c>
      <c r="E2858" s="20">
        <v>0.12</v>
      </c>
      <c r="F2858" s="8" t="s">
        <v>434</v>
      </c>
      <c r="G2858" s="24">
        <v>0.58507814419895376</v>
      </c>
      <c r="H2858" s="24">
        <v>0.58846559730851689</v>
      </c>
      <c r="I2858" s="25">
        <v>0.59875705744459884</v>
      </c>
      <c r="X2858" s="15">
        <v>2857</v>
      </c>
      <c r="Y2858" s="39">
        <v>0.48462075795406628</v>
      </c>
      <c r="Z2858" s="39">
        <v>0.48906190507996494</v>
      </c>
      <c r="AA2858" s="39">
        <v>0.48715053437433303</v>
      </c>
      <c r="AB2858" s="39">
        <v>0.49268992728014349</v>
      </c>
      <c r="AC2858" s="39">
        <v>0.47936167352905229</v>
      </c>
      <c r="AD2858" s="39">
        <v>0.48046408175062705</v>
      </c>
      <c r="AE2858" s="39">
        <v>0.47973154011557118</v>
      </c>
      <c r="AF2858" s="40">
        <v>0.48803861093344081</v>
      </c>
    </row>
    <row r="2859" spans="1:32">
      <c r="A2859" s="15">
        <v>2857</v>
      </c>
      <c r="B2859" s="16">
        <v>0</v>
      </c>
      <c r="C2859" s="20">
        <v>0.19</v>
      </c>
      <c r="D2859" s="20">
        <v>0.89545456221108322</v>
      </c>
      <c r="E2859" s="20">
        <v>0.41</v>
      </c>
      <c r="F2859" s="8" t="s">
        <v>436</v>
      </c>
      <c r="G2859" s="24">
        <v>0.78567731340124014</v>
      </c>
      <c r="H2859" s="24">
        <v>0.79022618449612292</v>
      </c>
      <c r="I2859" s="25">
        <v>0.8040461619313819</v>
      </c>
      <c r="X2859" s="15">
        <v>2858</v>
      </c>
      <c r="Y2859" s="39">
        <v>0.48281594235406583</v>
      </c>
      <c r="Z2859" s="39">
        <v>0.48241965185493457</v>
      </c>
      <c r="AA2859" s="39">
        <v>0.48497994919292359</v>
      </c>
      <c r="AB2859" s="39">
        <v>0.48620285294036358</v>
      </c>
      <c r="AC2859" s="39">
        <v>0.47745281490922775</v>
      </c>
      <c r="AD2859" s="39">
        <v>0.47251016500095233</v>
      </c>
      <c r="AE2859" s="39">
        <v>0.47621281954845784</v>
      </c>
      <c r="AF2859" s="40">
        <v>0.48188455997882063</v>
      </c>
    </row>
    <row r="2860" spans="1:32">
      <c r="A2860" s="15">
        <v>2858</v>
      </c>
      <c r="B2860" s="16">
        <v>0</v>
      </c>
      <c r="C2860" s="20">
        <v>0.24</v>
      </c>
      <c r="D2860" s="20">
        <v>0.76162184962098622</v>
      </c>
      <c r="E2860" s="20">
        <v>0.43</v>
      </c>
      <c r="F2860" s="8" t="s">
        <v>436</v>
      </c>
      <c r="G2860" s="24">
        <v>0.7692513184797275</v>
      </c>
      <c r="H2860" s="24">
        <v>0.77370508725686649</v>
      </c>
      <c r="I2860" s="25">
        <v>0.78723613325005004</v>
      </c>
      <c r="X2860" s="15">
        <v>2859</v>
      </c>
      <c r="Y2860" s="39">
        <v>0.48950888617725846</v>
      </c>
      <c r="Z2860" s="39">
        <v>0.48777012427760447</v>
      </c>
      <c r="AA2860" s="39">
        <v>0.48412042554606188</v>
      </c>
      <c r="AB2860" s="39">
        <v>0.49291952343926487</v>
      </c>
      <c r="AC2860" s="39">
        <v>0.48067223171882395</v>
      </c>
      <c r="AD2860" s="39">
        <v>0.48378606188788381</v>
      </c>
      <c r="AE2860" s="39">
        <v>0.47766790077847604</v>
      </c>
      <c r="AF2860" s="40">
        <v>0.48783963803539221</v>
      </c>
    </row>
    <row r="2861" spans="1:32">
      <c r="A2861" s="15">
        <v>2859</v>
      </c>
      <c r="B2861" s="16">
        <v>1</v>
      </c>
      <c r="C2861" s="20">
        <v>0.94</v>
      </c>
      <c r="D2861" s="20">
        <v>0.17188516685452584</v>
      </c>
      <c r="E2861" s="20">
        <v>0.06</v>
      </c>
      <c r="F2861" s="8" t="s">
        <v>434</v>
      </c>
      <c r="G2861" s="24">
        <v>0.54407928604502354</v>
      </c>
      <c r="H2861" s="24">
        <v>0.54722936623112495</v>
      </c>
      <c r="I2861" s="25">
        <v>0.55679966096648292</v>
      </c>
      <c r="X2861" s="15">
        <v>2860</v>
      </c>
      <c r="Y2861" s="39">
        <v>0.49826109603175422</v>
      </c>
      <c r="Z2861" s="39">
        <v>0.48868393860475295</v>
      </c>
      <c r="AA2861" s="39">
        <v>0.47742258980517183</v>
      </c>
      <c r="AB2861" s="39">
        <v>0.49181325832357858</v>
      </c>
      <c r="AC2861" s="39">
        <v>0.49291452367433158</v>
      </c>
      <c r="AD2861" s="39">
        <v>0.47913482685832159</v>
      </c>
      <c r="AE2861" s="39">
        <v>0.47041406729872537</v>
      </c>
      <c r="AF2861" s="40">
        <v>0.49089911429991184</v>
      </c>
    </row>
    <row r="2862" spans="1:32">
      <c r="A2862" s="15">
        <v>2860</v>
      </c>
      <c r="B2862" s="16">
        <v>0</v>
      </c>
      <c r="C2862" s="20">
        <v>0.86</v>
      </c>
      <c r="D2862" s="20">
        <v>0.28597383862931031</v>
      </c>
      <c r="E2862" s="20">
        <v>0.14000000000000001</v>
      </c>
      <c r="F2862" s="8" t="s">
        <v>434</v>
      </c>
      <c r="G2862" s="24">
        <v>1.0016938536533362</v>
      </c>
      <c r="H2862" s="24">
        <v>1.0074934053765237</v>
      </c>
      <c r="I2862" s="25">
        <v>1.025113089970187</v>
      </c>
      <c r="X2862" s="15">
        <v>2861</v>
      </c>
      <c r="Y2862" s="39">
        <v>0.49173419335965102</v>
      </c>
      <c r="Z2862" s="39">
        <v>0.48298676521812489</v>
      </c>
      <c r="AA2862" s="39">
        <v>0.49058127681697355</v>
      </c>
      <c r="AB2862" s="39">
        <v>0.48857594623072759</v>
      </c>
      <c r="AC2862" s="39">
        <v>0.48384499803079639</v>
      </c>
      <c r="AD2862" s="39">
        <v>0.4751845803743886</v>
      </c>
      <c r="AE2862" s="39">
        <v>0.48388349663995689</v>
      </c>
      <c r="AF2862" s="40">
        <v>0.48321286887714848</v>
      </c>
    </row>
    <row r="2863" spans="1:32">
      <c r="A2863" s="15">
        <v>2861</v>
      </c>
      <c r="B2863" s="16">
        <v>1</v>
      </c>
      <c r="C2863" s="20">
        <v>0.02</v>
      </c>
      <c r="D2863" s="20">
        <v>0.99835916395484214</v>
      </c>
      <c r="E2863" s="20">
        <v>1</v>
      </c>
      <c r="F2863" s="8" t="s">
        <v>436</v>
      </c>
      <c r="G2863" s="24">
        <v>1.0789640053755678</v>
      </c>
      <c r="H2863" s="24">
        <v>1.0852109315534724</v>
      </c>
      <c r="I2863" s="25">
        <v>1.1041897896080537</v>
      </c>
      <c r="X2863" s="15">
        <v>2862</v>
      </c>
      <c r="Y2863" s="39">
        <v>0.49769974384188687</v>
      </c>
      <c r="Z2863" s="39">
        <v>0.48132099404121215</v>
      </c>
      <c r="AA2863" s="39">
        <v>0.48323264329629045</v>
      </c>
      <c r="AB2863" s="39">
        <v>0.48200883335226147</v>
      </c>
      <c r="AC2863" s="39">
        <v>0.49009653350982446</v>
      </c>
      <c r="AD2863" s="39">
        <v>0.47599411809428971</v>
      </c>
      <c r="AE2863" s="39">
        <v>0.47561887078630988</v>
      </c>
      <c r="AF2863" s="40">
        <v>0.47706294437277941</v>
      </c>
    </row>
    <row r="2864" spans="1:32">
      <c r="A2864" s="15">
        <v>2862</v>
      </c>
      <c r="B2864" s="16">
        <v>0</v>
      </c>
      <c r="C2864" s="20">
        <v>0.02</v>
      </c>
      <c r="D2864" s="20">
        <v>0.99679477127711513</v>
      </c>
      <c r="E2864" s="20">
        <v>1</v>
      </c>
      <c r="F2864" s="8" t="s">
        <v>436</v>
      </c>
      <c r="G2864" s="24">
        <v>1.0780331664106677</v>
      </c>
      <c r="H2864" s="24">
        <v>1.0842747032685687</v>
      </c>
      <c r="I2864" s="25">
        <v>1.1032371879682481</v>
      </c>
      <c r="X2864" s="15">
        <v>2863</v>
      </c>
      <c r="Y2864" s="39">
        <v>0.49162379587606836</v>
      </c>
      <c r="Z2864" s="39">
        <v>0.4866936593665126</v>
      </c>
      <c r="AA2864" s="39">
        <v>0.49813275872864282</v>
      </c>
      <c r="AB2864" s="39">
        <v>0.49661619044515082</v>
      </c>
      <c r="AC2864" s="39">
        <v>0.48371523566998659</v>
      </c>
      <c r="AD2864" s="39">
        <v>0.47861454144907623</v>
      </c>
      <c r="AE2864" s="39">
        <v>0.48982735575111785</v>
      </c>
      <c r="AF2864" s="40">
        <v>0.49456815575049828</v>
      </c>
    </row>
    <row r="2865" spans="1:32">
      <c r="A2865" s="15">
        <v>2863</v>
      </c>
      <c r="B2865" s="16">
        <v>0</v>
      </c>
      <c r="C2865" s="20">
        <v>0.96</v>
      </c>
      <c r="D2865" s="20">
        <v>0.13880369068795359</v>
      </c>
      <c r="E2865" s="20">
        <v>0.04</v>
      </c>
      <c r="F2865" s="8" t="s">
        <v>434</v>
      </c>
      <c r="G2865" s="24">
        <v>0.77518661982278569</v>
      </c>
      <c r="H2865" s="24">
        <v>0.77967475247967322</v>
      </c>
      <c r="I2865" s="25">
        <v>0.7933101997699713</v>
      </c>
      <c r="X2865" s="15">
        <v>2864</v>
      </c>
      <c r="Y2865" s="39">
        <v>0.47248417994868558</v>
      </c>
      <c r="Z2865" s="39">
        <v>0.48540677738070742</v>
      </c>
      <c r="AA2865" s="39">
        <v>0.46938783444252669</v>
      </c>
      <c r="AB2865" s="39">
        <v>0.48223028355151953</v>
      </c>
      <c r="AC2865" s="39">
        <v>0.46645609536749782</v>
      </c>
      <c r="AD2865" s="39">
        <v>0.47925808760442767</v>
      </c>
      <c r="AE2865" s="39">
        <v>0.4637802807365195</v>
      </c>
      <c r="AF2865" s="40">
        <v>0.47922342109423971</v>
      </c>
    </row>
    <row r="2866" spans="1:32">
      <c r="A2866" s="15">
        <v>2864</v>
      </c>
      <c r="B2866" s="16">
        <v>0</v>
      </c>
      <c r="C2866" s="20">
        <v>0.88</v>
      </c>
      <c r="D2866" s="20">
        <v>0.25930874124763043</v>
      </c>
      <c r="E2866" s="20">
        <v>0.12</v>
      </c>
      <c r="F2866" s="8" t="s">
        <v>434</v>
      </c>
      <c r="G2866" s="24">
        <v>2.1021603612935005</v>
      </c>
      <c r="H2866" s="24">
        <v>2.1143313331940381</v>
      </c>
      <c r="I2866" s="25">
        <v>1.6578926537592125</v>
      </c>
      <c r="X2866" s="15">
        <v>2865</v>
      </c>
      <c r="Y2866" s="39">
        <v>0.48244009645082431</v>
      </c>
      <c r="Z2866" s="39">
        <v>0.49461057637541023</v>
      </c>
      <c r="AA2866" s="39">
        <v>0.49491855061416307</v>
      </c>
      <c r="AB2866" s="39">
        <v>0.49179590224739284</v>
      </c>
      <c r="AC2866" s="39">
        <v>0.47641039547911862</v>
      </c>
      <c r="AD2866" s="39">
        <v>0.48699624310709005</v>
      </c>
      <c r="AE2866" s="39">
        <v>0.48737432377564543</v>
      </c>
      <c r="AF2866" s="40">
        <v>0.48674815526920878</v>
      </c>
    </row>
    <row r="2867" spans="1:32">
      <c r="A2867" s="15">
        <v>2865</v>
      </c>
      <c r="B2867" s="16">
        <v>0</v>
      </c>
      <c r="C2867" s="20">
        <v>0.5</v>
      </c>
      <c r="D2867" s="20">
        <v>0.47229416112213712</v>
      </c>
      <c r="E2867" s="20">
        <v>0.1</v>
      </c>
      <c r="F2867" s="8" t="s">
        <v>438</v>
      </c>
      <c r="G2867" s="24">
        <v>0.88247811585843061</v>
      </c>
      <c r="H2867" s="24">
        <v>0.88758743889044867</v>
      </c>
      <c r="I2867" s="25">
        <v>0.90311013178261956</v>
      </c>
      <c r="X2867" s="15">
        <v>2866</v>
      </c>
      <c r="Y2867" s="39">
        <v>0.47569706266575906</v>
      </c>
      <c r="Z2867" s="39">
        <v>0.49050469776754996</v>
      </c>
      <c r="AA2867" s="39">
        <v>0.48459919557357645</v>
      </c>
      <c r="AB2867" s="39">
        <v>0.50180433210277553</v>
      </c>
      <c r="AC2867" s="39">
        <v>0.4699104938602553</v>
      </c>
      <c r="AD2867" s="39">
        <v>0.48341408076082271</v>
      </c>
      <c r="AE2867" s="39">
        <v>0.47830251044147626</v>
      </c>
      <c r="AF2867" s="40">
        <v>0.49851108266467481</v>
      </c>
    </row>
    <row r="2868" spans="1:32">
      <c r="A2868" s="15">
        <v>2866</v>
      </c>
      <c r="B2868" s="16">
        <v>1</v>
      </c>
      <c r="C2868" s="20">
        <v>0.98</v>
      </c>
      <c r="D2868" s="20">
        <v>0.10185764172235329</v>
      </c>
      <c r="E2868" s="20">
        <v>0.02</v>
      </c>
      <c r="F2868" s="8" t="s">
        <v>434</v>
      </c>
      <c r="G2868" s="24">
        <v>0.6952408984068037</v>
      </c>
      <c r="H2868" s="24">
        <v>0.6992661657434055</v>
      </c>
      <c r="I2868" s="25">
        <v>0.71149537659646767</v>
      </c>
      <c r="X2868" s="15">
        <v>2867</v>
      </c>
      <c r="Y2868" s="39">
        <v>0.48762332192320851</v>
      </c>
      <c r="Z2868" s="39">
        <v>0.48617319551224336</v>
      </c>
      <c r="AA2868" s="39">
        <v>0.47466395347668716</v>
      </c>
      <c r="AB2868" s="39">
        <v>0.4929750016385277</v>
      </c>
      <c r="AC2868" s="39">
        <v>0.48093583683456692</v>
      </c>
      <c r="AD2868" s="39">
        <v>0.4792303948929581</v>
      </c>
      <c r="AE2868" s="39">
        <v>0.46862004761432041</v>
      </c>
      <c r="AF2868" s="40">
        <v>0.49104242728475733</v>
      </c>
    </row>
    <row r="2869" spans="1:32">
      <c r="A2869" s="15">
        <v>2867</v>
      </c>
      <c r="B2869" s="16">
        <v>0</v>
      </c>
      <c r="C2869" s="20">
        <v>0.93</v>
      </c>
      <c r="D2869" s="20">
        <v>0.18747949848141848</v>
      </c>
      <c r="E2869" s="20">
        <v>7.0000000000000007E-2</v>
      </c>
      <c r="F2869" s="8" t="s">
        <v>434</v>
      </c>
      <c r="G2869" s="24">
        <v>0.55420929648871209</v>
      </c>
      <c r="H2869" s="24">
        <v>0.55741802684952546</v>
      </c>
      <c r="I2869" s="25">
        <v>0.56716650735321705</v>
      </c>
      <c r="X2869" s="15">
        <v>2868</v>
      </c>
      <c r="Y2869" s="39">
        <v>0.5009659919818874</v>
      </c>
      <c r="Z2869" s="39">
        <v>0.49283620501761888</v>
      </c>
      <c r="AA2869" s="39">
        <v>0.47884938466928179</v>
      </c>
      <c r="AB2869" s="39">
        <v>0.48810497441973832</v>
      </c>
      <c r="AC2869" s="39">
        <v>0.49375108781356342</v>
      </c>
      <c r="AD2869" s="39">
        <v>0.48597034176963522</v>
      </c>
      <c r="AE2869" s="39">
        <v>0.47437723340846366</v>
      </c>
      <c r="AF2869" s="40">
        <v>0.4844599129239584</v>
      </c>
    </row>
    <row r="2870" spans="1:32">
      <c r="A2870" s="15">
        <v>2868</v>
      </c>
      <c r="B2870" s="16">
        <v>0</v>
      </c>
      <c r="C2870" s="20">
        <v>0.02</v>
      </c>
      <c r="D2870" s="20">
        <v>0.99756714174924133</v>
      </c>
      <c r="E2870" s="20">
        <v>1</v>
      </c>
      <c r="F2870" s="8" t="s">
        <v>436</v>
      </c>
      <c r="G2870" s="24">
        <v>0.96332196440289208</v>
      </c>
      <c r="H2870" s="24">
        <v>0.96889935268201643</v>
      </c>
      <c r="I2870" s="25">
        <v>0.98584407996872436</v>
      </c>
      <c r="X2870" s="15">
        <v>2869</v>
      </c>
      <c r="Y2870" s="39">
        <v>0.48063974046741614</v>
      </c>
      <c r="Z2870" s="39">
        <v>0.48772633222681455</v>
      </c>
      <c r="AA2870" s="39">
        <v>0.4927795934484116</v>
      </c>
      <c r="AB2870" s="39">
        <v>0.48549894454497933</v>
      </c>
      <c r="AC2870" s="39">
        <v>0.47650903682476414</v>
      </c>
      <c r="AD2870" s="39">
        <v>0.47996243940003147</v>
      </c>
      <c r="AE2870" s="39">
        <v>0.48607690003789983</v>
      </c>
      <c r="AF2870" s="40">
        <v>0.48299825358450593</v>
      </c>
    </row>
    <row r="2871" spans="1:32">
      <c r="A2871" s="15">
        <v>2869</v>
      </c>
      <c r="B2871" s="16">
        <v>0</v>
      </c>
      <c r="C2871" s="20">
        <v>0.18</v>
      </c>
      <c r="D2871" s="20">
        <v>0.83898647745516985</v>
      </c>
      <c r="E2871" s="20">
        <v>0.08</v>
      </c>
      <c r="F2871" s="8" t="s">
        <v>436</v>
      </c>
      <c r="G2871" s="24">
        <v>1.0003717258402745</v>
      </c>
      <c r="H2871" s="24">
        <v>1.0061636227809068</v>
      </c>
      <c r="I2871" s="25">
        <v>1.0237600512919121</v>
      </c>
      <c r="X2871" s="15">
        <v>2870</v>
      </c>
      <c r="Y2871" s="39">
        <v>0.48985270228563804</v>
      </c>
      <c r="Z2871" s="39">
        <v>0.5032976738135283</v>
      </c>
      <c r="AA2871" s="39">
        <v>0.48364191167246129</v>
      </c>
      <c r="AB2871" s="39">
        <v>0.4913764554689351</v>
      </c>
      <c r="AC2871" s="39">
        <v>0.48136681540803544</v>
      </c>
      <c r="AD2871" s="39">
        <v>0.49496431126195528</v>
      </c>
      <c r="AE2871" s="39">
        <v>0.47773914543509371</v>
      </c>
      <c r="AF2871" s="40">
        <v>0.48642217936086712</v>
      </c>
    </row>
    <row r="2872" spans="1:32">
      <c r="A2872" s="15">
        <v>2870</v>
      </c>
      <c r="B2872" s="16">
        <v>0</v>
      </c>
      <c r="C2872" s="20">
        <v>0.93</v>
      </c>
      <c r="D2872" s="20">
        <v>0.18747949848141848</v>
      </c>
      <c r="E2872" s="20">
        <v>7.0000000000000007E-2</v>
      </c>
      <c r="F2872" s="8" t="s">
        <v>434</v>
      </c>
      <c r="G2872" s="24">
        <v>0.54994346346947076</v>
      </c>
      <c r="H2872" s="24">
        <v>0.55312749574598685</v>
      </c>
      <c r="I2872" s="25">
        <v>0.56280094071656206</v>
      </c>
      <c r="X2872" s="15">
        <v>2871</v>
      </c>
      <c r="Y2872" s="39">
        <v>0.49561057180494211</v>
      </c>
      <c r="Z2872" s="39">
        <v>0.48489451752765067</v>
      </c>
      <c r="AA2872" s="39">
        <v>0.47436494510454014</v>
      </c>
      <c r="AB2872" s="39">
        <v>0.48840484628510233</v>
      </c>
      <c r="AC2872" s="39">
        <v>0.48864460929029124</v>
      </c>
      <c r="AD2872" s="39">
        <v>0.48005925439086006</v>
      </c>
      <c r="AE2872" s="39">
        <v>0.46754073905783611</v>
      </c>
      <c r="AF2872" s="40">
        <v>0.48438939924243679</v>
      </c>
    </row>
    <row r="2873" spans="1:32">
      <c r="A2873" s="15">
        <v>2871</v>
      </c>
      <c r="B2873" s="16">
        <v>0</v>
      </c>
      <c r="C2873" s="20">
        <v>0.86</v>
      </c>
      <c r="D2873" s="20">
        <v>0.28597383862931031</v>
      </c>
      <c r="E2873" s="20">
        <v>0.14000000000000001</v>
      </c>
      <c r="F2873" s="8" t="s">
        <v>434</v>
      </c>
      <c r="G2873" s="24">
        <v>0.46917193271195368</v>
      </c>
      <c r="H2873" s="24">
        <v>0.4718883184428902</v>
      </c>
      <c r="I2873" s="25">
        <v>0.48014100108083824</v>
      </c>
      <c r="X2873" s="15">
        <v>2872</v>
      </c>
      <c r="Y2873" s="39">
        <v>0.48582741650067096</v>
      </c>
      <c r="Z2873" s="39">
        <v>0.4877798147693429</v>
      </c>
      <c r="AA2873" s="39">
        <v>0.47814802540311585</v>
      </c>
      <c r="AB2873" s="39">
        <v>0.48774830848504441</v>
      </c>
      <c r="AC2873" s="39">
        <v>0.47765846881338037</v>
      </c>
      <c r="AD2873" s="39">
        <v>0.4799219231505511</v>
      </c>
      <c r="AE2873" s="39">
        <v>0.47214954493863326</v>
      </c>
      <c r="AF2873" s="40">
        <v>0.48435338023405122</v>
      </c>
    </row>
    <row r="2874" spans="1:32">
      <c r="A2874" s="15">
        <v>2872</v>
      </c>
      <c r="B2874" s="16">
        <v>0</v>
      </c>
      <c r="C2874" s="20">
        <v>0.33</v>
      </c>
      <c r="D2874" s="20">
        <v>0.63571298390129316</v>
      </c>
      <c r="E2874" s="20">
        <v>0.05</v>
      </c>
      <c r="F2874" s="8" t="s">
        <v>436</v>
      </c>
      <c r="G2874" s="24">
        <v>0.71431938719559662</v>
      </c>
      <c r="H2874" s="24">
        <v>0.71845511411236584</v>
      </c>
      <c r="I2874" s="25">
        <v>0.73101991348257456</v>
      </c>
      <c r="X2874" s="15">
        <v>2873</v>
      </c>
      <c r="Y2874" s="39">
        <v>0.47729066059270492</v>
      </c>
      <c r="Z2874" s="39">
        <v>0.47859868492036761</v>
      </c>
      <c r="AA2874" s="39">
        <v>0.4696905753590826</v>
      </c>
      <c r="AB2874" s="39">
        <v>0.49706156366852594</v>
      </c>
      <c r="AC2874" s="39">
        <v>0.46839002903872184</v>
      </c>
      <c r="AD2874" s="39">
        <v>0.47064650935457414</v>
      </c>
      <c r="AE2874" s="39">
        <v>0.46300387784958202</v>
      </c>
      <c r="AF2874" s="40">
        <v>0.49318152058269266</v>
      </c>
    </row>
    <row r="2875" spans="1:32">
      <c r="A2875" s="15">
        <v>2873</v>
      </c>
      <c r="B2875" s="16">
        <v>0</v>
      </c>
      <c r="C2875" s="20">
        <v>0.94</v>
      </c>
      <c r="D2875" s="20">
        <v>0.17188516685452584</v>
      </c>
      <c r="E2875" s="20">
        <v>0.06</v>
      </c>
      <c r="F2875" s="8" t="s">
        <v>434</v>
      </c>
      <c r="G2875" s="24">
        <v>0.64154888918261388</v>
      </c>
      <c r="H2875" s="24">
        <v>0.64526329349107403</v>
      </c>
      <c r="I2875" s="25">
        <v>0.65654806781367336</v>
      </c>
      <c r="X2875" s="15">
        <v>2874</v>
      </c>
      <c r="Y2875" s="39">
        <v>0.47823281005216239</v>
      </c>
      <c r="Z2875" s="39">
        <v>0.48280031134931828</v>
      </c>
      <c r="AA2875" s="39">
        <v>0.49563822008580144</v>
      </c>
      <c r="AB2875" s="39">
        <v>0.4804716539446367</v>
      </c>
      <c r="AC2875" s="39">
        <v>0.4689774395416394</v>
      </c>
      <c r="AD2875" s="39">
        <v>0.47715869586249993</v>
      </c>
      <c r="AE2875" s="39">
        <v>0.48720053534169894</v>
      </c>
      <c r="AF2875" s="40">
        <v>0.47517991954097916</v>
      </c>
    </row>
    <row r="2876" spans="1:32">
      <c r="A2876" s="15">
        <v>2874</v>
      </c>
      <c r="B2876" s="16">
        <v>0</v>
      </c>
      <c r="C2876" s="20">
        <v>0.02</v>
      </c>
      <c r="D2876" s="20">
        <v>0.99835916395484214</v>
      </c>
      <c r="E2876" s="20">
        <v>1</v>
      </c>
      <c r="F2876" s="8" t="s">
        <v>436</v>
      </c>
      <c r="G2876" s="24">
        <v>1.0504801497576073</v>
      </c>
      <c r="H2876" s="24">
        <v>1.0565621616821901</v>
      </c>
      <c r="I2876" s="25">
        <v>1.0750399918526834</v>
      </c>
      <c r="X2876" s="15">
        <v>2875</v>
      </c>
      <c r="Y2876" s="39">
        <v>0.47935630216104486</v>
      </c>
      <c r="Z2876" s="39">
        <v>0.49058182078988438</v>
      </c>
      <c r="AA2876" s="39">
        <v>0.48590876814784922</v>
      </c>
      <c r="AB2876" s="39">
        <v>0.48773618945423031</v>
      </c>
      <c r="AC2876" s="39">
        <v>0.47493596009387329</v>
      </c>
      <c r="AD2876" s="39">
        <v>0.48386692546466703</v>
      </c>
      <c r="AE2876" s="39">
        <v>0.47870465502920262</v>
      </c>
      <c r="AF2876" s="40">
        <v>0.48653975262683458</v>
      </c>
    </row>
    <row r="2877" spans="1:32">
      <c r="A2877" s="15">
        <v>2875</v>
      </c>
      <c r="B2877" s="16">
        <v>1</v>
      </c>
      <c r="C2877" s="20">
        <v>0.32</v>
      </c>
      <c r="D2877" s="20">
        <v>0.61289350543310683</v>
      </c>
      <c r="E2877" s="20">
        <v>7.0000000000000007E-2</v>
      </c>
      <c r="F2877" s="8" t="s">
        <v>436</v>
      </c>
      <c r="G2877" s="24">
        <v>0.41956249424658515</v>
      </c>
      <c r="H2877" s="24">
        <v>0.42199165399196847</v>
      </c>
      <c r="I2877" s="25">
        <v>0.42937171206958746</v>
      </c>
      <c r="X2877" s="15">
        <v>2876</v>
      </c>
      <c r="Y2877" s="39">
        <v>0.48794275971701517</v>
      </c>
      <c r="Z2877" s="39">
        <v>0.47745214812010467</v>
      </c>
      <c r="AA2877" s="39">
        <v>0.47878641614447559</v>
      </c>
      <c r="AB2877" s="39">
        <v>0.48251035117031271</v>
      </c>
      <c r="AC2877" s="39">
        <v>0.47989040115643916</v>
      </c>
      <c r="AD2877" s="39">
        <v>0.47082478367430702</v>
      </c>
      <c r="AE2877" s="39">
        <v>0.47129990609817285</v>
      </c>
      <c r="AF2877" s="40">
        <v>0.48029902504071337</v>
      </c>
    </row>
    <row r="2878" spans="1:32">
      <c r="A2878" s="15">
        <v>2876</v>
      </c>
      <c r="B2878" s="16">
        <v>1</v>
      </c>
      <c r="C2878" s="20">
        <v>0.17</v>
      </c>
      <c r="D2878" s="20">
        <v>0.8672089373842653</v>
      </c>
      <c r="E2878" s="20">
        <v>0.05</v>
      </c>
      <c r="F2878" s="8" t="s">
        <v>436</v>
      </c>
      <c r="G2878" s="24">
        <v>1.1915669396697395</v>
      </c>
      <c r="H2878" s="24">
        <v>1.198465808094509</v>
      </c>
      <c r="I2878" s="25">
        <v>1.2194253393651118</v>
      </c>
      <c r="X2878" s="15">
        <v>2877</v>
      </c>
      <c r="Y2878" s="39">
        <v>0.48445950544024829</v>
      </c>
      <c r="Z2878" s="39">
        <v>0.48156799777122683</v>
      </c>
      <c r="AA2878" s="39">
        <v>0.48241805054748021</v>
      </c>
      <c r="AB2878" s="39">
        <v>0.48398553401851618</v>
      </c>
      <c r="AC2878" s="39">
        <v>0.47836125208264563</v>
      </c>
      <c r="AD2878" s="39">
        <v>0.47152723435255411</v>
      </c>
      <c r="AE2878" s="39">
        <v>0.47631146409931002</v>
      </c>
      <c r="AF2878" s="40">
        <v>0.47838246853678784</v>
      </c>
    </row>
    <row r="2879" spans="1:32">
      <c r="A2879" s="15">
        <v>2877</v>
      </c>
      <c r="B2879" s="16">
        <v>0</v>
      </c>
      <c r="C2879" s="20">
        <v>0.28999999999999998</v>
      </c>
      <c r="D2879" s="20">
        <v>0.71446405989376915</v>
      </c>
      <c r="E2879" s="20">
        <v>0.05</v>
      </c>
      <c r="F2879" s="8" t="s">
        <v>436</v>
      </c>
      <c r="G2879" s="24">
        <v>0.75910945999392865</v>
      </c>
      <c r="H2879" s="24">
        <v>0.76350450999921626</v>
      </c>
      <c r="I2879" s="25">
        <v>0.77685716181830999</v>
      </c>
      <c r="X2879" s="15">
        <v>2878</v>
      </c>
      <c r="Y2879" s="39">
        <v>0.48925914153985944</v>
      </c>
      <c r="Z2879" s="39">
        <v>0.48018865884952905</v>
      </c>
      <c r="AA2879" s="39">
        <v>0.48408066785261006</v>
      </c>
      <c r="AB2879" s="39">
        <v>0.48234899385915581</v>
      </c>
      <c r="AC2879" s="39">
        <v>0.48019054919825516</v>
      </c>
      <c r="AD2879" s="39">
        <v>0.47405137698013605</v>
      </c>
      <c r="AE2879" s="39">
        <v>0.47815509563909281</v>
      </c>
      <c r="AF2879" s="40">
        <v>0.48260506983561674</v>
      </c>
    </row>
    <row r="2880" spans="1:32">
      <c r="A2880" s="15">
        <v>2878</v>
      </c>
      <c r="B2880" s="16">
        <v>0</v>
      </c>
      <c r="C2880" s="20">
        <v>0.59</v>
      </c>
      <c r="D2880" s="20">
        <v>0.51878618665834597</v>
      </c>
      <c r="E2880" s="20">
        <v>0.09</v>
      </c>
      <c r="F2880" s="8" t="s">
        <v>438</v>
      </c>
      <c r="G2880" s="24">
        <v>0.58005905125876234</v>
      </c>
      <c r="H2880" s="24">
        <v>0.58341744510136084</v>
      </c>
      <c r="I2880" s="25">
        <v>0.59362061994525506</v>
      </c>
      <c r="X2880" s="15">
        <v>2879</v>
      </c>
      <c r="Y2880" s="39">
        <v>0.4785764932436315</v>
      </c>
      <c r="Z2880" s="39">
        <v>0.49265311864343969</v>
      </c>
      <c r="AA2880" s="39">
        <v>0.479411778960464</v>
      </c>
      <c r="AB2880" s="39">
        <v>0.50139259308980499</v>
      </c>
      <c r="AC2880" s="39">
        <v>0.47033355459646908</v>
      </c>
      <c r="AD2880" s="39">
        <v>0.48521719528697982</v>
      </c>
      <c r="AE2880" s="39">
        <v>0.47443801745668129</v>
      </c>
      <c r="AF2880" s="40">
        <v>0.49834952865513804</v>
      </c>
    </row>
    <row r="2881" spans="1:32">
      <c r="A2881" s="15">
        <v>2879</v>
      </c>
      <c r="B2881" s="16">
        <v>0</v>
      </c>
      <c r="C2881" s="20">
        <v>0.5</v>
      </c>
      <c r="D2881" s="20">
        <v>0.46875029586487232</v>
      </c>
      <c r="E2881" s="20">
        <v>0.08</v>
      </c>
      <c r="F2881" s="8" t="s">
        <v>438</v>
      </c>
      <c r="G2881" s="24">
        <v>0.52828975946469969</v>
      </c>
      <c r="H2881" s="24">
        <v>0.53134842232228974</v>
      </c>
      <c r="I2881" s="25">
        <v>0.54064098102361502</v>
      </c>
      <c r="X2881" s="15">
        <v>2880</v>
      </c>
      <c r="Y2881" s="39">
        <v>0.49117460338588043</v>
      </c>
      <c r="Z2881" s="39">
        <v>0.48873523861303542</v>
      </c>
      <c r="AA2881" s="39">
        <v>0.4785439891861879</v>
      </c>
      <c r="AB2881" s="39">
        <v>0.48676548426543792</v>
      </c>
      <c r="AC2881" s="39">
        <v>0.48552404091126133</v>
      </c>
      <c r="AD2881" s="39">
        <v>0.48171617958852581</v>
      </c>
      <c r="AE2881" s="39">
        <v>0.47077681105780556</v>
      </c>
      <c r="AF2881" s="40">
        <v>0.47978815835776611</v>
      </c>
    </row>
    <row r="2882" spans="1:32">
      <c r="A2882" s="15">
        <v>2880</v>
      </c>
      <c r="B2882" s="16">
        <v>1</v>
      </c>
      <c r="C2882" s="20">
        <v>0.02</v>
      </c>
      <c r="D2882" s="20">
        <v>0.99917029198757767</v>
      </c>
      <c r="E2882" s="20">
        <v>1</v>
      </c>
      <c r="F2882" s="8" t="s">
        <v>436</v>
      </c>
      <c r="G2882" s="24">
        <v>1.0136727542226962</v>
      </c>
      <c r="H2882" s="24">
        <v>1.0195416607224808</v>
      </c>
      <c r="I2882" s="25">
        <v>1.0373720528582153</v>
      </c>
      <c r="X2882" s="15">
        <v>2881</v>
      </c>
      <c r="Y2882" s="39">
        <v>0.48680668013964029</v>
      </c>
      <c r="Z2882" s="39">
        <v>0.48417603523797287</v>
      </c>
      <c r="AA2882" s="39">
        <v>0.45818211582755619</v>
      </c>
      <c r="AB2882" s="39">
        <v>0.48498979671741493</v>
      </c>
      <c r="AC2882" s="39">
        <v>0.48079015846542728</v>
      </c>
      <c r="AD2882" s="39">
        <v>0.47696638644410611</v>
      </c>
      <c r="AE2882" s="39">
        <v>0.45237372059489644</v>
      </c>
      <c r="AF2882" s="40">
        <v>0.47974496606374173</v>
      </c>
    </row>
    <row r="2883" spans="1:32">
      <c r="A2883" s="15">
        <v>2881</v>
      </c>
      <c r="B2883" s="16">
        <v>0</v>
      </c>
      <c r="C2883" s="20">
        <v>0.47</v>
      </c>
      <c r="D2883" s="20">
        <v>0.47147904543010155</v>
      </c>
      <c r="E2883" s="20">
        <v>0.09</v>
      </c>
      <c r="F2883" s="8" t="s">
        <v>436</v>
      </c>
      <c r="G2883" s="24">
        <v>1.3559347812948195</v>
      </c>
      <c r="H2883" s="24">
        <v>1.3637852975665401</v>
      </c>
      <c r="I2883" s="25">
        <v>1.3876360410735089</v>
      </c>
      <c r="X2883" s="15">
        <v>2882</v>
      </c>
      <c r="Y2883" s="39">
        <v>0.4858040340949637</v>
      </c>
      <c r="Z2883" s="39">
        <v>0.47768065072360172</v>
      </c>
      <c r="AA2883" s="39">
        <v>0.50878621719173323</v>
      </c>
      <c r="AB2883" s="39">
        <v>0.49674788966999062</v>
      </c>
      <c r="AC2883" s="39">
        <v>0.47842845112275723</v>
      </c>
      <c r="AD2883" s="39">
        <v>0.46958884014894237</v>
      </c>
      <c r="AE2883" s="39">
        <v>0.50284027018108335</v>
      </c>
      <c r="AF2883" s="40">
        <v>0.49361053729238941</v>
      </c>
    </row>
    <row r="2884" spans="1:32">
      <c r="A2884" s="15">
        <v>2882</v>
      </c>
      <c r="B2884" s="16">
        <v>1</v>
      </c>
      <c r="C2884" s="20">
        <v>0.36</v>
      </c>
      <c r="D2884" s="20">
        <v>0.63295452122378526</v>
      </c>
      <c r="E2884" s="20">
        <v>0.05</v>
      </c>
      <c r="F2884" s="8" t="s">
        <v>436</v>
      </c>
      <c r="G2884" s="24">
        <v>0.88420359990614306</v>
      </c>
      <c r="H2884" s="24">
        <v>0.88932291305035527</v>
      </c>
      <c r="I2884" s="25">
        <v>0.90487595701694001</v>
      </c>
      <c r="X2884" s="15">
        <v>2883</v>
      </c>
      <c r="Y2884" s="39">
        <v>0.49403562249959515</v>
      </c>
      <c r="Z2884" s="39">
        <v>0.50068276197348527</v>
      </c>
      <c r="AA2884" s="39">
        <v>0.46555309539999551</v>
      </c>
      <c r="AB2884" s="39">
        <v>0.49285402026662595</v>
      </c>
      <c r="AC2884" s="39">
        <v>0.48715687691007187</v>
      </c>
      <c r="AD2884" s="39">
        <v>0.4949172081035772</v>
      </c>
      <c r="AE2884" s="39">
        <v>0.45754682031993577</v>
      </c>
      <c r="AF2884" s="40">
        <v>0.4888345532822731</v>
      </c>
    </row>
    <row r="2885" spans="1:32">
      <c r="A2885" s="15">
        <v>2883</v>
      </c>
      <c r="B2885" s="16">
        <v>1</v>
      </c>
      <c r="C2885" s="20">
        <v>0.26</v>
      </c>
      <c r="D2885" s="20">
        <v>0.73028860517830041</v>
      </c>
      <c r="E2885" s="20">
        <v>0.09</v>
      </c>
      <c r="F2885" s="8" t="s">
        <v>436</v>
      </c>
      <c r="G2885" s="24">
        <v>1.2789705789901522</v>
      </c>
      <c r="H2885" s="24">
        <v>1.2863754921761876</v>
      </c>
      <c r="I2885" s="25">
        <v>1.3088724438388066</v>
      </c>
      <c r="X2885" s="15">
        <v>2884</v>
      </c>
      <c r="Y2885" s="39">
        <v>0.4906496853345505</v>
      </c>
      <c r="Z2885" s="39">
        <v>0.48947985051401993</v>
      </c>
      <c r="AA2885" s="39">
        <v>0.45727449960479238</v>
      </c>
      <c r="AB2885" s="39">
        <v>0.47557928931636995</v>
      </c>
      <c r="AC2885" s="39">
        <v>0.48213463082776448</v>
      </c>
      <c r="AD2885" s="39">
        <v>0.4813391689782871</v>
      </c>
      <c r="AE2885" s="39">
        <v>0.45230535448646919</v>
      </c>
      <c r="AF2885" s="40">
        <v>0.47129778336045502</v>
      </c>
    </row>
    <row r="2886" spans="1:32">
      <c r="A2886" s="15">
        <v>2884</v>
      </c>
      <c r="B2886" s="16">
        <v>0</v>
      </c>
      <c r="C2886" s="20">
        <v>0.02</v>
      </c>
      <c r="D2886" s="20">
        <v>0.99835916395484214</v>
      </c>
      <c r="E2886" s="20">
        <v>1</v>
      </c>
      <c r="F2886" s="8" t="s">
        <v>436</v>
      </c>
      <c r="G2886" s="24">
        <v>1.083616018784342</v>
      </c>
      <c r="H2886" s="24">
        <v>1.0898898789324238</v>
      </c>
      <c r="I2886" s="25">
        <v>1.1089505653906528</v>
      </c>
      <c r="X2886" s="15">
        <v>2885</v>
      </c>
      <c r="Y2886" s="39">
        <v>0.48908247179464159</v>
      </c>
      <c r="Z2886" s="39">
        <v>0.50645752909753972</v>
      </c>
      <c r="AA2886" s="39">
        <v>0.45064122794096984</v>
      </c>
      <c r="AB2886" s="39">
        <v>0.47623827892020987</v>
      </c>
      <c r="AC2886" s="39">
        <v>0.48202149671955519</v>
      </c>
      <c r="AD2886" s="39">
        <v>0.49971060729896299</v>
      </c>
      <c r="AE2886" s="39">
        <v>0.44573745064351761</v>
      </c>
      <c r="AF2886" s="40">
        <v>0.47362233560060252</v>
      </c>
    </row>
    <row r="2887" spans="1:32">
      <c r="A2887" s="15">
        <v>2885</v>
      </c>
      <c r="B2887" s="16">
        <v>0</v>
      </c>
      <c r="C2887" s="20">
        <v>0.88</v>
      </c>
      <c r="D2887" s="20">
        <v>0.25930874124763043</v>
      </c>
      <c r="E2887" s="20">
        <v>0.12</v>
      </c>
      <c r="F2887" s="8" t="s">
        <v>434</v>
      </c>
      <c r="G2887" s="24">
        <v>0.7478402609883783</v>
      </c>
      <c r="H2887" s="24">
        <v>0.75217006520796681</v>
      </c>
      <c r="I2887" s="25">
        <v>0.76532449305735473</v>
      </c>
      <c r="X2887" s="15">
        <v>2886</v>
      </c>
      <c r="Y2887" s="39">
        <v>0.48590667054522202</v>
      </c>
      <c r="Z2887" s="39">
        <v>0.48313777464329438</v>
      </c>
      <c r="AA2887" s="39">
        <v>0.50643659942192976</v>
      </c>
      <c r="AB2887" s="39">
        <v>0.47403343371518525</v>
      </c>
      <c r="AC2887" s="39">
        <v>0.47792034107679837</v>
      </c>
      <c r="AD2887" s="39">
        <v>0.47499272750054611</v>
      </c>
      <c r="AE2887" s="39">
        <v>0.4994112251273789</v>
      </c>
      <c r="AF2887" s="40">
        <v>0.46523361624034526</v>
      </c>
    </row>
    <row r="2888" spans="1:32">
      <c r="A2888" s="15">
        <v>2886</v>
      </c>
      <c r="B2888" s="16">
        <v>1</v>
      </c>
      <c r="C2888" s="20">
        <v>0.14000000000000001</v>
      </c>
      <c r="D2888" s="20">
        <v>0.90183619540103899</v>
      </c>
      <c r="E2888" s="20">
        <v>7.0000000000000007E-2</v>
      </c>
      <c r="F2888" s="8" t="s">
        <v>436</v>
      </c>
      <c r="G2888" s="24">
        <v>0.76019329567849625</v>
      </c>
      <c r="H2888" s="24">
        <v>0.7645946208157407</v>
      </c>
      <c r="I2888" s="25">
        <v>0.77796633718518959</v>
      </c>
      <c r="X2888" s="15">
        <v>2887</v>
      </c>
      <c r="Y2888" s="39">
        <v>0.48189437305193439</v>
      </c>
      <c r="Z2888" s="39">
        <v>0.47456440516124204</v>
      </c>
      <c r="AA2888" s="39">
        <v>0.51852747479334294</v>
      </c>
      <c r="AB2888" s="39">
        <v>0.48003698440845533</v>
      </c>
      <c r="AC2888" s="39">
        <v>0.47726597266792087</v>
      </c>
      <c r="AD2888" s="39">
        <v>0.47054614417817509</v>
      </c>
      <c r="AE2888" s="39">
        <v>0.50992389271931637</v>
      </c>
      <c r="AF2888" s="40">
        <v>0.47508541938126037</v>
      </c>
    </row>
    <row r="2889" spans="1:32">
      <c r="A2889" s="15">
        <v>2887</v>
      </c>
      <c r="B2889" s="16">
        <v>1</v>
      </c>
      <c r="C2889" s="20">
        <v>0.91</v>
      </c>
      <c r="D2889" s="20">
        <v>0.21727233298780477</v>
      </c>
      <c r="E2889" s="20">
        <v>0.09</v>
      </c>
      <c r="F2889" s="8" t="s">
        <v>434</v>
      </c>
      <c r="G2889" s="24">
        <v>0.68386900599198941</v>
      </c>
      <c r="H2889" s="24">
        <v>0.68782843297426566</v>
      </c>
      <c r="I2889" s="25">
        <v>0.69985761349186026</v>
      </c>
      <c r="X2889" s="15">
        <v>2888</v>
      </c>
      <c r="Y2889" s="39">
        <v>0.49153182174997417</v>
      </c>
      <c r="Z2889" s="39">
        <v>0.4824328025529615</v>
      </c>
      <c r="AA2889" s="39">
        <v>0.47586976085539734</v>
      </c>
      <c r="AB2889" s="39">
        <v>0.48319669427484868</v>
      </c>
      <c r="AC2889" s="39">
        <v>0.48476001153911735</v>
      </c>
      <c r="AD2889" s="39">
        <v>0.47677084073987175</v>
      </c>
      <c r="AE2889" s="39">
        <v>0.46654448356838396</v>
      </c>
      <c r="AF2889" s="40">
        <v>0.47821641190059694</v>
      </c>
    </row>
    <row r="2890" spans="1:32">
      <c r="A2890" s="15">
        <v>2888</v>
      </c>
      <c r="B2890" s="16">
        <v>0</v>
      </c>
      <c r="C2890" s="20">
        <v>0.18</v>
      </c>
      <c r="D2890" s="20">
        <v>0.82948634001622368</v>
      </c>
      <c r="E2890" s="20">
        <v>0.11</v>
      </c>
      <c r="F2890" s="8" t="s">
        <v>436</v>
      </c>
      <c r="G2890" s="24">
        <v>0.97818738911916958</v>
      </c>
      <c r="H2890" s="24">
        <v>0.98385084441289605</v>
      </c>
      <c r="I2890" s="25">
        <v>1.0010570528835967</v>
      </c>
      <c r="X2890" s="15">
        <v>2889</v>
      </c>
      <c r="Y2890" s="39">
        <v>0.48325182112551757</v>
      </c>
      <c r="Z2890" s="39">
        <v>0.47678171717714818</v>
      </c>
      <c r="AA2890" s="39">
        <v>0.46984331692832043</v>
      </c>
      <c r="AB2890" s="39">
        <v>0.49350006724096035</v>
      </c>
      <c r="AC2890" s="39">
        <v>0.47619323886549175</v>
      </c>
      <c r="AD2890" s="39">
        <v>0.47182348836817412</v>
      </c>
      <c r="AE2890" s="39">
        <v>0.46619708118001874</v>
      </c>
      <c r="AF2890" s="40">
        <v>0.48861116292260737</v>
      </c>
    </row>
    <row r="2891" spans="1:32">
      <c r="A2891" s="15">
        <v>2889</v>
      </c>
      <c r="B2891" s="16">
        <v>0</v>
      </c>
      <c r="C2891" s="20">
        <v>0.37</v>
      </c>
      <c r="D2891" s="20">
        <v>0.6439462744468768</v>
      </c>
      <c r="E2891" s="20">
        <v>0.05</v>
      </c>
      <c r="F2891" s="8" t="s">
        <v>436</v>
      </c>
      <c r="G2891" s="24">
        <v>1.2095468635287947</v>
      </c>
      <c r="H2891" s="24">
        <v>1.216549831123205</v>
      </c>
      <c r="I2891" s="25">
        <v>1.2378256272747983</v>
      </c>
      <c r="X2891" s="15">
        <v>2890</v>
      </c>
      <c r="Y2891" s="39">
        <v>0.502363694813867</v>
      </c>
      <c r="Z2891" s="39">
        <v>0.48568982767809554</v>
      </c>
      <c r="AA2891" s="39">
        <v>0.48337910133433409</v>
      </c>
      <c r="AB2891" s="39">
        <v>0.50096319579724369</v>
      </c>
      <c r="AC2891" s="39">
        <v>0.49496817241093172</v>
      </c>
      <c r="AD2891" s="39">
        <v>0.47664151599630739</v>
      </c>
      <c r="AE2891" s="39">
        <v>0.47538490361957642</v>
      </c>
      <c r="AF2891" s="40">
        <v>0.49363683074981757</v>
      </c>
    </row>
    <row r="2892" spans="1:32">
      <c r="A2892" s="15">
        <v>2890</v>
      </c>
      <c r="B2892" s="16">
        <v>0</v>
      </c>
      <c r="C2892" s="20">
        <v>0.93</v>
      </c>
      <c r="D2892" s="20">
        <v>0.19322049064130595</v>
      </c>
      <c r="E2892" s="20">
        <v>7.0000000000000007E-2</v>
      </c>
      <c r="F2892" s="8" t="s">
        <v>434</v>
      </c>
      <c r="G2892" s="24">
        <v>0.54096348088477941</v>
      </c>
      <c r="H2892" s="24">
        <v>0.54409552135433448</v>
      </c>
      <c r="I2892" s="25">
        <v>0.5536110094199912</v>
      </c>
      <c r="X2892" s="15">
        <v>2891</v>
      </c>
      <c r="Y2892" s="39">
        <v>0.49968933646353242</v>
      </c>
      <c r="Z2892" s="39">
        <v>0.48062362644722034</v>
      </c>
      <c r="AA2892" s="39">
        <v>0.49163725206671716</v>
      </c>
      <c r="AB2892" s="39">
        <v>0.47954315178316298</v>
      </c>
      <c r="AC2892" s="39">
        <v>0.49242205579470749</v>
      </c>
      <c r="AD2892" s="39">
        <v>0.47345551264229485</v>
      </c>
      <c r="AE2892" s="39">
        <v>0.48579257939271414</v>
      </c>
      <c r="AF2892" s="40">
        <v>0.47499002769188237</v>
      </c>
    </row>
    <row r="2893" spans="1:32">
      <c r="A2893" s="15">
        <v>2891</v>
      </c>
      <c r="B2893" s="16">
        <v>0</v>
      </c>
      <c r="C2893" s="20">
        <v>0.11</v>
      </c>
      <c r="D2893" s="20">
        <v>0.92270278440661235</v>
      </c>
      <c r="E2893" s="20">
        <v>0.05</v>
      </c>
      <c r="F2893" s="8" t="s">
        <v>436</v>
      </c>
      <c r="G2893" s="24">
        <v>0.88534590760877463</v>
      </c>
      <c r="H2893" s="24">
        <v>0.89047183442300293</v>
      </c>
      <c r="I2893" s="25">
        <v>0.90604497145630258</v>
      </c>
      <c r="X2893" s="15">
        <v>2892</v>
      </c>
      <c r="Y2893" s="39">
        <v>0.4886074749495114</v>
      </c>
      <c r="Z2893" s="39">
        <v>0.48059940348870456</v>
      </c>
      <c r="AA2893" s="39">
        <v>0.51387055829875816</v>
      </c>
      <c r="AB2893" s="39">
        <v>0.4886040330973262</v>
      </c>
      <c r="AC2893" s="39">
        <v>0.47964621856272516</v>
      </c>
      <c r="AD2893" s="39">
        <v>0.47301815659793767</v>
      </c>
      <c r="AE2893" s="39">
        <v>0.50330053150496901</v>
      </c>
      <c r="AF2893" s="40">
        <v>0.48363155125326912</v>
      </c>
    </row>
    <row r="2894" spans="1:32">
      <c r="A2894" s="15">
        <v>2892</v>
      </c>
      <c r="B2894" s="16">
        <v>0</v>
      </c>
      <c r="C2894" s="20">
        <v>0.95</v>
      </c>
      <c r="D2894" s="20">
        <v>0.15570568692893463</v>
      </c>
      <c r="E2894" s="20">
        <v>0.05</v>
      </c>
      <c r="F2894" s="8" t="s">
        <v>434</v>
      </c>
      <c r="G2894" s="24">
        <v>1.7491674091172087</v>
      </c>
      <c r="H2894" s="24">
        <v>1.7592946419286017</v>
      </c>
      <c r="I2894" s="25">
        <v>1.6578926537592125</v>
      </c>
      <c r="X2894" s="15">
        <v>2893</v>
      </c>
      <c r="Y2894" s="39">
        <v>0.48036577354155652</v>
      </c>
      <c r="Z2894" s="39">
        <v>0.49534334806946373</v>
      </c>
      <c r="AA2894" s="39">
        <v>0.49067410652016502</v>
      </c>
      <c r="AB2894" s="39">
        <v>0.46680557588472799</v>
      </c>
      <c r="AC2894" s="39">
        <v>0.47505432765937644</v>
      </c>
      <c r="AD2894" s="39">
        <v>0.48944143347929009</v>
      </c>
      <c r="AE2894" s="39">
        <v>0.48421548087786465</v>
      </c>
      <c r="AF2894" s="40">
        <v>0.46103376923855061</v>
      </c>
    </row>
    <row r="2895" spans="1:32">
      <c r="A2895" s="15">
        <v>2893</v>
      </c>
      <c r="B2895" s="16">
        <v>1</v>
      </c>
      <c r="C2895" s="20">
        <v>0.92</v>
      </c>
      <c r="D2895" s="20">
        <v>0.20258497911151899</v>
      </c>
      <c r="E2895" s="20">
        <v>0.08</v>
      </c>
      <c r="F2895" s="8" t="s">
        <v>434</v>
      </c>
      <c r="G2895" s="24">
        <v>1.5659977628869786</v>
      </c>
      <c r="H2895" s="24">
        <v>1.575064490202051</v>
      </c>
      <c r="I2895" s="25">
        <v>1.602610218426116</v>
      </c>
      <c r="X2895" s="15">
        <v>2894</v>
      </c>
      <c r="Y2895" s="39">
        <v>0.47391104074491031</v>
      </c>
      <c r="Z2895" s="39">
        <v>0.4832691060959885</v>
      </c>
      <c r="AA2895" s="39">
        <v>0.48167747245237674</v>
      </c>
      <c r="AB2895" s="39">
        <v>0.49725807619314211</v>
      </c>
      <c r="AC2895" s="39">
        <v>0.466257944528079</v>
      </c>
      <c r="AD2895" s="39">
        <v>0.47677094589177926</v>
      </c>
      <c r="AE2895" s="39">
        <v>0.47428567637660773</v>
      </c>
      <c r="AF2895" s="40">
        <v>0.49272073269067101</v>
      </c>
    </row>
    <row r="2896" spans="1:32">
      <c r="A2896" s="15">
        <v>2894</v>
      </c>
      <c r="B2896" s="16">
        <v>1</v>
      </c>
      <c r="C2896" s="20">
        <v>0.26</v>
      </c>
      <c r="D2896" s="20">
        <v>0.83143036608009691</v>
      </c>
      <c r="E2896" s="20">
        <v>7.0000000000000007E-2</v>
      </c>
      <c r="F2896" s="8" t="s">
        <v>436</v>
      </c>
      <c r="G2896" s="24">
        <v>0.92908722113534303</v>
      </c>
      <c r="H2896" s="24">
        <v>0.93446639898960948</v>
      </c>
      <c r="I2896" s="25">
        <v>0.950808940911678</v>
      </c>
      <c r="X2896" s="15">
        <v>2895</v>
      </c>
      <c r="Y2896" s="39">
        <v>0.49721247376422606</v>
      </c>
      <c r="Z2896" s="39">
        <v>0.48052967584054651</v>
      </c>
      <c r="AA2896" s="39">
        <v>0.48598020890942006</v>
      </c>
      <c r="AB2896" s="39">
        <v>0.48245315390348587</v>
      </c>
      <c r="AC2896" s="39">
        <v>0.49069720400105088</v>
      </c>
      <c r="AD2896" s="39">
        <v>0.47599370385597461</v>
      </c>
      <c r="AE2896" s="39">
        <v>0.48110777230122292</v>
      </c>
      <c r="AF2896" s="40">
        <v>0.473115324502285</v>
      </c>
    </row>
    <row r="2897" spans="1:32">
      <c r="A2897" s="15">
        <v>2895</v>
      </c>
      <c r="B2897" s="16">
        <v>0</v>
      </c>
      <c r="C2897" s="20">
        <v>0.13</v>
      </c>
      <c r="D2897" s="20">
        <v>0.91122992139968861</v>
      </c>
      <c r="E2897" s="20">
        <v>0.28000000000000003</v>
      </c>
      <c r="F2897" s="8" t="s">
        <v>436</v>
      </c>
      <c r="G2897" s="24">
        <v>1.1552583365785887</v>
      </c>
      <c r="H2897" s="24">
        <v>1.1619469874594892</v>
      </c>
      <c r="I2897" s="25">
        <v>1.1822678543994989</v>
      </c>
      <c r="X2897" s="15">
        <v>2896</v>
      </c>
      <c r="Y2897" s="39">
        <v>0.48420898522305117</v>
      </c>
      <c r="Z2897" s="39">
        <v>0.46888432582715089</v>
      </c>
      <c r="AA2897" s="39">
        <v>0.47771539873192376</v>
      </c>
      <c r="AB2897" s="39">
        <v>0.49405779816536183</v>
      </c>
      <c r="AC2897" s="39">
        <v>0.47870518513485372</v>
      </c>
      <c r="AD2897" s="39">
        <v>0.46243321946248084</v>
      </c>
      <c r="AE2897" s="39">
        <v>0.47211884870814091</v>
      </c>
      <c r="AF2897" s="40">
        <v>0.49148898339012798</v>
      </c>
    </row>
    <row r="2898" spans="1:32">
      <c r="A2898" s="15">
        <v>2896</v>
      </c>
      <c r="B2898" s="16">
        <v>0</v>
      </c>
      <c r="C2898" s="20">
        <v>0.47</v>
      </c>
      <c r="D2898" s="20">
        <v>0.47147904543010166</v>
      </c>
      <c r="E2898" s="20">
        <v>0.09</v>
      </c>
      <c r="F2898" s="8" t="s">
        <v>436</v>
      </c>
      <c r="G2898" s="24">
        <v>0.40636468594760311</v>
      </c>
      <c r="H2898" s="24">
        <v>0.40871743375176955</v>
      </c>
      <c r="I2898" s="25">
        <v>0.41586534383456197</v>
      </c>
      <c r="X2898" s="15">
        <v>2897</v>
      </c>
      <c r="Y2898" s="39">
        <v>0.48719775020572498</v>
      </c>
      <c r="Z2898" s="39">
        <v>0.49898138181648471</v>
      </c>
      <c r="AA2898" s="39">
        <v>0.48929202891210194</v>
      </c>
      <c r="AB2898" s="39">
        <v>0.49649633156488465</v>
      </c>
      <c r="AC2898" s="39">
        <v>0.48499289192379769</v>
      </c>
      <c r="AD2898" s="39">
        <v>0.4867743380895389</v>
      </c>
      <c r="AE2898" s="39">
        <v>0.48315412961541132</v>
      </c>
      <c r="AF2898" s="40">
        <v>0.49158344655703268</v>
      </c>
    </row>
    <row r="2899" spans="1:32">
      <c r="A2899" s="15">
        <v>2897</v>
      </c>
      <c r="B2899" s="16">
        <v>0</v>
      </c>
      <c r="C2899" s="20">
        <v>0.93</v>
      </c>
      <c r="D2899" s="20">
        <v>0.18747949848141848</v>
      </c>
      <c r="E2899" s="20">
        <v>7.0000000000000007E-2</v>
      </c>
      <c r="F2899" s="8" t="s">
        <v>434</v>
      </c>
      <c r="G2899" s="24">
        <v>1.1130830586910005</v>
      </c>
      <c r="H2899" s="24">
        <v>1.1195275254784709</v>
      </c>
      <c r="I2899" s="25">
        <v>1.1391065339241719</v>
      </c>
      <c r="X2899" s="15">
        <v>2898</v>
      </c>
      <c r="Y2899" s="39">
        <v>0.47173172027445054</v>
      </c>
      <c r="Z2899" s="39">
        <v>0.48012155078981317</v>
      </c>
      <c r="AA2899" s="39">
        <v>0.4713784579287032</v>
      </c>
      <c r="AB2899" s="39">
        <v>0.49540235964773377</v>
      </c>
      <c r="AC2899" s="39">
        <v>0.46495256428922399</v>
      </c>
      <c r="AD2899" s="39">
        <v>0.47434496835041934</v>
      </c>
      <c r="AE2899" s="39">
        <v>0.46549102126895037</v>
      </c>
      <c r="AF2899" s="40">
        <v>0.4904630114929649</v>
      </c>
    </row>
    <row r="2900" spans="1:32">
      <c r="A2900" s="15">
        <v>2898</v>
      </c>
      <c r="B2900" s="16">
        <v>0</v>
      </c>
      <c r="C2900" s="20">
        <v>0.03</v>
      </c>
      <c r="D2900" s="20">
        <v>0.99642335770206691</v>
      </c>
      <c r="E2900" s="20">
        <v>1</v>
      </c>
      <c r="F2900" s="8" t="s">
        <v>436</v>
      </c>
      <c r="G2900" s="24">
        <v>1.1379078370406532</v>
      </c>
      <c r="H2900" s="24">
        <v>1.1444960329580671</v>
      </c>
      <c r="I2900" s="25">
        <v>1.1645117065215917</v>
      </c>
      <c r="X2900" s="15">
        <v>2899</v>
      </c>
      <c r="Y2900" s="39">
        <v>0.4995124931511386</v>
      </c>
      <c r="Z2900" s="39">
        <v>0.49113290869011011</v>
      </c>
      <c r="AA2900" s="39">
        <v>0.49780559565609817</v>
      </c>
      <c r="AB2900" s="39">
        <v>0.48132885757665284</v>
      </c>
      <c r="AC2900" s="39">
        <v>0.49599627950848441</v>
      </c>
      <c r="AD2900" s="39">
        <v>0.48355110902539511</v>
      </c>
      <c r="AE2900" s="39">
        <v>0.49170744438272002</v>
      </c>
      <c r="AF2900" s="40">
        <v>0.47556192125751556</v>
      </c>
    </row>
    <row r="2901" spans="1:32">
      <c r="A2901" s="15">
        <v>2899</v>
      </c>
      <c r="B2901" s="16">
        <v>0</v>
      </c>
      <c r="C2901" s="20">
        <v>0.37</v>
      </c>
      <c r="D2901" s="20">
        <v>0.68880999090834083</v>
      </c>
      <c r="E2901" s="20">
        <v>0.06</v>
      </c>
      <c r="F2901" s="8" t="s">
        <v>436</v>
      </c>
      <c r="G2901" s="24">
        <v>1.1444049367716158</v>
      </c>
      <c r="H2901" s="24">
        <v>1.1510307492380412</v>
      </c>
      <c r="I2901" s="25">
        <v>1.1711607060704663</v>
      </c>
      <c r="X2901" s="15">
        <v>2900</v>
      </c>
      <c r="Y2901" s="39">
        <v>0.49420153501983172</v>
      </c>
      <c r="Z2901" s="39">
        <v>0.5068391019408075</v>
      </c>
      <c r="AA2901" s="39">
        <v>0.48601457574520834</v>
      </c>
      <c r="AB2901" s="39">
        <v>0.47472115276872112</v>
      </c>
      <c r="AC2901" s="39">
        <v>0.48559848978423364</v>
      </c>
      <c r="AD2901" s="39">
        <v>0.50132055013567633</v>
      </c>
      <c r="AE2901" s="39">
        <v>0.47798627794510978</v>
      </c>
      <c r="AF2901" s="40">
        <v>0.47040018463983996</v>
      </c>
    </row>
    <row r="2902" spans="1:32">
      <c r="A2902" s="15">
        <v>2900</v>
      </c>
      <c r="B2902" s="16">
        <v>1</v>
      </c>
      <c r="C2902" s="20">
        <v>0.3</v>
      </c>
      <c r="D2902" s="20">
        <v>0.73581180076992858</v>
      </c>
      <c r="E2902" s="20">
        <v>0.48</v>
      </c>
      <c r="F2902" s="8" t="s">
        <v>436</v>
      </c>
      <c r="G2902" s="24">
        <v>0.99403793766875603</v>
      </c>
      <c r="H2902" s="24">
        <v>0.9997931635926196</v>
      </c>
      <c r="I2902" s="25">
        <v>1.0172781814670735</v>
      </c>
      <c r="X2902" s="15">
        <v>2901</v>
      </c>
      <c r="Y2902" s="39">
        <v>0.49199587360907593</v>
      </c>
      <c r="Z2902" s="39">
        <v>0.48588346781247455</v>
      </c>
      <c r="AA2902" s="39">
        <v>0.48175993841970799</v>
      </c>
      <c r="AB2902" s="39">
        <v>0.48039990869963711</v>
      </c>
      <c r="AC2902" s="39">
        <v>0.48594079185575545</v>
      </c>
      <c r="AD2902" s="39">
        <v>0.47715978867824715</v>
      </c>
      <c r="AE2902" s="39">
        <v>0.47642643466396317</v>
      </c>
      <c r="AF2902" s="40">
        <v>0.47662005268639002</v>
      </c>
    </row>
    <row r="2903" spans="1:32">
      <c r="A2903" s="15">
        <v>2901</v>
      </c>
      <c r="B2903" s="16">
        <v>0</v>
      </c>
      <c r="C2903" s="20">
        <v>0.02</v>
      </c>
      <c r="D2903" s="20">
        <v>0.99604261948721451</v>
      </c>
      <c r="E2903" s="20">
        <v>1</v>
      </c>
      <c r="F2903" s="8" t="s">
        <v>436</v>
      </c>
      <c r="G2903" s="24">
        <v>0.98911887493011752</v>
      </c>
      <c r="H2903" s="24">
        <v>0.99484562073635008</v>
      </c>
      <c r="I2903" s="25">
        <v>1.0122441128388475</v>
      </c>
      <c r="X2903" s="15">
        <v>2902</v>
      </c>
      <c r="Y2903" s="39">
        <v>0.48806678012622412</v>
      </c>
      <c r="Z2903" s="39">
        <v>0.48471180123349944</v>
      </c>
      <c r="AA2903" s="39">
        <v>0.48499305587689967</v>
      </c>
      <c r="AB2903" s="39">
        <v>0.49426800841873375</v>
      </c>
      <c r="AC2903" s="39">
        <v>0.47817131062571339</v>
      </c>
      <c r="AD2903" s="39">
        <v>0.47767529978874407</v>
      </c>
      <c r="AE2903" s="39">
        <v>0.47833647725230583</v>
      </c>
      <c r="AF2903" s="40">
        <v>0.49022512591271367</v>
      </c>
    </row>
    <row r="2904" spans="1:32">
      <c r="A2904" s="15">
        <v>2902</v>
      </c>
      <c r="B2904" s="16">
        <v>1</v>
      </c>
      <c r="C2904" s="20">
        <v>0.02</v>
      </c>
      <c r="D2904" s="20">
        <v>0.99679477127711513</v>
      </c>
      <c r="E2904" s="20">
        <v>1</v>
      </c>
      <c r="F2904" s="8" t="s">
        <v>436</v>
      </c>
      <c r="G2904" s="24">
        <v>1.1055149051422184</v>
      </c>
      <c r="H2904" s="24">
        <v>1.1119155542524661</v>
      </c>
      <c r="I2904" s="25">
        <v>1.1313614397105403</v>
      </c>
      <c r="X2904" s="15">
        <v>2903</v>
      </c>
      <c r="Y2904" s="39">
        <v>0.47902692123414409</v>
      </c>
      <c r="Z2904" s="39">
        <v>0.49076937670096371</v>
      </c>
      <c r="AA2904" s="39">
        <v>0.47106063382498331</v>
      </c>
      <c r="AB2904" s="39">
        <v>0.48999408706528397</v>
      </c>
      <c r="AC2904" s="39">
        <v>0.47061729385595807</v>
      </c>
      <c r="AD2904" s="39">
        <v>0.47999910424323428</v>
      </c>
      <c r="AE2904" s="39">
        <v>0.46636806448325951</v>
      </c>
      <c r="AF2904" s="40">
        <v>0.48741638973325213</v>
      </c>
    </row>
    <row r="2905" spans="1:32">
      <c r="A2905" s="15">
        <v>2903</v>
      </c>
      <c r="B2905" s="16">
        <v>1</v>
      </c>
      <c r="C2905" s="20">
        <v>0.02</v>
      </c>
      <c r="D2905" s="20">
        <v>0.99756714174924133</v>
      </c>
      <c r="E2905" s="20">
        <v>1</v>
      </c>
      <c r="F2905" s="8" t="s">
        <v>436</v>
      </c>
      <c r="G2905" s="24">
        <v>1.1403980662601998</v>
      </c>
      <c r="H2905" s="24">
        <v>1.1470006799691461</v>
      </c>
      <c r="I2905" s="25">
        <v>1.1670601563904544</v>
      </c>
      <c r="X2905" s="15">
        <v>2904</v>
      </c>
      <c r="Y2905" s="39">
        <v>0.48132402712036532</v>
      </c>
      <c r="Z2905" s="39">
        <v>0.47294771333041685</v>
      </c>
      <c r="AA2905" s="39">
        <v>0.48070628859947867</v>
      </c>
      <c r="AB2905" s="39">
        <v>0.49413443055849798</v>
      </c>
      <c r="AC2905" s="39">
        <v>0.4752626327568738</v>
      </c>
      <c r="AD2905" s="39">
        <v>0.46808409843177168</v>
      </c>
      <c r="AE2905" s="39">
        <v>0.47212122763741443</v>
      </c>
      <c r="AF2905" s="40">
        <v>0.49000341821053334</v>
      </c>
    </row>
    <row r="2906" spans="1:32">
      <c r="A2906" s="15">
        <v>2904</v>
      </c>
      <c r="B2906" s="16">
        <v>0</v>
      </c>
      <c r="C2906" s="20">
        <v>0.02</v>
      </c>
      <c r="D2906" s="20">
        <v>0.99531127541355291</v>
      </c>
      <c r="E2906" s="20">
        <v>1</v>
      </c>
      <c r="F2906" s="8" t="s">
        <v>436</v>
      </c>
      <c r="G2906" s="24">
        <v>1.4852885323120955</v>
      </c>
      <c r="H2906" s="24">
        <v>1.4938879737837432</v>
      </c>
      <c r="I2906" s="25">
        <v>1.5200140355285339</v>
      </c>
      <c r="X2906" s="15">
        <v>2905</v>
      </c>
      <c r="Y2906" s="39">
        <v>0.48866113709780179</v>
      </c>
      <c r="Z2906" s="39">
        <v>0.4897319512283913</v>
      </c>
      <c r="AA2906" s="39">
        <v>0.47274658159286548</v>
      </c>
      <c r="AB2906" s="39">
        <v>0.48716270168531484</v>
      </c>
      <c r="AC2906" s="39">
        <v>0.48416900695812753</v>
      </c>
      <c r="AD2906" s="39">
        <v>0.47980908126407212</v>
      </c>
      <c r="AE2906" s="39">
        <v>0.46728470469872696</v>
      </c>
      <c r="AF2906" s="40">
        <v>0.48530664549361663</v>
      </c>
    </row>
    <row r="2907" spans="1:32">
      <c r="A2907" s="15">
        <v>2905</v>
      </c>
      <c r="B2907" s="16">
        <v>0</v>
      </c>
      <c r="C2907" s="20">
        <v>0.37</v>
      </c>
      <c r="D2907" s="20">
        <v>0.59922097906660621</v>
      </c>
      <c r="E2907" s="20">
        <v>0.09</v>
      </c>
      <c r="F2907" s="8" t="s">
        <v>436</v>
      </c>
      <c r="G2907" s="24">
        <v>0.51970167864581251</v>
      </c>
      <c r="H2907" s="24">
        <v>0.5227106187076298</v>
      </c>
      <c r="I2907" s="25">
        <v>0.53185211401294663</v>
      </c>
      <c r="X2907" s="15">
        <v>2906</v>
      </c>
      <c r="Y2907" s="39">
        <v>0.49654362776327327</v>
      </c>
      <c r="Z2907" s="39">
        <v>0.48356356051756949</v>
      </c>
      <c r="AA2907" s="39">
        <v>0.50120885015575023</v>
      </c>
      <c r="AB2907" s="39">
        <v>0.48882284145794613</v>
      </c>
      <c r="AC2907" s="39">
        <v>0.4901724883713024</v>
      </c>
      <c r="AD2907" s="39">
        <v>0.47618606622729598</v>
      </c>
      <c r="AE2907" s="39">
        <v>0.49311888160809919</v>
      </c>
      <c r="AF2907" s="40">
        <v>0.48350321564718052</v>
      </c>
    </row>
    <row r="2908" spans="1:32">
      <c r="A2908" s="15">
        <v>2906</v>
      </c>
      <c r="B2908" s="16">
        <v>0</v>
      </c>
      <c r="C2908" s="20">
        <v>0.27</v>
      </c>
      <c r="D2908" s="20">
        <v>0.73370400443987238</v>
      </c>
      <c r="E2908" s="20">
        <v>0.13</v>
      </c>
      <c r="F2908" s="8" t="s">
        <v>436</v>
      </c>
      <c r="G2908" s="24">
        <v>0.98214329043778992</v>
      </c>
      <c r="H2908" s="24">
        <v>0.98782964939037932</v>
      </c>
      <c r="I2908" s="25">
        <v>1.0051054417297076</v>
      </c>
      <c r="X2908" s="15">
        <v>2907</v>
      </c>
      <c r="Y2908" s="39">
        <v>0.47563708287739181</v>
      </c>
      <c r="Z2908" s="39">
        <v>0.5014457854689568</v>
      </c>
      <c r="AA2908" s="39">
        <v>0.47829118733710241</v>
      </c>
      <c r="AB2908" s="39">
        <v>0.49509104700682421</v>
      </c>
      <c r="AC2908" s="39">
        <v>0.46566755790463848</v>
      </c>
      <c r="AD2908" s="39">
        <v>0.49321740883080578</v>
      </c>
      <c r="AE2908" s="39">
        <v>0.47153545663828245</v>
      </c>
      <c r="AF2908" s="40">
        <v>0.48503081712994384</v>
      </c>
    </row>
    <row r="2909" spans="1:32">
      <c r="A2909" s="15">
        <v>2907</v>
      </c>
      <c r="B2909" s="16">
        <v>1</v>
      </c>
      <c r="C2909" s="20">
        <v>0.02</v>
      </c>
      <c r="D2909" s="20">
        <v>0.99917029198757767</v>
      </c>
      <c r="E2909" s="20">
        <v>1</v>
      </c>
      <c r="F2909" s="8" t="s">
        <v>436</v>
      </c>
      <c r="G2909" s="24">
        <v>1.0482034100624669</v>
      </c>
      <c r="H2909" s="24">
        <v>1.0542722402453688</v>
      </c>
      <c r="I2909" s="25">
        <v>1.0727100228153064</v>
      </c>
      <c r="X2909" s="15">
        <v>2908</v>
      </c>
      <c r="Y2909" s="39">
        <v>0.50170970273094362</v>
      </c>
      <c r="Z2909" s="39">
        <v>0.48855635020348726</v>
      </c>
      <c r="AA2909" s="39">
        <v>0.48021344233581753</v>
      </c>
      <c r="AB2909" s="39">
        <v>0.48239752523811513</v>
      </c>
      <c r="AC2909" s="39">
        <v>0.49391008170319944</v>
      </c>
      <c r="AD2909" s="39">
        <v>0.48236262835312432</v>
      </c>
      <c r="AE2909" s="39">
        <v>0.47254595726695298</v>
      </c>
      <c r="AF2909" s="40">
        <v>0.47795698912748585</v>
      </c>
    </row>
    <row r="2910" spans="1:32">
      <c r="A2910" s="15">
        <v>2908</v>
      </c>
      <c r="B2910" s="16">
        <v>1</v>
      </c>
      <c r="C2910" s="20">
        <v>0.02</v>
      </c>
      <c r="D2910" s="20">
        <v>0.99679477127711513</v>
      </c>
      <c r="E2910" s="20">
        <v>1</v>
      </c>
      <c r="F2910" s="8" t="s">
        <v>436</v>
      </c>
      <c r="G2910" s="24">
        <v>0.98057937244755045</v>
      </c>
      <c r="H2910" s="24">
        <v>0.98625667671417749</v>
      </c>
      <c r="I2910" s="25">
        <v>1.0035049599082537</v>
      </c>
      <c r="X2910" s="15">
        <v>2909</v>
      </c>
      <c r="Y2910" s="39">
        <v>0.49383935534928486</v>
      </c>
      <c r="Z2910" s="39">
        <v>0.48121865681757703</v>
      </c>
      <c r="AA2910" s="39">
        <v>0.48529199374025428</v>
      </c>
      <c r="AB2910" s="39">
        <v>0.48162530742925996</v>
      </c>
      <c r="AC2910" s="39">
        <v>0.49092518282686448</v>
      </c>
      <c r="AD2910" s="39">
        <v>0.47623999965023017</v>
      </c>
      <c r="AE2910" s="39">
        <v>0.48238506998925784</v>
      </c>
      <c r="AF2910" s="40">
        <v>0.47938758112631052</v>
      </c>
    </row>
    <row r="2911" spans="1:32">
      <c r="A2911" s="15">
        <v>2909</v>
      </c>
      <c r="B2911" s="16">
        <v>0</v>
      </c>
      <c r="C2911" s="20">
        <v>0.02</v>
      </c>
      <c r="D2911" s="20">
        <v>0.99756714174924133</v>
      </c>
      <c r="E2911" s="20">
        <v>1</v>
      </c>
      <c r="F2911" s="8" t="s">
        <v>436</v>
      </c>
      <c r="G2911" s="24">
        <v>0.98955469910814864</v>
      </c>
      <c r="H2911" s="24">
        <v>0.99528396822512477</v>
      </c>
      <c r="I2911" s="25">
        <v>1.0126901264269272</v>
      </c>
      <c r="X2911" s="15">
        <v>2910</v>
      </c>
      <c r="Y2911" s="39">
        <v>0.48190811082264379</v>
      </c>
      <c r="Z2911" s="39">
        <v>0.49895072159009618</v>
      </c>
      <c r="AA2911" s="39">
        <v>0.48302859205920035</v>
      </c>
      <c r="AB2911" s="39">
        <v>0.4733492274283812</v>
      </c>
      <c r="AC2911" s="39">
        <v>0.47598892214676281</v>
      </c>
      <c r="AD2911" s="39">
        <v>0.49524969701434229</v>
      </c>
      <c r="AE2911" s="39">
        <v>0.47763631657445066</v>
      </c>
      <c r="AF2911" s="40">
        <v>0.47070944641104784</v>
      </c>
    </row>
    <row r="2912" spans="1:32">
      <c r="A2912" s="15">
        <v>2910</v>
      </c>
      <c r="B2912" s="16">
        <v>1</v>
      </c>
      <c r="C2912" s="20">
        <v>0.02</v>
      </c>
      <c r="D2912" s="20">
        <v>0.99917029198757767</v>
      </c>
      <c r="E2912" s="20">
        <v>1</v>
      </c>
      <c r="F2912" s="8" t="s">
        <v>436</v>
      </c>
      <c r="G2912" s="24">
        <v>1.0312156689919583</v>
      </c>
      <c r="H2912" s="24">
        <v>1.0371861444903034</v>
      </c>
      <c r="I2912" s="25">
        <v>1.0553251145652562</v>
      </c>
      <c r="X2912" s="15">
        <v>2911</v>
      </c>
      <c r="Y2912" s="39">
        <v>0.4778344946634136</v>
      </c>
      <c r="Z2912" s="39">
        <v>0.49901837330760634</v>
      </c>
      <c r="AA2912" s="39">
        <v>0.48206960230933266</v>
      </c>
      <c r="AB2912" s="39">
        <v>0.48944539051065616</v>
      </c>
      <c r="AC2912" s="39">
        <v>0.46793533952326144</v>
      </c>
      <c r="AD2912" s="39">
        <v>0.49073770622356944</v>
      </c>
      <c r="AE2912" s="39">
        <v>0.47305976598167099</v>
      </c>
      <c r="AF2912" s="40">
        <v>0.48565769314578322</v>
      </c>
    </row>
    <row r="2913" spans="1:32">
      <c r="A2913" s="15">
        <v>2911</v>
      </c>
      <c r="B2913" s="16">
        <v>1</v>
      </c>
      <c r="C2913" s="20">
        <v>0.15</v>
      </c>
      <c r="D2913" s="20">
        <v>0.86643049129486016</v>
      </c>
      <c r="E2913" s="20">
        <v>0.48</v>
      </c>
      <c r="F2913" s="8" t="s">
        <v>436</v>
      </c>
      <c r="G2913" s="24">
        <v>0.78532128048633854</v>
      </c>
      <c r="H2913" s="24">
        <v>0.78986809024152393</v>
      </c>
      <c r="I2913" s="25">
        <v>0.80368180509701104</v>
      </c>
      <c r="X2913" s="15">
        <v>2912</v>
      </c>
      <c r="Y2913" s="39">
        <v>0.50312248247290381</v>
      </c>
      <c r="Z2913" s="39">
        <v>0.47213350510123819</v>
      </c>
      <c r="AA2913" s="39">
        <v>0.47834890530267499</v>
      </c>
      <c r="AB2913" s="39">
        <v>0.47811924588252325</v>
      </c>
      <c r="AC2913" s="39">
        <v>0.49576191926498619</v>
      </c>
      <c r="AD2913" s="39">
        <v>0.46932696986668865</v>
      </c>
      <c r="AE2913" s="39">
        <v>0.47183013587845118</v>
      </c>
      <c r="AF2913" s="40">
        <v>0.47251120741315705</v>
      </c>
    </row>
    <row r="2914" spans="1:32">
      <c r="A2914" s="15">
        <v>2912</v>
      </c>
      <c r="B2914" s="16">
        <v>1</v>
      </c>
      <c r="C2914" s="20">
        <v>0.02</v>
      </c>
      <c r="D2914" s="20">
        <v>0.99917029198757767</v>
      </c>
      <c r="E2914" s="20">
        <v>1</v>
      </c>
      <c r="F2914" s="8" t="s">
        <v>436</v>
      </c>
      <c r="G2914" s="24">
        <v>1.0120276914907462</v>
      </c>
      <c r="H2914" s="24">
        <v>1.0178870734972267</v>
      </c>
      <c r="I2914" s="25">
        <v>1.0356885291606368</v>
      </c>
      <c r="X2914" s="15">
        <v>2913</v>
      </c>
      <c r="Y2914" s="39">
        <v>0.48188847127442291</v>
      </c>
      <c r="Z2914" s="39">
        <v>0.49220684767548495</v>
      </c>
      <c r="AA2914" s="39">
        <v>0.49544894454504135</v>
      </c>
      <c r="AB2914" s="39">
        <v>0.49193183689788905</v>
      </c>
      <c r="AC2914" s="39">
        <v>0.47313992180968517</v>
      </c>
      <c r="AD2914" s="39">
        <v>0.483820893621353</v>
      </c>
      <c r="AE2914" s="39">
        <v>0.48677525338204458</v>
      </c>
      <c r="AF2914" s="40">
        <v>0.4886574631777571</v>
      </c>
    </row>
    <row r="2915" spans="1:32">
      <c r="A2915" s="15">
        <v>2913</v>
      </c>
      <c r="B2915" s="16">
        <v>0</v>
      </c>
      <c r="C2915" s="20">
        <v>0.17</v>
      </c>
      <c r="D2915" s="20">
        <v>0.91026982705650128</v>
      </c>
      <c r="E2915" s="20">
        <v>0.09</v>
      </c>
      <c r="F2915" s="8" t="s">
        <v>436</v>
      </c>
      <c r="G2915" s="24">
        <v>1.0834067616926129</v>
      </c>
      <c r="H2915" s="24">
        <v>1.0896794102955478</v>
      </c>
      <c r="I2915" s="25">
        <v>1.1087364159445738</v>
      </c>
      <c r="X2915" s="15">
        <v>2914</v>
      </c>
      <c r="Y2915" s="39">
        <v>0.50177843726053151</v>
      </c>
      <c r="Z2915" s="39">
        <v>0.49117783413073424</v>
      </c>
      <c r="AA2915" s="39">
        <v>0.48475670320786235</v>
      </c>
      <c r="AB2915" s="39">
        <v>0.48754640938034821</v>
      </c>
      <c r="AC2915" s="39">
        <v>0.49360835151480409</v>
      </c>
      <c r="AD2915" s="39">
        <v>0.47976240078779187</v>
      </c>
      <c r="AE2915" s="39">
        <v>0.48018655105160074</v>
      </c>
      <c r="AF2915" s="40">
        <v>0.48539995988640017</v>
      </c>
    </row>
    <row r="2916" spans="1:32">
      <c r="A2916" s="15">
        <v>2914</v>
      </c>
      <c r="B2916" s="16">
        <v>1</v>
      </c>
      <c r="C2916" s="20">
        <v>0.02</v>
      </c>
      <c r="D2916" s="20">
        <v>0.99604261948721451</v>
      </c>
      <c r="E2916" s="20">
        <v>1</v>
      </c>
      <c r="F2916" s="8" t="s">
        <v>436</v>
      </c>
      <c r="G2916" s="24">
        <v>0.99530039505050028</v>
      </c>
      <c r="H2916" s="24">
        <v>1.0010629302803529</v>
      </c>
      <c r="I2916" s="25">
        <v>1.0185701546411481</v>
      </c>
      <c r="X2916" s="15">
        <v>2915</v>
      </c>
      <c r="Y2916" s="39">
        <v>0.4852125255817839</v>
      </c>
      <c r="Z2916" s="39">
        <v>0.49323147764451913</v>
      </c>
      <c r="AA2916" s="39">
        <v>0.47640774888397602</v>
      </c>
      <c r="AB2916" s="39">
        <v>0.5053458287069218</v>
      </c>
      <c r="AC2916" s="39">
        <v>0.47609955081939048</v>
      </c>
      <c r="AD2916" s="39">
        <v>0.48555645442779116</v>
      </c>
      <c r="AE2916" s="39">
        <v>0.46935883458124938</v>
      </c>
      <c r="AF2916" s="40">
        <v>0.5013809939613193</v>
      </c>
    </row>
    <row r="2917" spans="1:32">
      <c r="A2917" s="15">
        <v>2915</v>
      </c>
      <c r="B2917" s="16">
        <v>0</v>
      </c>
      <c r="C2917" s="20">
        <v>0.89</v>
      </c>
      <c r="D2917" s="20">
        <v>0.24559627500636821</v>
      </c>
      <c r="E2917" s="20">
        <v>0.11</v>
      </c>
      <c r="F2917" s="8" t="s">
        <v>434</v>
      </c>
      <c r="G2917" s="24">
        <v>1.0187814329048228</v>
      </c>
      <c r="H2917" s="24">
        <v>1.0246799173501504</v>
      </c>
      <c r="I2917" s="25">
        <v>1.0426001705814094</v>
      </c>
      <c r="X2917" s="15">
        <v>2916</v>
      </c>
      <c r="Y2917" s="39">
        <v>0.48395677020984518</v>
      </c>
      <c r="Z2917" s="39">
        <v>0.49758690525079202</v>
      </c>
      <c r="AA2917" s="39">
        <v>0.48063882615575337</v>
      </c>
      <c r="AB2917" s="39">
        <v>0.49215986669673151</v>
      </c>
      <c r="AC2917" s="39">
        <v>0.47667383089796522</v>
      </c>
      <c r="AD2917" s="39">
        <v>0.49050748516143217</v>
      </c>
      <c r="AE2917" s="39">
        <v>0.47272308129754792</v>
      </c>
      <c r="AF2917" s="40">
        <v>0.48560165537647465</v>
      </c>
    </row>
    <row r="2918" spans="1:32">
      <c r="A2918" s="15">
        <v>2916</v>
      </c>
      <c r="B2918" s="16">
        <v>0</v>
      </c>
      <c r="C2918" s="20">
        <v>0.02</v>
      </c>
      <c r="D2918" s="20">
        <v>0.99835916395484214</v>
      </c>
      <c r="E2918" s="20">
        <v>1</v>
      </c>
      <c r="F2918" s="8" t="s">
        <v>436</v>
      </c>
      <c r="G2918" s="24">
        <v>1.0461601683028539</v>
      </c>
      <c r="H2918" s="24">
        <v>1.0522171686375195</v>
      </c>
      <c r="I2918" s="25">
        <v>1.0706190108098779</v>
      </c>
      <c r="X2918" s="15">
        <v>2917</v>
      </c>
      <c r="Y2918" s="39">
        <v>0.50141394670199368</v>
      </c>
      <c r="Z2918" s="39">
        <v>0.47167014860295303</v>
      </c>
      <c r="AA2918" s="39">
        <v>0.48365147173357653</v>
      </c>
      <c r="AB2918" s="39">
        <v>0.47860852275202037</v>
      </c>
      <c r="AC2918" s="39">
        <v>0.49381805065342571</v>
      </c>
      <c r="AD2918" s="39">
        <v>0.46494609692102873</v>
      </c>
      <c r="AE2918" s="39">
        <v>0.47845870725150902</v>
      </c>
      <c r="AF2918" s="40">
        <v>0.47502806446437651</v>
      </c>
    </row>
    <row r="2919" spans="1:32">
      <c r="A2919" s="15">
        <v>2917</v>
      </c>
      <c r="B2919" s="16">
        <v>0</v>
      </c>
      <c r="C2919" s="20">
        <v>0.02</v>
      </c>
      <c r="D2919" s="20">
        <v>0.99917029198757767</v>
      </c>
      <c r="E2919" s="20">
        <v>1</v>
      </c>
      <c r="F2919" s="8" t="s">
        <v>436</v>
      </c>
      <c r="G2919" s="24">
        <v>1.0880417956683535</v>
      </c>
      <c r="H2919" s="24">
        <v>1.0943412799348828</v>
      </c>
      <c r="I2919" s="25">
        <v>1.1134798153211987</v>
      </c>
      <c r="X2919" s="15">
        <v>2918</v>
      </c>
      <c r="Y2919" s="39">
        <v>0.4900794276950341</v>
      </c>
      <c r="Z2919" s="39">
        <v>0.4784493345244315</v>
      </c>
      <c r="AA2919" s="39">
        <v>0.49202643996029094</v>
      </c>
      <c r="AB2919" s="39">
        <v>0.49073724856300005</v>
      </c>
      <c r="AC2919" s="39">
        <v>0.48547947947167175</v>
      </c>
      <c r="AD2919" s="39">
        <v>0.47302604588517833</v>
      </c>
      <c r="AE2919" s="39">
        <v>0.48313123397730262</v>
      </c>
      <c r="AF2919" s="40">
        <v>0.48642639041803687</v>
      </c>
    </row>
    <row r="2920" spans="1:32">
      <c r="A2920" s="15">
        <v>2918</v>
      </c>
      <c r="B2920" s="16">
        <v>0</v>
      </c>
      <c r="C2920" s="20">
        <v>0.53</v>
      </c>
      <c r="D2920" s="20">
        <v>0.47048734232093831</v>
      </c>
      <c r="E2920" s="20">
        <v>0.06</v>
      </c>
      <c r="F2920" s="8" t="s">
        <v>438</v>
      </c>
      <c r="G2920" s="24">
        <v>1.1603001908922022</v>
      </c>
      <c r="H2920" s="24">
        <v>1.1670180328226094</v>
      </c>
      <c r="I2920" s="25">
        <v>1.187427585424859</v>
      </c>
      <c r="X2920" s="15">
        <v>2919</v>
      </c>
      <c r="Y2920" s="39">
        <v>0.49264193013191182</v>
      </c>
      <c r="Z2920" s="39">
        <v>0.48688413038787559</v>
      </c>
      <c r="AA2920" s="39">
        <v>0.48259492916599162</v>
      </c>
      <c r="AB2920" s="39">
        <v>0.4886613666213997</v>
      </c>
      <c r="AC2920" s="39">
        <v>0.48686775684003825</v>
      </c>
      <c r="AD2920" s="39">
        <v>0.48289356155717977</v>
      </c>
      <c r="AE2920" s="39">
        <v>0.47593954406614303</v>
      </c>
      <c r="AF2920" s="40">
        <v>0.48317717864896542</v>
      </c>
    </row>
    <row r="2921" spans="1:32">
      <c r="A2921" s="15">
        <v>2919</v>
      </c>
      <c r="B2921" s="16">
        <v>1</v>
      </c>
      <c r="C2921" s="20">
        <v>0.66</v>
      </c>
      <c r="D2921" s="20">
        <v>0.50695160759138869</v>
      </c>
      <c r="E2921" s="20">
        <v>0.08</v>
      </c>
      <c r="F2921" s="8" t="s">
        <v>438</v>
      </c>
      <c r="G2921" s="24">
        <v>1.7041763073935494</v>
      </c>
      <c r="H2921" s="24">
        <v>1.7140430532102606</v>
      </c>
      <c r="I2921" s="25">
        <v>1.6578926537592125</v>
      </c>
      <c r="X2921" s="15">
        <v>2920</v>
      </c>
      <c r="Y2921" s="39">
        <v>0.48268934675206632</v>
      </c>
      <c r="Z2921" s="39">
        <v>0.49146304916115102</v>
      </c>
      <c r="AA2921" s="39">
        <v>0.48770373931348482</v>
      </c>
      <c r="AB2921" s="39">
        <v>0.49174228761216177</v>
      </c>
      <c r="AC2921" s="39">
        <v>0.47657188976795917</v>
      </c>
      <c r="AD2921" s="39">
        <v>0.48452376135248992</v>
      </c>
      <c r="AE2921" s="39">
        <v>0.47973533165366683</v>
      </c>
      <c r="AF2921" s="40">
        <v>0.4854833239623193</v>
      </c>
    </row>
    <row r="2922" spans="1:32">
      <c r="A2922" s="15">
        <v>2920</v>
      </c>
      <c r="B2922" s="16">
        <v>1</v>
      </c>
      <c r="C2922" s="20">
        <v>0.44</v>
      </c>
      <c r="D2922" s="20">
        <v>0.56176162821530373</v>
      </c>
      <c r="E2922" s="20">
        <v>0.06</v>
      </c>
      <c r="F2922" s="8" t="s">
        <v>436</v>
      </c>
      <c r="G2922" s="24">
        <v>1.5016237321055541</v>
      </c>
      <c r="H2922" s="24">
        <v>1.5103177502143301</v>
      </c>
      <c r="I2922" s="25">
        <v>1.5367311463248909</v>
      </c>
      <c r="X2922" s="15">
        <v>2921</v>
      </c>
      <c r="Y2922" s="39">
        <v>0.4949312183816118</v>
      </c>
      <c r="Z2922" s="39">
        <v>0.47377399760392402</v>
      </c>
      <c r="AA2922" s="39">
        <v>0.48932528853644353</v>
      </c>
      <c r="AB2922" s="39">
        <v>0.47942131074515121</v>
      </c>
      <c r="AC2922" s="39">
        <v>0.48778346019364549</v>
      </c>
      <c r="AD2922" s="39">
        <v>0.46692368782267141</v>
      </c>
      <c r="AE2922" s="39">
        <v>0.48341023450180048</v>
      </c>
      <c r="AF2922" s="40">
        <v>0.47386229671837721</v>
      </c>
    </row>
    <row r="2923" spans="1:32">
      <c r="A2923" s="15">
        <v>2921</v>
      </c>
      <c r="B2923" s="16">
        <v>1</v>
      </c>
      <c r="C2923" s="20">
        <v>0.56000000000000005</v>
      </c>
      <c r="D2923" s="20">
        <v>0.4619161928037816</v>
      </c>
      <c r="E2923" s="20">
        <v>7.0000000000000007E-2</v>
      </c>
      <c r="F2923" s="8" t="s">
        <v>438</v>
      </c>
      <c r="G2923" s="24">
        <v>0.92487946426004974</v>
      </c>
      <c r="H2923" s="24">
        <v>0.93023428027606803</v>
      </c>
      <c r="I2923" s="25">
        <v>0.9465028082179977</v>
      </c>
      <c r="X2923" s="15">
        <v>2922</v>
      </c>
      <c r="Y2923" s="39">
        <v>0.48971632775888913</v>
      </c>
      <c r="Z2923" s="39">
        <v>0.49378045770763046</v>
      </c>
      <c r="AA2923" s="39">
        <v>0.47665092740163828</v>
      </c>
      <c r="AB2923" s="39">
        <v>0.49357972661675931</v>
      </c>
      <c r="AC2923" s="39">
        <v>0.48084904841156723</v>
      </c>
      <c r="AD2923" s="39">
        <v>0.48810328032630779</v>
      </c>
      <c r="AE2923" s="39">
        <v>0.47058437599364911</v>
      </c>
      <c r="AF2923" s="40">
        <v>0.49238750463795999</v>
      </c>
    </row>
    <row r="2924" spans="1:32">
      <c r="A2924" s="15">
        <v>2922</v>
      </c>
      <c r="B2924" s="16">
        <v>1</v>
      </c>
      <c r="C2924" s="20">
        <v>0.88</v>
      </c>
      <c r="D2924" s="20">
        <v>0.25930874124763043</v>
      </c>
      <c r="E2924" s="20">
        <v>0.12</v>
      </c>
      <c r="F2924" s="8" t="s">
        <v>434</v>
      </c>
      <c r="G2924" s="24">
        <v>0.87509642337108162</v>
      </c>
      <c r="H2924" s="24">
        <v>0.88016300828782734</v>
      </c>
      <c r="I2924" s="25">
        <v>0.8955558580219114</v>
      </c>
      <c r="X2924" s="15">
        <v>2923</v>
      </c>
      <c r="Y2924" s="39">
        <v>0.4849818630705558</v>
      </c>
      <c r="Z2924" s="39">
        <v>0.49067922168890227</v>
      </c>
      <c r="AA2924" s="39">
        <v>0.48011021014006239</v>
      </c>
      <c r="AB2924" s="39">
        <v>0.49042912602948441</v>
      </c>
      <c r="AC2924" s="39">
        <v>0.47760838900401731</v>
      </c>
      <c r="AD2924" s="39">
        <v>0.48552816317960418</v>
      </c>
      <c r="AE2924" s="39">
        <v>0.47400517193655051</v>
      </c>
      <c r="AF2924" s="40">
        <v>0.48495273588673599</v>
      </c>
    </row>
    <row r="2925" spans="1:32">
      <c r="A2925" s="15">
        <v>2923</v>
      </c>
      <c r="B2925" s="16">
        <v>1</v>
      </c>
      <c r="C2925" s="20">
        <v>0.43</v>
      </c>
      <c r="D2925" s="20">
        <v>0.57750621680068004</v>
      </c>
      <c r="E2925" s="20">
        <v>0.14000000000000001</v>
      </c>
      <c r="F2925" s="8" t="s">
        <v>436</v>
      </c>
      <c r="G2925" s="24">
        <v>0.86695414215912814</v>
      </c>
      <c r="H2925" s="24">
        <v>0.87197358534603164</v>
      </c>
      <c r="I2925" s="25">
        <v>0.88722321325010822</v>
      </c>
      <c r="X2925" s="15">
        <v>2924</v>
      </c>
      <c r="Y2925" s="39">
        <v>0.49288110096722126</v>
      </c>
      <c r="Z2925" s="39">
        <v>0.48910156291580309</v>
      </c>
      <c r="AA2925" s="39">
        <v>0.4880900661785913</v>
      </c>
      <c r="AB2925" s="39">
        <v>0.48782339797748664</v>
      </c>
      <c r="AC2925" s="39">
        <v>0.48521313917825443</v>
      </c>
      <c r="AD2925" s="39">
        <v>0.4830337561265135</v>
      </c>
      <c r="AE2925" s="39">
        <v>0.48144124987515852</v>
      </c>
      <c r="AF2925" s="40">
        <v>0.48257442297490266</v>
      </c>
    </row>
    <row r="2926" spans="1:32">
      <c r="A2926" s="15">
        <v>2924</v>
      </c>
      <c r="B2926" s="16">
        <v>0</v>
      </c>
      <c r="C2926" s="20">
        <v>0.08</v>
      </c>
      <c r="D2926" s="20">
        <v>0.9172286513676412</v>
      </c>
      <c r="E2926" s="20">
        <v>0.48</v>
      </c>
      <c r="F2926" s="8" t="s">
        <v>436</v>
      </c>
      <c r="G2926" s="24">
        <v>0.97946658485663274</v>
      </c>
      <c r="H2926" s="24">
        <v>0.98513744636715528</v>
      </c>
      <c r="I2926" s="25">
        <v>1.0023661557500314</v>
      </c>
      <c r="X2926" s="15">
        <v>2925</v>
      </c>
      <c r="Y2926" s="39">
        <v>0.48547097470762357</v>
      </c>
      <c r="Z2926" s="39">
        <v>0.47860277280380226</v>
      </c>
      <c r="AA2926" s="39">
        <v>0.49167804221450195</v>
      </c>
      <c r="AB2926" s="39">
        <v>0.48633258447961331</v>
      </c>
      <c r="AC2926" s="39">
        <v>0.47779134584204025</v>
      </c>
      <c r="AD2926" s="39">
        <v>0.4750567386903341</v>
      </c>
      <c r="AE2926" s="39">
        <v>0.48233800822505662</v>
      </c>
      <c r="AF2926" s="40">
        <v>0.48153566190167679</v>
      </c>
    </row>
    <row r="2927" spans="1:32">
      <c r="A2927" s="15">
        <v>2925</v>
      </c>
      <c r="B2927" s="16">
        <v>1</v>
      </c>
      <c r="C2927" s="20">
        <v>0.02</v>
      </c>
      <c r="D2927" s="20">
        <v>0.99756714174924133</v>
      </c>
      <c r="E2927" s="20">
        <v>1</v>
      </c>
      <c r="F2927" s="8" t="s">
        <v>436</v>
      </c>
      <c r="G2927" s="24">
        <v>1.0728987331703197</v>
      </c>
      <c r="H2927" s="24">
        <v>1.0791105429703596</v>
      </c>
      <c r="I2927" s="25">
        <v>1.0979827135546711</v>
      </c>
      <c r="X2927" s="15">
        <v>2926</v>
      </c>
      <c r="Y2927" s="39">
        <v>0.50427234410116151</v>
      </c>
      <c r="Z2927" s="39">
        <v>0.48282847048426741</v>
      </c>
      <c r="AA2927" s="39">
        <v>0.49154524943571776</v>
      </c>
      <c r="AB2927" s="39">
        <v>0.49114414103136772</v>
      </c>
      <c r="AC2927" s="39">
        <v>0.49837792388563107</v>
      </c>
      <c r="AD2927" s="39">
        <v>0.47577554340902745</v>
      </c>
      <c r="AE2927" s="39">
        <v>0.48698982697146809</v>
      </c>
      <c r="AF2927" s="40">
        <v>0.48723111549943432</v>
      </c>
    </row>
    <row r="2928" spans="1:32">
      <c r="A2928" s="15">
        <v>2926</v>
      </c>
      <c r="B2928" s="16">
        <v>0</v>
      </c>
      <c r="C2928" s="20">
        <v>0.93</v>
      </c>
      <c r="D2928" s="20">
        <v>0.18747949848141848</v>
      </c>
      <c r="E2928" s="20">
        <v>7.0000000000000007E-2</v>
      </c>
      <c r="F2928" s="8" t="s">
        <v>434</v>
      </c>
      <c r="G2928" s="24">
        <v>1.5739971295311344</v>
      </c>
      <c r="H2928" s="24">
        <v>1.5831101711371811</v>
      </c>
      <c r="I2928" s="25">
        <v>1.6107966073397419</v>
      </c>
      <c r="X2928" s="15">
        <v>2927</v>
      </c>
      <c r="Y2928" s="39">
        <v>0.47781887547189122</v>
      </c>
      <c r="Z2928" s="39">
        <v>0.49219718040891264</v>
      </c>
      <c r="AA2928" s="39">
        <v>0.48297220704812827</v>
      </c>
      <c r="AB2928" s="39">
        <v>0.49084165812863034</v>
      </c>
      <c r="AC2928" s="39">
        <v>0.47062144830446334</v>
      </c>
      <c r="AD2928" s="39">
        <v>0.48638241449260067</v>
      </c>
      <c r="AE2928" s="39">
        <v>0.47425206026818484</v>
      </c>
      <c r="AF2928" s="40">
        <v>0.48585480152933713</v>
      </c>
    </row>
    <row r="2929" spans="1:32">
      <c r="A2929" s="15">
        <v>2927</v>
      </c>
      <c r="B2929" s="16">
        <v>1</v>
      </c>
      <c r="C2929" s="20">
        <v>0.28000000000000003</v>
      </c>
      <c r="D2929" s="20">
        <v>0.7384973606829115</v>
      </c>
      <c r="E2929" s="20">
        <v>0.08</v>
      </c>
      <c r="F2929" s="8" t="s">
        <v>436</v>
      </c>
      <c r="G2929" s="24">
        <v>0.80069056095143465</v>
      </c>
      <c r="H2929" s="24">
        <v>0.80532635491739502</v>
      </c>
      <c r="I2929" s="25">
        <v>0.81941041372401946</v>
      </c>
      <c r="X2929" s="15">
        <v>2928</v>
      </c>
      <c r="Y2929" s="39">
        <v>0.47610645034703947</v>
      </c>
      <c r="Z2929" s="39">
        <v>0.48193764454232663</v>
      </c>
      <c r="AA2929" s="39">
        <v>0.47666702444518727</v>
      </c>
      <c r="AB2929" s="39">
        <v>0.46706342568780279</v>
      </c>
      <c r="AC2929" s="39">
        <v>0.46827664725929635</v>
      </c>
      <c r="AD2929" s="39">
        <v>0.47580187541325775</v>
      </c>
      <c r="AE2929" s="39">
        <v>0.468588118505815</v>
      </c>
      <c r="AF2929" s="40">
        <v>0.46024820137172801</v>
      </c>
    </row>
    <row r="2930" spans="1:32">
      <c r="A2930" s="15">
        <v>2928</v>
      </c>
      <c r="B2930" s="16">
        <v>1</v>
      </c>
      <c r="C2930" s="20">
        <v>0.26</v>
      </c>
      <c r="D2930" s="20">
        <v>0.75913904018099121</v>
      </c>
      <c r="E2930" s="20">
        <v>0.06</v>
      </c>
      <c r="F2930" s="8" t="s">
        <v>436</v>
      </c>
      <c r="G2930" s="24">
        <v>0.62342524280524803</v>
      </c>
      <c r="H2930" s="24">
        <v>0.62703471582737258</v>
      </c>
      <c r="I2930" s="25">
        <v>0.63800069720570896</v>
      </c>
      <c r="X2930" s="15">
        <v>2929</v>
      </c>
      <c r="Y2930" s="39">
        <v>0.50137316382247665</v>
      </c>
      <c r="Z2930" s="39">
        <v>0.49658025891377128</v>
      </c>
      <c r="AA2930" s="39">
        <v>0.4868193645672988</v>
      </c>
      <c r="AB2930" s="39">
        <v>0.50068940027213804</v>
      </c>
      <c r="AC2930" s="39">
        <v>0.49435802904252618</v>
      </c>
      <c r="AD2930" s="39">
        <v>0.49004262717572139</v>
      </c>
      <c r="AE2930" s="39">
        <v>0.4772704211139307</v>
      </c>
      <c r="AF2930" s="40">
        <v>0.49600466209058874</v>
      </c>
    </row>
    <row r="2931" spans="1:32">
      <c r="A2931" s="15">
        <v>2929</v>
      </c>
      <c r="B2931" s="16">
        <v>1</v>
      </c>
      <c r="C2931" s="20">
        <v>0.4</v>
      </c>
      <c r="D2931" s="20">
        <v>0.64490553110565185</v>
      </c>
      <c r="E2931" s="20">
        <v>0.11</v>
      </c>
      <c r="F2931" s="8" t="s">
        <v>436</v>
      </c>
      <c r="G2931" s="24">
        <v>0.74897882016170647</v>
      </c>
      <c r="H2931" s="24">
        <v>0.75331521634828325</v>
      </c>
      <c r="I2931" s="25">
        <v>0.76648967132816825</v>
      </c>
      <c r="X2931" s="15">
        <v>2930</v>
      </c>
      <c r="Y2931" s="39">
        <v>0.50539166399790625</v>
      </c>
      <c r="Z2931" s="39">
        <v>0.48582108438552762</v>
      </c>
      <c r="AA2931" s="39">
        <v>0.49210288966289412</v>
      </c>
      <c r="AB2931" s="39">
        <v>0.48124603143655553</v>
      </c>
      <c r="AC2931" s="39">
        <v>0.4968611382180968</v>
      </c>
      <c r="AD2931" s="39">
        <v>0.47981909753418517</v>
      </c>
      <c r="AE2931" s="39">
        <v>0.48356445623326577</v>
      </c>
      <c r="AF2931" s="40">
        <v>0.47840848813501236</v>
      </c>
    </row>
    <row r="2932" spans="1:32">
      <c r="A2932" s="15">
        <v>2930</v>
      </c>
      <c r="B2932" s="16">
        <v>1</v>
      </c>
      <c r="C2932" s="20">
        <v>0.34</v>
      </c>
      <c r="D2932" s="20">
        <v>0.6014577949920672</v>
      </c>
      <c r="E2932" s="20">
        <v>0.09</v>
      </c>
      <c r="F2932" s="8" t="s">
        <v>436</v>
      </c>
      <c r="G2932" s="24">
        <v>0.4765447361343067</v>
      </c>
      <c r="H2932" s="24">
        <v>0.4793038085150983</v>
      </c>
      <c r="I2932" s="25">
        <v>0.48768617795345853</v>
      </c>
      <c r="X2932" s="15">
        <v>2931</v>
      </c>
      <c r="Y2932" s="39">
        <v>0.48087329393096873</v>
      </c>
      <c r="Z2932" s="39">
        <v>0.48130961195920813</v>
      </c>
      <c r="AA2932" s="39">
        <v>0.48321681253480386</v>
      </c>
      <c r="AB2932" s="39">
        <v>0.48647384218257056</v>
      </c>
      <c r="AC2932" s="39">
        <v>0.47655915039632535</v>
      </c>
      <c r="AD2932" s="39">
        <v>0.47491720627003325</v>
      </c>
      <c r="AE2932" s="39">
        <v>0.47762649064227802</v>
      </c>
      <c r="AF2932" s="40">
        <v>0.48506586010469688</v>
      </c>
    </row>
    <row r="2933" spans="1:32">
      <c r="A2933" s="15">
        <v>2931</v>
      </c>
      <c r="B2933" s="16">
        <v>0</v>
      </c>
      <c r="C2933" s="20">
        <v>0.15</v>
      </c>
      <c r="D2933" s="20">
        <v>0.89917909350183356</v>
      </c>
      <c r="E2933" s="20">
        <v>0.09</v>
      </c>
      <c r="F2933" s="8" t="s">
        <v>436</v>
      </c>
      <c r="G2933" s="24">
        <v>0.92270924648911501</v>
      </c>
      <c r="H2933" s="24">
        <v>0.92805149749820315</v>
      </c>
      <c r="I2933" s="25">
        <v>0.9442818515484952</v>
      </c>
      <c r="X2933" s="15">
        <v>2932</v>
      </c>
      <c r="Y2933" s="39">
        <v>0.50291223001748364</v>
      </c>
      <c r="Z2933" s="39">
        <v>0.49268636922590042</v>
      </c>
      <c r="AA2933" s="39">
        <v>0.48574669416692662</v>
      </c>
      <c r="AB2933" s="39">
        <v>0.47713563217837818</v>
      </c>
      <c r="AC2933" s="39">
        <v>0.49452756652287971</v>
      </c>
      <c r="AD2933" s="39">
        <v>0.48558947558210386</v>
      </c>
      <c r="AE2933" s="39">
        <v>0.47815108309780474</v>
      </c>
      <c r="AF2933" s="40">
        <v>0.47517020910033436</v>
      </c>
    </row>
    <row r="2934" spans="1:32">
      <c r="A2934" s="15">
        <v>2932</v>
      </c>
      <c r="B2934" s="16">
        <v>1</v>
      </c>
      <c r="C2934" s="20">
        <v>0.96</v>
      </c>
      <c r="D2934" s="20">
        <v>0.13880369068795359</v>
      </c>
      <c r="E2934" s="20">
        <v>0.04</v>
      </c>
      <c r="F2934" s="8" t="s">
        <v>434</v>
      </c>
      <c r="G2934" s="24">
        <v>0.52581882868964958</v>
      </c>
      <c r="H2934" s="24">
        <v>0.52886318548877476</v>
      </c>
      <c r="I2934" s="25">
        <v>0.5381122807898302</v>
      </c>
      <c r="X2934" s="15">
        <v>2933</v>
      </c>
      <c r="Y2934" s="39">
        <v>0.47670841630617666</v>
      </c>
      <c r="Z2934" s="39">
        <v>0.49892800463804304</v>
      </c>
      <c r="AA2934" s="39">
        <v>0.48875687015089547</v>
      </c>
      <c r="AB2934" s="39">
        <v>0.48650725372193337</v>
      </c>
      <c r="AC2934" s="39">
        <v>0.46867170551562137</v>
      </c>
      <c r="AD2934" s="39">
        <v>0.49182727579465796</v>
      </c>
      <c r="AE2934" s="39">
        <v>0.48118017175559469</v>
      </c>
      <c r="AF2934" s="40">
        <v>0.48462337462439437</v>
      </c>
    </row>
    <row r="2935" spans="1:32">
      <c r="A2935" s="15">
        <v>2933</v>
      </c>
      <c r="B2935" s="16">
        <v>1</v>
      </c>
      <c r="C2935" s="20">
        <v>0.9</v>
      </c>
      <c r="D2935" s="20">
        <v>0.23159538658365303</v>
      </c>
      <c r="E2935" s="20">
        <v>0.1</v>
      </c>
      <c r="F2935" s="8" t="s">
        <v>434</v>
      </c>
      <c r="G2935" s="24">
        <v>0.72714158540826723</v>
      </c>
      <c r="H2935" s="24">
        <v>0.7313515495797307</v>
      </c>
      <c r="I2935" s="25">
        <v>0.74414189000470454</v>
      </c>
      <c r="X2935" s="15">
        <v>2934</v>
      </c>
      <c r="Y2935" s="39">
        <v>0.48778460299476484</v>
      </c>
      <c r="Z2935" s="39">
        <v>0.49556425944430871</v>
      </c>
      <c r="AA2935" s="39">
        <v>0.48776426221852404</v>
      </c>
      <c r="AB2935" s="39">
        <v>0.48792533434965862</v>
      </c>
      <c r="AC2935" s="39">
        <v>0.48278086228775513</v>
      </c>
      <c r="AD2935" s="39">
        <v>0.48688790990180153</v>
      </c>
      <c r="AE2935" s="39">
        <v>0.47911154346294377</v>
      </c>
      <c r="AF2935" s="40">
        <v>0.48751658382590424</v>
      </c>
    </row>
    <row r="2936" spans="1:32">
      <c r="A2936" s="15">
        <v>2934</v>
      </c>
      <c r="B2936" s="16">
        <v>1</v>
      </c>
      <c r="C2936" s="20">
        <v>0.32</v>
      </c>
      <c r="D2936" s="20">
        <v>0.6368320040987383</v>
      </c>
      <c r="E2936" s="20">
        <v>0.22</v>
      </c>
      <c r="F2936" s="8" t="s">
        <v>436</v>
      </c>
      <c r="G2936" s="24">
        <v>0.76532651795955542</v>
      </c>
      <c r="H2936" s="24">
        <v>0.76975756314351584</v>
      </c>
      <c r="I2936" s="25">
        <v>0.78321957232769202</v>
      </c>
      <c r="X2936" s="15">
        <v>2935</v>
      </c>
      <c r="Y2936" s="39">
        <v>0.47999364367276254</v>
      </c>
      <c r="Z2936" s="39">
        <v>0.5048450096187701</v>
      </c>
      <c r="AA2936" s="39">
        <v>0.49537827641877635</v>
      </c>
      <c r="AB2936" s="39">
        <v>0.47390122315939015</v>
      </c>
      <c r="AC2936" s="39">
        <v>0.47245888789221985</v>
      </c>
      <c r="AD2936" s="39">
        <v>0.49717407248726747</v>
      </c>
      <c r="AE2936" s="39">
        <v>0.48676274222642901</v>
      </c>
      <c r="AF2936" s="40">
        <v>0.46835874197904076</v>
      </c>
    </row>
    <row r="2937" spans="1:32">
      <c r="A2937" s="15">
        <v>2935</v>
      </c>
      <c r="B2937" s="16">
        <v>1</v>
      </c>
      <c r="C2937" s="20">
        <v>0.02</v>
      </c>
      <c r="D2937" s="20">
        <v>0.99835916395484214</v>
      </c>
      <c r="E2937" s="20">
        <v>1</v>
      </c>
      <c r="F2937" s="8" t="s">
        <v>436</v>
      </c>
      <c r="G2937" s="24">
        <v>1.1375808537387686</v>
      </c>
      <c r="H2937" s="24">
        <v>1.1441671565063294</v>
      </c>
      <c r="I2937" s="25">
        <v>1.1641770784695766</v>
      </c>
      <c r="X2937" s="15">
        <v>2936</v>
      </c>
      <c r="Y2937" s="39">
        <v>0.48089837260671242</v>
      </c>
      <c r="Z2937" s="39">
        <v>0.46901611182431485</v>
      </c>
      <c r="AA2937" s="39">
        <v>0.47854069181718456</v>
      </c>
      <c r="AB2937" s="39">
        <v>0.48485231948959734</v>
      </c>
      <c r="AC2937" s="39">
        <v>0.47204141612778017</v>
      </c>
      <c r="AD2937" s="39">
        <v>0.46273262087353229</v>
      </c>
      <c r="AE2937" s="39">
        <v>0.47402395400003117</v>
      </c>
      <c r="AF2937" s="40">
        <v>0.47963921933218934</v>
      </c>
    </row>
    <row r="2938" spans="1:32">
      <c r="A2938" s="15">
        <v>2936</v>
      </c>
      <c r="B2938" s="16">
        <v>0</v>
      </c>
      <c r="C2938" s="20">
        <v>0.89</v>
      </c>
      <c r="D2938" s="20">
        <v>0.24559627500636821</v>
      </c>
      <c r="E2938" s="20">
        <v>0.11</v>
      </c>
      <c r="F2938" s="8" t="s">
        <v>434</v>
      </c>
      <c r="G2938" s="24">
        <v>1.3902151772353342</v>
      </c>
      <c r="H2938" s="24">
        <v>1.3982641682492361</v>
      </c>
      <c r="I2938" s="25">
        <v>1.422717900146335</v>
      </c>
      <c r="X2938" s="15">
        <v>2937</v>
      </c>
      <c r="Y2938" s="39">
        <v>0.48748551739431545</v>
      </c>
      <c r="Z2938" s="39">
        <v>0.48674384429796863</v>
      </c>
      <c r="AA2938" s="39">
        <v>0.49052362840066316</v>
      </c>
      <c r="AB2938" s="39">
        <v>0.47979168600533428</v>
      </c>
      <c r="AC2938" s="39">
        <v>0.48195317343329225</v>
      </c>
      <c r="AD2938" s="39">
        <v>0.476739585180807</v>
      </c>
      <c r="AE2938" s="39">
        <v>0.48373081711934601</v>
      </c>
      <c r="AF2938" s="40">
        <v>0.47533642778891488</v>
      </c>
    </row>
    <row r="2939" spans="1:32">
      <c r="A2939" s="15">
        <v>2937</v>
      </c>
      <c r="B2939" s="16">
        <v>0</v>
      </c>
      <c r="C2939" s="20">
        <v>0.02</v>
      </c>
      <c r="D2939" s="20">
        <v>0.99756714174924133</v>
      </c>
      <c r="E2939" s="20">
        <v>1</v>
      </c>
      <c r="F2939" s="8" t="s">
        <v>436</v>
      </c>
      <c r="G2939" s="24">
        <v>1.0228825035154252</v>
      </c>
      <c r="H2939" s="24">
        <v>1.0288047321127609</v>
      </c>
      <c r="I2939" s="25">
        <v>1.0467971227245094</v>
      </c>
      <c r="X2939" s="15">
        <v>2938</v>
      </c>
      <c r="Y2939" s="39">
        <v>0.48568239445189321</v>
      </c>
      <c r="Z2939" s="39">
        <v>0.49436126613994241</v>
      </c>
      <c r="AA2939" s="39">
        <v>0.49326747993866765</v>
      </c>
      <c r="AB2939" s="39">
        <v>0.48671837582805527</v>
      </c>
      <c r="AC2939" s="39">
        <v>0.47778515788188342</v>
      </c>
      <c r="AD2939" s="39">
        <v>0.49002603910473375</v>
      </c>
      <c r="AE2939" s="39">
        <v>0.48590100177505224</v>
      </c>
      <c r="AF2939" s="40">
        <v>0.48107712297476951</v>
      </c>
    </row>
    <row r="2940" spans="1:32">
      <c r="A2940" s="15">
        <v>2938</v>
      </c>
      <c r="B2940" s="16">
        <v>1</v>
      </c>
      <c r="C2940" s="20">
        <v>0.1</v>
      </c>
      <c r="D2940" s="20">
        <v>0.91043692861177472</v>
      </c>
      <c r="E2940" s="20">
        <v>0.38</v>
      </c>
      <c r="F2940" s="8" t="s">
        <v>436</v>
      </c>
      <c r="G2940" s="24">
        <v>0.81932066831280426</v>
      </c>
      <c r="H2940" s="24">
        <v>0.82406432584491984</v>
      </c>
      <c r="I2940" s="25">
        <v>0.83847608618875158</v>
      </c>
      <c r="X2940" s="15">
        <v>2939</v>
      </c>
      <c r="Y2940" s="39">
        <v>0.48073655809310867</v>
      </c>
      <c r="Z2940" s="39">
        <v>0.49450001157900791</v>
      </c>
      <c r="AA2940" s="39">
        <v>0.47921782087684167</v>
      </c>
      <c r="AB2940" s="39">
        <v>0.47657872733218848</v>
      </c>
      <c r="AC2940" s="39">
        <v>0.47302603612068611</v>
      </c>
      <c r="AD2940" s="39">
        <v>0.48569685149339686</v>
      </c>
      <c r="AE2940" s="39">
        <v>0.47187235736950206</v>
      </c>
      <c r="AF2940" s="40">
        <v>0.47116002863851836</v>
      </c>
    </row>
    <row r="2941" spans="1:32">
      <c r="A2941" s="15">
        <v>2939</v>
      </c>
      <c r="B2941" s="16">
        <v>0</v>
      </c>
      <c r="C2941" s="20">
        <v>0.95</v>
      </c>
      <c r="D2941" s="20">
        <v>0.15570568692893463</v>
      </c>
      <c r="E2941" s="20">
        <v>0.05</v>
      </c>
      <c r="F2941" s="8" t="s">
        <v>434</v>
      </c>
      <c r="G2941" s="24">
        <v>0.44208304865450926</v>
      </c>
      <c r="H2941" s="24">
        <v>0.44464259666138312</v>
      </c>
      <c r="I2941" s="25">
        <v>0.45241878881139841</v>
      </c>
      <c r="X2941" s="15">
        <v>2940</v>
      </c>
      <c r="Y2941" s="39">
        <v>0.48044741496857157</v>
      </c>
      <c r="Z2941" s="39">
        <v>0.48485535478738023</v>
      </c>
      <c r="AA2941" s="39">
        <v>0.4956339221911481</v>
      </c>
      <c r="AB2941" s="39">
        <v>0.48574313829780064</v>
      </c>
      <c r="AC2941" s="39">
        <v>0.47302570522030618</v>
      </c>
      <c r="AD2941" s="39">
        <v>0.47634016361265663</v>
      </c>
      <c r="AE2941" s="39">
        <v>0.48804593731563839</v>
      </c>
      <c r="AF2941" s="40">
        <v>0.48039903782809262</v>
      </c>
    </row>
    <row r="2942" spans="1:32">
      <c r="A2942" s="15">
        <v>2940</v>
      </c>
      <c r="B2942" s="16">
        <v>0</v>
      </c>
      <c r="C2942" s="20">
        <v>0.02</v>
      </c>
      <c r="D2942" s="20">
        <v>0.99835916395484214</v>
      </c>
      <c r="E2942" s="20">
        <v>1</v>
      </c>
      <c r="F2942" s="8" t="s">
        <v>436</v>
      </c>
      <c r="G2942" s="24">
        <v>0.99157859271638349</v>
      </c>
      <c r="H2942" s="24">
        <v>0.99731957966073803</v>
      </c>
      <c r="I2942" s="25">
        <v>1.0147613379282674</v>
      </c>
      <c r="X2942" s="15">
        <v>2941</v>
      </c>
      <c r="Y2942" s="39">
        <v>0.49598610491605921</v>
      </c>
      <c r="Z2942" s="39">
        <v>0.49455608980279214</v>
      </c>
      <c r="AA2942" s="39">
        <v>0.47946795273959697</v>
      </c>
      <c r="AB2942" s="39">
        <v>0.48387725905131168</v>
      </c>
      <c r="AC2942" s="39">
        <v>0.49032816524112738</v>
      </c>
      <c r="AD2942" s="39">
        <v>0.48696989913155619</v>
      </c>
      <c r="AE2942" s="39">
        <v>0.47483602661260116</v>
      </c>
      <c r="AF2942" s="40">
        <v>0.47987301495363061</v>
      </c>
    </row>
    <row r="2943" spans="1:32">
      <c r="A2943" s="15">
        <v>2941</v>
      </c>
      <c r="B2943" s="16">
        <v>1</v>
      </c>
      <c r="C2943" s="20">
        <v>0.16</v>
      </c>
      <c r="D2943" s="20">
        <v>0.87611350685541656</v>
      </c>
      <c r="E2943" s="20">
        <v>0.5</v>
      </c>
      <c r="F2943" s="8" t="s">
        <v>436</v>
      </c>
      <c r="G2943" s="24">
        <v>1.3644243835485996</v>
      </c>
      <c r="H2943" s="24">
        <v>1.3723240524503384</v>
      </c>
      <c r="I2943" s="25">
        <v>1.3963241271261984</v>
      </c>
      <c r="X2943" s="15">
        <v>2942</v>
      </c>
      <c r="Y2943" s="39">
        <v>0.47089725114106445</v>
      </c>
      <c r="Z2943" s="39">
        <v>0.48638120147227676</v>
      </c>
      <c r="AA2943" s="39">
        <v>0.48838064145808585</v>
      </c>
      <c r="AB2943" s="39">
        <v>0.49032598301709435</v>
      </c>
      <c r="AC2943" s="39">
        <v>0.46209244626757334</v>
      </c>
      <c r="AD2943" s="39">
        <v>0.47951457558583155</v>
      </c>
      <c r="AE2943" s="39">
        <v>0.48306451758671071</v>
      </c>
      <c r="AF2943" s="40">
        <v>0.48451819647533673</v>
      </c>
    </row>
    <row r="2944" spans="1:32">
      <c r="A2944" s="15">
        <v>2942</v>
      </c>
      <c r="B2944" s="16">
        <v>0</v>
      </c>
      <c r="C2944" s="20">
        <v>0.88</v>
      </c>
      <c r="D2944" s="20">
        <v>0.25930874124763043</v>
      </c>
      <c r="E2944" s="20">
        <v>0.12</v>
      </c>
      <c r="F2944" s="8" t="s">
        <v>434</v>
      </c>
      <c r="G2944" s="24">
        <v>0.59052507372775664</v>
      </c>
      <c r="H2944" s="24">
        <v>0.59394406316892412</v>
      </c>
      <c r="I2944" s="25">
        <v>0.60433133419568019</v>
      </c>
      <c r="X2944" s="15">
        <v>2943</v>
      </c>
      <c r="Y2944" s="39">
        <v>0.47977702646594572</v>
      </c>
      <c r="Z2944" s="39">
        <v>0.48925263398699231</v>
      </c>
      <c r="AA2944" s="39">
        <v>0.49736337239164374</v>
      </c>
      <c r="AB2944" s="39">
        <v>0.47180396995861473</v>
      </c>
      <c r="AC2944" s="39">
        <v>0.47525693862977553</v>
      </c>
      <c r="AD2944" s="39">
        <v>0.48289403414325177</v>
      </c>
      <c r="AE2944" s="39">
        <v>0.48675636993655585</v>
      </c>
      <c r="AF2944" s="40">
        <v>0.46747627076663339</v>
      </c>
    </row>
    <row r="2945" spans="1:32">
      <c r="A2945" s="15">
        <v>2943</v>
      </c>
      <c r="B2945" s="16">
        <v>0</v>
      </c>
      <c r="C2945" s="20">
        <v>0.65</v>
      </c>
      <c r="D2945" s="20">
        <v>0.51320056669054925</v>
      </c>
      <c r="E2945" s="20">
        <v>0.12</v>
      </c>
      <c r="F2945" s="8" t="s">
        <v>438</v>
      </c>
      <c r="G2945" s="24">
        <v>1.2602959693626996</v>
      </c>
      <c r="H2945" s="24">
        <v>1.2675927613258189</v>
      </c>
      <c r="I2945" s="25">
        <v>1.2897612286612699</v>
      </c>
      <c r="X2945" s="15">
        <v>2944</v>
      </c>
      <c r="Y2945" s="39">
        <v>0.49296374413590049</v>
      </c>
      <c r="Z2945" s="39">
        <v>0.49244885364228874</v>
      </c>
      <c r="AA2945" s="39">
        <v>0.49336223432869081</v>
      </c>
      <c r="AB2945" s="39">
        <v>0.49206464136640737</v>
      </c>
      <c r="AC2945" s="39">
        <v>0.48457021906779596</v>
      </c>
      <c r="AD2945" s="39">
        <v>0.48636574813686012</v>
      </c>
      <c r="AE2945" s="39">
        <v>0.48955539678502258</v>
      </c>
      <c r="AF2945" s="40">
        <v>0.4872755564961096</v>
      </c>
    </row>
    <row r="2946" spans="1:32">
      <c r="A2946" s="15">
        <v>2944</v>
      </c>
      <c r="B2946" s="16">
        <v>0</v>
      </c>
      <c r="C2946" s="20">
        <v>0.91</v>
      </c>
      <c r="D2946" s="20">
        <v>0.21727233298780477</v>
      </c>
      <c r="E2946" s="20">
        <v>0.09</v>
      </c>
      <c r="F2946" s="8" t="s">
        <v>434</v>
      </c>
      <c r="G2946" s="24">
        <v>0.44403498326419727</v>
      </c>
      <c r="H2946" s="24">
        <v>0.44660583247421604</v>
      </c>
      <c r="I2946" s="25">
        <v>0.45441635893909682</v>
      </c>
      <c r="X2946" s="15">
        <v>2945</v>
      </c>
      <c r="Y2946" s="39">
        <v>0.49883707616000261</v>
      </c>
      <c r="Z2946" s="39">
        <v>0.4702613246187719</v>
      </c>
      <c r="AA2946" s="39">
        <v>0.49869695314102741</v>
      </c>
      <c r="AB2946" s="39">
        <v>0.49094321560064302</v>
      </c>
      <c r="AC2946" s="39">
        <v>0.49387931351323433</v>
      </c>
      <c r="AD2946" s="39">
        <v>0.46380488576762696</v>
      </c>
      <c r="AE2946" s="39">
        <v>0.490934978651273</v>
      </c>
      <c r="AF2946" s="40">
        <v>0.48635128345172751</v>
      </c>
    </row>
    <row r="2947" spans="1:32">
      <c r="A2947" s="15">
        <v>2945</v>
      </c>
      <c r="B2947" s="16">
        <v>1</v>
      </c>
      <c r="C2947" s="20">
        <v>0.02</v>
      </c>
      <c r="D2947" s="20">
        <v>0.99679477127711513</v>
      </c>
      <c r="E2947" s="20">
        <v>1</v>
      </c>
      <c r="F2947" s="8" t="s">
        <v>436</v>
      </c>
      <c r="G2947" s="24">
        <v>1.130956210153667</v>
      </c>
      <c r="H2947" s="24">
        <v>1.1375041579258574</v>
      </c>
      <c r="I2947" s="25">
        <v>1.1573975531378529</v>
      </c>
      <c r="X2947" s="15">
        <v>2946</v>
      </c>
      <c r="Y2947" s="39">
        <v>0.49060862235560565</v>
      </c>
      <c r="Z2947" s="39">
        <v>0.49700656215076572</v>
      </c>
      <c r="AA2947" s="39">
        <v>0.49484579507088422</v>
      </c>
      <c r="AB2947" s="39">
        <v>0.48858089504404917</v>
      </c>
      <c r="AC2947" s="39">
        <v>0.48612690641488798</v>
      </c>
      <c r="AD2947" s="39">
        <v>0.49132753117070888</v>
      </c>
      <c r="AE2947" s="39">
        <v>0.48867608155820685</v>
      </c>
      <c r="AF2947" s="40">
        <v>0.4842022163033034</v>
      </c>
    </row>
    <row r="2948" spans="1:32">
      <c r="A2948" s="15">
        <v>2946</v>
      </c>
      <c r="B2948" s="16">
        <v>0</v>
      </c>
      <c r="C2948" s="20">
        <v>0.9</v>
      </c>
      <c r="D2948" s="20">
        <v>0.231595386583653</v>
      </c>
      <c r="E2948" s="20">
        <v>0.1</v>
      </c>
      <c r="F2948" s="8" t="s">
        <v>434</v>
      </c>
      <c r="G2948" s="24">
        <v>0.72441218412950259</v>
      </c>
      <c r="H2948" s="24">
        <v>0.72860634576426109</v>
      </c>
      <c r="I2948" s="25">
        <v>0.74134867632126378</v>
      </c>
      <c r="X2948" s="15">
        <v>2947</v>
      </c>
      <c r="Y2948" s="39">
        <v>0.48020391201287876</v>
      </c>
      <c r="Z2948" s="39">
        <v>0.47642902328849135</v>
      </c>
      <c r="AA2948" s="39">
        <v>0.50072452286105396</v>
      </c>
      <c r="AB2948" s="39">
        <v>0.49601744993708152</v>
      </c>
      <c r="AC2948" s="39">
        <v>0.47587893520257502</v>
      </c>
      <c r="AD2948" s="39">
        <v>0.46680571514394736</v>
      </c>
      <c r="AE2948" s="39">
        <v>0.49440402851186699</v>
      </c>
      <c r="AF2948" s="40">
        <v>0.49045016553461246</v>
      </c>
    </row>
    <row r="2949" spans="1:32">
      <c r="A2949" s="15">
        <v>2947</v>
      </c>
      <c r="B2949" s="16">
        <v>1</v>
      </c>
      <c r="C2949" s="20">
        <v>0.18</v>
      </c>
      <c r="D2949" s="20">
        <v>0.81896099932101163</v>
      </c>
      <c r="E2949" s="20">
        <v>0.13</v>
      </c>
      <c r="F2949" s="8" t="s">
        <v>436</v>
      </c>
      <c r="G2949" s="24">
        <v>0.78008267722872759</v>
      </c>
      <c r="H2949" s="24">
        <v>0.7845991568082421</v>
      </c>
      <c r="I2949" s="25">
        <v>0.79832072520922737</v>
      </c>
      <c r="X2949" s="15">
        <v>2948</v>
      </c>
      <c r="Y2949" s="39">
        <v>0.48405972169282369</v>
      </c>
      <c r="Z2949" s="39">
        <v>0.47005509902189602</v>
      </c>
      <c r="AA2949" s="39">
        <v>0.47756497988412266</v>
      </c>
      <c r="AB2949" s="39">
        <v>0.48198201870669949</v>
      </c>
      <c r="AC2949" s="39">
        <v>0.47785722581893553</v>
      </c>
      <c r="AD2949" s="39">
        <v>0.46130227348240394</v>
      </c>
      <c r="AE2949" s="39">
        <v>0.47328515794780862</v>
      </c>
      <c r="AF2949" s="40">
        <v>0.47681218378669604</v>
      </c>
    </row>
    <row r="2950" spans="1:32">
      <c r="A2950" s="15">
        <v>2948</v>
      </c>
      <c r="B2950" s="16">
        <v>0</v>
      </c>
      <c r="C2950" s="20">
        <v>0.09</v>
      </c>
      <c r="D2950" s="20">
        <v>0.91855291345336398</v>
      </c>
      <c r="E2950" s="20">
        <v>0.5</v>
      </c>
      <c r="F2950" s="8" t="s">
        <v>436</v>
      </c>
      <c r="G2950" s="24">
        <v>0.86409934387827247</v>
      </c>
      <c r="H2950" s="24">
        <v>0.86910225851183742</v>
      </c>
      <c r="I2950" s="25">
        <v>0.88430167082848299</v>
      </c>
      <c r="X2950" s="15">
        <v>2949</v>
      </c>
      <c r="Y2950" s="39">
        <v>0.49193848459839518</v>
      </c>
      <c r="Z2950" s="39">
        <v>0.49328779979795639</v>
      </c>
      <c r="AA2950" s="39">
        <v>0.48585895432245191</v>
      </c>
      <c r="AB2950" s="39">
        <v>0.49099899085590221</v>
      </c>
      <c r="AC2950" s="39">
        <v>0.48222727468796139</v>
      </c>
      <c r="AD2950" s="39">
        <v>0.4846965036939847</v>
      </c>
      <c r="AE2950" s="39">
        <v>0.47960000356522126</v>
      </c>
      <c r="AF2950" s="40">
        <v>0.48685242468707346</v>
      </c>
    </row>
    <row r="2951" spans="1:32">
      <c r="A2951" s="15">
        <v>2949</v>
      </c>
      <c r="B2951" s="16">
        <v>1</v>
      </c>
      <c r="C2951" s="20">
        <v>0.14000000000000001</v>
      </c>
      <c r="D2951" s="20">
        <v>0.87973272905639965</v>
      </c>
      <c r="E2951" s="20">
        <v>0.11</v>
      </c>
      <c r="F2951" s="8" t="s">
        <v>436</v>
      </c>
      <c r="G2951" s="24">
        <v>0.9072212084715302</v>
      </c>
      <c r="H2951" s="24">
        <v>0.91247378769392806</v>
      </c>
      <c r="I2951" s="25">
        <v>0.9284317088608105</v>
      </c>
      <c r="X2951" s="15">
        <v>2950</v>
      </c>
      <c r="Y2951" s="39">
        <v>0.50126094281325329</v>
      </c>
      <c r="Z2951" s="39">
        <v>0.47071585197935373</v>
      </c>
      <c r="AA2951" s="39">
        <v>0.47737072081442761</v>
      </c>
      <c r="AB2951" s="39">
        <v>0.49447775772999281</v>
      </c>
      <c r="AC2951" s="39">
        <v>0.49266718077045857</v>
      </c>
      <c r="AD2951" s="39">
        <v>0.46079666590771012</v>
      </c>
      <c r="AE2951" s="39">
        <v>0.47348525137395153</v>
      </c>
      <c r="AF2951" s="40">
        <v>0.49137616153724306</v>
      </c>
    </row>
    <row r="2952" spans="1:32">
      <c r="A2952" s="15">
        <v>2950</v>
      </c>
      <c r="B2952" s="16">
        <v>0</v>
      </c>
      <c r="C2952" s="20">
        <v>7.0000000000000007E-2</v>
      </c>
      <c r="D2952" s="20">
        <v>0.95730604126107444</v>
      </c>
      <c r="E2952" s="20">
        <v>0.51</v>
      </c>
      <c r="F2952" s="8" t="s">
        <v>436</v>
      </c>
      <c r="G2952" s="24">
        <v>0.82764331468545593</v>
      </c>
      <c r="H2952" s="24">
        <v>0.83243515821565461</v>
      </c>
      <c r="I2952" s="25">
        <v>0.84699331299281144</v>
      </c>
      <c r="X2952" s="15">
        <v>2951</v>
      </c>
      <c r="Y2952" s="39">
        <v>0.4855115906475565</v>
      </c>
      <c r="Z2952" s="39">
        <v>0.48013099815002708</v>
      </c>
      <c r="AA2952" s="39">
        <v>0.47998133896115036</v>
      </c>
      <c r="AB2952" s="39">
        <v>0.48904862148849182</v>
      </c>
      <c r="AC2952" s="39">
        <v>0.47820906367437555</v>
      </c>
      <c r="AD2952" s="39">
        <v>0.47133063985762641</v>
      </c>
      <c r="AE2952" s="39">
        <v>0.47421013274396306</v>
      </c>
      <c r="AF2952" s="40">
        <v>0.48394305134283161</v>
      </c>
    </row>
    <row r="2953" spans="1:32">
      <c r="A2953" s="15">
        <v>2951</v>
      </c>
      <c r="B2953" s="16">
        <v>0</v>
      </c>
      <c r="C2953" s="20">
        <v>0.47</v>
      </c>
      <c r="D2953" s="20">
        <v>0.57770465294105844</v>
      </c>
      <c r="E2953" s="20">
        <v>0.09</v>
      </c>
      <c r="F2953" s="8" t="s">
        <v>436</v>
      </c>
      <c r="G2953" s="24">
        <v>1.0469700436049876</v>
      </c>
      <c r="H2953" s="24">
        <v>1.0530317329109262</v>
      </c>
      <c r="I2953" s="25">
        <v>1.0714478207006772</v>
      </c>
      <c r="X2953" s="15">
        <v>2952</v>
      </c>
      <c r="Y2953" s="39">
        <v>0.49627588814682089</v>
      </c>
      <c r="Z2953" s="39">
        <v>0.48860633696858119</v>
      </c>
      <c r="AA2953" s="39">
        <v>0.48491999699828153</v>
      </c>
      <c r="AB2953" s="39">
        <v>0.48163346624264503</v>
      </c>
      <c r="AC2953" s="39">
        <v>0.486737197882814</v>
      </c>
      <c r="AD2953" s="39">
        <v>0.4801971866319959</v>
      </c>
      <c r="AE2953" s="39">
        <v>0.47784443930947729</v>
      </c>
      <c r="AF2953" s="40">
        <v>0.47622101234159325</v>
      </c>
    </row>
    <row r="2954" spans="1:32">
      <c r="A2954" s="15">
        <v>2952</v>
      </c>
      <c r="B2954" s="16">
        <v>1</v>
      </c>
      <c r="C2954" s="20">
        <v>0.36</v>
      </c>
      <c r="D2954" s="20">
        <v>0.72471206444682712</v>
      </c>
      <c r="E2954" s="20">
        <v>7.0000000000000007E-2</v>
      </c>
      <c r="F2954" s="8" t="s">
        <v>436</v>
      </c>
      <c r="G2954" s="24">
        <v>0.92336566123034736</v>
      </c>
      <c r="H2954" s="24">
        <v>0.92871171271323261</v>
      </c>
      <c r="I2954" s="25">
        <v>0.94495361302654801</v>
      </c>
      <c r="X2954" s="15">
        <v>2953</v>
      </c>
      <c r="Y2954" s="39">
        <v>0.48137870800104687</v>
      </c>
      <c r="Z2954" s="39">
        <v>0.50248448065690277</v>
      </c>
      <c r="AA2954" s="39">
        <v>0.48714402431832188</v>
      </c>
      <c r="AB2954" s="39">
        <v>0.48259336350184112</v>
      </c>
      <c r="AC2954" s="39">
        <v>0.47399925656986669</v>
      </c>
      <c r="AD2954" s="39">
        <v>0.49490217993355451</v>
      </c>
      <c r="AE2954" s="39">
        <v>0.48155645365879102</v>
      </c>
      <c r="AF2954" s="40">
        <v>0.47878041278124706</v>
      </c>
    </row>
    <row r="2955" spans="1:32">
      <c r="A2955" s="15">
        <v>2953</v>
      </c>
      <c r="B2955" s="16">
        <v>0</v>
      </c>
      <c r="C2955" s="20">
        <v>0.91</v>
      </c>
      <c r="D2955" s="20">
        <v>0.21727233298780477</v>
      </c>
      <c r="E2955" s="20">
        <v>0.09</v>
      </c>
      <c r="F2955" s="8" t="s">
        <v>434</v>
      </c>
      <c r="G2955" s="24">
        <v>0.45533620936539959</v>
      </c>
      <c r="H2955" s="24">
        <v>0.45797248978982619</v>
      </c>
      <c r="I2955" s="25">
        <v>0.46598180357749885</v>
      </c>
      <c r="X2955" s="15">
        <v>2954</v>
      </c>
      <c r="Y2955" s="39">
        <v>0.49164167832002653</v>
      </c>
      <c r="Z2955" s="39">
        <v>0.47409537188575734</v>
      </c>
      <c r="AA2955" s="39">
        <v>0.4861556558652228</v>
      </c>
      <c r="AB2955" s="39">
        <v>0.48374512306354345</v>
      </c>
      <c r="AC2955" s="39">
        <v>0.48541176760689431</v>
      </c>
      <c r="AD2955" s="39">
        <v>0.46601229526929688</v>
      </c>
      <c r="AE2955" s="39">
        <v>0.47847568010880842</v>
      </c>
      <c r="AF2955" s="40">
        <v>0.47972267508893629</v>
      </c>
    </row>
    <row r="2956" spans="1:32">
      <c r="A2956" s="15">
        <v>2954</v>
      </c>
      <c r="B2956" s="16">
        <v>1</v>
      </c>
      <c r="C2956" s="20">
        <v>0.38</v>
      </c>
      <c r="D2956" s="20">
        <v>0.65239958204682491</v>
      </c>
      <c r="E2956" s="20">
        <v>0.04</v>
      </c>
      <c r="F2956" s="8" t="s">
        <v>436</v>
      </c>
      <c r="G2956" s="24">
        <v>0.57012481638463131</v>
      </c>
      <c r="H2956" s="24">
        <v>0.57342569354309259</v>
      </c>
      <c r="I2956" s="25">
        <v>0.58345412628936555</v>
      </c>
      <c r="X2956" s="15">
        <v>2955</v>
      </c>
      <c r="Y2956" s="39">
        <v>0.49015973550218828</v>
      </c>
      <c r="Z2956" s="39">
        <v>0.49628094151704583</v>
      </c>
      <c r="AA2956" s="39">
        <v>0.48755765560699899</v>
      </c>
      <c r="AB2956" s="39">
        <v>0.48150472924014898</v>
      </c>
      <c r="AC2956" s="39">
        <v>0.48263847326523462</v>
      </c>
      <c r="AD2956" s="39">
        <v>0.48625680203105431</v>
      </c>
      <c r="AE2956" s="39">
        <v>0.47828331677360869</v>
      </c>
      <c r="AF2956" s="40">
        <v>0.47698384656144371</v>
      </c>
    </row>
    <row r="2957" spans="1:32">
      <c r="A2957" s="15">
        <v>2955</v>
      </c>
      <c r="B2957" s="16">
        <v>0</v>
      </c>
      <c r="C2957" s="20">
        <v>0.95</v>
      </c>
      <c r="D2957" s="20">
        <v>0.15570568692893463</v>
      </c>
      <c r="E2957" s="20">
        <v>0.05</v>
      </c>
      <c r="F2957" s="8" t="s">
        <v>434</v>
      </c>
      <c r="G2957" s="24">
        <v>0.64548051572484411</v>
      </c>
      <c r="H2957" s="24">
        <v>0.64921768314740813</v>
      </c>
      <c r="I2957" s="25">
        <v>0.66057161434799128</v>
      </c>
      <c r="X2957" s="15">
        <v>2956</v>
      </c>
      <c r="Y2957" s="39">
        <v>0.48125981878219604</v>
      </c>
      <c r="Z2957" s="39">
        <v>0.492755936420468</v>
      </c>
      <c r="AA2957" s="39">
        <v>0.48976741882790342</v>
      </c>
      <c r="AB2957" s="39">
        <v>0.48689993957315636</v>
      </c>
      <c r="AC2957" s="39">
        <v>0.47384880087810016</v>
      </c>
      <c r="AD2957" s="39">
        <v>0.48565206549676088</v>
      </c>
      <c r="AE2957" s="39">
        <v>0.48214268896459422</v>
      </c>
      <c r="AF2957" s="40">
        <v>0.4813709848647047</v>
      </c>
    </row>
    <row r="2958" spans="1:32">
      <c r="A2958" s="15">
        <v>2956</v>
      </c>
      <c r="B2958" s="16">
        <v>0</v>
      </c>
      <c r="C2958" s="20">
        <v>0.21</v>
      </c>
      <c r="D2958" s="20">
        <v>0.86169999027261079</v>
      </c>
      <c r="E2958" s="20">
        <v>0.06</v>
      </c>
      <c r="F2958" s="8" t="s">
        <v>436</v>
      </c>
      <c r="G2958" s="24">
        <v>0.74795127494016</v>
      </c>
      <c r="H2958" s="24">
        <v>0.75228172190219222</v>
      </c>
      <c r="I2958" s="25">
        <v>0.76543810247476873</v>
      </c>
      <c r="X2958" s="15">
        <v>2957</v>
      </c>
      <c r="Y2958" s="39">
        <v>0.47346020518211451</v>
      </c>
      <c r="Z2958" s="39">
        <v>0.49321461464279881</v>
      </c>
      <c r="AA2958" s="39">
        <v>0.48456987747864289</v>
      </c>
      <c r="AB2958" s="39">
        <v>0.49435761169586323</v>
      </c>
      <c r="AC2958" s="39">
        <v>0.46660097603221279</v>
      </c>
      <c r="AD2958" s="39">
        <v>0.48592856447389404</v>
      </c>
      <c r="AE2958" s="39">
        <v>0.4787007813150273</v>
      </c>
      <c r="AF2958" s="40">
        <v>0.48793101940441136</v>
      </c>
    </row>
    <row r="2959" spans="1:32">
      <c r="A2959" s="15">
        <v>2957</v>
      </c>
      <c r="B2959" s="16">
        <v>1</v>
      </c>
      <c r="C2959" s="20">
        <v>0.28000000000000003</v>
      </c>
      <c r="D2959" s="20">
        <v>0.76889611052902151</v>
      </c>
      <c r="E2959" s="20">
        <v>0.41</v>
      </c>
      <c r="F2959" s="8" t="s">
        <v>436</v>
      </c>
      <c r="G2959" s="24">
        <v>0.89438689550755679</v>
      </c>
      <c r="H2959" s="24">
        <v>0.89956516733394276</v>
      </c>
      <c r="I2959" s="25">
        <v>0.91529733434891858</v>
      </c>
      <c r="X2959" s="15">
        <v>2958</v>
      </c>
      <c r="Y2959" s="39">
        <v>0.48017517848906349</v>
      </c>
      <c r="Z2959" s="39">
        <v>0.48615589401242953</v>
      </c>
      <c r="AA2959" s="39">
        <v>0.49329178784151168</v>
      </c>
      <c r="AB2959" s="39">
        <v>0.49304917940816939</v>
      </c>
      <c r="AC2959" s="39">
        <v>0.47463766702784138</v>
      </c>
      <c r="AD2959" s="39">
        <v>0.47618364097010141</v>
      </c>
      <c r="AE2959" s="39">
        <v>0.48626118324892048</v>
      </c>
      <c r="AF2959" s="40">
        <v>0.49055757811684042</v>
      </c>
    </row>
    <row r="2960" spans="1:32">
      <c r="A2960" s="15">
        <v>2958</v>
      </c>
      <c r="B2960" s="16">
        <v>0</v>
      </c>
      <c r="C2960" s="20">
        <v>0.55000000000000004</v>
      </c>
      <c r="D2960" s="20">
        <v>0.47565667557364061</v>
      </c>
      <c r="E2960" s="20">
        <v>0.05</v>
      </c>
      <c r="F2960" s="8" t="s">
        <v>438</v>
      </c>
      <c r="G2960" s="24">
        <v>1.2907426815117511</v>
      </c>
      <c r="H2960" s="24">
        <v>1.2982157521664739</v>
      </c>
      <c r="I2960" s="25">
        <v>1.3209197738162735</v>
      </c>
      <c r="X2960" s="15">
        <v>2959</v>
      </c>
      <c r="Y2960" s="39">
        <v>0.4883710742741294</v>
      </c>
      <c r="Z2960" s="39">
        <v>0.47960959586229396</v>
      </c>
      <c r="AA2960" s="39">
        <v>0.48156219270839368</v>
      </c>
      <c r="AB2960" s="39">
        <v>0.50120191250228707</v>
      </c>
      <c r="AC2960" s="39">
        <v>0.47938866365697907</v>
      </c>
      <c r="AD2960" s="39">
        <v>0.47097980252736193</v>
      </c>
      <c r="AE2960" s="39">
        <v>0.47453621477164454</v>
      </c>
      <c r="AF2960" s="40">
        <v>0.4972418623832458</v>
      </c>
    </row>
    <row r="2961" spans="1:32">
      <c r="A2961" s="15">
        <v>2959</v>
      </c>
      <c r="B2961" s="16">
        <v>0</v>
      </c>
      <c r="C2961" s="20">
        <v>0.92</v>
      </c>
      <c r="D2961" s="20">
        <v>0.20258497911151899</v>
      </c>
      <c r="E2961" s="20">
        <v>0.08</v>
      </c>
      <c r="F2961" s="8" t="s">
        <v>434</v>
      </c>
      <c r="G2961" s="24">
        <v>1.7704708711226103</v>
      </c>
      <c r="H2961" s="24">
        <v>1.7807214455411549</v>
      </c>
      <c r="I2961" s="25">
        <v>1.6578926537592125</v>
      </c>
      <c r="X2961" s="15">
        <v>2960</v>
      </c>
      <c r="Y2961" s="39">
        <v>0.48020392667461487</v>
      </c>
      <c r="Z2961" s="39">
        <v>0.47995868348337578</v>
      </c>
      <c r="AA2961" s="39">
        <v>0.47939990234536428</v>
      </c>
      <c r="AB2961" s="39">
        <v>0.47758370730979566</v>
      </c>
      <c r="AC2961" s="39">
        <v>0.47354729124253742</v>
      </c>
      <c r="AD2961" s="39">
        <v>0.47489538629406192</v>
      </c>
      <c r="AE2961" s="39">
        <v>0.47212118634950684</v>
      </c>
      <c r="AF2961" s="40">
        <v>0.4746436061098997</v>
      </c>
    </row>
    <row r="2962" spans="1:32">
      <c r="A2962" s="15">
        <v>2960</v>
      </c>
      <c r="B2962" s="16">
        <v>0</v>
      </c>
      <c r="C2962" s="20">
        <v>0.02</v>
      </c>
      <c r="D2962" s="20">
        <v>0.99756714174924133</v>
      </c>
      <c r="E2962" s="20">
        <v>1</v>
      </c>
      <c r="F2962" s="8" t="s">
        <v>436</v>
      </c>
      <c r="G2962" s="24">
        <v>1.0746516799845447</v>
      </c>
      <c r="H2962" s="24">
        <v>1.0808736388991869</v>
      </c>
      <c r="I2962" s="25">
        <v>1.0997766436249512</v>
      </c>
      <c r="X2962" s="15">
        <v>2961</v>
      </c>
      <c r="Y2962" s="39">
        <v>0.47878634080453031</v>
      </c>
      <c r="Z2962" s="39">
        <v>0.48868292127558721</v>
      </c>
      <c r="AA2962" s="39">
        <v>0.47989872497950159</v>
      </c>
      <c r="AB2962" s="39">
        <v>0.49970334185203619</v>
      </c>
      <c r="AC2962" s="39">
        <v>0.47334843084155187</v>
      </c>
      <c r="AD2962" s="39">
        <v>0.4807158511241123</v>
      </c>
      <c r="AE2962" s="39">
        <v>0.47016781043393224</v>
      </c>
      <c r="AF2962" s="40">
        <v>0.4935311061408757</v>
      </c>
    </row>
    <row r="2963" spans="1:32">
      <c r="A2963" s="15">
        <v>2961</v>
      </c>
      <c r="B2963" s="16">
        <v>1</v>
      </c>
      <c r="C2963" s="20">
        <v>0.9</v>
      </c>
      <c r="D2963" s="20">
        <v>0.231595386583653</v>
      </c>
      <c r="E2963" s="20">
        <v>0.1</v>
      </c>
      <c r="F2963" s="8" t="s">
        <v>434</v>
      </c>
      <c r="G2963" s="24">
        <v>0.71841199264559941</v>
      </c>
      <c r="H2963" s="24">
        <v>0.72257141470325759</v>
      </c>
      <c r="I2963" s="25">
        <v>0.73520820255271302</v>
      </c>
      <c r="X2963" s="15">
        <v>2962</v>
      </c>
      <c r="Y2963" s="39">
        <v>0.47331090487244237</v>
      </c>
      <c r="Z2963" s="39">
        <v>0.48685341300079149</v>
      </c>
      <c r="AA2963" s="39">
        <v>0.48482364147107038</v>
      </c>
      <c r="AB2963" s="39">
        <v>0.49598519515811745</v>
      </c>
      <c r="AC2963" s="39">
        <v>0.46790649531417755</v>
      </c>
      <c r="AD2963" s="39">
        <v>0.48077803619957099</v>
      </c>
      <c r="AE2963" s="39">
        <v>0.47516575556410584</v>
      </c>
      <c r="AF2963" s="40">
        <v>0.49074928614076052</v>
      </c>
    </row>
    <row r="2964" spans="1:32">
      <c r="A2964" s="15">
        <v>2962</v>
      </c>
      <c r="B2964" s="16">
        <v>0</v>
      </c>
      <c r="C2964" s="20">
        <v>0.28999999999999998</v>
      </c>
      <c r="D2964" s="20">
        <v>0.68595014146236721</v>
      </c>
      <c r="E2964" s="20">
        <v>0.08</v>
      </c>
      <c r="F2964" s="8" t="s">
        <v>436</v>
      </c>
      <c r="G2964" s="24">
        <v>1.6386890141624233</v>
      </c>
      <c r="H2964" s="24">
        <v>1.6481766052674227</v>
      </c>
      <c r="I2964" s="25">
        <v>1.6578926537592125</v>
      </c>
      <c r="X2964" s="15">
        <v>2963</v>
      </c>
      <c r="Y2964" s="39">
        <v>0.48217332766195453</v>
      </c>
      <c r="Z2964" s="39">
        <v>0.48865053932835628</v>
      </c>
      <c r="AA2964" s="39">
        <v>0.49650372410779758</v>
      </c>
      <c r="AB2964" s="39">
        <v>0.48959525562206863</v>
      </c>
      <c r="AC2964" s="39">
        <v>0.47494548894252842</v>
      </c>
      <c r="AD2964" s="39">
        <v>0.48549232553364119</v>
      </c>
      <c r="AE2964" s="39">
        <v>0.48695345561383924</v>
      </c>
      <c r="AF2964" s="40">
        <v>0.48693658149579599</v>
      </c>
    </row>
    <row r="2965" spans="1:32">
      <c r="A2965" s="15">
        <v>2963</v>
      </c>
      <c r="B2965" s="16">
        <v>0</v>
      </c>
      <c r="C2965" s="20">
        <v>0.09</v>
      </c>
      <c r="D2965" s="20">
        <v>0.91208981568096037</v>
      </c>
      <c r="E2965" s="20">
        <v>0.15</v>
      </c>
      <c r="F2965" s="8" t="s">
        <v>436</v>
      </c>
      <c r="G2965" s="24">
        <v>0.99852407716302816</v>
      </c>
      <c r="H2965" s="24">
        <v>1.0043052766894447</v>
      </c>
      <c r="I2965" s="25">
        <v>1.0218692052636538</v>
      </c>
      <c r="X2965" s="15">
        <v>2964</v>
      </c>
      <c r="Y2965" s="39">
        <v>0.48121353119708704</v>
      </c>
      <c r="Z2965" s="39">
        <v>0.48159481732883119</v>
      </c>
      <c r="AA2965" s="39">
        <v>0.48416918298762895</v>
      </c>
      <c r="AB2965" s="39">
        <v>0.49820434282026932</v>
      </c>
      <c r="AC2965" s="39">
        <v>0.47335693667128909</v>
      </c>
      <c r="AD2965" s="39">
        <v>0.47421082707874823</v>
      </c>
      <c r="AE2965" s="39">
        <v>0.47840096142856592</v>
      </c>
      <c r="AF2965" s="40">
        <v>0.4941525427770585</v>
      </c>
    </row>
    <row r="2966" spans="1:32">
      <c r="A2966" s="15">
        <v>2964</v>
      </c>
      <c r="B2966" s="16">
        <v>0</v>
      </c>
      <c r="C2966" s="20">
        <v>0.16</v>
      </c>
      <c r="D2966" s="20">
        <v>0.88454159740643501</v>
      </c>
      <c r="E2966" s="20">
        <v>0.06</v>
      </c>
      <c r="F2966" s="8" t="s">
        <v>436</v>
      </c>
      <c r="G2966" s="24">
        <v>0.78465809706276757</v>
      </c>
      <c r="H2966" s="24">
        <v>0.78920106715521277</v>
      </c>
      <c r="I2966" s="25">
        <v>0.80300311668729951</v>
      </c>
      <c r="X2966" s="15">
        <v>2965</v>
      </c>
      <c r="Y2966" s="39">
        <v>0.47624570781932102</v>
      </c>
      <c r="Z2966" s="39">
        <v>0.49729512050012697</v>
      </c>
      <c r="AA2966" s="39">
        <v>0.50129611593037049</v>
      </c>
      <c r="AB2966" s="39">
        <v>0.48919790581672162</v>
      </c>
      <c r="AC2966" s="39">
        <v>0.46712775835325737</v>
      </c>
      <c r="AD2966" s="39">
        <v>0.4858656854971321</v>
      </c>
      <c r="AE2966" s="39">
        <v>0.49722985622958799</v>
      </c>
      <c r="AF2966" s="40">
        <v>0.4884182594912943</v>
      </c>
    </row>
    <row r="2967" spans="1:32">
      <c r="A2967" s="15">
        <v>2965</v>
      </c>
      <c r="B2967" s="16">
        <v>0</v>
      </c>
      <c r="C2967" s="20">
        <v>0.02</v>
      </c>
      <c r="D2967" s="20">
        <v>0.99835916395484214</v>
      </c>
      <c r="E2967" s="20">
        <v>1</v>
      </c>
      <c r="F2967" s="8" t="s">
        <v>436</v>
      </c>
      <c r="G2967" s="24">
        <v>0.98947868434892416</v>
      </c>
      <c r="H2967" s="24">
        <v>0.9952075133598477</v>
      </c>
      <c r="I2967" s="25">
        <v>1.012612334470405</v>
      </c>
      <c r="X2967" s="15">
        <v>2966</v>
      </c>
      <c r="Y2967" s="39">
        <v>0.48060851506006746</v>
      </c>
      <c r="Z2967" s="39">
        <v>0.48700644860182868</v>
      </c>
      <c r="AA2967" s="39">
        <v>0.49509745476955125</v>
      </c>
      <c r="AB2967" s="39">
        <v>0.48371350523243911</v>
      </c>
      <c r="AC2967" s="39">
        <v>0.47511909769859006</v>
      </c>
      <c r="AD2967" s="39">
        <v>0.48062720992362851</v>
      </c>
      <c r="AE2967" s="39">
        <v>0.48763469805265269</v>
      </c>
      <c r="AF2967" s="40">
        <v>0.47854310685603124</v>
      </c>
    </row>
    <row r="2968" spans="1:32">
      <c r="A2968" s="15">
        <v>2966</v>
      </c>
      <c r="B2968" s="16">
        <v>1</v>
      </c>
      <c r="C2968" s="20">
        <v>0.34</v>
      </c>
      <c r="D2968" s="20">
        <v>0.74158167300322586</v>
      </c>
      <c r="E2968" s="20">
        <v>0.05</v>
      </c>
      <c r="F2968" s="8" t="s">
        <v>436</v>
      </c>
      <c r="G2968" s="24">
        <v>0.81288719366276552</v>
      </c>
      <c r="H2968" s="24">
        <v>0.81759360301884743</v>
      </c>
      <c r="I2968" s="25">
        <v>0.83189219925194657</v>
      </c>
      <c r="X2968" s="15">
        <v>2967</v>
      </c>
      <c r="Y2968" s="39">
        <v>0.49397165544696031</v>
      </c>
      <c r="Z2968" s="39">
        <v>0.49177865213245986</v>
      </c>
      <c r="AA2968" s="39">
        <v>0.47939508771011136</v>
      </c>
      <c r="AB2968" s="39">
        <v>0.49994407111188166</v>
      </c>
      <c r="AC2968" s="39">
        <v>0.48824381229268071</v>
      </c>
      <c r="AD2968" s="39">
        <v>0.486578502397362</v>
      </c>
      <c r="AE2968" s="39">
        <v>0.47295146148569783</v>
      </c>
      <c r="AF2968" s="40">
        <v>0.49461775797627811</v>
      </c>
    </row>
    <row r="2969" spans="1:32">
      <c r="A2969" s="15">
        <v>2967</v>
      </c>
      <c r="B2969" s="16">
        <v>1</v>
      </c>
      <c r="C2969" s="20">
        <v>0.25</v>
      </c>
      <c r="D2969" s="20">
        <v>0.69168561268422324</v>
      </c>
      <c r="E2969" s="20">
        <v>0.08</v>
      </c>
      <c r="F2969" s="8" t="s">
        <v>436</v>
      </c>
      <c r="G2969" s="24">
        <v>0.81958772377027889</v>
      </c>
      <c r="H2969" s="24">
        <v>0.8243329274853255</v>
      </c>
      <c r="I2969" s="25">
        <v>0.83874938530524989</v>
      </c>
      <c r="X2969" s="15">
        <v>2968</v>
      </c>
      <c r="Y2969" s="39">
        <v>0.49609888971371896</v>
      </c>
      <c r="Z2969" s="39">
        <v>0.4806343448109861</v>
      </c>
      <c r="AA2969" s="39">
        <v>0.4773542946516755</v>
      </c>
      <c r="AB2969" s="39">
        <v>0.49221616879384361</v>
      </c>
      <c r="AC2969" s="39">
        <v>0.48969932140635775</v>
      </c>
      <c r="AD2969" s="39">
        <v>0.47234808063494232</v>
      </c>
      <c r="AE2969" s="39">
        <v>0.47126707444473076</v>
      </c>
      <c r="AF2969" s="40">
        <v>0.48500474174986674</v>
      </c>
    </row>
    <row r="2970" spans="1:32">
      <c r="A2970" s="15">
        <v>2968</v>
      </c>
      <c r="B2970" s="16">
        <v>0</v>
      </c>
      <c r="C2970" s="20">
        <v>0.98</v>
      </c>
      <c r="D2970" s="20">
        <v>0.10185764172235329</v>
      </c>
      <c r="E2970" s="20">
        <v>0.02</v>
      </c>
      <c r="F2970" s="8" t="s">
        <v>434</v>
      </c>
      <c r="G2970" s="24">
        <v>0.68715322768881526</v>
      </c>
      <c r="H2970" s="24">
        <v>0.69113166947639526</v>
      </c>
      <c r="I2970" s="25">
        <v>0.70321861909202588</v>
      </c>
      <c r="X2970" s="15">
        <v>2969</v>
      </c>
      <c r="Y2970" s="39">
        <v>0.46614213368059343</v>
      </c>
      <c r="Z2970" s="39">
        <v>0.48314282451962126</v>
      </c>
      <c r="AA2970" s="39">
        <v>0.4839376134073145</v>
      </c>
      <c r="AB2970" s="39">
        <v>0.49438091322777444</v>
      </c>
      <c r="AC2970" s="39">
        <v>0.46148651229377297</v>
      </c>
      <c r="AD2970" s="39">
        <v>0.4770031536535852</v>
      </c>
      <c r="AE2970" s="39">
        <v>0.47690612419436468</v>
      </c>
      <c r="AF2970" s="40">
        <v>0.48894716756231477</v>
      </c>
    </row>
    <row r="2971" spans="1:32">
      <c r="A2971" s="15">
        <v>2969</v>
      </c>
      <c r="B2971" s="16">
        <v>1</v>
      </c>
      <c r="C2971" s="20">
        <v>0.94</v>
      </c>
      <c r="D2971" s="20">
        <v>0.17188516685452584</v>
      </c>
      <c r="E2971" s="20">
        <v>0.06</v>
      </c>
      <c r="F2971" s="8" t="s">
        <v>434</v>
      </c>
      <c r="G2971" s="24">
        <v>0.71191691015037417</v>
      </c>
      <c r="H2971" s="24">
        <v>0.71603872733830087</v>
      </c>
      <c r="I2971" s="25">
        <v>0.72856126740181026</v>
      </c>
      <c r="X2971" s="15">
        <v>2970</v>
      </c>
      <c r="Y2971" s="39">
        <v>0.47051298212998943</v>
      </c>
      <c r="Z2971" s="39">
        <v>0.4850111483785971</v>
      </c>
      <c r="AA2971" s="39">
        <v>0.50214295240338047</v>
      </c>
      <c r="AB2971" s="39">
        <v>0.48858164997977438</v>
      </c>
      <c r="AC2971" s="39">
        <v>0.46387865142797885</v>
      </c>
      <c r="AD2971" s="39">
        <v>0.4787407893530351</v>
      </c>
      <c r="AE2971" s="39">
        <v>0.49447254892684767</v>
      </c>
      <c r="AF2971" s="40">
        <v>0.48615325683054977</v>
      </c>
    </row>
    <row r="2972" spans="1:32">
      <c r="A2972" s="15">
        <v>2970</v>
      </c>
      <c r="B2972" s="16">
        <v>1</v>
      </c>
      <c r="C2972" s="20">
        <v>0.14000000000000001</v>
      </c>
      <c r="D2972" s="20">
        <v>0.91059959624342846</v>
      </c>
      <c r="E2972" s="20">
        <v>0.05</v>
      </c>
      <c r="F2972" s="8" t="s">
        <v>436</v>
      </c>
      <c r="G2972" s="24">
        <v>1.2001479213259498</v>
      </c>
      <c r="H2972" s="24">
        <v>1.2070964714441523</v>
      </c>
      <c r="I2972" s="25">
        <v>1.2282069412372738</v>
      </c>
      <c r="X2972" s="15">
        <v>2971</v>
      </c>
      <c r="Y2972" s="39">
        <v>0.48817805929037783</v>
      </c>
      <c r="Z2972" s="39">
        <v>0.47430263376032694</v>
      </c>
      <c r="AA2972" s="39">
        <v>0.49967175445327489</v>
      </c>
      <c r="AB2972" s="39">
        <v>0.48466475847849849</v>
      </c>
      <c r="AC2972" s="39">
        <v>0.48170754306126157</v>
      </c>
      <c r="AD2972" s="39">
        <v>0.46833478118426952</v>
      </c>
      <c r="AE2972" s="39">
        <v>0.49471171792935015</v>
      </c>
      <c r="AF2972" s="40">
        <v>0.48125984083414297</v>
      </c>
    </row>
    <row r="2973" spans="1:32">
      <c r="A2973" s="15">
        <v>2971</v>
      </c>
      <c r="B2973" s="16">
        <v>0</v>
      </c>
      <c r="C2973" s="20">
        <v>0.9</v>
      </c>
      <c r="D2973" s="20">
        <v>0.231595386583653</v>
      </c>
      <c r="E2973" s="20">
        <v>0.1</v>
      </c>
      <c r="F2973" s="8" t="s">
        <v>434</v>
      </c>
      <c r="G2973" s="24">
        <v>1.0557972180151489</v>
      </c>
      <c r="H2973" s="24">
        <v>1.0619100144077234</v>
      </c>
      <c r="I2973" s="25">
        <v>1.080481371223428</v>
      </c>
      <c r="X2973" s="15">
        <v>2972</v>
      </c>
      <c r="Y2973" s="39">
        <v>0.46993673239758194</v>
      </c>
      <c r="Z2973" s="39">
        <v>0.5014364851871892</v>
      </c>
      <c r="AA2973" s="39">
        <v>0.46908183936540493</v>
      </c>
      <c r="AB2973" s="39">
        <v>0.48787769051801733</v>
      </c>
      <c r="AC2973" s="39">
        <v>0.46537767478870257</v>
      </c>
      <c r="AD2973" s="39">
        <v>0.49440646484949896</v>
      </c>
      <c r="AE2973" s="39">
        <v>0.46115311659521568</v>
      </c>
      <c r="AF2973" s="40">
        <v>0.48480468639903951</v>
      </c>
    </row>
    <row r="2974" spans="1:32">
      <c r="A2974" s="15">
        <v>2972</v>
      </c>
      <c r="B2974" s="16">
        <v>0</v>
      </c>
      <c r="C2974" s="20">
        <v>0.3</v>
      </c>
      <c r="D2974" s="20">
        <v>0.60243879285462543</v>
      </c>
      <c r="E2974" s="20">
        <v>0.12</v>
      </c>
      <c r="F2974" s="8" t="s">
        <v>436</v>
      </c>
      <c r="G2974" s="24">
        <v>1.0544514286051525</v>
      </c>
      <c r="H2974" s="24">
        <v>1.0605564332205655</v>
      </c>
      <c r="I2974" s="25">
        <v>1.0791041177487271</v>
      </c>
      <c r="X2974" s="15">
        <v>2973</v>
      </c>
      <c r="Y2974" s="39">
        <v>0.47463387629773224</v>
      </c>
      <c r="Z2974" s="39">
        <v>0.48876670624762891</v>
      </c>
      <c r="AA2974" s="39">
        <v>0.50218793977659959</v>
      </c>
      <c r="AB2974" s="39">
        <v>0.48506353929489809</v>
      </c>
      <c r="AC2974" s="39">
        <v>0.4667939549819492</v>
      </c>
      <c r="AD2974" s="39">
        <v>0.48162401027213153</v>
      </c>
      <c r="AE2974" s="39">
        <v>0.4954471175530169</v>
      </c>
      <c r="AF2974" s="40">
        <v>0.48162648694548782</v>
      </c>
    </row>
    <row r="2975" spans="1:32">
      <c r="A2975" s="15">
        <v>2973</v>
      </c>
      <c r="B2975" s="16">
        <v>1</v>
      </c>
      <c r="C2975" s="20">
        <v>0.96</v>
      </c>
      <c r="D2975" s="20">
        <v>0.13880369068795359</v>
      </c>
      <c r="E2975" s="20">
        <v>0.04</v>
      </c>
      <c r="F2975" s="8" t="s">
        <v>434</v>
      </c>
      <c r="G2975" s="24">
        <v>1.364234055662729</v>
      </c>
      <c r="H2975" s="24">
        <v>1.3721326226145911</v>
      </c>
      <c r="I2975" s="25">
        <v>1.3961293494438949</v>
      </c>
      <c r="X2975" s="15">
        <v>2974</v>
      </c>
      <c r="Y2975" s="39">
        <v>0.49467975694546684</v>
      </c>
      <c r="Z2975" s="39">
        <v>0.49492244784062067</v>
      </c>
      <c r="AA2975" s="39">
        <v>0.46539649726915355</v>
      </c>
      <c r="AB2975" s="39">
        <v>0.47923946378921911</v>
      </c>
      <c r="AC2975" s="39">
        <v>0.488737067642112</v>
      </c>
      <c r="AD2975" s="39">
        <v>0.48551495688325119</v>
      </c>
      <c r="AE2975" s="39">
        <v>0.46052704208954381</v>
      </c>
      <c r="AF2975" s="40">
        <v>0.47603129414505091</v>
      </c>
    </row>
    <row r="2976" spans="1:32">
      <c r="A2976" s="15">
        <v>2974</v>
      </c>
      <c r="B2976" s="16">
        <v>1</v>
      </c>
      <c r="C2976" s="20">
        <v>0.18</v>
      </c>
      <c r="D2976" s="20">
        <v>0.84382665347281727</v>
      </c>
      <c r="E2976" s="20">
        <v>0.05</v>
      </c>
      <c r="F2976" s="8" t="s">
        <v>436</v>
      </c>
      <c r="G2976" s="24">
        <v>0.77650958164318673</v>
      </c>
      <c r="H2976" s="24">
        <v>0.78100537391131897</v>
      </c>
      <c r="I2976" s="25">
        <v>0.79466409195437238</v>
      </c>
      <c r="X2976" s="15">
        <v>2975</v>
      </c>
      <c r="Y2976" s="39">
        <v>0.48384883857293315</v>
      </c>
      <c r="Z2976" s="39">
        <v>0.47444052642155227</v>
      </c>
      <c r="AA2976" s="39">
        <v>0.49767261229775717</v>
      </c>
      <c r="AB2976" s="39">
        <v>0.49472356590635302</v>
      </c>
      <c r="AC2976" s="39">
        <v>0.47608403487729911</v>
      </c>
      <c r="AD2976" s="39">
        <v>0.47104237276890815</v>
      </c>
      <c r="AE2976" s="39">
        <v>0.48905775373381227</v>
      </c>
      <c r="AF2976" s="40">
        <v>0.49213828863771358</v>
      </c>
    </row>
    <row r="2977" spans="1:32">
      <c r="A2977" s="15">
        <v>2975</v>
      </c>
      <c r="B2977" s="16">
        <v>0</v>
      </c>
      <c r="C2977" s="20">
        <v>0.02</v>
      </c>
      <c r="D2977" s="20">
        <v>0.99917029198757767</v>
      </c>
      <c r="E2977" s="20">
        <v>1</v>
      </c>
      <c r="F2977" s="8" t="s">
        <v>436</v>
      </c>
      <c r="G2977" s="24">
        <v>1.038261983686807</v>
      </c>
      <c r="H2977" s="24">
        <v>1.0442732555486134</v>
      </c>
      <c r="I2977" s="25">
        <v>1.0625361695232098</v>
      </c>
      <c r="X2977" s="15">
        <v>2976</v>
      </c>
      <c r="Y2977" s="39">
        <v>0.47191445166085771</v>
      </c>
      <c r="Z2977" s="39">
        <v>0.47789944684759456</v>
      </c>
      <c r="AA2977" s="39">
        <v>0.48692912560822998</v>
      </c>
      <c r="AB2977" s="39">
        <v>0.49013489091457402</v>
      </c>
      <c r="AC2977" s="39">
        <v>0.46862396561815883</v>
      </c>
      <c r="AD2977" s="39">
        <v>0.47030343778910366</v>
      </c>
      <c r="AE2977" s="39">
        <v>0.47798068593818521</v>
      </c>
      <c r="AF2977" s="40">
        <v>0.48423255961950834</v>
      </c>
    </row>
    <row r="2978" spans="1:32">
      <c r="A2978" s="15">
        <v>2976</v>
      </c>
      <c r="B2978" s="16">
        <v>0</v>
      </c>
      <c r="C2978" s="20">
        <v>0.24</v>
      </c>
      <c r="D2978" s="20">
        <v>0.84153732031088202</v>
      </c>
      <c r="E2978" s="20">
        <v>0.05</v>
      </c>
      <c r="F2978" s="8" t="s">
        <v>436</v>
      </c>
      <c r="G2978" s="24">
        <v>0.84633375438146674</v>
      </c>
      <c r="H2978" s="24">
        <v>0.85123381078663796</v>
      </c>
      <c r="I2978" s="25">
        <v>0.86612072834012555</v>
      </c>
      <c r="X2978" s="15">
        <v>2977</v>
      </c>
      <c r="Y2978" s="39">
        <v>0.47448331674350303</v>
      </c>
      <c r="Z2978" s="39">
        <v>0.48090725586805633</v>
      </c>
      <c r="AA2978" s="39">
        <v>0.48497751076053985</v>
      </c>
      <c r="AB2978" s="39">
        <v>0.49449025470540542</v>
      </c>
      <c r="AC2978" s="39">
        <v>0.46435129539853126</v>
      </c>
      <c r="AD2978" s="39">
        <v>0.47563610914024373</v>
      </c>
      <c r="AE2978" s="39">
        <v>0.48118230486711389</v>
      </c>
      <c r="AF2978" s="40">
        <v>0.49040012627774143</v>
      </c>
    </row>
    <row r="2979" spans="1:32">
      <c r="A2979" s="15">
        <v>2977</v>
      </c>
      <c r="B2979" s="16">
        <v>1</v>
      </c>
      <c r="C2979" s="20">
        <v>0.02</v>
      </c>
      <c r="D2979" s="20">
        <v>0.99679477127711513</v>
      </c>
      <c r="E2979" s="20">
        <v>1</v>
      </c>
      <c r="F2979" s="8" t="s">
        <v>436</v>
      </c>
      <c r="G2979" s="24">
        <v>1.2416794307744896</v>
      </c>
      <c r="H2979" s="24">
        <v>1.2488684377311867</v>
      </c>
      <c r="I2979" s="25">
        <v>1.2707094422026561</v>
      </c>
      <c r="X2979" s="15">
        <v>2978</v>
      </c>
      <c r="Y2979" s="39">
        <v>0.49590668357070317</v>
      </c>
      <c r="Z2979" s="39">
        <v>0.48337528589877704</v>
      </c>
      <c r="AA2979" s="39">
        <v>0.50069590687245624</v>
      </c>
      <c r="AB2979" s="39">
        <v>0.48718335253883405</v>
      </c>
      <c r="AC2979" s="39">
        <v>0.49039641601221223</v>
      </c>
      <c r="AD2979" s="39">
        <v>0.47956550537243176</v>
      </c>
      <c r="AE2979" s="39">
        <v>0.49353898718693029</v>
      </c>
      <c r="AF2979" s="40">
        <v>0.48182099616985069</v>
      </c>
    </row>
    <row r="2980" spans="1:32">
      <c r="A2980" s="15">
        <v>2978</v>
      </c>
      <c r="B2980" s="16">
        <v>1</v>
      </c>
      <c r="C2980" s="20">
        <v>0.11</v>
      </c>
      <c r="D2980" s="20">
        <v>0.92576090182180459</v>
      </c>
      <c r="E2980" s="20">
        <v>0.06</v>
      </c>
      <c r="F2980" s="8" t="s">
        <v>436</v>
      </c>
      <c r="G2980" s="24">
        <v>1.089531009675986</v>
      </c>
      <c r="H2980" s="24">
        <v>1.0958391161114871</v>
      </c>
      <c r="I2980" s="25">
        <v>1.1150038466082266</v>
      </c>
      <c r="X2980" s="15">
        <v>2979</v>
      </c>
      <c r="Y2980" s="39">
        <v>0.49226293728920251</v>
      </c>
      <c r="Z2980" s="39">
        <v>0.49776715120651199</v>
      </c>
      <c r="AA2980" s="39">
        <v>0.49860544259180767</v>
      </c>
      <c r="AB2980" s="39">
        <v>0.48098327098899291</v>
      </c>
      <c r="AC2980" s="39">
        <v>0.48654308440142857</v>
      </c>
      <c r="AD2980" s="39">
        <v>0.48855520378622663</v>
      </c>
      <c r="AE2980" s="39">
        <v>0.48861343570473853</v>
      </c>
      <c r="AF2980" s="40">
        <v>0.47450610951963729</v>
      </c>
    </row>
    <row r="2981" spans="1:32">
      <c r="A2981" s="15">
        <v>2979</v>
      </c>
      <c r="B2981" s="16">
        <v>0</v>
      </c>
      <c r="C2981" s="20">
        <v>0.92</v>
      </c>
      <c r="D2981" s="20">
        <v>0.20258497911151899</v>
      </c>
      <c r="E2981" s="20">
        <v>0.08</v>
      </c>
      <c r="F2981" s="8" t="s">
        <v>434</v>
      </c>
      <c r="G2981" s="24">
        <v>0.69679854482965498</v>
      </c>
      <c r="H2981" s="24">
        <v>0.70083283054144474</v>
      </c>
      <c r="I2981" s="25">
        <v>0.71308944022357934</v>
      </c>
      <c r="X2981" s="15">
        <v>2980</v>
      </c>
      <c r="Y2981" s="39">
        <v>0.46679681497269049</v>
      </c>
      <c r="Z2981" s="39">
        <v>0.48859699377979193</v>
      </c>
      <c r="AA2981" s="39">
        <v>0.46994349201088803</v>
      </c>
      <c r="AB2981" s="39">
        <v>0.49312050339029256</v>
      </c>
      <c r="AC2981" s="39">
        <v>0.46031698313117653</v>
      </c>
      <c r="AD2981" s="39">
        <v>0.48230515338197238</v>
      </c>
      <c r="AE2981" s="39">
        <v>0.46117827572620129</v>
      </c>
      <c r="AF2981" s="40">
        <v>0.48896045576705544</v>
      </c>
    </row>
    <row r="2982" spans="1:32">
      <c r="A2982" s="15">
        <v>2980</v>
      </c>
      <c r="B2982" s="16">
        <v>1</v>
      </c>
      <c r="C2982" s="20">
        <v>0.25</v>
      </c>
      <c r="D2982" s="20">
        <v>0.72589578139473787</v>
      </c>
      <c r="E2982" s="20">
        <v>0.05</v>
      </c>
      <c r="F2982" s="8" t="s">
        <v>436</v>
      </c>
      <c r="G2982" s="24">
        <v>0.85027545807274751</v>
      </c>
      <c r="H2982" s="24">
        <v>0.85519833593614336</v>
      </c>
      <c r="I2982" s="25">
        <v>0.87015458762355702</v>
      </c>
      <c r="X2982" s="15">
        <v>2981</v>
      </c>
      <c r="Y2982" s="39">
        <v>0.48756996398058428</v>
      </c>
      <c r="Z2982" s="39">
        <v>0.49237101131721328</v>
      </c>
      <c r="AA2982" s="39">
        <v>0.48595482902451748</v>
      </c>
      <c r="AB2982" s="39">
        <v>0.48061217187196092</v>
      </c>
      <c r="AC2982" s="39">
        <v>0.48226673585154828</v>
      </c>
      <c r="AD2982" s="39">
        <v>0.48620949635644894</v>
      </c>
      <c r="AE2982" s="39">
        <v>0.47867599167236008</v>
      </c>
      <c r="AF2982" s="40">
        <v>0.47761794808237429</v>
      </c>
    </row>
    <row r="2983" spans="1:32">
      <c r="A2983" s="15">
        <v>2981</v>
      </c>
      <c r="B2983" s="16">
        <v>1</v>
      </c>
      <c r="C2983" s="20">
        <v>0.89</v>
      </c>
      <c r="D2983" s="20">
        <v>0.24559627500636821</v>
      </c>
      <c r="E2983" s="20">
        <v>0.11</v>
      </c>
      <c r="F2983" s="8" t="s">
        <v>434</v>
      </c>
      <c r="G2983" s="24">
        <v>0.63191072478825971</v>
      </c>
      <c r="H2983" s="24">
        <v>0.63556932658508636</v>
      </c>
      <c r="I2983" s="25">
        <v>0.64668456665720497</v>
      </c>
      <c r="X2983" s="15">
        <v>2982</v>
      </c>
      <c r="Y2983" s="39">
        <v>0.50644101402490704</v>
      </c>
      <c r="Z2983" s="39">
        <v>0.48717451137760676</v>
      </c>
      <c r="AA2983" s="39">
        <v>0.48628462447393789</v>
      </c>
      <c r="AB2983" s="39">
        <v>0.4814196541769899</v>
      </c>
      <c r="AC2983" s="39">
        <v>0.49760956541187917</v>
      </c>
      <c r="AD2983" s="39">
        <v>0.48190093233442283</v>
      </c>
      <c r="AE2983" s="39">
        <v>0.48091059630917621</v>
      </c>
      <c r="AF2983" s="40">
        <v>0.47897244145899814</v>
      </c>
    </row>
    <row r="2984" spans="1:32">
      <c r="A2984" s="15">
        <v>2982</v>
      </c>
      <c r="B2984" s="16">
        <v>1</v>
      </c>
      <c r="C2984" s="20">
        <v>0.02</v>
      </c>
      <c r="D2984" s="20">
        <v>0.99835916395484214</v>
      </c>
      <c r="E2984" s="20">
        <v>1</v>
      </c>
      <c r="F2984" s="8" t="s">
        <v>436</v>
      </c>
      <c r="G2984" s="24">
        <v>1.0661171666468012</v>
      </c>
      <c r="H2984" s="24">
        <v>1.0722897129077129</v>
      </c>
      <c r="I2984" s="25">
        <v>1.0910425964835642</v>
      </c>
      <c r="X2984" s="15">
        <v>2983</v>
      </c>
      <c r="Y2984" s="39">
        <v>0.47990220805017569</v>
      </c>
      <c r="Z2984" s="39">
        <v>0.49548304473910848</v>
      </c>
      <c r="AA2984" s="39">
        <v>0.48286183649488368</v>
      </c>
      <c r="AB2984" s="39">
        <v>0.50548786950846647</v>
      </c>
      <c r="AC2984" s="39">
        <v>0.47248228549163418</v>
      </c>
      <c r="AD2984" s="39">
        <v>0.48635870070851717</v>
      </c>
      <c r="AE2984" s="39">
        <v>0.47653609343843611</v>
      </c>
      <c r="AF2984" s="40">
        <v>0.50083242787643167</v>
      </c>
    </row>
    <row r="2985" spans="1:32">
      <c r="A2985" s="15">
        <v>2983</v>
      </c>
      <c r="B2985" s="16">
        <v>1</v>
      </c>
      <c r="C2985" s="20">
        <v>0.38</v>
      </c>
      <c r="D2985" s="20">
        <v>0.63125231013315675</v>
      </c>
      <c r="E2985" s="20">
        <v>0.05</v>
      </c>
      <c r="F2985" s="8" t="s">
        <v>436</v>
      </c>
      <c r="G2985" s="24">
        <v>1.7382839741945468</v>
      </c>
      <c r="H2985" s="24">
        <v>1.7483481946958117</v>
      </c>
      <c r="I2985" s="25">
        <v>1.6578926537592125</v>
      </c>
      <c r="X2985" s="15">
        <v>2984</v>
      </c>
      <c r="Y2985" s="39">
        <v>0.48251652712010062</v>
      </c>
      <c r="Z2985" s="39">
        <v>0.4879226598120342</v>
      </c>
      <c r="AA2985" s="39">
        <v>0.47001686560796435</v>
      </c>
      <c r="AB2985" s="39">
        <v>0.49617283589993572</v>
      </c>
      <c r="AC2985" s="39">
        <v>0.47283592083086734</v>
      </c>
      <c r="AD2985" s="39">
        <v>0.48204602577323774</v>
      </c>
      <c r="AE2985" s="39">
        <v>0.46387893082066833</v>
      </c>
      <c r="AF2985" s="40">
        <v>0.49067919458361348</v>
      </c>
    </row>
    <row r="2986" spans="1:32">
      <c r="A2986" s="15">
        <v>2984</v>
      </c>
      <c r="B2986" s="16">
        <v>1</v>
      </c>
      <c r="C2986" s="20">
        <v>0.02</v>
      </c>
      <c r="D2986" s="20">
        <v>0.99679477127711513</v>
      </c>
      <c r="E2986" s="20">
        <v>1</v>
      </c>
      <c r="F2986" s="8" t="s">
        <v>436</v>
      </c>
      <c r="G2986" s="24">
        <v>1.0516764510075622</v>
      </c>
      <c r="H2986" s="24">
        <v>1.0577653892110179</v>
      </c>
      <c r="I2986" s="25">
        <v>1.0762642621887786</v>
      </c>
      <c r="X2986" s="15">
        <v>2985</v>
      </c>
      <c r="Y2986" s="39">
        <v>0.50278725975836402</v>
      </c>
      <c r="Z2986" s="39">
        <v>0.48960046965038928</v>
      </c>
      <c r="AA2986" s="39">
        <v>0.48742799345337862</v>
      </c>
      <c r="AB2986" s="39">
        <v>0.47849491370835101</v>
      </c>
      <c r="AC2986" s="39">
        <v>0.49470071942274257</v>
      </c>
      <c r="AD2986" s="39">
        <v>0.47925375895235778</v>
      </c>
      <c r="AE2986" s="39">
        <v>0.47741371669165422</v>
      </c>
      <c r="AF2986" s="40">
        <v>0.47616229764006823</v>
      </c>
    </row>
    <row r="2987" spans="1:32">
      <c r="A2987" s="15">
        <v>2985</v>
      </c>
      <c r="B2987" s="16">
        <v>1</v>
      </c>
      <c r="C2987" s="20">
        <v>0.25</v>
      </c>
      <c r="D2987" s="20">
        <v>0.89122115865570117</v>
      </c>
      <c r="E2987" s="20">
        <v>0.02</v>
      </c>
      <c r="F2987" s="8" t="s">
        <v>436</v>
      </c>
      <c r="G2987" s="24">
        <v>0.89876131062912623</v>
      </c>
      <c r="H2987" s="24">
        <v>0.90396490920246553</v>
      </c>
      <c r="I2987" s="25">
        <v>0.91977402169778222</v>
      </c>
      <c r="X2987" s="15">
        <v>2986</v>
      </c>
      <c r="Y2987" s="39">
        <v>0.47495850942444157</v>
      </c>
      <c r="Z2987" s="39">
        <v>0.47763364516783791</v>
      </c>
      <c r="AA2987" s="39">
        <v>0.47944672852948023</v>
      </c>
      <c r="AB2987" s="39">
        <v>0.47059617875948817</v>
      </c>
      <c r="AC2987" s="39">
        <v>0.46867438658613908</v>
      </c>
      <c r="AD2987" s="39">
        <v>0.47154755498841017</v>
      </c>
      <c r="AE2987" s="39">
        <v>0.47486220235140869</v>
      </c>
      <c r="AF2987" s="40">
        <v>0.46396635741597658</v>
      </c>
    </row>
    <row r="2988" spans="1:32">
      <c r="A2988" s="15">
        <v>2986</v>
      </c>
      <c r="B2988" s="16">
        <v>0</v>
      </c>
      <c r="C2988" s="20">
        <v>0.02</v>
      </c>
      <c r="D2988" s="20">
        <v>0.99679477127711513</v>
      </c>
      <c r="E2988" s="20">
        <v>1</v>
      </c>
      <c r="F2988" s="8" t="s">
        <v>436</v>
      </c>
      <c r="G2988" s="24">
        <v>0.9903460883672951</v>
      </c>
      <c r="H2988" s="24">
        <v>0.99607993942607387</v>
      </c>
      <c r="I2988" s="25">
        <v>1.0135000180778084</v>
      </c>
      <c r="X2988" s="15">
        <v>2987</v>
      </c>
      <c r="Y2988" s="39">
        <v>0.49310922749913694</v>
      </c>
      <c r="Z2988" s="39">
        <v>0.48623830134217449</v>
      </c>
      <c r="AA2988" s="39">
        <v>0.49359501221128332</v>
      </c>
      <c r="AB2988" s="39">
        <v>0.4821825686889965</v>
      </c>
      <c r="AC2988" s="39">
        <v>0.48882400550892618</v>
      </c>
      <c r="AD2988" s="39">
        <v>0.47913033021605383</v>
      </c>
      <c r="AE2988" s="39">
        <v>0.48492800033756711</v>
      </c>
      <c r="AF2988" s="40">
        <v>0.47976039565072121</v>
      </c>
    </row>
    <row r="2989" spans="1:32">
      <c r="A2989" s="15">
        <v>2987</v>
      </c>
      <c r="B2989" s="16">
        <v>0</v>
      </c>
      <c r="C2989" s="20">
        <v>0.51</v>
      </c>
      <c r="D2989" s="20">
        <v>0.49501119326254361</v>
      </c>
      <c r="E2989" s="20">
        <v>0.04</v>
      </c>
      <c r="F2989" s="8" t="s">
        <v>438</v>
      </c>
      <c r="G2989" s="24">
        <v>0.63203499896256943</v>
      </c>
      <c r="H2989" s="24">
        <v>0.6356943202751435</v>
      </c>
      <c r="I2989" s="25">
        <v>0.64681174631630489</v>
      </c>
      <c r="X2989" s="15">
        <v>2988</v>
      </c>
      <c r="Y2989" s="39">
        <v>0.47465340925537169</v>
      </c>
      <c r="Z2989" s="39">
        <v>0.48910895815527167</v>
      </c>
      <c r="AA2989" s="39">
        <v>0.47450219077249112</v>
      </c>
      <c r="AB2989" s="39">
        <v>0.46956239166510499</v>
      </c>
      <c r="AC2989" s="39">
        <v>0.46656799838221541</v>
      </c>
      <c r="AD2989" s="39">
        <v>0.48432179738225412</v>
      </c>
      <c r="AE2989" s="39">
        <v>0.46952074949177414</v>
      </c>
      <c r="AF2989" s="40">
        <v>0.46551247873703244</v>
      </c>
    </row>
    <row r="2990" spans="1:32">
      <c r="A2990" s="15">
        <v>2988</v>
      </c>
      <c r="B2990" s="16">
        <v>0</v>
      </c>
      <c r="C2990" s="20">
        <v>0.93</v>
      </c>
      <c r="D2990" s="20">
        <v>0.18747949848141848</v>
      </c>
      <c r="E2990" s="20">
        <v>7.0000000000000007E-2</v>
      </c>
      <c r="F2990" s="8" t="s">
        <v>434</v>
      </c>
      <c r="G2990" s="24">
        <v>1.2098230995430985</v>
      </c>
      <c r="H2990" s="24">
        <v>1.2168276664735205</v>
      </c>
      <c r="I2990" s="25">
        <v>1.2381083215861901</v>
      </c>
      <c r="X2990" s="15">
        <v>2989</v>
      </c>
      <c r="Y2990" s="39">
        <v>0.49500847855876151</v>
      </c>
      <c r="Z2990" s="39">
        <v>0.48817483233321363</v>
      </c>
      <c r="AA2990" s="39">
        <v>0.49275673766142414</v>
      </c>
      <c r="AB2990" s="39">
        <v>0.49483220243782222</v>
      </c>
      <c r="AC2990" s="39">
        <v>0.48859994442988669</v>
      </c>
      <c r="AD2990" s="39">
        <v>0.48265116943581865</v>
      </c>
      <c r="AE2990" s="39">
        <v>0.48352760613303597</v>
      </c>
      <c r="AF2990" s="40">
        <v>0.49051235731710119</v>
      </c>
    </row>
    <row r="2991" spans="1:32">
      <c r="A2991" s="15">
        <v>2989</v>
      </c>
      <c r="B2991" s="16">
        <v>0</v>
      </c>
      <c r="C2991" s="20">
        <v>0.02</v>
      </c>
      <c r="D2991" s="20">
        <v>0.99679477127711513</v>
      </c>
      <c r="E2991" s="20">
        <v>1</v>
      </c>
      <c r="F2991" s="8" t="s">
        <v>436</v>
      </c>
      <c r="G2991" s="24">
        <v>1.0806622651627185</v>
      </c>
      <c r="H2991" s="24">
        <v>1.0869190238312976</v>
      </c>
      <c r="I2991" s="25">
        <v>1.1059277540885473</v>
      </c>
      <c r="X2991" s="15">
        <v>2990</v>
      </c>
      <c r="Y2991" s="39">
        <v>0.49744121536314334</v>
      </c>
      <c r="Z2991" s="39">
        <v>0.50836368929641151</v>
      </c>
      <c r="AA2991" s="39">
        <v>0.49008899154212443</v>
      </c>
      <c r="AB2991" s="39">
        <v>0.47603651155766863</v>
      </c>
      <c r="AC2991" s="39">
        <v>0.49109393687529207</v>
      </c>
      <c r="AD2991" s="39">
        <v>0.50107416987976938</v>
      </c>
      <c r="AE2991" s="39">
        <v>0.48408708029381448</v>
      </c>
      <c r="AF2991" s="40">
        <v>0.47219728424572066</v>
      </c>
    </row>
    <row r="2992" spans="1:32">
      <c r="A2992" s="15">
        <v>2990</v>
      </c>
      <c r="B2992" s="16">
        <v>1</v>
      </c>
      <c r="C2992" s="20">
        <v>0.4</v>
      </c>
      <c r="D2992" s="20">
        <v>0.59280313702762333</v>
      </c>
      <c r="E2992" s="20">
        <v>7.0000000000000007E-2</v>
      </c>
      <c r="F2992" s="8" t="s">
        <v>436</v>
      </c>
      <c r="G2992" s="24">
        <v>0.51903022216142092</v>
      </c>
      <c r="H2992" s="24">
        <v>0.52203527466158761</v>
      </c>
      <c r="I2992" s="25">
        <v>0.53116495912127515</v>
      </c>
      <c r="X2992" s="15">
        <v>2991</v>
      </c>
      <c r="Y2992" s="39">
        <v>0.49782441083302925</v>
      </c>
      <c r="Z2992" s="39">
        <v>0.50155220625037344</v>
      </c>
      <c r="AA2992" s="39">
        <v>0.49979631551202086</v>
      </c>
      <c r="AB2992" s="39">
        <v>0.4942473811665109</v>
      </c>
      <c r="AC2992" s="39">
        <v>0.49000780957038753</v>
      </c>
      <c r="AD2992" s="39">
        <v>0.49431783573461652</v>
      </c>
      <c r="AE2992" s="39">
        <v>0.48886563579176451</v>
      </c>
      <c r="AF2992" s="40">
        <v>0.48839982129050014</v>
      </c>
    </row>
    <row r="2993" spans="1:32">
      <c r="A2993" s="15">
        <v>2991</v>
      </c>
      <c r="B2993" s="16">
        <v>0</v>
      </c>
      <c r="C2993" s="20">
        <v>0.1</v>
      </c>
      <c r="D2993" s="20">
        <v>0.93806205919662466</v>
      </c>
      <c r="E2993" s="20">
        <v>0.05</v>
      </c>
      <c r="F2993" s="8" t="s">
        <v>436</v>
      </c>
      <c r="G2993" s="24">
        <v>0.77763168302449925</v>
      </c>
      <c r="H2993" s="24">
        <v>0.782133971973205</v>
      </c>
      <c r="I2993" s="25">
        <v>0.79581242765600602</v>
      </c>
      <c r="X2993" s="15">
        <v>2992</v>
      </c>
      <c r="Y2993" s="39">
        <v>0.47819789023657655</v>
      </c>
      <c r="Z2993" s="39">
        <v>0.49289111536741759</v>
      </c>
      <c r="AA2993" s="39">
        <v>0.47803606925691955</v>
      </c>
      <c r="AB2993" s="39">
        <v>0.48680543212352323</v>
      </c>
      <c r="AC2993" s="39">
        <v>0.47382953670782918</v>
      </c>
      <c r="AD2993" s="39">
        <v>0.48267822799756505</v>
      </c>
      <c r="AE2993" s="39">
        <v>0.47143919152944869</v>
      </c>
      <c r="AF2993" s="40">
        <v>0.4809776011729458</v>
      </c>
    </row>
    <row r="2994" spans="1:32">
      <c r="A2994" s="15">
        <v>2992</v>
      </c>
      <c r="B2994" s="16">
        <v>0</v>
      </c>
      <c r="C2994" s="20">
        <v>0.94</v>
      </c>
      <c r="D2994" s="20">
        <v>0.17188516685452584</v>
      </c>
      <c r="E2994" s="20">
        <v>0.06</v>
      </c>
      <c r="F2994" s="8" t="s">
        <v>434</v>
      </c>
      <c r="G2994" s="24">
        <v>1.7877440200159871</v>
      </c>
      <c r="H2994" s="24">
        <v>1.7980946015575305</v>
      </c>
      <c r="I2994" s="25">
        <v>1.6578926537592125</v>
      </c>
      <c r="X2994" s="15">
        <v>2993</v>
      </c>
      <c r="Y2994" s="39">
        <v>0.47788955328820998</v>
      </c>
      <c r="Z2994" s="39">
        <v>0.48564468191196813</v>
      </c>
      <c r="AA2994" s="39">
        <v>0.49210199331248966</v>
      </c>
      <c r="AB2994" s="39">
        <v>0.49147186796421655</v>
      </c>
      <c r="AC2994" s="39">
        <v>0.47211207809031552</v>
      </c>
      <c r="AD2994" s="39">
        <v>0.47991103129302931</v>
      </c>
      <c r="AE2994" s="39">
        <v>0.48487683505064061</v>
      </c>
      <c r="AF2994" s="40">
        <v>0.48886402173488858</v>
      </c>
    </row>
    <row r="2995" spans="1:32">
      <c r="A2995" s="15">
        <v>2993</v>
      </c>
      <c r="B2995" s="16">
        <v>1</v>
      </c>
      <c r="C2995" s="20">
        <v>0.53</v>
      </c>
      <c r="D2995" s="20">
        <v>0.46878052510603768</v>
      </c>
      <c r="E2995" s="20">
        <v>0.1</v>
      </c>
      <c r="F2995" s="8" t="s">
        <v>438</v>
      </c>
      <c r="G2995" s="24">
        <v>0.95769669504648491</v>
      </c>
      <c r="H2995" s="24">
        <v>0.96324151445192563</v>
      </c>
      <c r="I2995" s="25">
        <v>0.98008729387002791</v>
      </c>
      <c r="X2995" s="15">
        <v>2994</v>
      </c>
      <c r="Y2995" s="39">
        <v>0.47306161729430946</v>
      </c>
      <c r="Z2995" s="39">
        <v>0.48338102469711186</v>
      </c>
      <c r="AA2995" s="39">
        <v>0.48807398917973999</v>
      </c>
      <c r="AB2995" s="39">
        <v>0.48491276103103736</v>
      </c>
      <c r="AC2995" s="39">
        <v>0.46892610240374033</v>
      </c>
      <c r="AD2995" s="39">
        <v>0.47381150408126965</v>
      </c>
      <c r="AE2995" s="39">
        <v>0.48143821347541021</v>
      </c>
      <c r="AF2995" s="40">
        <v>0.48113675067999928</v>
      </c>
    </row>
    <row r="2996" spans="1:32">
      <c r="A2996" s="15">
        <v>2994</v>
      </c>
      <c r="B2996" s="16">
        <v>1</v>
      </c>
      <c r="C2996" s="20">
        <v>0.02</v>
      </c>
      <c r="D2996" s="20">
        <v>0.99531127541355291</v>
      </c>
      <c r="E2996" s="20">
        <v>1</v>
      </c>
      <c r="F2996" s="8" t="s">
        <v>436</v>
      </c>
      <c r="G2996" s="24">
        <v>0.9826770740401396</v>
      </c>
      <c r="H2996" s="24">
        <v>0.98836652346353449</v>
      </c>
      <c r="I2996" s="25">
        <v>1.0056517049976557</v>
      </c>
      <c r="X2996" s="15">
        <v>2995</v>
      </c>
      <c r="Y2996" s="39">
        <v>0.49076322242652021</v>
      </c>
      <c r="Z2996" s="39">
        <v>0.48323973067620113</v>
      </c>
      <c r="AA2996" s="39">
        <v>0.50106636129044857</v>
      </c>
      <c r="AB2996" s="39">
        <v>0.49639612072556377</v>
      </c>
      <c r="AC2996" s="39">
        <v>0.48429097987120462</v>
      </c>
      <c r="AD2996" s="39">
        <v>0.47468871931956785</v>
      </c>
      <c r="AE2996" s="39">
        <v>0.4942730287474163</v>
      </c>
      <c r="AF2996" s="40">
        <v>0.49297389024266008</v>
      </c>
    </row>
    <row r="2997" spans="1:32">
      <c r="A2997" s="15">
        <v>2995</v>
      </c>
      <c r="B2997" s="16">
        <v>0</v>
      </c>
      <c r="C2997" s="20">
        <v>0.51</v>
      </c>
      <c r="D2997" s="20">
        <v>0.47892081442754514</v>
      </c>
      <c r="E2997" s="20">
        <v>0.12</v>
      </c>
      <c r="F2997" s="8" t="s">
        <v>438</v>
      </c>
      <c r="G2997" s="24">
        <v>0.72543601373511057</v>
      </c>
      <c r="H2997" s="24">
        <v>0.72963610308194571</v>
      </c>
      <c r="I2997" s="25">
        <v>0.74239644268898175</v>
      </c>
      <c r="X2997" s="15">
        <v>2996</v>
      </c>
      <c r="Y2997" s="39">
        <v>0.49699961204269349</v>
      </c>
      <c r="Z2997" s="39">
        <v>0.48657602414387913</v>
      </c>
      <c r="AA2997" s="39">
        <v>0.48728768436581171</v>
      </c>
      <c r="AB2997" s="39">
        <v>0.48060303703415747</v>
      </c>
      <c r="AC2997" s="39">
        <v>0.48686328611451757</v>
      </c>
      <c r="AD2997" s="39">
        <v>0.48054834434519472</v>
      </c>
      <c r="AE2997" s="39">
        <v>0.47983235659153717</v>
      </c>
      <c r="AF2997" s="40">
        <v>0.47840390244062053</v>
      </c>
    </row>
    <row r="2998" spans="1:32">
      <c r="A2998" s="15">
        <v>2996</v>
      </c>
      <c r="B2998" s="16">
        <v>1</v>
      </c>
      <c r="C2998" s="20">
        <v>0.41</v>
      </c>
      <c r="D2998" s="20">
        <v>0.5715219341403398</v>
      </c>
      <c r="E2998" s="20">
        <v>0.25</v>
      </c>
      <c r="F2998" s="8" t="s">
        <v>436</v>
      </c>
      <c r="G2998" s="24">
        <v>0.77385386995581618</v>
      </c>
      <c r="H2998" s="24">
        <v>0.77833428633116775</v>
      </c>
      <c r="I2998" s="25">
        <v>0.79194629069804912</v>
      </c>
      <c r="X2998" s="15">
        <v>2997</v>
      </c>
      <c r="Y2998" s="39">
        <v>0.48681917714879969</v>
      </c>
      <c r="Z2998" s="39">
        <v>0.4986919538482647</v>
      </c>
      <c r="AA2998" s="39">
        <v>0.4976211758587043</v>
      </c>
      <c r="AB2998" s="39">
        <v>0.50579511439465963</v>
      </c>
      <c r="AC2998" s="39">
        <v>0.4796701986130758</v>
      </c>
      <c r="AD2998" s="39">
        <v>0.4927226222994604</v>
      </c>
      <c r="AE2998" s="39">
        <v>0.48931954779274944</v>
      </c>
      <c r="AF2998" s="40">
        <v>0.50061927505992065</v>
      </c>
    </row>
    <row r="2999" spans="1:32">
      <c r="A2999" s="15">
        <v>2997</v>
      </c>
      <c r="B2999" s="16">
        <v>0</v>
      </c>
      <c r="C2999" s="20">
        <v>0.68</v>
      </c>
      <c r="D2999" s="20">
        <v>0.49661441094360897</v>
      </c>
      <c r="E2999" s="20">
        <v>0.23</v>
      </c>
      <c r="F2999" s="8" t="s">
        <v>438</v>
      </c>
      <c r="G2999" s="24">
        <v>0.56453953530923295</v>
      </c>
      <c r="H2999" s="24">
        <v>0.56780807511595033</v>
      </c>
      <c r="I2999" s="25">
        <v>0.57773826338307777</v>
      </c>
      <c r="X2999" s="15">
        <v>2998</v>
      </c>
      <c r="Y2999" s="39">
        <v>0.48035057870291664</v>
      </c>
      <c r="Z2999" s="39">
        <v>0.49727688940297238</v>
      </c>
      <c r="AA2999" s="39">
        <v>0.50381159745756043</v>
      </c>
      <c r="AB2999" s="39">
        <v>0.4852403735632761</v>
      </c>
      <c r="AC2999" s="39">
        <v>0.47323594016247539</v>
      </c>
      <c r="AD2999" s="39">
        <v>0.48613728235415005</v>
      </c>
      <c r="AE2999" s="39">
        <v>0.499457108224864</v>
      </c>
      <c r="AF2999" s="40">
        <v>0.48107748009776269</v>
      </c>
    </row>
    <row r="3000" spans="1:32">
      <c r="A3000" s="15">
        <v>2998</v>
      </c>
      <c r="B3000" s="16">
        <v>0</v>
      </c>
      <c r="C3000" s="20">
        <v>0.02</v>
      </c>
      <c r="D3000" s="20">
        <v>0.99679477127711513</v>
      </c>
      <c r="E3000" s="20">
        <v>1</v>
      </c>
      <c r="F3000" s="8" t="s">
        <v>436</v>
      </c>
      <c r="G3000" s="24">
        <v>1.0495324718928853</v>
      </c>
      <c r="H3000" s="24">
        <v>1.0556089970045328</v>
      </c>
      <c r="I3000" s="25">
        <v>1.0740701576257305</v>
      </c>
      <c r="X3000" s="15">
        <v>2999</v>
      </c>
      <c r="Y3000" s="39">
        <v>0.49116143157067227</v>
      </c>
      <c r="Z3000" s="39">
        <v>0.49326476910059519</v>
      </c>
      <c r="AA3000" s="39">
        <v>0.49123099887592486</v>
      </c>
      <c r="AB3000" s="39">
        <v>0.49827373707984385</v>
      </c>
      <c r="AC3000" s="39">
        <v>0.48322410401185889</v>
      </c>
      <c r="AD3000" s="39">
        <v>0.48480659906146356</v>
      </c>
      <c r="AE3000" s="39">
        <v>0.48503154162109002</v>
      </c>
      <c r="AF3000" s="40">
        <v>0.49429431625840081</v>
      </c>
    </row>
    <row r="3001" spans="1:32">
      <c r="A3001" s="15">
        <v>2999</v>
      </c>
      <c r="B3001" s="16">
        <v>1</v>
      </c>
      <c r="C3001" s="20">
        <v>0.02</v>
      </c>
      <c r="D3001" s="20">
        <v>0.99756714174924133</v>
      </c>
      <c r="E3001" s="20">
        <v>1</v>
      </c>
      <c r="F3001" s="8" t="s">
        <v>436</v>
      </c>
      <c r="G3001" s="24">
        <v>1.0907609534145652</v>
      </c>
      <c r="H3001" s="24">
        <v>1.0970761809103609</v>
      </c>
      <c r="I3001" s="25">
        <v>1.1162625459820381</v>
      </c>
      <c r="X3001" s="15">
        <v>3000</v>
      </c>
      <c r="Y3001" s="39">
        <v>0.48602728822790925</v>
      </c>
      <c r="Z3001" s="39">
        <v>0.49076298781958566</v>
      </c>
      <c r="AA3001" s="39">
        <v>0.48293227856728954</v>
      </c>
      <c r="AB3001" s="39">
        <v>0.49074168339058971</v>
      </c>
      <c r="AC3001" s="39">
        <v>0.47629742100391048</v>
      </c>
      <c r="AD3001" s="39">
        <v>0.48492883628074185</v>
      </c>
      <c r="AE3001" s="39">
        <v>0.47726116440656774</v>
      </c>
      <c r="AF3001" s="40">
        <v>0.49086217901959267</v>
      </c>
    </row>
    <row r="3002" spans="1:32">
      <c r="A3002" s="15">
        <v>3000</v>
      </c>
      <c r="B3002" s="16">
        <v>0</v>
      </c>
      <c r="C3002" s="20">
        <v>0.02</v>
      </c>
      <c r="D3002" s="20">
        <v>0.99756714174924133</v>
      </c>
      <c r="E3002" s="20">
        <v>1</v>
      </c>
      <c r="F3002" s="8" t="s">
        <v>436</v>
      </c>
      <c r="G3002" s="24">
        <v>1.0607062598753654</v>
      </c>
      <c r="H3002" s="24">
        <v>1.0668474783672428</v>
      </c>
      <c r="I3002" s="25">
        <v>1.0855051846887556</v>
      </c>
      <c r="X3002" s="15">
        <v>3001</v>
      </c>
      <c r="Y3002" s="39">
        <v>0.49844502826509551</v>
      </c>
      <c r="Z3002" s="39">
        <v>0.48387055624373154</v>
      </c>
      <c r="AA3002" s="39">
        <v>0.48859527503070066</v>
      </c>
      <c r="AB3002" s="39">
        <v>0.48215522516715514</v>
      </c>
      <c r="AC3002" s="39">
        <v>0.490876391618286</v>
      </c>
      <c r="AD3002" s="39">
        <v>0.47788819365971974</v>
      </c>
      <c r="AE3002" s="39">
        <v>0.4809740139118705</v>
      </c>
      <c r="AF3002" s="40">
        <v>0.47881434470656886</v>
      </c>
    </row>
    <row r="3003" spans="1:32">
      <c r="A3003" s="15">
        <v>3001</v>
      </c>
      <c r="B3003" s="16">
        <v>0</v>
      </c>
      <c r="C3003" s="20">
        <v>0.19</v>
      </c>
      <c r="D3003" s="20">
        <v>0.75965837294610306</v>
      </c>
      <c r="E3003" s="20">
        <v>0.12</v>
      </c>
      <c r="F3003" s="8" t="s">
        <v>436</v>
      </c>
      <c r="G3003" s="24">
        <v>1.0041913732545928</v>
      </c>
      <c r="H3003" s="24">
        <v>1.0100053849787618</v>
      </c>
      <c r="I3003" s="25">
        <v>1.0276690006672207</v>
      </c>
      <c r="X3003" s="15">
        <v>3002</v>
      </c>
      <c r="Y3003" s="39">
        <v>0.49683701140359832</v>
      </c>
      <c r="Z3003" s="39">
        <v>0.4823982456932297</v>
      </c>
      <c r="AA3003" s="39">
        <v>0.48457874231602188</v>
      </c>
      <c r="AB3003" s="39">
        <v>0.48314992256467704</v>
      </c>
      <c r="AC3003" s="39">
        <v>0.49244699522246649</v>
      </c>
      <c r="AD3003" s="39">
        <v>0.47481987446006158</v>
      </c>
      <c r="AE3003" s="39">
        <v>0.47733607457548755</v>
      </c>
      <c r="AF3003" s="40">
        <v>0.48214160590929261</v>
      </c>
    </row>
    <row r="3004" spans="1:32">
      <c r="A3004" s="15">
        <v>3002</v>
      </c>
      <c r="B3004" s="16">
        <v>1</v>
      </c>
      <c r="C3004" s="20">
        <v>0.38</v>
      </c>
      <c r="D3004" s="20">
        <v>0.76011996870025234</v>
      </c>
      <c r="E3004" s="20">
        <v>0.04</v>
      </c>
      <c r="F3004" s="8" t="s">
        <v>436</v>
      </c>
      <c r="G3004" s="24">
        <v>0.96846795161435861</v>
      </c>
      <c r="H3004" s="24">
        <v>0.97407513384588762</v>
      </c>
      <c r="I3004" s="25">
        <v>0.99111037848104322</v>
      </c>
      <c r="X3004" s="15">
        <v>3003</v>
      </c>
      <c r="Y3004" s="39">
        <v>0.479305949157321</v>
      </c>
      <c r="Z3004" s="39">
        <v>0.46684849581460786</v>
      </c>
      <c r="AA3004" s="39">
        <v>0.48475389226701199</v>
      </c>
      <c r="AB3004" s="39">
        <v>0.4935759776761407</v>
      </c>
      <c r="AC3004" s="39">
        <v>0.47182579705200062</v>
      </c>
      <c r="AD3004" s="39">
        <v>0.4584956428781119</v>
      </c>
      <c r="AE3004" s="39">
        <v>0.47753190140567814</v>
      </c>
      <c r="AF3004" s="40">
        <v>0.48593021091708116</v>
      </c>
    </row>
    <row r="3005" spans="1:32">
      <c r="A3005" s="15">
        <v>3003</v>
      </c>
      <c r="B3005" s="16">
        <v>1</v>
      </c>
      <c r="C3005" s="20">
        <v>0.96</v>
      </c>
      <c r="D3005" s="20">
        <v>0.13880369068795359</v>
      </c>
      <c r="E3005" s="20">
        <v>0.04</v>
      </c>
      <c r="F3005" s="8" t="s">
        <v>434</v>
      </c>
      <c r="G3005" s="24">
        <v>1.0119811638216945</v>
      </c>
      <c r="H3005" s="24">
        <v>1.0178402764448478</v>
      </c>
      <c r="I3005" s="25">
        <v>1.0356409136916822</v>
      </c>
      <c r="X3005" s="15">
        <v>3004</v>
      </c>
      <c r="Y3005" s="39">
        <v>0.49158493686205251</v>
      </c>
      <c r="Z3005" s="39">
        <v>0.48771239284317353</v>
      </c>
      <c r="AA3005" s="39">
        <v>0.4814859704616587</v>
      </c>
      <c r="AB3005" s="39">
        <v>0.49277551905444172</v>
      </c>
      <c r="AC3005" s="39">
        <v>0.48356819670753937</v>
      </c>
      <c r="AD3005" s="39">
        <v>0.48079889591581648</v>
      </c>
      <c r="AE3005" s="39">
        <v>0.47571394799200972</v>
      </c>
      <c r="AF3005" s="40">
        <v>0.48837471218393036</v>
      </c>
    </row>
    <row r="3006" spans="1:32">
      <c r="A3006" s="15">
        <v>3004</v>
      </c>
      <c r="B3006" s="16">
        <v>0</v>
      </c>
      <c r="C3006" s="20">
        <v>0.96</v>
      </c>
      <c r="D3006" s="20">
        <v>0.13880369068795359</v>
      </c>
      <c r="E3006" s="20">
        <v>0.04</v>
      </c>
      <c r="F3006" s="8" t="s">
        <v>434</v>
      </c>
      <c r="G3006" s="24">
        <v>0.42530672646067424</v>
      </c>
      <c r="H3006" s="24">
        <v>0.42776914384432108</v>
      </c>
      <c r="I3006" s="25">
        <v>0.4352502423341138</v>
      </c>
      <c r="X3006" s="15">
        <v>3005</v>
      </c>
      <c r="Y3006" s="39">
        <v>0.49315349816605802</v>
      </c>
      <c r="Z3006" s="39">
        <v>0.494762074010137</v>
      </c>
      <c r="AA3006" s="39">
        <v>0.48651463830134434</v>
      </c>
      <c r="AB3006" s="39">
        <v>0.50345451658590534</v>
      </c>
      <c r="AC3006" s="39">
        <v>0.48695153861566359</v>
      </c>
      <c r="AD3006" s="39">
        <v>0.48730334832028527</v>
      </c>
      <c r="AE3006" s="39">
        <v>0.47849237971781933</v>
      </c>
      <c r="AF3006" s="40">
        <v>0.49903767440603514</v>
      </c>
    </row>
    <row r="3007" spans="1:32">
      <c r="A3007" s="15">
        <v>3005</v>
      </c>
      <c r="B3007" s="16">
        <v>1</v>
      </c>
      <c r="C3007" s="20">
        <v>0.57999999999999996</v>
      </c>
      <c r="D3007" s="20">
        <v>0.46168473736050025</v>
      </c>
      <c r="E3007" s="20">
        <v>0.06</v>
      </c>
      <c r="F3007" s="8" t="s">
        <v>438</v>
      </c>
      <c r="G3007" s="24">
        <v>1.2734925197956877</v>
      </c>
      <c r="H3007" s="24">
        <v>1.2808657164173007</v>
      </c>
      <c r="I3007" s="25">
        <v>1.303266309621854</v>
      </c>
      <c r="X3007" s="15">
        <v>3006</v>
      </c>
      <c r="Y3007" s="39">
        <v>0.50472412711824843</v>
      </c>
      <c r="Z3007" s="39">
        <v>0.47909306492315112</v>
      </c>
      <c r="AA3007" s="39">
        <v>0.48784702181446848</v>
      </c>
      <c r="AB3007" s="39">
        <v>0.4786292172203252</v>
      </c>
      <c r="AC3007" s="39">
        <v>0.49703595870054518</v>
      </c>
      <c r="AD3007" s="39">
        <v>0.4723407421819647</v>
      </c>
      <c r="AE3007" s="39">
        <v>0.4748367090693334</v>
      </c>
      <c r="AF3007" s="40">
        <v>0.47243042925517625</v>
      </c>
    </row>
    <row r="3008" spans="1:32">
      <c r="A3008" s="15">
        <v>3006</v>
      </c>
      <c r="B3008" s="16">
        <v>0</v>
      </c>
      <c r="C3008" s="20">
        <v>0.02</v>
      </c>
      <c r="D3008" s="20">
        <v>0.99835916395484214</v>
      </c>
      <c r="E3008" s="20">
        <v>1</v>
      </c>
      <c r="F3008" s="8" t="s">
        <v>436</v>
      </c>
      <c r="G3008" s="24">
        <v>1.0415530474785464</v>
      </c>
      <c r="H3008" s="24">
        <v>1.0475833737596396</v>
      </c>
      <c r="I3008" s="25">
        <v>1.0659041771839681</v>
      </c>
      <c r="X3008" s="15">
        <v>3007</v>
      </c>
      <c r="Y3008" s="39">
        <v>0.48693892307441061</v>
      </c>
      <c r="Z3008" s="39">
        <v>0.49537788982641784</v>
      </c>
      <c r="AA3008" s="39">
        <v>0.49367761304351243</v>
      </c>
      <c r="AB3008" s="39">
        <v>0.48724451018945941</v>
      </c>
      <c r="AC3008" s="39">
        <v>0.47819289727011277</v>
      </c>
      <c r="AD3008" s="39">
        <v>0.49040130928329323</v>
      </c>
      <c r="AE3008" s="39">
        <v>0.486445099338086</v>
      </c>
      <c r="AF3008" s="40">
        <v>0.48252891885754862</v>
      </c>
    </row>
    <row r="3009" spans="1:32">
      <c r="A3009" s="15">
        <v>3007</v>
      </c>
      <c r="B3009" s="16">
        <v>0</v>
      </c>
      <c r="C3009" s="20">
        <v>0.14000000000000001</v>
      </c>
      <c r="D3009" s="20">
        <v>0.90210852514735229</v>
      </c>
      <c r="E3009" s="20">
        <v>0.44</v>
      </c>
      <c r="F3009" s="8" t="s">
        <v>436</v>
      </c>
      <c r="G3009" s="24">
        <v>0.89634029827951367</v>
      </c>
      <c r="H3009" s="24">
        <v>0.9015298798093293</v>
      </c>
      <c r="I3009" s="25">
        <v>0.91729640696398329</v>
      </c>
      <c r="X3009" s="15">
        <v>3008</v>
      </c>
      <c r="Y3009" s="39">
        <v>0.4963227625395174</v>
      </c>
      <c r="Z3009" s="39">
        <v>0.48831465566311411</v>
      </c>
      <c r="AA3009" s="39">
        <v>0.47937196433280033</v>
      </c>
      <c r="AB3009" s="39">
        <v>0.49144779513050091</v>
      </c>
      <c r="AC3009" s="39">
        <v>0.48988255567703481</v>
      </c>
      <c r="AD3009" s="39">
        <v>0.47899852073714638</v>
      </c>
      <c r="AE3009" s="39">
        <v>0.47176418133034892</v>
      </c>
      <c r="AF3009" s="40">
        <v>0.48696411483038654</v>
      </c>
    </row>
    <row r="3010" spans="1:32">
      <c r="A3010" s="15">
        <v>3008</v>
      </c>
      <c r="B3010" s="16">
        <v>0</v>
      </c>
      <c r="C3010" s="20">
        <v>0.65</v>
      </c>
      <c r="D3010" s="20">
        <v>0.56475755416533835</v>
      </c>
      <c r="E3010" s="20">
        <v>0.04</v>
      </c>
      <c r="F3010" s="8" t="s">
        <v>438</v>
      </c>
      <c r="G3010" s="24">
        <v>2.2978924778487966</v>
      </c>
      <c r="H3010" s="24">
        <v>2.3111966887421773</v>
      </c>
      <c r="I3010" s="25">
        <v>1.6578926537592125</v>
      </c>
      <c r="X3010" s="15">
        <v>3009</v>
      </c>
      <c r="Y3010" s="39">
        <v>0.48400762690788629</v>
      </c>
      <c r="Z3010" s="39">
        <v>0.49535534594487407</v>
      </c>
      <c r="AA3010" s="39">
        <v>0.48865687215425435</v>
      </c>
      <c r="AB3010" s="39">
        <v>0.49154345198305793</v>
      </c>
      <c r="AC3010" s="39">
        <v>0.48086202676463446</v>
      </c>
      <c r="AD3010" s="39">
        <v>0.48754210935544445</v>
      </c>
      <c r="AE3010" s="39">
        <v>0.48194468634218196</v>
      </c>
      <c r="AF3010" s="40">
        <v>0.486290678143735</v>
      </c>
    </row>
    <row r="3011" spans="1:32">
      <c r="A3011" s="15">
        <v>3009</v>
      </c>
      <c r="B3011" s="16">
        <v>0</v>
      </c>
      <c r="C3011" s="20">
        <v>0.15</v>
      </c>
      <c r="D3011" s="20">
        <v>0.90426920981862491</v>
      </c>
      <c r="E3011" s="20">
        <v>0.5</v>
      </c>
      <c r="F3011" s="8" t="s">
        <v>436</v>
      </c>
      <c r="G3011" s="24">
        <v>1.0053822270865358</v>
      </c>
      <c r="H3011" s="24">
        <v>1.0112031335504179</v>
      </c>
      <c r="I3011" s="25">
        <v>1.0288876962266609</v>
      </c>
      <c r="X3011" s="15">
        <v>3010</v>
      </c>
      <c r="Y3011" s="39">
        <v>0.49371514281930617</v>
      </c>
      <c r="Z3011" s="39">
        <v>0.48505392867309366</v>
      </c>
      <c r="AA3011" s="39">
        <v>0.48117137825632422</v>
      </c>
      <c r="AB3011" s="39">
        <v>0.48278974677549386</v>
      </c>
      <c r="AC3011" s="39">
        <v>0.48672072965007118</v>
      </c>
      <c r="AD3011" s="39">
        <v>0.47743973489352726</v>
      </c>
      <c r="AE3011" s="39">
        <v>0.47384591686363875</v>
      </c>
      <c r="AF3011" s="40">
        <v>0.47934049523234123</v>
      </c>
    </row>
    <row r="3012" spans="1:32">
      <c r="A3012" s="15">
        <v>3010</v>
      </c>
      <c r="B3012" s="16">
        <v>0</v>
      </c>
      <c r="C3012" s="20">
        <v>0.9</v>
      </c>
      <c r="D3012" s="20">
        <v>0.231595386583653</v>
      </c>
      <c r="E3012" s="20">
        <v>0.1</v>
      </c>
      <c r="F3012" s="8" t="s">
        <v>434</v>
      </c>
      <c r="G3012" s="24">
        <v>1.1966742441640574</v>
      </c>
      <c r="H3012" s="24">
        <v>1.2036026825781734</v>
      </c>
      <c r="I3012" s="25">
        <v>1.2246520507724883</v>
      </c>
      <c r="X3012" s="15">
        <v>3011</v>
      </c>
      <c r="Y3012" s="39">
        <v>0.48843908535258634</v>
      </c>
      <c r="Z3012" s="39">
        <v>0.47333386370359504</v>
      </c>
      <c r="AA3012" s="39">
        <v>0.48071345689322159</v>
      </c>
      <c r="AB3012" s="39">
        <v>0.49402974292083823</v>
      </c>
      <c r="AC3012" s="39">
        <v>0.48125739951702834</v>
      </c>
      <c r="AD3012" s="39">
        <v>0.46914183672176657</v>
      </c>
      <c r="AE3012" s="39">
        <v>0.47315562208881873</v>
      </c>
      <c r="AF3012" s="40">
        <v>0.49008560831769105</v>
      </c>
    </row>
    <row r="3013" spans="1:32">
      <c r="A3013" s="15">
        <v>3011</v>
      </c>
      <c r="B3013" s="16">
        <v>0</v>
      </c>
      <c r="C3013" s="20">
        <v>0.02</v>
      </c>
      <c r="D3013" s="20">
        <v>0.99756714174924133</v>
      </c>
      <c r="E3013" s="20">
        <v>1</v>
      </c>
      <c r="F3013" s="8" t="s">
        <v>436</v>
      </c>
      <c r="G3013" s="24">
        <v>0.97941330759276035</v>
      </c>
      <c r="H3013" s="24">
        <v>0.98508386064152453</v>
      </c>
      <c r="I3013" s="25">
        <v>1.0023116328831954</v>
      </c>
      <c r="X3013" s="15">
        <v>3012</v>
      </c>
      <c r="Y3013" s="39">
        <v>0.48214655488330155</v>
      </c>
      <c r="Z3013" s="39">
        <v>0.48511671426357544</v>
      </c>
      <c r="AA3013" s="39">
        <v>0.49146956579678064</v>
      </c>
      <c r="AB3013" s="39">
        <v>0.50506931606195982</v>
      </c>
      <c r="AC3013" s="39">
        <v>0.4763750360665413</v>
      </c>
      <c r="AD3013" s="39">
        <v>0.47889935534120109</v>
      </c>
      <c r="AE3013" s="39">
        <v>0.48777899564418142</v>
      </c>
      <c r="AF3013" s="40">
        <v>0.50077140619906146</v>
      </c>
    </row>
    <row r="3014" spans="1:32">
      <c r="A3014" s="15">
        <v>3012</v>
      </c>
      <c r="B3014" s="16">
        <v>1</v>
      </c>
      <c r="C3014" s="20">
        <v>0.93</v>
      </c>
      <c r="D3014" s="20">
        <v>0.18747949848141848</v>
      </c>
      <c r="E3014" s="20">
        <v>7.0000000000000007E-2</v>
      </c>
      <c r="F3014" s="8" t="s">
        <v>434</v>
      </c>
      <c r="G3014" s="24">
        <v>0.43628412215908152</v>
      </c>
      <c r="H3014" s="24">
        <v>0.438810095861764</v>
      </c>
      <c r="I3014" s="25">
        <v>0.44648428553321895</v>
      </c>
      <c r="X3014" s="15">
        <v>3013</v>
      </c>
      <c r="Y3014" s="39">
        <v>0.47427568399482284</v>
      </c>
      <c r="Z3014" s="39">
        <v>0.47224207957198744</v>
      </c>
      <c r="AA3014" s="39">
        <v>0.49682707002531584</v>
      </c>
      <c r="AB3014" s="39">
        <v>0.49374136123010409</v>
      </c>
      <c r="AC3014" s="39">
        <v>0.46696847588725399</v>
      </c>
      <c r="AD3014" s="39">
        <v>0.46582074189837397</v>
      </c>
      <c r="AE3014" s="39">
        <v>0.48859430277687366</v>
      </c>
      <c r="AF3014" s="40">
        <v>0.48795123464372825</v>
      </c>
    </row>
    <row r="3015" spans="1:32">
      <c r="A3015" s="15">
        <v>3013</v>
      </c>
      <c r="B3015" s="16">
        <v>0</v>
      </c>
      <c r="C3015" s="20">
        <v>0.16</v>
      </c>
      <c r="D3015" s="20">
        <v>0.88104674800489713</v>
      </c>
      <c r="E3015" s="20">
        <v>0.06</v>
      </c>
      <c r="F3015" s="8" t="s">
        <v>436</v>
      </c>
      <c r="G3015" s="24">
        <v>1.0522523376206729</v>
      </c>
      <c r="H3015" s="24">
        <v>1.0583446100606193</v>
      </c>
      <c r="I3015" s="25">
        <v>1.0768536128204962</v>
      </c>
      <c r="X3015" s="15">
        <v>3014</v>
      </c>
      <c r="Y3015" s="39">
        <v>0.49530794023138069</v>
      </c>
      <c r="Z3015" s="39">
        <v>0.48861899615053794</v>
      </c>
      <c r="AA3015" s="39">
        <v>0.49777055345998011</v>
      </c>
      <c r="AB3015" s="39">
        <v>0.49005354863499134</v>
      </c>
      <c r="AC3015" s="39">
        <v>0.48666716070639449</v>
      </c>
      <c r="AD3015" s="39">
        <v>0.47908352589813608</v>
      </c>
      <c r="AE3015" s="39">
        <v>0.49015357096542028</v>
      </c>
      <c r="AF3015" s="40">
        <v>0.48217027200195628</v>
      </c>
    </row>
    <row r="3016" spans="1:32">
      <c r="A3016" s="15">
        <v>3014</v>
      </c>
      <c r="B3016" s="16">
        <v>1</v>
      </c>
      <c r="C3016" s="20">
        <v>0.24</v>
      </c>
      <c r="D3016" s="20">
        <v>0.80592692873344796</v>
      </c>
      <c r="E3016" s="20">
        <v>7.0000000000000007E-2</v>
      </c>
      <c r="F3016" s="8" t="s">
        <v>436</v>
      </c>
      <c r="G3016" s="24">
        <v>0.89411583063473687</v>
      </c>
      <c r="H3016" s="24">
        <v>0.89929253306470047</v>
      </c>
      <c r="I3016" s="25">
        <v>0.91501993207840904</v>
      </c>
      <c r="X3016" s="15">
        <v>3015</v>
      </c>
      <c r="Y3016" s="39">
        <v>0.48693013735714108</v>
      </c>
      <c r="Z3016" s="39">
        <v>0.48895335328863054</v>
      </c>
      <c r="AA3016" s="39">
        <v>0.4985298531672121</v>
      </c>
      <c r="AB3016" s="39">
        <v>0.49603995448349725</v>
      </c>
      <c r="AC3016" s="39">
        <v>0.48251619606420143</v>
      </c>
      <c r="AD3016" s="39">
        <v>0.48096652777493154</v>
      </c>
      <c r="AE3016" s="39">
        <v>0.49132804346405834</v>
      </c>
      <c r="AF3016" s="40">
        <v>0.490951215256686</v>
      </c>
    </row>
    <row r="3017" spans="1:32">
      <c r="A3017" s="15">
        <v>3015</v>
      </c>
      <c r="B3017" s="16">
        <v>1</v>
      </c>
      <c r="C3017" s="20">
        <v>0.28000000000000003</v>
      </c>
      <c r="D3017" s="20">
        <v>0.78491925557012354</v>
      </c>
      <c r="E3017" s="20">
        <v>0.39</v>
      </c>
      <c r="F3017" s="8" t="s">
        <v>436</v>
      </c>
      <c r="G3017" s="24">
        <v>0.9649349856907512</v>
      </c>
      <c r="H3017" s="24">
        <v>0.97052171295139711</v>
      </c>
      <c r="I3017" s="25">
        <v>0.98749481310495579</v>
      </c>
      <c r="X3017" s="15">
        <v>3016</v>
      </c>
      <c r="Y3017" s="39">
        <v>0.48308005306021795</v>
      </c>
      <c r="Z3017" s="39">
        <v>0.47908620126797596</v>
      </c>
      <c r="AA3017" s="39">
        <v>0.47262831772261399</v>
      </c>
      <c r="AB3017" s="39">
        <v>0.48914209252279517</v>
      </c>
      <c r="AC3017" s="39">
        <v>0.47583143140327522</v>
      </c>
      <c r="AD3017" s="39">
        <v>0.46936758552616503</v>
      </c>
      <c r="AE3017" s="39">
        <v>0.46703768025794584</v>
      </c>
      <c r="AF3017" s="40">
        <v>0.4851709924201128</v>
      </c>
    </row>
    <row r="3018" spans="1:32">
      <c r="A3018" s="15">
        <v>3016</v>
      </c>
      <c r="B3018" s="16">
        <v>1</v>
      </c>
      <c r="C3018" s="20">
        <v>0.33</v>
      </c>
      <c r="D3018" s="20">
        <v>0.60655179648945723</v>
      </c>
      <c r="E3018" s="20">
        <v>0.08</v>
      </c>
      <c r="F3018" s="8" t="s">
        <v>436</v>
      </c>
      <c r="G3018" s="24">
        <v>0.80520373123274913</v>
      </c>
      <c r="H3018" s="24">
        <v>0.80986565530261956</v>
      </c>
      <c r="I3018" s="25">
        <v>0.82402910027756693</v>
      </c>
      <c r="X3018" s="15">
        <v>3017</v>
      </c>
      <c r="Y3018" s="39">
        <v>0.47551062052438808</v>
      </c>
      <c r="Z3018" s="39">
        <v>0.47724276007353383</v>
      </c>
      <c r="AA3018" s="39">
        <v>0.4920516542592982</v>
      </c>
      <c r="AB3018" s="39">
        <v>0.47548842294880928</v>
      </c>
      <c r="AC3018" s="39">
        <v>0.4689409211558741</v>
      </c>
      <c r="AD3018" s="39">
        <v>0.47086041766805886</v>
      </c>
      <c r="AE3018" s="39">
        <v>0.48525520627076796</v>
      </c>
      <c r="AF3018" s="40">
        <v>0.47141081561164599</v>
      </c>
    </row>
    <row r="3019" spans="1:32">
      <c r="A3019" s="15">
        <v>3017</v>
      </c>
      <c r="B3019" s="16">
        <v>0</v>
      </c>
      <c r="C3019" s="20">
        <v>0.02</v>
      </c>
      <c r="D3019" s="20">
        <v>0.99835916395484214</v>
      </c>
      <c r="E3019" s="20">
        <v>1</v>
      </c>
      <c r="F3019" s="8" t="s">
        <v>436</v>
      </c>
      <c r="G3019" s="24">
        <v>1.5834164379188749</v>
      </c>
      <c r="H3019" s="24">
        <v>1.5925840149161414</v>
      </c>
      <c r="I3019" s="25">
        <v>1.6204361357161239</v>
      </c>
      <c r="X3019" s="15">
        <v>3018</v>
      </c>
      <c r="Y3019" s="39">
        <v>0.48048393845301546</v>
      </c>
      <c r="Z3019" s="39">
        <v>0.48949618141695084</v>
      </c>
      <c r="AA3019" s="39">
        <v>0.48062120323292756</v>
      </c>
      <c r="AB3019" s="39">
        <v>0.48773236754137284</v>
      </c>
      <c r="AC3019" s="39">
        <v>0.4756529262847653</v>
      </c>
      <c r="AD3019" s="39">
        <v>0.48342521248230502</v>
      </c>
      <c r="AE3019" s="39">
        <v>0.47511292278316769</v>
      </c>
      <c r="AF3019" s="40">
        <v>0.48343376314251296</v>
      </c>
    </row>
    <row r="3020" spans="1:32">
      <c r="A3020" s="15">
        <v>3018</v>
      </c>
      <c r="B3020" s="16">
        <v>0</v>
      </c>
      <c r="C3020" s="20">
        <v>0.03</v>
      </c>
      <c r="D3020" s="20">
        <v>0.99415958227269285</v>
      </c>
      <c r="E3020" s="20">
        <v>1</v>
      </c>
      <c r="F3020" s="8" t="s">
        <v>436</v>
      </c>
      <c r="G3020" s="24">
        <v>1.1893372266458739</v>
      </c>
      <c r="H3020" s="24">
        <v>1.1962231856013854</v>
      </c>
      <c r="I3020" s="25">
        <v>1.2171434964654022</v>
      </c>
      <c r="X3020" s="15">
        <v>3019</v>
      </c>
      <c r="Y3020" s="39">
        <v>0.49802347600113117</v>
      </c>
      <c r="Z3020" s="39">
        <v>0.48043785424848945</v>
      </c>
      <c r="AA3020" s="39">
        <v>0.48754383536493506</v>
      </c>
      <c r="AB3020" s="39">
        <v>0.47582486745160313</v>
      </c>
      <c r="AC3020" s="39">
        <v>0.49023868288864836</v>
      </c>
      <c r="AD3020" s="39">
        <v>0.47535421826787472</v>
      </c>
      <c r="AE3020" s="39">
        <v>0.48086699195000132</v>
      </c>
      <c r="AF3020" s="40">
        <v>0.4712254454216302</v>
      </c>
    </row>
    <row r="3021" spans="1:32">
      <c r="A3021" s="15">
        <v>3019</v>
      </c>
      <c r="B3021" s="16">
        <v>0</v>
      </c>
      <c r="C3021" s="20">
        <v>0.49</v>
      </c>
      <c r="D3021" s="20">
        <v>0.47377149093663967</v>
      </c>
      <c r="E3021" s="20">
        <v>0.06</v>
      </c>
      <c r="F3021" s="8" t="s">
        <v>436</v>
      </c>
      <c r="G3021" s="24">
        <v>1.0512904791320079</v>
      </c>
      <c r="H3021" s="24">
        <v>1.0573771826568261</v>
      </c>
      <c r="I3021" s="25">
        <v>1.0758692664317935</v>
      </c>
      <c r="X3021" s="15">
        <v>3020</v>
      </c>
      <c r="Y3021" s="39">
        <v>0.49283159033665896</v>
      </c>
      <c r="Z3021" s="39">
        <v>0.47995406349220943</v>
      </c>
      <c r="AA3021" s="39">
        <v>0.48092119470658656</v>
      </c>
      <c r="AB3021" s="39">
        <v>0.50087293330053884</v>
      </c>
      <c r="AC3021" s="39">
        <v>0.48490513057358664</v>
      </c>
      <c r="AD3021" s="39">
        <v>0.47342557962113829</v>
      </c>
      <c r="AE3021" s="39">
        <v>0.47577077454426531</v>
      </c>
      <c r="AF3021" s="40">
        <v>0.49730812071424602</v>
      </c>
    </row>
    <row r="3022" spans="1:32">
      <c r="A3022" s="15">
        <v>3020</v>
      </c>
      <c r="B3022" s="16">
        <v>1</v>
      </c>
      <c r="C3022" s="20">
        <v>0.13</v>
      </c>
      <c r="D3022" s="20">
        <v>0.90345641361087259</v>
      </c>
      <c r="E3022" s="20">
        <v>0.11</v>
      </c>
      <c r="F3022" s="8" t="s">
        <v>436</v>
      </c>
      <c r="G3022" s="24">
        <v>1.0130675559137945</v>
      </c>
      <c r="H3022" s="24">
        <v>1.0189329584698517</v>
      </c>
      <c r="I3022" s="25">
        <v>1.0367527052339685</v>
      </c>
      <c r="X3022" s="15">
        <v>3021</v>
      </c>
      <c r="Y3022" s="39">
        <v>0.49358582693601843</v>
      </c>
      <c r="Z3022" s="39">
        <v>0.48345383117159185</v>
      </c>
      <c r="AA3022" s="39">
        <v>0.47749403349607605</v>
      </c>
      <c r="AB3022" s="39">
        <v>0.487982806220915</v>
      </c>
      <c r="AC3022" s="39">
        <v>0.4867456864648656</v>
      </c>
      <c r="AD3022" s="39">
        <v>0.47584160280128468</v>
      </c>
      <c r="AE3022" s="39">
        <v>0.47194805950703222</v>
      </c>
      <c r="AF3022" s="40">
        <v>0.48202708048004839</v>
      </c>
    </row>
    <row r="3023" spans="1:32">
      <c r="A3023" s="15">
        <v>3021</v>
      </c>
      <c r="B3023" s="16">
        <v>1</v>
      </c>
      <c r="C3023" s="20">
        <v>0.1</v>
      </c>
      <c r="D3023" s="20">
        <v>0.92535547295278742</v>
      </c>
      <c r="E3023" s="20">
        <v>0.4</v>
      </c>
      <c r="F3023" s="8" t="s">
        <v>436</v>
      </c>
      <c r="G3023" s="24">
        <v>0.96504277773749791</v>
      </c>
      <c r="H3023" s="24">
        <v>0.97063012908657986</v>
      </c>
      <c r="I3023" s="25">
        <v>0.98760512529037225</v>
      </c>
      <c r="X3023" s="15">
        <v>3022</v>
      </c>
      <c r="Y3023" s="39">
        <v>0.4916450991086328</v>
      </c>
      <c r="Z3023" s="39">
        <v>0.4815609825192641</v>
      </c>
      <c r="AA3023" s="39">
        <v>0.47668013954635691</v>
      </c>
      <c r="AB3023" s="39">
        <v>0.50071795800007846</v>
      </c>
      <c r="AC3023" s="39">
        <v>0.48607211599385036</v>
      </c>
      <c r="AD3023" s="39">
        <v>0.47459653135931479</v>
      </c>
      <c r="AE3023" s="39">
        <v>0.47010319323771071</v>
      </c>
      <c r="AF3023" s="40">
        <v>0.49429052810323604</v>
      </c>
    </row>
    <row r="3024" spans="1:32">
      <c r="A3024" s="15">
        <v>3022</v>
      </c>
      <c r="B3024" s="16">
        <v>0</v>
      </c>
      <c r="C3024" s="20">
        <v>0.08</v>
      </c>
      <c r="D3024" s="20">
        <v>0.93649801832192026</v>
      </c>
      <c r="E3024" s="20">
        <v>0.1</v>
      </c>
      <c r="F3024" s="8" t="s">
        <v>436</v>
      </c>
      <c r="G3024" s="24">
        <v>0.90641993578120883</v>
      </c>
      <c r="H3024" s="24">
        <v>0.91166787583926034</v>
      </c>
      <c r="I3024" s="25">
        <v>0.92761170270774451</v>
      </c>
      <c r="X3024" s="15">
        <v>3023</v>
      </c>
      <c r="Y3024" s="39">
        <v>0.49112913650004797</v>
      </c>
      <c r="Z3024" s="39">
        <v>0.47998130008055162</v>
      </c>
      <c r="AA3024" s="39">
        <v>0.49271281077947565</v>
      </c>
      <c r="AB3024" s="39">
        <v>0.48774474180828803</v>
      </c>
      <c r="AC3024" s="39">
        <v>0.48714220342775838</v>
      </c>
      <c r="AD3024" s="39">
        <v>0.47401401365059709</v>
      </c>
      <c r="AE3024" s="39">
        <v>0.48519022049261601</v>
      </c>
      <c r="AF3024" s="40">
        <v>0.48461938452725445</v>
      </c>
    </row>
    <row r="3025" spans="1:32">
      <c r="A3025" s="15">
        <v>3023</v>
      </c>
      <c r="B3025" s="16">
        <v>1</v>
      </c>
      <c r="C3025" s="20">
        <v>0.95</v>
      </c>
      <c r="D3025" s="20">
        <v>0.15570568692893463</v>
      </c>
      <c r="E3025" s="20">
        <v>0.05</v>
      </c>
      <c r="F3025" s="8" t="s">
        <v>434</v>
      </c>
      <c r="G3025" s="24">
        <v>0.53970131329173543</v>
      </c>
      <c r="H3025" s="24">
        <v>0.54282604613310392</v>
      </c>
      <c r="I3025" s="25">
        <v>0.55231933280977086</v>
      </c>
      <c r="X3025" s="15">
        <v>3024</v>
      </c>
      <c r="Y3025" s="39">
        <v>0.4838172853152331</v>
      </c>
      <c r="Z3025" s="39">
        <v>0.48161776992521793</v>
      </c>
      <c r="AA3025" s="39">
        <v>0.47875630572879063</v>
      </c>
      <c r="AB3025" s="39">
        <v>0.48509928042841216</v>
      </c>
      <c r="AC3025" s="39">
        <v>0.47688194358905517</v>
      </c>
      <c r="AD3025" s="39">
        <v>0.47068867394278785</v>
      </c>
      <c r="AE3025" s="39">
        <v>0.47436426370403384</v>
      </c>
      <c r="AF3025" s="40">
        <v>0.47998649127304238</v>
      </c>
    </row>
    <row r="3026" spans="1:32">
      <c r="A3026" s="15">
        <v>3024</v>
      </c>
      <c r="B3026" s="16">
        <v>1</v>
      </c>
      <c r="C3026" s="20">
        <v>0.41</v>
      </c>
      <c r="D3026" s="20">
        <v>0.60230367195830159</v>
      </c>
      <c r="E3026" s="20">
        <v>7.0000000000000007E-2</v>
      </c>
      <c r="F3026" s="8" t="s">
        <v>436</v>
      </c>
      <c r="G3026" s="24">
        <v>1.0175855479146829</v>
      </c>
      <c r="H3026" s="24">
        <v>1.0234771084911758</v>
      </c>
      <c r="I3026" s="25">
        <v>1.0413763262371318</v>
      </c>
      <c r="X3026" s="15">
        <v>3025</v>
      </c>
      <c r="Y3026" s="39">
        <v>0.49409962496582333</v>
      </c>
      <c r="Z3026" s="39">
        <v>0.48203722774770424</v>
      </c>
      <c r="AA3026" s="39">
        <v>0.47419244093383633</v>
      </c>
      <c r="AB3026" s="39">
        <v>0.49266508679923859</v>
      </c>
      <c r="AC3026" s="39">
        <v>0.48660492314642623</v>
      </c>
      <c r="AD3026" s="39">
        <v>0.47288414578201071</v>
      </c>
      <c r="AE3026" s="39">
        <v>0.46738269728946574</v>
      </c>
      <c r="AF3026" s="40">
        <v>0.49021447822037445</v>
      </c>
    </row>
    <row r="3027" spans="1:32">
      <c r="A3027" s="15">
        <v>3025</v>
      </c>
      <c r="B3027" s="16">
        <v>1</v>
      </c>
      <c r="C3027" s="20">
        <v>0.56000000000000005</v>
      </c>
      <c r="D3027" s="20">
        <v>0.4619161928037816</v>
      </c>
      <c r="E3027" s="20">
        <v>7.0000000000000007E-2</v>
      </c>
      <c r="F3027" s="8" t="s">
        <v>438</v>
      </c>
      <c r="G3027" s="24">
        <v>0.62948619586390786</v>
      </c>
      <c r="H3027" s="24">
        <v>0.63313076025714077</v>
      </c>
      <c r="I3027" s="25">
        <v>0.64420335313243415</v>
      </c>
      <c r="X3027" s="15">
        <v>3026</v>
      </c>
      <c r="Y3027" s="39">
        <v>0.47381748497960202</v>
      </c>
      <c r="Z3027" s="39">
        <v>0.48440203757671019</v>
      </c>
      <c r="AA3027" s="39">
        <v>0.47526125526573826</v>
      </c>
      <c r="AB3027" s="39">
        <v>0.48575736844047285</v>
      </c>
      <c r="AC3027" s="39">
        <v>0.46685595632280263</v>
      </c>
      <c r="AD3027" s="39">
        <v>0.47395324188099641</v>
      </c>
      <c r="AE3027" s="39">
        <v>0.46587521986255526</v>
      </c>
      <c r="AF3027" s="40">
        <v>0.4789946320306383</v>
      </c>
    </row>
    <row r="3028" spans="1:32">
      <c r="A3028" s="15">
        <v>3026</v>
      </c>
      <c r="B3028" s="16">
        <v>0</v>
      </c>
      <c r="C3028" s="20">
        <v>0.92</v>
      </c>
      <c r="D3028" s="20">
        <v>0.20258497911151899</v>
      </c>
      <c r="E3028" s="20">
        <v>0.08</v>
      </c>
      <c r="F3028" s="8" t="s">
        <v>434</v>
      </c>
      <c r="G3028" s="24">
        <v>1.1281556809519695</v>
      </c>
      <c r="H3028" s="24">
        <v>1.134687414374937</v>
      </c>
      <c r="I3028" s="25">
        <v>1.1545315485866285</v>
      </c>
      <c r="X3028" s="15">
        <v>3027</v>
      </c>
      <c r="Y3028" s="39">
        <v>0.4799709062752977</v>
      </c>
      <c r="Z3028" s="39">
        <v>0.47991856175711239</v>
      </c>
      <c r="AA3028" s="39">
        <v>0.48892896237801042</v>
      </c>
      <c r="AB3028" s="39">
        <v>0.49386312289340378</v>
      </c>
      <c r="AC3028" s="39">
        <v>0.47060838705889502</v>
      </c>
      <c r="AD3028" s="39">
        <v>0.47220466509790182</v>
      </c>
      <c r="AE3028" s="39">
        <v>0.48408638674330079</v>
      </c>
      <c r="AF3028" s="40">
        <v>0.4909361579618815</v>
      </c>
    </row>
    <row r="3029" spans="1:32">
      <c r="A3029" s="15">
        <v>3027</v>
      </c>
      <c r="B3029" s="16">
        <v>1</v>
      </c>
      <c r="C3029" s="20">
        <v>0.54</v>
      </c>
      <c r="D3029" s="20">
        <v>0.63662982680318769</v>
      </c>
      <c r="E3029" s="20">
        <v>0.46</v>
      </c>
      <c r="F3029" s="8" t="s">
        <v>438</v>
      </c>
      <c r="G3029" s="24">
        <v>0.86565320687479652</v>
      </c>
      <c r="H3029" s="24">
        <v>0.87066511797847679</v>
      </c>
      <c r="I3029" s="25">
        <v>0.88589186257414221</v>
      </c>
      <c r="X3029" s="15">
        <v>3028</v>
      </c>
      <c r="Y3029" s="39">
        <v>0.49332554268773754</v>
      </c>
      <c r="Z3029" s="39">
        <v>0.4882827640351769</v>
      </c>
      <c r="AA3029" s="39">
        <v>0.48095097562829747</v>
      </c>
      <c r="AB3029" s="39">
        <v>0.49318889133590249</v>
      </c>
      <c r="AC3029" s="39">
        <v>0.48453502796706582</v>
      </c>
      <c r="AD3029" s="39">
        <v>0.48159957327667269</v>
      </c>
      <c r="AE3029" s="39">
        <v>0.47412773945965309</v>
      </c>
      <c r="AF3029" s="40">
        <v>0.48495982676174343</v>
      </c>
    </row>
    <row r="3030" spans="1:32">
      <c r="A3030" s="15">
        <v>3028</v>
      </c>
      <c r="B3030" s="16">
        <v>1</v>
      </c>
      <c r="C3030" s="20">
        <v>0.02</v>
      </c>
      <c r="D3030" s="20">
        <v>0.99835916395484214</v>
      </c>
      <c r="E3030" s="20">
        <v>1</v>
      </c>
      <c r="F3030" s="8" t="s">
        <v>436</v>
      </c>
      <c r="G3030" s="24">
        <v>1.1407741321830105</v>
      </c>
      <c r="H3030" s="24">
        <v>1.1473789232176566</v>
      </c>
      <c r="I3030" s="25">
        <v>1.16744501459714</v>
      </c>
      <c r="X3030" s="15">
        <v>3029</v>
      </c>
      <c r="Y3030" s="39">
        <v>0.49634352399409548</v>
      </c>
      <c r="Z3030" s="39">
        <v>0.48280641501239246</v>
      </c>
      <c r="AA3030" s="39">
        <v>0.47917622586097924</v>
      </c>
      <c r="AB3030" s="39">
        <v>0.48671440819626488</v>
      </c>
      <c r="AC3030" s="39">
        <v>0.48780710988750248</v>
      </c>
      <c r="AD3030" s="39">
        <v>0.47696758254756483</v>
      </c>
      <c r="AE3030" s="39">
        <v>0.47103678248379188</v>
      </c>
      <c r="AF3030" s="40">
        <v>0.48188653975547768</v>
      </c>
    </row>
    <row r="3031" spans="1:32">
      <c r="A3031" s="15">
        <v>3029</v>
      </c>
      <c r="B3031" s="16">
        <v>0</v>
      </c>
      <c r="C3031" s="20">
        <v>0.12</v>
      </c>
      <c r="D3031" s="20">
        <v>0.92284409009155999</v>
      </c>
      <c r="E3031" s="20">
        <v>0.09</v>
      </c>
      <c r="F3031" s="8" t="s">
        <v>436</v>
      </c>
      <c r="G3031" s="24">
        <v>1.1785506700791082</v>
      </c>
      <c r="H3031" s="24">
        <v>1.1853741776254432</v>
      </c>
      <c r="I3031" s="25">
        <v>1.2061047541471108</v>
      </c>
      <c r="X3031" s="15">
        <v>3030</v>
      </c>
      <c r="Y3031" s="39">
        <v>0.49054259629238778</v>
      </c>
      <c r="Z3031" s="39">
        <v>0.49545529155465623</v>
      </c>
      <c r="AA3031" s="39">
        <v>0.49840789819735587</v>
      </c>
      <c r="AB3031" s="39">
        <v>0.48630643039621113</v>
      </c>
      <c r="AC3031" s="39">
        <v>0.48303690187916815</v>
      </c>
      <c r="AD3031" s="39">
        <v>0.48823826500504275</v>
      </c>
      <c r="AE3031" s="39">
        <v>0.49156472399762585</v>
      </c>
      <c r="AF3031" s="40">
        <v>0.47876640008549215</v>
      </c>
    </row>
    <row r="3032" spans="1:32">
      <c r="A3032" s="15">
        <v>3030</v>
      </c>
      <c r="B3032" s="16">
        <v>1</v>
      </c>
      <c r="C3032" s="20">
        <v>0.02</v>
      </c>
      <c r="D3032" s="20">
        <v>0.99756714174924133</v>
      </c>
      <c r="E3032" s="20">
        <v>1</v>
      </c>
      <c r="F3032" s="8" t="s">
        <v>436</v>
      </c>
      <c r="G3032" s="24">
        <v>1.1136824746665457</v>
      </c>
      <c r="H3032" s="24">
        <v>1.1201304119195092</v>
      </c>
      <c r="I3032" s="25">
        <v>1.1397199640262212</v>
      </c>
      <c r="X3032" s="15">
        <v>3031</v>
      </c>
      <c r="Y3032" s="39">
        <v>0.48540949382308418</v>
      </c>
      <c r="Z3032" s="39">
        <v>0.48176296319690626</v>
      </c>
      <c r="AA3032" s="39">
        <v>0.47554735070386822</v>
      </c>
      <c r="AB3032" s="39">
        <v>0.47523508702141515</v>
      </c>
      <c r="AC3032" s="39">
        <v>0.47886031397878731</v>
      </c>
      <c r="AD3032" s="39">
        <v>0.47486835347045941</v>
      </c>
      <c r="AE3032" s="39">
        <v>0.46729855205607906</v>
      </c>
      <c r="AF3032" s="40">
        <v>0.47042182395320803</v>
      </c>
    </row>
    <row r="3033" spans="1:32">
      <c r="A3033" s="15">
        <v>3031</v>
      </c>
      <c r="B3033" s="16">
        <v>0</v>
      </c>
      <c r="C3033" s="20">
        <v>0.93</v>
      </c>
      <c r="D3033" s="20">
        <v>0.18747949848141848</v>
      </c>
      <c r="E3033" s="20">
        <v>7.0000000000000007E-2</v>
      </c>
      <c r="F3033" s="8" t="s">
        <v>434</v>
      </c>
      <c r="G3033" s="24">
        <v>0.53218858615201314</v>
      </c>
      <c r="H3033" s="24">
        <v>0.53526982222091957</v>
      </c>
      <c r="I3033" s="25">
        <v>0.54463096085439211</v>
      </c>
      <c r="X3033" s="15">
        <v>3032</v>
      </c>
      <c r="Y3033" s="39">
        <v>0.49294454979657609</v>
      </c>
      <c r="Z3033" s="39">
        <v>0.4826526740680514</v>
      </c>
      <c r="AA3033" s="39">
        <v>0.47665306362113247</v>
      </c>
      <c r="AB3033" s="39">
        <v>0.48151485343610656</v>
      </c>
      <c r="AC3033" s="39">
        <v>0.48350977851342791</v>
      </c>
      <c r="AD3033" s="39">
        <v>0.47580310677305249</v>
      </c>
      <c r="AE3033" s="39">
        <v>0.47205269038167941</v>
      </c>
      <c r="AF3033" s="40">
        <v>0.47507139071103588</v>
      </c>
    </row>
    <row r="3034" spans="1:32">
      <c r="A3034" s="15">
        <v>3032</v>
      </c>
      <c r="B3034" s="16">
        <v>0</v>
      </c>
      <c r="C3034" s="20">
        <v>0.02</v>
      </c>
      <c r="D3034" s="20">
        <v>0.99756714174924133</v>
      </c>
      <c r="E3034" s="20">
        <v>1</v>
      </c>
      <c r="F3034" s="8" t="s">
        <v>436</v>
      </c>
      <c r="G3034" s="24">
        <v>1.0409798035867055</v>
      </c>
      <c r="H3034" s="24">
        <v>1.0470068109319894</v>
      </c>
      <c r="I3034" s="25">
        <v>1.0653175310593781</v>
      </c>
      <c r="X3034" s="15">
        <v>3033</v>
      </c>
      <c r="Y3034" s="39">
        <v>0.48598570411587255</v>
      </c>
      <c r="Z3034" s="39">
        <v>0.49453084900689348</v>
      </c>
      <c r="AA3034" s="39">
        <v>0.48756239401979584</v>
      </c>
      <c r="AB3034" s="39">
        <v>0.48684518642381081</v>
      </c>
      <c r="AC3034" s="39">
        <v>0.47568719969735052</v>
      </c>
      <c r="AD3034" s="39">
        <v>0.48616390285074984</v>
      </c>
      <c r="AE3034" s="39">
        <v>0.48258218980105033</v>
      </c>
      <c r="AF3034" s="40">
        <v>0.48030005346935978</v>
      </c>
    </row>
    <row r="3035" spans="1:32">
      <c r="A3035" s="15">
        <v>3033</v>
      </c>
      <c r="B3035" s="16">
        <v>1</v>
      </c>
      <c r="C3035" s="20">
        <v>0.02</v>
      </c>
      <c r="D3035" s="20">
        <v>0.99917029198757767</v>
      </c>
      <c r="E3035" s="20">
        <v>1</v>
      </c>
      <c r="F3035" s="8" t="s">
        <v>436</v>
      </c>
      <c r="G3035" s="24">
        <v>0.96735496909233998</v>
      </c>
      <c r="H3035" s="24">
        <v>0.97295570743916315</v>
      </c>
      <c r="I3035" s="25">
        <v>0.98997137483430209</v>
      </c>
      <c r="X3035" s="15">
        <v>3034</v>
      </c>
      <c r="Y3035" s="39">
        <v>0.4772595930015176</v>
      </c>
      <c r="Z3035" s="39">
        <v>0.49259683315077429</v>
      </c>
      <c r="AA3035" s="39">
        <v>0.48964709867902445</v>
      </c>
      <c r="AB3035" s="39">
        <v>0.4870493932943295</v>
      </c>
      <c r="AC3035" s="39">
        <v>0.46688091818745636</v>
      </c>
      <c r="AD3035" s="39">
        <v>0.48501179347809231</v>
      </c>
      <c r="AE3035" s="39">
        <v>0.48176516100450612</v>
      </c>
      <c r="AF3035" s="40">
        <v>0.48328932469812824</v>
      </c>
    </row>
    <row r="3036" spans="1:32">
      <c r="A3036" s="15">
        <v>3034</v>
      </c>
      <c r="B3036" s="16">
        <v>0</v>
      </c>
      <c r="C3036" s="20">
        <v>0.78</v>
      </c>
      <c r="D3036" s="20">
        <v>0.38492729313249729</v>
      </c>
      <c r="E3036" s="20">
        <v>0.22</v>
      </c>
      <c r="F3036" s="8" t="s">
        <v>438</v>
      </c>
      <c r="G3036" s="24">
        <v>1.0430972701925094</v>
      </c>
      <c r="H3036" s="24">
        <v>1.0491365371289427</v>
      </c>
      <c r="I3036" s="25">
        <v>1.0674845032607823</v>
      </c>
      <c r="X3036" s="15">
        <v>3035</v>
      </c>
      <c r="Y3036" s="39">
        <v>0.47154561978849002</v>
      </c>
      <c r="Z3036" s="39">
        <v>0.48586619785745305</v>
      </c>
      <c r="AA3036" s="39">
        <v>0.49127969538885852</v>
      </c>
      <c r="AB3036" s="39">
        <v>0.47768330429953665</v>
      </c>
      <c r="AC3036" s="39">
        <v>0.4666691022426287</v>
      </c>
      <c r="AD3036" s="39">
        <v>0.47918102662987899</v>
      </c>
      <c r="AE3036" s="39">
        <v>0.48459850500714552</v>
      </c>
      <c r="AF3036" s="40">
        <v>0.47541666485828393</v>
      </c>
    </row>
    <row r="3037" spans="1:32">
      <c r="A3037" s="15">
        <v>3035</v>
      </c>
      <c r="B3037" s="16">
        <v>1</v>
      </c>
      <c r="C3037" s="20">
        <v>0.23</v>
      </c>
      <c r="D3037" s="20">
        <v>0.73245671040457672</v>
      </c>
      <c r="E3037" s="20">
        <v>0.09</v>
      </c>
      <c r="F3037" s="8" t="s">
        <v>436</v>
      </c>
      <c r="G3037" s="24">
        <v>0.90238276985876553</v>
      </c>
      <c r="H3037" s="24">
        <v>0.90760733575664132</v>
      </c>
      <c r="I3037" s="25">
        <v>0.92348014932106437</v>
      </c>
      <c r="X3037" s="15">
        <v>3036</v>
      </c>
      <c r="Y3037" s="39">
        <v>0.50094625249235314</v>
      </c>
      <c r="Z3037" s="39">
        <v>0.47506460280748469</v>
      </c>
      <c r="AA3037" s="39">
        <v>0.48037197482342853</v>
      </c>
      <c r="AB3037" s="39">
        <v>0.48607067042252999</v>
      </c>
      <c r="AC3037" s="39">
        <v>0.49387777359721385</v>
      </c>
      <c r="AD3037" s="39">
        <v>0.46704164261335185</v>
      </c>
      <c r="AE3037" s="39">
        <v>0.4743132642371205</v>
      </c>
      <c r="AF3037" s="40">
        <v>0.47952315571740556</v>
      </c>
    </row>
    <row r="3038" spans="1:32">
      <c r="A3038" s="15">
        <v>3036</v>
      </c>
      <c r="B3038" s="16">
        <v>0</v>
      </c>
      <c r="C3038" s="20">
        <v>0.93</v>
      </c>
      <c r="D3038" s="20">
        <v>0.18747949848141848</v>
      </c>
      <c r="E3038" s="20">
        <v>7.0000000000000007E-2</v>
      </c>
      <c r="F3038" s="8" t="s">
        <v>434</v>
      </c>
      <c r="G3038" s="24">
        <v>0.64564907255032389</v>
      </c>
      <c r="H3038" s="24">
        <v>0.64938721587388215</v>
      </c>
      <c r="I3038" s="25">
        <v>0.66074411197046645</v>
      </c>
      <c r="X3038" s="15">
        <v>3037</v>
      </c>
      <c r="Y3038" s="39">
        <v>0.47298446519645793</v>
      </c>
      <c r="Z3038" s="39">
        <v>0.48353112168348794</v>
      </c>
      <c r="AA3038" s="39">
        <v>0.48065592361873416</v>
      </c>
      <c r="AB3038" s="39">
        <v>0.50304967022652991</v>
      </c>
      <c r="AC3038" s="39">
        <v>0.46985577111155646</v>
      </c>
      <c r="AD3038" s="39">
        <v>0.47723208631198422</v>
      </c>
      <c r="AE3038" s="39">
        <v>0.47273295784391794</v>
      </c>
      <c r="AF3038" s="40">
        <v>0.49853475900681521</v>
      </c>
    </row>
    <row r="3039" spans="1:32">
      <c r="A3039" s="15">
        <v>3037</v>
      </c>
      <c r="B3039" s="16">
        <v>1</v>
      </c>
      <c r="C3039" s="20">
        <v>0.02</v>
      </c>
      <c r="D3039" s="20">
        <v>0.99679477127711513</v>
      </c>
      <c r="E3039" s="20">
        <v>1</v>
      </c>
      <c r="F3039" s="8" t="s">
        <v>436</v>
      </c>
      <c r="G3039" s="24">
        <v>1.0665931387246002</v>
      </c>
      <c r="H3039" s="24">
        <v>1.072768440742347</v>
      </c>
      <c r="I3039" s="25">
        <v>1.0915296966146395</v>
      </c>
      <c r="X3039" s="15">
        <v>3038</v>
      </c>
      <c r="Y3039" s="39">
        <v>0.49053399355857752</v>
      </c>
      <c r="Z3039" s="39">
        <v>0.45918359589020841</v>
      </c>
      <c r="AA3039" s="39">
        <v>0.46972360795553336</v>
      </c>
      <c r="AB3039" s="39">
        <v>0.47528290478888574</v>
      </c>
      <c r="AC3039" s="39">
        <v>0.48583716395621468</v>
      </c>
      <c r="AD3039" s="39">
        <v>0.45220059516365257</v>
      </c>
      <c r="AE3039" s="39">
        <v>0.46031611613189904</v>
      </c>
      <c r="AF3039" s="40">
        <v>0.47009655995017141</v>
      </c>
    </row>
    <row r="3040" spans="1:32">
      <c r="A3040" s="15">
        <v>3038</v>
      </c>
      <c r="B3040" s="16">
        <v>1</v>
      </c>
      <c r="C3040" s="20">
        <v>0.9</v>
      </c>
      <c r="D3040" s="20">
        <v>0.231595386583653</v>
      </c>
      <c r="E3040" s="20">
        <v>0.1</v>
      </c>
      <c r="F3040" s="8" t="s">
        <v>434</v>
      </c>
      <c r="G3040" s="24">
        <v>1.151832751701011</v>
      </c>
      <c r="H3040" s="24">
        <v>1.158501569319875</v>
      </c>
      <c r="I3040" s="25">
        <v>1.1787621805990642</v>
      </c>
      <c r="X3040" s="15">
        <v>3039</v>
      </c>
      <c r="Y3040" s="39">
        <v>0.4786441256391043</v>
      </c>
      <c r="Z3040" s="39">
        <v>0.48459248923409426</v>
      </c>
      <c r="AA3040" s="39">
        <v>0.49746903289811095</v>
      </c>
      <c r="AB3040" s="39">
        <v>0.48468744441083683</v>
      </c>
      <c r="AC3040" s="39">
        <v>0.47150251639414409</v>
      </c>
      <c r="AD3040" s="39">
        <v>0.47445962956440035</v>
      </c>
      <c r="AE3040" s="39">
        <v>0.48894367083474999</v>
      </c>
      <c r="AF3040" s="40">
        <v>0.48080530170631119</v>
      </c>
    </row>
    <row r="3041" spans="1:32">
      <c r="A3041" s="15">
        <v>3039</v>
      </c>
      <c r="B3041" s="16">
        <v>1</v>
      </c>
      <c r="C3041" s="20">
        <v>0.17</v>
      </c>
      <c r="D3041" s="20">
        <v>0.84650471287479201</v>
      </c>
      <c r="E3041" s="20">
        <v>7.0000000000000007E-2</v>
      </c>
      <c r="F3041" s="8" t="s">
        <v>436</v>
      </c>
      <c r="G3041" s="24">
        <v>1.0988821888779532</v>
      </c>
      <c r="H3041" s="24">
        <v>1.1052444362540788</v>
      </c>
      <c r="I3041" s="25">
        <v>1.1245736529633636</v>
      </c>
      <c r="X3041" s="15">
        <v>3040</v>
      </c>
      <c r="Y3041" s="39">
        <v>0.47764308762742375</v>
      </c>
      <c r="Z3041" s="39">
        <v>0.48487940244171329</v>
      </c>
      <c r="AA3041" s="39">
        <v>0.50399490344872755</v>
      </c>
      <c r="AB3041" s="39">
        <v>0.48144782635004751</v>
      </c>
      <c r="AC3041" s="39">
        <v>0.47362062834850638</v>
      </c>
      <c r="AD3041" s="39">
        <v>0.48052817040909984</v>
      </c>
      <c r="AE3041" s="39">
        <v>0.4944516253148708</v>
      </c>
      <c r="AF3041" s="40">
        <v>0.47571427346504042</v>
      </c>
    </row>
    <row r="3042" spans="1:32">
      <c r="A3042" s="15">
        <v>3040</v>
      </c>
      <c r="B3042" s="16">
        <v>0</v>
      </c>
      <c r="C3042" s="20">
        <v>0.92</v>
      </c>
      <c r="D3042" s="20">
        <v>0.20258497911151899</v>
      </c>
      <c r="E3042" s="20">
        <v>0.08</v>
      </c>
      <c r="F3042" s="8" t="s">
        <v>434</v>
      </c>
      <c r="G3042" s="24">
        <v>0.89441496631434692</v>
      </c>
      <c r="H3042" s="24">
        <v>0.89959340066353888</v>
      </c>
      <c r="I3042" s="25">
        <v>0.91532606144091544</v>
      </c>
      <c r="X3042" s="15">
        <v>3041</v>
      </c>
      <c r="Y3042" s="39">
        <v>0.49245035591214659</v>
      </c>
      <c r="Z3042" s="39">
        <v>0.48034212032101781</v>
      </c>
      <c r="AA3042" s="39">
        <v>0.47254600108024397</v>
      </c>
      <c r="AB3042" s="39">
        <v>0.49188216015592828</v>
      </c>
      <c r="AC3042" s="39">
        <v>0.4855635503779171</v>
      </c>
      <c r="AD3042" s="39">
        <v>0.47721901865348515</v>
      </c>
      <c r="AE3042" s="39">
        <v>0.46531397415281678</v>
      </c>
      <c r="AF3042" s="40">
        <v>0.48845995114327906</v>
      </c>
    </row>
    <row r="3043" spans="1:32">
      <c r="A3043" s="15">
        <v>3041</v>
      </c>
      <c r="B3043" s="16">
        <v>0</v>
      </c>
      <c r="C3043" s="20">
        <v>0.55000000000000004</v>
      </c>
      <c r="D3043" s="20">
        <v>0.46869321308179662</v>
      </c>
      <c r="E3043" s="20">
        <v>0.11</v>
      </c>
      <c r="F3043" s="8" t="s">
        <v>438</v>
      </c>
      <c r="G3043" s="24">
        <v>0.99243357827948286</v>
      </c>
      <c r="H3043" s="24">
        <v>0.99817951537200666</v>
      </c>
      <c r="I3043" s="25">
        <v>1.0156363127414523</v>
      </c>
      <c r="X3043" s="15">
        <v>3042</v>
      </c>
      <c r="Y3043" s="39">
        <v>0.47715059564156487</v>
      </c>
      <c r="Z3043" s="39">
        <v>0.4941941603941345</v>
      </c>
      <c r="AA3043" s="39">
        <v>0.49637824750777482</v>
      </c>
      <c r="AB3043" s="39">
        <v>0.48329265028375062</v>
      </c>
      <c r="AC3043" s="39">
        <v>0.47005716813473969</v>
      </c>
      <c r="AD3043" s="39">
        <v>0.48821919317944845</v>
      </c>
      <c r="AE3043" s="39">
        <v>0.48922789443819681</v>
      </c>
      <c r="AF3043" s="40">
        <v>0.48031793883911172</v>
      </c>
    </row>
    <row r="3044" spans="1:32">
      <c r="A3044" s="15">
        <v>3042</v>
      </c>
      <c r="B3044" s="16">
        <v>1</v>
      </c>
      <c r="C3044" s="20">
        <v>0.12</v>
      </c>
      <c r="D3044" s="20">
        <v>0.90929403028790867</v>
      </c>
      <c r="E3044" s="20">
        <v>0.06</v>
      </c>
      <c r="F3044" s="8" t="s">
        <v>436</v>
      </c>
      <c r="G3044" s="24">
        <v>1.2269341460469914</v>
      </c>
      <c r="H3044" s="24">
        <v>1.2340377815689547</v>
      </c>
      <c r="I3044" s="25">
        <v>1.255619418105606</v>
      </c>
      <c r="X3044" s="15">
        <v>3043</v>
      </c>
      <c r="Y3044" s="39">
        <v>0.48460918431040545</v>
      </c>
      <c r="Z3044" s="39">
        <v>0.47964772502793118</v>
      </c>
      <c r="AA3044" s="39">
        <v>0.47155867454010725</v>
      </c>
      <c r="AB3044" s="39">
        <v>0.4752076186005727</v>
      </c>
      <c r="AC3044" s="39">
        <v>0.47660988943580102</v>
      </c>
      <c r="AD3044" s="39">
        <v>0.47305437923351656</v>
      </c>
      <c r="AE3044" s="39">
        <v>0.46357066041709238</v>
      </c>
      <c r="AF3044" s="40">
        <v>0.47247973251361935</v>
      </c>
    </row>
    <row r="3045" spans="1:32">
      <c r="A3045" s="15">
        <v>3043</v>
      </c>
      <c r="B3045" s="16">
        <v>1</v>
      </c>
      <c r="C3045" s="20">
        <v>0.02</v>
      </c>
      <c r="D3045" s="20">
        <v>0.99917029198757767</v>
      </c>
      <c r="E3045" s="20">
        <v>1</v>
      </c>
      <c r="F3045" s="8" t="s">
        <v>436</v>
      </c>
      <c r="G3045" s="24">
        <v>1.153361561655891</v>
      </c>
      <c r="H3045" s="24">
        <v>1.1600392306941543</v>
      </c>
      <c r="I3045" s="25">
        <v>1.1803267335721193</v>
      </c>
      <c r="X3045" s="15">
        <v>3044</v>
      </c>
      <c r="Y3045" s="39">
        <v>0.48407373594610653</v>
      </c>
      <c r="Z3045" s="39">
        <v>0.49020316128700825</v>
      </c>
      <c r="AA3045" s="39">
        <v>0.50345834982840787</v>
      </c>
      <c r="AB3045" s="39">
        <v>0.48456279522340989</v>
      </c>
      <c r="AC3045" s="39">
        <v>0.47713596695056443</v>
      </c>
      <c r="AD3045" s="39">
        <v>0.4826604251197954</v>
      </c>
      <c r="AE3045" s="39">
        <v>0.49404627711316168</v>
      </c>
      <c r="AF3045" s="40">
        <v>0.48060986006444201</v>
      </c>
    </row>
    <row r="3046" spans="1:32">
      <c r="A3046" s="15">
        <v>3044</v>
      </c>
      <c r="B3046" s="16">
        <v>1</v>
      </c>
      <c r="C3046" s="20">
        <v>0.1</v>
      </c>
      <c r="D3046" s="20">
        <v>0.91346137034536756</v>
      </c>
      <c r="E3046" s="20">
        <v>0.1</v>
      </c>
      <c r="F3046" s="8" t="s">
        <v>436</v>
      </c>
      <c r="G3046" s="24">
        <v>1.1840818491862095</v>
      </c>
      <c r="H3046" s="24">
        <v>1.190937380847702</v>
      </c>
      <c r="I3046" s="25">
        <v>1.2117652502008496</v>
      </c>
      <c r="X3046" s="15">
        <v>3045</v>
      </c>
      <c r="Y3046" s="39">
        <v>0.5057504472840999</v>
      </c>
      <c r="Z3046" s="39">
        <v>0.48107772720573461</v>
      </c>
      <c r="AA3046" s="39">
        <v>0.49542506569066308</v>
      </c>
      <c r="AB3046" s="39">
        <v>0.48582555688388851</v>
      </c>
      <c r="AC3046" s="39">
        <v>0.49593817968089116</v>
      </c>
      <c r="AD3046" s="39">
        <v>0.47587217077425131</v>
      </c>
      <c r="AE3046" s="39">
        <v>0.48853558270517916</v>
      </c>
      <c r="AF3046" s="40">
        <v>0.48305820982636904</v>
      </c>
    </row>
    <row r="3047" spans="1:32">
      <c r="A3047" s="15">
        <v>3045</v>
      </c>
      <c r="B3047" s="16">
        <v>1</v>
      </c>
      <c r="C3047" s="20">
        <v>0.24</v>
      </c>
      <c r="D3047" s="20">
        <v>0.86714370631311599</v>
      </c>
      <c r="E3047" s="20">
        <v>0.36</v>
      </c>
      <c r="F3047" s="8" t="s">
        <v>436</v>
      </c>
      <c r="G3047" s="24">
        <v>0.86576173907177578</v>
      </c>
      <c r="H3047" s="24">
        <v>0.87077427854917289</v>
      </c>
      <c r="I3047" s="25">
        <v>0.88600293221423321</v>
      </c>
      <c r="X3047" s="15">
        <v>3046</v>
      </c>
      <c r="Y3047" s="39">
        <v>0.49880272163870887</v>
      </c>
      <c r="Z3047" s="39">
        <v>0.48236469167450641</v>
      </c>
      <c r="AA3047" s="39">
        <v>0.46597961161153528</v>
      </c>
      <c r="AB3047" s="39">
        <v>0.50226956225897912</v>
      </c>
      <c r="AC3047" s="39">
        <v>0.49376890541051427</v>
      </c>
      <c r="AD3047" s="39">
        <v>0.47505917438039752</v>
      </c>
      <c r="AE3047" s="39">
        <v>0.46012355187804754</v>
      </c>
      <c r="AF3047" s="40">
        <v>0.49945148549948715</v>
      </c>
    </row>
    <row r="3048" spans="1:32">
      <c r="A3048" s="15">
        <v>3046</v>
      </c>
      <c r="B3048" s="16">
        <v>0</v>
      </c>
      <c r="C3048" s="20">
        <v>0.3</v>
      </c>
      <c r="D3048" s="20">
        <v>0.81176856817734022</v>
      </c>
      <c r="E3048" s="20">
        <v>0.05</v>
      </c>
      <c r="F3048" s="8" t="s">
        <v>436</v>
      </c>
      <c r="G3048" s="24">
        <v>0.53736452014667946</v>
      </c>
      <c r="H3048" s="24">
        <v>0.54047572355222118</v>
      </c>
      <c r="I3048" s="25">
        <v>0.54992790629476052</v>
      </c>
      <c r="X3048" s="15">
        <v>3047</v>
      </c>
      <c r="Y3048" s="39">
        <v>0.49863258579506609</v>
      </c>
      <c r="Z3048" s="39">
        <v>0.47212312861756228</v>
      </c>
      <c r="AA3048" s="39">
        <v>0.5005442139902333</v>
      </c>
      <c r="AB3048" s="39">
        <v>0.48520226362925928</v>
      </c>
      <c r="AC3048" s="39">
        <v>0.4914438969284779</v>
      </c>
      <c r="AD3048" s="39">
        <v>0.4649561144710862</v>
      </c>
      <c r="AE3048" s="39">
        <v>0.49704258393126266</v>
      </c>
      <c r="AF3048" s="40">
        <v>0.48068741632225664</v>
      </c>
    </row>
    <row r="3049" spans="1:32">
      <c r="A3049" s="15">
        <v>3047</v>
      </c>
      <c r="B3049" s="16">
        <v>0</v>
      </c>
      <c r="C3049" s="20">
        <v>0.9</v>
      </c>
      <c r="D3049" s="20">
        <v>0.231595386583653</v>
      </c>
      <c r="E3049" s="20">
        <v>0.1</v>
      </c>
      <c r="F3049" s="8" t="s">
        <v>434</v>
      </c>
      <c r="G3049" s="24">
        <v>1.2153798040906316</v>
      </c>
      <c r="H3049" s="24">
        <v>1.2224165429219955</v>
      </c>
      <c r="I3049" s="25">
        <v>1.2437949398558321</v>
      </c>
      <c r="X3049" s="15">
        <v>3048</v>
      </c>
      <c r="Y3049" s="39">
        <v>0.50506392415249424</v>
      </c>
      <c r="Z3049" s="39">
        <v>0.49107167063491652</v>
      </c>
      <c r="AA3049" s="39">
        <v>0.50479684005511438</v>
      </c>
      <c r="AB3049" s="39">
        <v>0.4933219410315472</v>
      </c>
      <c r="AC3049" s="39">
        <v>0.49378964660202662</v>
      </c>
      <c r="AD3049" s="39">
        <v>0.48256261010350704</v>
      </c>
      <c r="AE3049" s="39">
        <v>0.49718029358876903</v>
      </c>
      <c r="AF3049" s="40">
        <v>0.48958379864732815</v>
      </c>
    </row>
    <row r="3050" spans="1:32">
      <c r="A3050" s="15">
        <v>3048</v>
      </c>
      <c r="B3050" s="16">
        <v>1</v>
      </c>
      <c r="C3050" s="20">
        <v>0.02</v>
      </c>
      <c r="D3050" s="20">
        <v>0.99679477127711513</v>
      </c>
      <c r="E3050" s="20">
        <v>1</v>
      </c>
      <c r="F3050" s="8" t="s">
        <v>436</v>
      </c>
      <c r="G3050" s="24">
        <v>1.081348063879878</v>
      </c>
      <c r="H3050" s="24">
        <v>1.0876087931479745</v>
      </c>
      <c r="I3050" s="25">
        <v>1.1066295865291487</v>
      </c>
      <c r="X3050" s="15">
        <v>3049</v>
      </c>
      <c r="Y3050" s="39">
        <v>0.49075203964501729</v>
      </c>
      <c r="Z3050" s="39">
        <v>0.48540205344563819</v>
      </c>
      <c r="AA3050" s="39">
        <v>0.49910834488434136</v>
      </c>
      <c r="AB3050" s="39">
        <v>0.48746760663891892</v>
      </c>
      <c r="AC3050" s="39">
        <v>0.48455655037992262</v>
      </c>
      <c r="AD3050" s="39">
        <v>0.4800251140464189</v>
      </c>
      <c r="AE3050" s="39">
        <v>0.49142312211641592</v>
      </c>
      <c r="AF3050" s="40">
        <v>0.48506875982065339</v>
      </c>
    </row>
    <row r="3051" spans="1:32">
      <c r="A3051" s="15">
        <v>3049</v>
      </c>
      <c r="B3051" s="16">
        <v>0</v>
      </c>
      <c r="C3051" s="20">
        <v>0.08</v>
      </c>
      <c r="D3051" s="20">
        <v>0.93481310630155889</v>
      </c>
      <c r="E3051" s="20">
        <v>0.11</v>
      </c>
      <c r="F3051" s="8" t="s">
        <v>436</v>
      </c>
      <c r="G3051" s="24">
        <v>1.4023031536841259</v>
      </c>
      <c r="H3051" s="24">
        <v>1.4104221309961245</v>
      </c>
      <c r="I3051" s="25">
        <v>1.4350884890680038</v>
      </c>
      <c r="X3051" s="15">
        <v>3050</v>
      </c>
      <c r="Y3051" s="39">
        <v>0.48521354035157543</v>
      </c>
      <c r="Z3051" s="39">
        <v>0.48889779014671059</v>
      </c>
      <c r="AA3051" s="39">
        <v>0.48444549556935884</v>
      </c>
      <c r="AB3051" s="39">
        <v>0.48545101103461646</v>
      </c>
      <c r="AC3051" s="39">
        <v>0.47371866792493716</v>
      </c>
      <c r="AD3051" s="39">
        <v>0.48035805834243467</v>
      </c>
      <c r="AE3051" s="39">
        <v>0.47806537053700704</v>
      </c>
      <c r="AF3051" s="40">
        <v>0.48170752702009156</v>
      </c>
    </row>
    <row r="3052" spans="1:32">
      <c r="A3052" s="15">
        <v>3050</v>
      </c>
      <c r="B3052" s="16">
        <v>0</v>
      </c>
      <c r="C3052" s="20">
        <v>0.14000000000000001</v>
      </c>
      <c r="D3052" s="20">
        <v>0.8887942931317746</v>
      </c>
      <c r="E3052" s="20">
        <v>0.08</v>
      </c>
      <c r="F3052" s="8" t="s">
        <v>436</v>
      </c>
      <c r="G3052" s="24">
        <v>0.95378831313365209</v>
      </c>
      <c r="H3052" s="24">
        <v>0.9593105040054597</v>
      </c>
      <c r="I3052" s="25">
        <v>0.97608753541604998</v>
      </c>
      <c r="X3052" s="15">
        <v>3051</v>
      </c>
      <c r="Y3052" s="39">
        <v>0.48002679103482748</v>
      </c>
      <c r="Z3052" s="39">
        <v>0.49736935111986424</v>
      </c>
      <c r="AA3052" s="39">
        <v>0.48651868342602406</v>
      </c>
      <c r="AB3052" s="39">
        <v>0.5028905128706761</v>
      </c>
      <c r="AC3052" s="39">
        <v>0.47268099029404087</v>
      </c>
      <c r="AD3052" s="39">
        <v>0.48933823715373759</v>
      </c>
      <c r="AE3052" s="39">
        <v>0.48079305317109089</v>
      </c>
      <c r="AF3052" s="40">
        <v>0.4986117501318324</v>
      </c>
    </row>
    <row r="3053" spans="1:32">
      <c r="A3053" s="15">
        <v>3051</v>
      </c>
      <c r="B3053" s="16">
        <v>1</v>
      </c>
      <c r="C3053" s="20">
        <v>0.52</v>
      </c>
      <c r="D3053" s="20">
        <v>0.46779958368494978</v>
      </c>
      <c r="E3053" s="20">
        <v>0.09</v>
      </c>
      <c r="F3053" s="8" t="s">
        <v>438</v>
      </c>
      <c r="G3053" s="24">
        <v>0.91845795850075862</v>
      </c>
      <c r="H3053" s="24">
        <v>0.92377559563756551</v>
      </c>
      <c r="I3053" s="25">
        <v>0.93993117000023307</v>
      </c>
      <c r="X3053" s="15">
        <v>3052</v>
      </c>
      <c r="Y3053" s="39">
        <v>0.48478289730440005</v>
      </c>
      <c r="Z3053" s="39">
        <v>0.47071763930857258</v>
      </c>
      <c r="AA3053" s="39">
        <v>0.47770108493337332</v>
      </c>
      <c r="AB3053" s="39">
        <v>0.48140391040956182</v>
      </c>
      <c r="AC3053" s="39">
        <v>0.47810193884014979</v>
      </c>
      <c r="AD3053" s="39">
        <v>0.46481761214423672</v>
      </c>
      <c r="AE3053" s="39">
        <v>0.47122147042550949</v>
      </c>
      <c r="AF3053" s="40">
        <v>0.47842043960969283</v>
      </c>
    </row>
    <row r="3054" spans="1:32">
      <c r="A3054" s="15">
        <v>3052</v>
      </c>
      <c r="B3054" s="16">
        <v>0</v>
      </c>
      <c r="C3054" s="20">
        <v>0.94</v>
      </c>
      <c r="D3054" s="20">
        <v>0.17188516685452584</v>
      </c>
      <c r="E3054" s="20">
        <v>0.06</v>
      </c>
      <c r="F3054" s="8" t="s">
        <v>434</v>
      </c>
      <c r="G3054" s="24">
        <v>0.68905339398298693</v>
      </c>
      <c r="H3054" s="24">
        <v>0.69304283724837923</v>
      </c>
      <c r="I3054" s="25">
        <v>0.70516321057990539</v>
      </c>
      <c r="X3054" s="15">
        <v>3053</v>
      </c>
      <c r="Y3054" s="39">
        <v>0.49405897299311635</v>
      </c>
      <c r="Z3054" s="39">
        <v>0.48260277488416142</v>
      </c>
      <c r="AA3054" s="39">
        <v>0.49740630060364077</v>
      </c>
      <c r="AB3054" s="39">
        <v>0.4899451881168243</v>
      </c>
      <c r="AC3054" s="39">
        <v>0.48563320681150968</v>
      </c>
      <c r="AD3054" s="39">
        <v>0.47250613916854944</v>
      </c>
      <c r="AE3054" s="39">
        <v>0.48989562158776689</v>
      </c>
      <c r="AF3054" s="40">
        <v>0.48827688954041515</v>
      </c>
    </row>
    <row r="3055" spans="1:32">
      <c r="A3055" s="15">
        <v>3053</v>
      </c>
      <c r="B3055" s="16">
        <v>1</v>
      </c>
      <c r="C3055" s="20">
        <v>0.02</v>
      </c>
      <c r="D3055" s="20">
        <v>0.99917029198757767</v>
      </c>
      <c r="E3055" s="20">
        <v>1</v>
      </c>
      <c r="F3055" s="8" t="s">
        <v>436</v>
      </c>
      <c r="G3055" s="24">
        <v>1.0922580896351139</v>
      </c>
      <c r="H3055" s="24">
        <v>1.0985819851674719</v>
      </c>
      <c r="I3055" s="25">
        <v>1.1177946847004256</v>
      </c>
      <c r="X3055" s="15">
        <v>3054</v>
      </c>
      <c r="Y3055" s="39">
        <v>0.46967449630719599</v>
      </c>
      <c r="Z3055" s="39">
        <v>0.48384495612868378</v>
      </c>
      <c r="AA3055" s="39">
        <v>0.47730896016982627</v>
      </c>
      <c r="AB3055" s="39">
        <v>0.47795334336804401</v>
      </c>
      <c r="AC3055" s="39">
        <v>0.4641594861593839</v>
      </c>
      <c r="AD3055" s="39">
        <v>0.47717475376065094</v>
      </c>
      <c r="AE3055" s="39">
        <v>0.47120310920146008</v>
      </c>
      <c r="AF3055" s="40">
        <v>0.47209892905564549</v>
      </c>
    </row>
    <row r="3056" spans="1:32">
      <c r="A3056" s="15">
        <v>3054</v>
      </c>
      <c r="B3056" s="16">
        <v>0</v>
      </c>
      <c r="C3056" s="20">
        <v>0.86</v>
      </c>
      <c r="D3056" s="20">
        <v>0.28597383862931031</v>
      </c>
      <c r="E3056" s="20">
        <v>0.14000000000000001</v>
      </c>
      <c r="F3056" s="8" t="s">
        <v>434</v>
      </c>
      <c r="G3056" s="24">
        <v>1.1854688287189195</v>
      </c>
      <c r="H3056" s="24">
        <v>1.1923323906378698</v>
      </c>
      <c r="I3056" s="25">
        <v>1.2131846568082838</v>
      </c>
      <c r="X3056" s="15">
        <v>3055</v>
      </c>
      <c r="Y3056" s="39">
        <v>0.48465083792402858</v>
      </c>
      <c r="Z3056" s="39">
        <v>0.49302556700138822</v>
      </c>
      <c r="AA3056" s="39">
        <v>0.49519062898484367</v>
      </c>
      <c r="AB3056" s="39">
        <v>0.4970281800434207</v>
      </c>
      <c r="AC3056" s="39">
        <v>0.47726379773566857</v>
      </c>
      <c r="AD3056" s="39">
        <v>0.48690511773893319</v>
      </c>
      <c r="AE3056" s="39">
        <v>0.48713282893183996</v>
      </c>
      <c r="AF3056" s="40">
        <v>0.4923756466767209</v>
      </c>
    </row>
    <row r="3057" spans="1:32">
      <c r="A3057" s="15">
        <v>3055</v>
      </c>
      <c r="B3057" s="16">
        <v>1</v>
      </c>
      <c r="C3057" s="20">
        <v>0.02</v>
      </c>
      <c r="D3057" s="20">
        <v>0.99756714174924133</v>
      </c>
      <c r="E3057" s="20">
        <v>1</v>
      </c>
      <c r="F3057" s="8" t="s">
        <v>436</v>
      </c>
      <c r="G3057" s="24">
        <v>1.0622951146881499</v>
      </c>
      <c r="H3057" s="24">
        <v>1.0684455322438269</v>
      </c>
      <c r="I3057" s="25">
        <v>1.0871311863465547</v>
      </c>
      <c r="X3057" s="15">
        <v>3056</v>
      </c>
      <c r="Y3057" s="39">
        <v>0.48661751511856199</v>
      </c>
      <c r="Z3057" s="39">
        <v>0.49331443917920559</v>
      </c>
      <c r="AA3057" s="39">
        <v>0.48158270002696502</v>
      </c>
      <c r="AB3057" s="39">
        <v>0.49115235372907007</v>
      </c>
      <c r="AC3057" s="39">
        <v>0.48028677951344223</v>
      </c>
      <c r="AD3057" s="39">
        <v>0.48642840486457578</v>
      </c>
      <c r="AE3057" s="39">
        <v>0.47561804744910785</v>
      </c>
      <c r="AF3057" s="40">
        <v>0.48601768855092098</v>
      </c>
    </row>
    <row r="3058" spans="1:32">
      <c r="A3058" s="15">
        <v>3056</v>
      </c>
      <c r="B3058" s="16">
        <v>1</v>
      </c>
      <c r="C3058" s="20">
        <v>0.02</v>
      </c>
      <c r="D3058" s="20">
        <v>0.99604261948721451</v>
      </c>
      <c r="E3058" s="20">
        <v>1</v>
      </c>
      <c r="F3058" s="8" t="s">
        <v>436</v>
      </c>
      <c r="G3058" s="24">
        <v>1.001337493425527</v>
      </c>
      <c r="H3058" s="24">
        <v>1.0071349819139588</v>
      </c>
      <c r="I3058" s="25">
        <v>1.0247483981704524</v>
      </c>
      <c r="X3058" s="15">
        <v>3057</v>
      </c>
      <c r="Y3058" s="39">
        <v>0.47850844512851143</v>
      </c>
      <c r="Z3058" s="39">
        <v>0.4904443151710427</v>
      </c>
      <c r="AA3058" s="39">
        <v>0.49528861870437391</v>
      </c>
      <c r="AB3058" s="39">
        <v>0.50021131440259181</v>
      </c>
      <c r="AC3058" s="39">
        <v>0.47157063110854391</v>
      </c>
      <c r="AD3058" s="39">
        <v>0.48202800501174631</v>
      </c>
      <c r="AE3058" s="39">
        <v>0.48649485061439013</v>
      </c>
      <c r="AF3058" s="40">
        <v>0.49706362011412231</v>
      </c>
    </row>
    <row r="3059" spans="1:32">
      <c r="A3059" s="15">
        <v>3057</v>
      </c>
      <c r="B3059" s="16">
        <v>1</v>
      </c>
      <c r="C3059" s="20">
        <v>0.57999999999999996</v>
      </c>
      <c r="D3059" s="20">
        <v>0.59830068589289354</v>
      </c>
      <c r="E3059" s="20">
        <v>0.4</v>
      </c>
      <c r="F3059" s="8" t="s">
        <v>438</v>
      </c>
      <c r="G3059" s="24">
        <v>0.94277777805632901</v>
      </c>
      <c r="H3059" s="24">
        <v>0.94823622074055613</v>
      </c>
      <c r="I3059" s="25">
        <v>0.9648195780514579</v>
      </c>
      <c r="X3059" s="15">
        <v>3058</v>
      </c>
      <c r="Y3059" s="39">
        <v>0.47369028544661784</v>
      </c>
      <c r="Z3059" s="39">
        <v>0.48048198659968228</v>
      </c>
      <c r="AA3059" s="39">
        <v>0.47547406354196531</v>
      </c>
      <c r="AB3059" s="39">
        <v>0.48999248439776433</v>
      </c>
      <c r="AC3059" s="39">
        <v>0.46703335259963757</v>
      </c>
      <c r="AD3059" s="39">
        <v>0.47297538221569935</v>
      </c>
      <c r="AE3059" s="39">
        <v>0.46938572965337533</v>
      </c>
      <c r="AF3059" s="40">
        <v>0.48482326436531969</v>
      </c>
    </row>
    <row r="3060" spans="1:32">
      <c r="A3060" s="15">
        <v>3058</v>
      </c>
      <c r="B3060" s="16">
        <v>1</v>
      </c>
      <c r="C3060" s="20">
        <v>0.32</v>
      </c>
      <c r="D3060" s="20">
        <v>0.61289350543310672</v>
      </c>
      <c r="E3060" s="20">
        <v>7.0000000000000007E-2</v>
      </c>
      <c r="F3060" s="8" t="s">
        <v>436</v>
      </c>
      <c r="G3060" s="24">
        <v>0.88174599741277626</v>
      </c>
      <c r="H3060" s="24">
        <v>0.88685108166587245</v>
      </c>
      <c r="I3060" s="25">
        <v>0.90236089667519459</v>
      </c>
      <c r="X3060" s="15">
        <v>3059</v>
      </c>
      <c r="Y3060" s="39">
        <v>0.47808037143539206</v>
      </c>
      <c r="Z3060" s="39">
        <v>0.48241034503413494</v>
      </c>
      <c r="AA3060" s="39">
        <v>0.48191363568176548</v>
      </c>
      <c r="AB3060" s="39">
        <v>0.49367019163968362</v>
      </c>
      <c r="AC3060" s="39">
        <v>0.47222659715075188</v>
      </c>
      <c r="AD3060" s="39">
        <v>0.47586415216588868</v>
      </c>
      <c r="AE3060" s="39">
        <v>0.47405647408085477</v>
      </c>
      <c r="AF3060" s="40">
        <v>0.48852550092140096</v>
      </c>
    </row>
    <row r="3061" spans="1:32">
      <c r="A3061" s="15">
        <v>3059</v>
      </c>
      <c r="B3061" s="16">
        <v>1</v>
      </c>
      <c r="C3061" s="20">
        <v>0.24</v>
      </c>
      <c r="D3061" s="20">
        <v>0.82216025259488401</v>
      </c>
      <c r="E3061" s="20">
        <v>0.09</v>
      </c>
      <c r="F3061" s="8" t="s">
        <v>436</v>
      </c>
      <c r="G3061" s="24">
        <v>1.5269140430896184</v>
      </c>
      <c r="H3061" s="24">
        <v>1.5357544856434608</v>
      </c>
      <c r="I3061" s="25">
        <v>1.5626127355396267</v>
      </c>
      <c r="X3061" s="15">
        <v>3060</v>
      </c>
      <c r="Y3061" s="39">
        <v>0.48106423796851872</v>
      </c>
      <c r="Z3061" s="39">
        <v>0.4981254427449413</v>
      </c>
      <c r="AA3061" s="39">
        <v>0.48489195103898564</v>
      </c>
      <c r="AB3061" s="39">
        <v>0.50113623607603552</v>
      </c>
      <c r="AC3061" s="39">
        <v>0.47737495375367717</v>
      </c>
      <c r="AD3061" s="39">
        <v>0.49079355687325005</v>
      </c>
      <c r="AE3061" s="39">
        <v>0.47791781874637268</v>
      </c>
      <c r="AF3061" s="40">
        <v>0.49853251396005482</v>
      </c>
    </row>
    <row r="3062" spans="1:32">
      <c r="A3062" s="15">
        <v>3060</v>
      </c>
      <c r="B3062" s="16">
        <v>1</v>
      </c>
      <c r="C3062" s="20">
        <v>0.9</v>
      </c>
      <c r="D3062" s="20">
        <v>0.23159538658365303</v>
      </c>
      <c r="E3062" s="20">
        <v>0.1</v>
      </c>
      <c r="F3062" s="8" t="s">
        <v>434</v>
      </c>
      <c r="G3062" s="24">
        <v>1.1356721542935566</v>
      </c>
      <c r="H3062" s="24">
        <v>1.1422474061785388</v>
      </c>
      <c r="I3062" s="25">
        <v>1.1622237543287031</v>
      </c>
      <c r="X3062" s="15">
        <v>3061</v>
      </c>
      <c r="Y3062" s="39">
        <v>0.48890676253356968</v>
      </c>
      <c r="Z3062" s="39">
        <v>0.4930822479754538</v>
      </c>
      <c r="AA3062" s="39">
        <v>0.48811099628697535</v>
      </c>
      <c r="AB3062" s="39">
        <v>0.49154114001368282</v>
      </c>
      <c r="AC3062" s="39">
        <v>0.48119207968929723</v>
      </c>
      <c r="AD3062" s="39">
        <v>0.48563936987735651</v>
      </c>
      <c r="AE3062" s="39">
        <v>0.48141276050141979</v>
      </c>
      <c r="AF3062" s="40">
        <v>0.48564711418943446</v>
      </c>
    </row>
    <row r="3063" spans="1:32">
      <c r="A3063" s="15">
        <v>3061</v>
      </c>
      <c r="B3063" s="16">
        <v>1</v>
      </c>
      <c r="C3063" s="20">
        <v>0.95</v>
      </c>
      <c r="D3063" s="20">
        <v>0.15570568692893463</v>
      </c>
      <c r="E3063" s="20">
        <v>0.05</v>
      </c>
      <c r="F3063" s="8" t="s">
        <v>434</v>
      </c>
      <c r="G3063" s="24">
        <v>0.95337889675653975</v>
      </c>
      <c r="H3063" s="24">
        <v>0.95889871721203035</v>
      </c>
      <c r="I3063" s="25">
        <v>0.97566854703362627</v>
      </c>
      <c r="X3063" s="15">
        <v>3062</v>
      </c>
      <c r="Y3063" s="39">
        <v>0.47261701517018101</v>
      </c>
      <c r="Z3063" s="39">
        <v>0.47014963985452257</v>
      </c>
      <c r="AA3063" s="39">
        <v>0.49461273524028715</v>
      </c>
      <c r="AB3063" s="39">
        <v>0.47567917163968748</v>
      </c>
      <c r="AC3063" s="39">
        <v>0.46582713316329871</v>
      </c>
      <c r="AD3063" s="39">
        <v>0.46454010941772766</v>
      </c>
      <c r="AE3063" s="39">
        <v>0.48682411790526325</v>
      </c>
      <c r="AF3063" s="40">
        <v>0.47020197400261154</v>
      </c>
    </row>
    <row r="3064" spans="1:32">
      <c r="A3064" s="15">
        <v>3062</v>
      </c>
      <c r="B3064" s="16">
        <v>1</v>
      </c>
      <c r="C3064" s="20">
        <v>0.91</v>
      </c>
      <c r="D3064" s="20">
        <v>0.21727233298780477</v>
      </c>
      <c r="E3064" s="20">
        <v>0.09</v>
      </c>
      <c r="F3064" s="8" t="s">
        <v>434</v>
      </c>
      <c r="G3064" s="24">
        <v>0.66342104788391043</v>
      </c>
      <c r="H3064" s="24">
        <v>0.66726208640822737</v>
      </c>
      <c r="I3064" s="25">
        <v>0.67893158959413547</v>
      </c>
      <c r="X3064" s="15">
        <v>3063</v>
      </c>
      <c r="Y3064" s="39">
        <v>0.48707684888693698</v>
      </c>
      <c r="Z3064" s="39">
        <v>0.48850253343878075</v>
      </c>
      <c r="AA3064" s="39">
        <v>0.48583223778425805</v>
      </c>
      <c r="AB3064" s="39">
        <v>0.48432582529943746</v>
      </c>
      <c r="AC3064" s="39">
        <v>0.479752133280686</v>
      </c>
      <c r="AD3064" s="39">
        <v>0.48267429795839406</v>
      </c>
      <c r="AE3064" s="39">
        <v>0.48014089521183984</v>
      </c>
      <c r="AF3064" s="40">
        <v>0.48043824473259306</v>
      </c>
    </row>
    <row r="3065" spans="1:32">
      <c r="A3065" s="15">
        <v>3063</v>
      </c>
      <c r="B3065" s="16">
        <v>1</v>
      </c>
      <c r="C3065" s="20">
        <v>0.02</v>
      </c>
      <c r="D3065" s="20">
        <v>0.99756714174924133</v>
      </c>
      <c r="E3065" s="20">
        <v>1</v>
      </c>
      <c r="F3065" s="8" t="s">
        <v>436</v>
      </c>
      <c r="G3065" s="24">
        <v>1.0602873854739778</v>
      </c>
      <c r="H3065" s="24">
        <v>1.0664261787899918</v>
      </c>
      <c r="I3065" s="25">
        <v>1.0850765171569048</v>
      </c>
      <c r="X3065" s="15">
        <v>3064</v>
      </c>
      <c r="Y3065" s="39">
        <v>0.48564251918063955</v>
      </c>
      <c r="Z3065" s="39">
        <v>0.49419756330508463</v>
      </c>
      <c r="AA3065" s="39">
        <v>0.46933263096188971</v>
      </c>
      <c r="AB3065" s="39">
        <v>0.50290148455093286</v>
      </c>
      <c r="AC3065" s="39">
        <v>0.47521354248200703</v>
      </c>
      <c r="AD3065" s="39">
        <v>0.48814544623002287</v>
      </c>
      <c r="AE3065" s="39">
        <v>0.46439808976385061</v>
      </c>
      <c r="AF3065" s="40">
        <v>0.50091828425513596</v>
      </c>
    </row>
    <row r="3066" spans="1:32">
      <c r="A3066" s="15">
        <v>3064</v>
      </c>
      <c r="B3066" s="16">
        <v>0</v>
      </c>
      <c r="C3066" s="20">
        <v>0.02</v>
      </c>
      <c r="D3066" s="20">
        <v>0.99835916395484214</v>
      </c>
      <c r="E3066" s="20">
        <v>1</v>
      </c>
      <c r="F3066" s="8" t="s">
        <v>436</v>
      </c>
      <c r="G3066" s="24">
        <v>1.1528589926970012</v>
      </c>
      <c r="H3066" s="24">
        <v>1.1595337519892768</v>
      </c>
      <c r="I3066" s="25">
        <v>1.1798124147345905</v>
      </c>
      <c r="X3066" s="15">
        <v>3065</v>
      </c>
      <c r="Y3066" s="39">
        <v>0.48786000233636601</v>
      </c>
      <c r="Z3066" s="39">
        <v>0.50254428783325522</v>
      </c>
      <c r="AA3066" s="39">
        <v>0.47507189545025036</v>
      </c>
      <c r="AB3066" s="39">
        <v>0.49792285311273993</v>
      </c>
      <c r="AC3066" s="39">
        <v>0.48116158820941018</v>
      </c>
      <c r="AD3066" s="39">
        <v>0.4949172692776545</v>
      </c>
      <c r="AE3066" s="39">
        <v>0.47033097558316078</v>
      </c>
      <c r="AF3066" s="40">
        <v>0.49345576440859251</v>
      </c>
    </row>
    <row r="3067" spans="1:32">
      <c r="A3067" s="15">
        <v>3065</v>
      </c>
      <c r="B3067" s="16">
        <v>1</v>
      </c>
      <c r="C3067" s="20">
        <v>0.21</v>
      </c>
      <c r="D3067" s="20">
        <v>0.84047458426106403</v>
      </c>
      <c r="E3067" s="20">
        <v>0.1</v>
      </c>
      <c r="F3067" s="8" t="s">
        <v>436</v>
      </c>
      <c r="G3067" s="24">
        <v>0.84404473207044206</v>
      </c>
      <c r="H3067" s="24">
        <v>0.84893153562072166</v>
      </c>
      <c r="I3067" s="25">
        <v>0.86377818952379248</v>
      </c>
      <c r="X3067" s="15">
        <v>3066</v>
      </c>
      <c r="Y3067" s="39">
        <v>0.49592977356142964</v>
      </c>
      <c r="Z3067" s="39">
        <v>0.47724023179041797</v>
      </c>
      <c r="AA3067" s="39">
        <v>0.47816039961433826</v>
      </c>
      <c r="AB3067" s="39">
        <v>0.48173744632374699</v>
      </c>
      <c r="AC3067" s="39">
        <v>0.49034167047027866</v>
      </c>
      <c r="AD3067" s="39">
        <v>0.46908009279379204</v>
      </c>
      <c r="AE3067" s="39">
        <v>0.47370756372853234</v>
      </c>
      <c r="AF3067" s="40">
        <v>0.47787287673479617</v>
      </c>
    </row>
    <row r="3068" spans="1:32">
      <c r="A3068" s="15">
        <v>3066</v>
      </c>
      <c r="B3068" s="16">
        <v>0</v>
      </c>
      <c r="C3068" s="20">
        <v>0.88</v>
      </c>
      <c r="D3068" s="20">
        <v>0.25930874124763043</v>
      </c>
      <c r="E3068" s="20">
        <v>0.12</v>
      </c>
      <c r="F3068" s="8" t="s">
        <v>434</v>
      </c>
      <c r="G3068" s="24">
        <v>0.71698397636285194</v>
      </c>
      <c r="H3068" s="24">
        <v>0.7211351305707443</v>
      </c>
      <c r="I3068" s="25">
        <v>0.73374679977101886</v>
      </c>
      <c r="X3068" s="15">
        <v>3067</v>
      </c>
      <c r="Y3068" s="39">
        <v>0.49487017529274324</v>
      </c>
      <c r="Z3068" s="39">
        <v>0.48400796133607527</v>
      </c>
      <c r="AA3068" s="39">
        <v>0.48947934892794243</v>
      </c>
      <c r="AB3068" s="39">
        <v>0.47792392188314642</v>
      </c>
      <c r="AC3068" s="39">
        <v>0.48888489359391102</v>
      </c>
      <c r="AD3068" s="39">
        <v>0.47716551188492523</v>
      </c>
      <c r="AE3068" s="39">
        <v>0.48423280504341709</v>
      </c>
      <c r="AF3068" s="40">
        <v>0.47632303834295486</v>
      </c>
    </row>
    <row r="3069" spans="1:32">
      <c r="A3069" s="15">
        <v>3067</v>
      </c>
      <c r="B3069" s="16">
        <v>1</v>
      </c>
      <c r="C3069" s="20">
        <v>0.49</v>
      </c>
      <c r="D3069" s="20">
        <v>0.6115534222085488</v>
      </c>
      <c r="E3069" s="20">
        <v>0.04</v>
      </c>
      <c r="F3069" s="8" t="s">
        <v>436</v>
      </c>
      <c r="G3069" s="24">
        <v>0.88375414788991369</v>
      </c>
      <c r="H3069" s="24">
        <v>0.88887085882167782</v>
      </c>
      <c r="I3069" s="25">
        <v>0.90441599697678421</v>
      </c>
      <c r="X3069" s="15">
        <v>3068</v>
      </c>
      <c r="Y3069" s="39">
        <v>0.48029862903075504</v>
      </c>
      <c r="Z3069" s="39">
        <v>0.47908610234836774</v>
      </c>
      <c r="AA3069" s="39">
        <v>0.4996320335166301</v>
      </c>
      <c r="AB3069" s="39">
        <v>0.483396558166236</v>
      </c>
      <c r="AC3069" s="39">
        <v>0.47365514137655829</v>
      </c>
      <c r="AD3069" s="39">
        <v>0.47427846226372516</v>
      </c>
      <c r="AE3069" s="39">
        <v>0.48735866324502863</v>
      </c>
      <c r="AF3069" s="40">
        <v>0.48078355085169439</v>
      </c>
    </row>
    <row r="3070" spans="1:32">
      <c r="A3070" s="15">
        <v>3068</v>
      </c>
      <c r="B3070" s="16">
        <v>0</v>
      </c>
      <c r="C3070" s="20">
        <v>0.48</v>
      </c>
      <c r="D3070" s="20">
        <v>0.5694570428054152</v>
      </c>
      <c r="E3070" s="20">
        <v>0.1</v>
      </c>
      <c r="F3070" s="8" t="s">
        <v>436</v>
      </c>
      <c r="G3070" s="24">
        <v>1.2524067243693</v>
      </c>
      <c r="H3070" s="24">
        <v>1.2596578396176932</v>
      </c>
      <c r="I3070" s="25">
        <v>1.2816875360023605</v>
      </c>
      <c r="X3070" s="15">
        <v>3069</v>
      </c>
      <c r="Y3070" s="39">
        <v>0.48666782365929778</v>
      </c>
      <c r="Z3070" s="39">
        <v>0.49271269576494486</v>
      </c>
      <c r="AA3070" s="39">
        <v>0.48310009047069796</v>
      </c>
      <c r="AB3070" s="39">
        <v>0.48170445725381295</v>
      </c>
      <c r="AC3070" s="39">
        <v>0.47777396207542133</v>
      </c>
      <c r="AD3070" s="39">
        <v>0.48592532105188019</v>
      </c>
      <c r="AE3070" s="39">
        <v>0.47508538983297965</v>
      </c>
      <c r="AF3070" s="40">
        <v>0.4799347832960551</v>
      </c>
    </row>
    <row r="3071" spans="1:32">
      <c r="A3071" s="15">
        <v>3069</v>
      </c>
      <c r="B3071" s="16">
        <v>1</v>
      </c>
      <c r="C3071" s="20">
        <v>0.02</v>
      </c>
      <c r="D3071" s="20">
        <v>0.99835916395484214</v>
      </c>
      <c r="E3071" s="20">
        <v>1</v>
      </c>
      <c r="F3071" s="8" t="s">
        <v>436</v>
      </c>
      <c r="G3071" s="24">
        <v>1.0422312077234046</v>
      </c>
      <c r="H3071" s="24">
        <v>1.0482654603792103</v>
      </c>
      <c r="I3071" s="25">
        <v>1.0665981925675767</v>
      </c>
      <c r="X3071" s="15">
        <v>3070</v>
      </c>
      <c r="Y3071" s="39">
        <v>0.47534879843512384</v>
      </c>
      <c r="Z3071" s="39">
        <v>0.46736452349614255</v>
      </c>
      <c r="AA3071" s="39">
        <v>0.4886644517921514</v>
      </c>
      <c r="AB3071" s="39">
        <v>0.48773413196211146</v>
      </c>
      <c r="AC3071" s="39">
        <v>0.47118575246287075</v>
      </c>
      <c r="AD3071" s="39">
        <v>0.46305769344179876</v>
      </c>
      <c r="AE3071" s="39">
        <v>0.48373749292069218</v>
      </c>
      <c r="AF3071" s="40">
        <v>0.48625217519794939</v>
      </c>
    </row>
    <row r="3072" spans="1:32">
      <c r="A3072" s="15">
        <v>3070</v>
      </c>
      <c r="B3072" s="16">
        <v>0</v>
      </c>
      <c r="C3072" s="20">
        <v>0.93</v>
      </c>
      <c r="D3072" s="20">
        <v>0.18747949848141848</v>
      </c>
      <c r="E3072" s="20">
        <v>7.0000000000000007E-2</v>
      </c>
      <c r="F3072" s="8" t="s">
        <v>434</v>
      </c>
      <c r="G3072" s="24">
        <v>0.49599881149676123</v>
      </c>
      <c r="H3072" s="24">
        <v>0.49887051800811061</v>
      </c>
      <c r="I3072" s="25">
        <v>0.50759508249009389</v>
      </c>
      <c r="X3072" s="15">
        <v>3071</v>
      </c>
      <c r="Y3072" s="39">
        <v>0.48928599081403096</v>
      </c>
      <c r="Z3072" s="39">
        <v>0.48611583191122532</v>
      </c>
      <c r="AA3072" s="39">
        <v>0.50281034503039113</v>
      </c>
      <c r="AB3072" s="39">
        <v>0.48457344181559703</v>
      </c>
      <c r="AC3072" s="39">
        <v>0.48247817776287488</v>
      </c>
      <c r="AD3072" s="39">
        <v>0.47966806439944759</v>
      </c>
      <c r="AE3072" s="39">
        <v>0.49353011778168171</v>
      </c>
      <c r="AF3072" s="40">
        <v>0.48166299779290034</v>
      </c>
    </row>
    <row r="3073" spans="1:32">
      <c r="A3073" s="15">
        <v>3071</v>
      </c>
      <c r="B3073" s="16">
        <v>0</v>
      </c>
      <c r="C3073" s="20">
        <v>0.5</v>
      </c>
      <c r="D3073" s="20">
        <v>0.47229416112213712</v>
      </c>
      <c r="E3073" s="20">
        <v>0.1</v>
      </c>
      <c r="F3073" s="8" t="s">
        <v>438</v>
      </c>
      <c r="G3073" s="24">
        <v>1.5883917310811573</v>
      </c>
      <c r="H3073" s="24">
        <v>1.5975881137558545</v>
      </c>
      <c r="I3073" s="25">
        <v>1.625527749414754</v>
      </c>
      <c r="X3073" s="15">
        <v>3072</v>
      </c>
      <c r="Y3073" s="39">
        <v>0.47873029536247491</v>
      </c>
      <c r="Z3073" s="39">
        <v>0.48332711265395151</v>
      </c>
      <c r="AA3073" s="39">
        <v>0.48002429768807248</v>
      </c>
      <c r="AB3073" s="39">
        <v>0.48740091073171615</v>
      </c>
      <c r="AC3073" s="39">
        <v>0.47015115061076546</v>
      </c>
      <c r="AD3073" s="39">
        <v>0.47393979440152367</v>
      </c>
      <c r="AE3073" s="39">
        <v>0.47144475542710501</v>
      </c>
      <c r="AF3073" s="40">
        <v>0.48541212728035782</v>
      </c>
    </row>
    <row r="3074" spans="1:32">
      <c r="A3074" s="15">
        <v>3072</v>
      </c>
      <c r="B3074" s="16">
        <v>1</v>
      </c>
      <c r="C3074" s="20">
        <v>0.16</v>
      </c>
      <c r="D3074" s="20">
        <v>0.84774639084329473</v>
      </c>
      <c r="E3074" s="20">
        <v>0.06</v>
      </c>
      <c r="F3074" s="8" t="s">
        <v>436</v>
      </c>
      <c r="G3074" s="24">
        <v>1.3349912744694494</v>
      </c>
      <c r="H3074" s="24">
        <v>1.34272053318263</v>
      </c>
      <c r="I3074" s="25">
        <v>1.3662028827105377</v>
      </c>
      <c r="X3074" s="15">
        <v>3073</v>
      </c>
      <c r="Y3074" s="39">
        <v>0.49513458461972248</v>
      </c>
      <c r="Z3074" s="39">
        <v>0.47743042661231028</v>
      </c>
      <c r="AA3074" s="39">
        <v>0.50132346274962913</v>
      </c>
      <c r="AB3074" s="39">
        <v>0.48939225167330747</v>
      </c>
      <c r="AC3074" s="39">
        <v>0.4859173021385485</v>
      </c>
      <c r="AD3074" s="39">
        <v>0.47187392710774984</v>
      </c>
      <c r="AE3074" s="39">
        <v>0.49291890716406944</v>
      </c>
      <c r="AF3074" s="40">
        <v>0.48408456562910446</v>
      </c>
    </row>
    <row r="3075" spans="1:32">
      <c r="A3075" s="15">
        <v>3073</v>
      </c>
      <c r="B3075" s="16">
        <v>0</v>
      </c>
      <c r="C3075" s="20">
        <v>0.95</v>
      </c>
      <c r="D3075" s="20">
        <v>0.15570568692893463</v>
      </c>
      <c r="E3075" s="20">
        <v>0.05</v>
      </c>
      <c r="F3075" s="8" t="s">
        <v>434</v>
      </c>
      <c r="G3075" s="24">
        <v>1.7978415156870626</v>
      </c>
      <c r="H3075" s="24">
        <v>1.808250559151084</v>
      </c>
      <c r="I3075" s="25">
        <v>1.6578926537592125</v>
      </c>
      <c r="X3075" s="15">
        <v>3074</v>
      </c>
      <c r="Y3075" s="39">
        <v>0.48655418089467645</v>
      </c>
      <c r="Z3075" s="39">
        <v>0.4684168090523062</v>
      </c>
      <c r="AA3075" s="39">
        <v>0.50160393857166319</v>
      </c>
      <c r="AB3075" s="39">
        <v>0.48844513698435776</v>
      </c>
      <c r="AC3075" s="39">
        <v>0.47918877933461318</v>
      </c>
      <c r="AD3075" s="39">
        <v>0.46280067310486478</v>
      </c>
      <c r="AE3075" s="39">
        <v>0.49455100340260705</v>
      </c>
      <c r="AF3075" s="40">
        <v>0.48248322617574796</v>
      </c>
    </row>
    <row r="3076" spans="1:32">
      <c r="A3076" s="15">
        <v>3074</v>
      </c>
      <c r="B3076" s="16">
        <v>0</v>
      </c>
      <c r="C3076" s="20">
        <v>0.62</v>
      </c>
      <c r="D3076" s="20">
        <v>0.44558077609518382</v>
      </c>
      <c r="E3076" s="20">
        <v>0.08</v>
      </c>
      <c r="F3076" s="8" t="s">
        <v>438</v>
      </c>
      <c r="G3076" s="24">
        <v>0.76655563333420806</v>
      </c>
      <c r="H3076" s="24">
        <v>0.77099379478244723</v>
      </c>
      <c r="I3076" s="25">
        <v>0.78447742397073117</v>
      </c>
      <c r="X3076" s="15">
        <v>3075</v>
      </c>
      <c r="Y3076" s="39">
        <v>0.49384046938912884</v>
      </c>
      <c r="Z3076" s="39">
        <v>0.50100223821472101</v>
      </c>
      <c r="AA3076" s="39">
        <v>0.47908121513151058</v>
      </c>
      <c r="AB3076" s="39">
        <v>0.48832085742879938</v>
      </c>
      <c r="AC3076" s="39">
        <v>0.48770432161386651</v>
      </c>
      <c r="AD3076" s="39">
        <v>0.49284421583834465</v>
      </c>
      <c r="AE3076" s="39">
        <v>0.47414866602692479</v>
      </c>
      <c r="AF3076" s="40">
        <v>0.4862269669224375</v>
      </c>
    </row>
    <row r="3077" spans="1:32">
      <c r="A3077" s="15">
        <v>3075</v>
      </c>
      <c r="B3077" s="16">
        <v>1</v>
      </c>
      <c r="C3077" s="20">
        <v>0.02</v>
      </c>
      <c r="D3077" s="20">
        <v>0.99835916395484214</v>
      </c>
      <c r="E3077" s="20">
        <v>1</v>
      </c>
      <c r="F3077" s="8" t="s">
        <v>436</v>
      </c>
      <c r="G3077" s="24">
        <v>1.1280439431792708</v>
      </c>
      <c r="H3077" s="24">
        <v>1.1345750296690562</v>
      </c>
      <c r="I3077" s="25">
        <v>1.1544171984256291</v>
      </c>
      <c r="X3077" s="15">
        <v>3076</v>
      </c>
      <c r="Y3077" s="39">
        <v>0.47807096495543872</v>
      </c>
      <c r="Z3077" s="39">
        <v>0.48466577008992207</v>
      </c>
      <c r="AA3077" s="39">
        <v>0.47575369216535257</v>
      </c>
      <c r="AB3077" s="39">
        <v>0.48219449890759641</v>
      </c>
      <c r="AC3077" s="39">
        <v>0.47119158436339925</v>
      </c>
      <c r="AD3077" s="39">
        <v>0.47836363776896584</v>
      </c>
      <c r="AE3077" s="39">
        <v>0.46951329049069057</v>
      </c>
      <c r="AF3077" s="40">
        <v>0.48030727612171947</v>
      </c>
    </row>
    <row r="3078" spans="1:32">
      <c r="A3078" s="15">
        <v>3076</v>
      </c>
      <c r="B3078" s="16">
        <v>1</v>
      </c>
      <c r="C3078" s="20">
        <v>0.02</v>
      </c>
      <c r="D3078" s="20">
        <v>0.99917029198757767</v>
      </c>
      <c r="E3078" s="20">
        <v>1</v>
      </c>
      <c r="F3078" s="8" t="s">
        <v>436</v>
      </c>
      <c r="G3078" s="24">
        <v>1.0542651227283619</v>
      </c>
      <c r="H3078" s="24">
        <v>1.0603690486803041</v>
      </c>
      <c r="I3078" s="25">
        <v>1.0789134561086065</v>
      </c>
      <c r="X3078" s="15">
        <v>3077</v>
      </c>
      <c r="Y3078" s="39">
        <v>0.47249673689709132</v>
      </c>
      <c r="Z3078" s="39">
        <v>0.47441800920709432</v>
      </c>
      <c r="AA3078" s="39">
        <v>0.48066223160695531</v>
      </c>
      <c r="AB3078" s="39">
        <v>0.49389796207085462</v>
      </c>
      <c r="AC3078" s="39">
        <v>0.46780821002502476</v>
      </c>
      <c r="AD3078" s="39">
        <v>0.46735696752271727</v>
      </c>
      <c r="AE3078" s="39">
        <v>0.47324042130927435</v>
      </c>
      <c r="AF3078" s="40">
        <v>0.48916447041651429</v>
      </c>
    </row>
    <row r="3079" spans="1:32">
      <c r="A3079" s="15">
        <v>3077</v>
      </c>
      <c r="B3079" s="16">
        <v>1</v>
      </c>
      <c r="C3079" s="20">
        <v>0.53</v>
      </c>
      <c r="D3079" s="20">
        <v>0.46561859237124709</v>
      </c>
      <c r="E3079" s="20">
        <v>0.08</v>
      </c>
      <c r="F3079" s="8" t="s">
        <v>438</v>
      </c>
      <c r="G3079" s="24">
        <v>0.61987828717374971</v>
      </c>
      <c r="H3079" s="24">
        <v>0.62346722422815348</v>
      </c>
      <c r="I3079" s="25">
        <v>0.6343708150474715</v>
      </c>
      <c r="X3079" s="15">
        <v>3078</v>
      </c>
      <c r="Y3079" s="39">
        <v>0.49717884674376311</v>
      </c>
      <c r="Z3079" s="39">
        <v>0.48246317216608886</v>
      </c>
      <c r="AA3079" s="39">
        <v>0.49092653530897218</v>
      </c>
      <c r="AB3079" s="39">
        <v>0.49886819963007234</v>
      </c>
      <c r="AC3079" s="39">
        <v>0.49061538502776303</v>
      </c>
      <c r="AD3079" s="39">
        <v>0.47807113390060335</v>
      </c>
      <c r="AE3079" s="39">
        <v>0.48528624477806098</v>
      </c>
      <c r="AF3079" s="40">
        <v>0.49389792219413392</v>
      </c>
    </row>
    <row r="3080" spans="1:32">
      <c r="A3080" s="15">
        <v>3078</v>
      </c>
      <c r="B3080" s="16">
        <v>0</v>
      </c>
      <c r="C3080" s="20">
        <v>0.3</v>
      </c>
      <c r="D3080" s="20">
        <v>0.66786254378186327</v>
      </c>
      <c r="E3080" s="20">
        <v>0.11</v>
      </c>
      <c r="F3080" s="8" t="s">
        <v>436</v>
      </c>
      <c r="G3080" s="24">
        <v>1.512410066461195</v>
      </c>
      <c r="H3080" s="24">
        <v>1.521166534692602</v>
      </c>
      <c r="I3080" s="25">
        <v>1.5477696612368426</v>
      </c>
      <c r="X3080" s="15">
        <v>3079</v>
      </c>
      <c r="Y3080" s="39">
        <v>0.49363961113062244</v>
      </c>
      <c r="Z3080" s="39">
        <v>0.4848192937080989</v>
      </c>
      <c r="AA3080" s="39">
        <v>0.4750876210998578</v>
      </c>
      <c r="AB3080" s="39">
        <v>0.49929596041447255</v>
      </c>
      <c r="AC3080" s="39">
        <v>0.48690778161914122</v>
      </c>
      <c r="AD3080" s="39">
        <v>0.47875606183731639</v>
      </c>
      <c r="AE3080" s="39">
        <v>0.47118209004673867</v>
      </c>
      <c r="AF3080" s="40">
        <v>0.49649653304991365</v>
      </c>
    </row>
    <row r="3081" spans="1:32">
      <c r="A3081" s="15">
        <v>3079</v>
      </c>
      <c r="B3081" s="16">
        <v>1</v>
      </c>
      <c r="C3081" s="20">
        <v>0.11</v>
      </c>
      <c r="D3081" s="20">
        <v>0.91438857505246052</v>
      </c>
      <c r="E3081" s="20">
        <v>0.5</v>
      </c>
      <c r="F3081" s="8" t="s">
        <v>436</v>
      </c>
      <c r="G3081" s="24">
        <v>1.1562393677176239</v>
      </c>
      <c r="H3081" s="24">
        <v>1.1629336985184042</v>
      </c>
      <c r="I3081" s="25">
        <v>1.1832718216881326</v>
      </c>
      <c r="X3081" s="15">
        <v>3080</v>
      </c>
      <c r="Y3081" s="39">
        <v>0.48354536634623113</v>
      </c>
      <c r="Z3081" s="39">
        <v>0.49071432339636295</v>
      </c>
      <c r="AA3081" s="39">
        <v>0.50004516710916103</v>
      </c>
      <c r="AB3081" s="39">
        <v>0.48024241932863126</v>
      </c>
      <c r="AC3081" s="39">
        <v>0.47490817960355924</v>
      </c>
      <c r="AD3081" s="39">
        <v>0.48154416033235464</v>
      </c>
      <c r="AE3081" s="39">
        <v>0.49495125552118696</v>
      </c>
      <c r="AF3081" s="40">
        <v>0.47508348840121101</v>
      </c>
    </row>
    <row r="3082" spans="1:32">
      <c r="A3082" s="15">
        <v>3080</v>
      </c>
      <c r="B3082" s="16">
        <v>0</v>
      </c>
      <c r="C3082" s="20">
        <v>0.92</v>
      </c>
      <c r="D3082" s="20">
        <v>0.20258497911151899</v>
      </c>
      <c r="E3082" s="20">
        <v>0.08</v>
      </c>
      <c r="F3082" s="8" t="s">
        <v>434</v>
      </c>
      <c r="G3082" s="24">
        <v>0.85976461574508867</v>
      </c>
      <c r="H3082" s="24">
        <v>0.86474243340923262</v>
      </c>
      <c r="I3082" s="25">
        <v>0.87986559833529332</v>
      </c>
      <c r="X3082" s="15">
        <v>3081</v>
      </c>
      <c r="Y3082" s="39">
        <v>0.48557023596148158</v>
      </c>
      <c r="Z3082" s="39">
        <v>0.4885999795464791</v>
      </c>
      <c r="AA3082" s="39">
        <v>0.50639720302880686</v>
      </c>
      <c r="AB3082" s="39">
        <v>0.49376042787894725</v>
      </c>
      <c r="AC3082" s="39">
        <v>0.47956588715033688</v>
      </c>
      <c r="AD3082" s="39">
        <v>0.48221234576773064</v>
      </c>
      <c r="AE3082" s="39">
        <v>0.49758299574511683</v>
      </c>
      <c r="AF3082" s="40">
        <v>0.48955799937901706</v>
      </c>
    </row>
    <row r="3083" spans="1:32">
      <c r="A3083" s="15">
        <v>3081</v>
      </c>
      <c r="B3083" s="16">
        <v>1</v>
      </c>
      <c r="C3083" s="20">
        <v>0.19</v>
      </c>
      <c r="D3083" s="20">
        <v>0.8591378445893515</v>
      </c>
      <c r="E3083" s="20">
        <v>0.06</v>
      </c>
      <c r="F3083" s="8" t="s">
        <v>436</v>
      </c>
      <c r="G3083" s="24">
        <v>0.91383574335298479</v>
      </c>
      <c r="H3083" s="24">
        <v>0.91912661904393933</v>
      </c>
      <c r="I3083" s="25">
        <v>0.93520088915108923</v>
      </c>
      <c r="X3083" s="15">
        <v>3082</v>
      </c>
      <c r="Y3083" s="39">
        <v>0.50389927668165158</v>
      </c>
      <c r="Z3083" s="39">
        <v>0.4776654551421145</v>
      </c>
      <c r="AA3083" s="39">
        <v>0.48787496397160485</v>
      </c>
      <c r="AB3083" s="39">
        <v>0.48820983774709226</v>
      </c>
      <c r="AC3083" s="39">
        <v>0.49517411588109822</v>
      </c>
      <c r="AD3083" s="39">
        <v>0.47241715091805647</v>
      </c>
      <c r="AE3083" s="39">
        <v>0.4825195098547525</v>
      </c>
      <c r="AF3083" s="40">
        <v>0.48448601259939023</v>
      </c>
    </row>
    <row r="3084" spans="1:32">
      <c r="A3084" s="15">
        <v>3082</v>
      </c>
      <c r="B3084" s="16">
        <v>1</v>
      </c>
      <c r="C3084" s="20">
        <v>0.25</v>
      </c>
      <c r="D3084" s="20">
        <v>0.75903422974335966</v>
      </c>
      <c r="E3084" s="20">
        <v>0.06</v>
      </c>
      <c r="F3084" s="8" t="s">
        <v>436</v>
      </c>
      <c r="G3084" s="24">
        <v>0.78598973478097545</v>
      </c>
      <c r="H3084" s="24">
        <v>0.79054041471589909</v>
      </c>
      <c r="I3084" s="25">
        <v>0.80436588760882832</v>
      </c>
      <c r="X3084" s="15">
        <v>3083</v>
      </c>
      <c r="Y3084" s="39">
        <v>0.48652432035163817</v>
      </c>
      <c r="Z3084" s="39">
        <v>0.49104833490210675</v>
      </c>
      <c r="AA3084" s="39">
        <v>0.49268506048406308</v>
      </c>
      <c r="AB3084" s="39">
        <v>0.49936940061508395</v>
      </c>
      <c r="AC3084" s="39">
        <v>0.48153694483779358</v>
      </c>
      <c r="AD3084" s="39">
        <v>0.48346627542279125</v>
      </c>
      <c r="AE3084" s="39">
        <v>0.48584087340441123</v>
      </c>
      <c r="AF3084" s="40">
        <v>0.49508852214364224</v>
      </c>
    </row>
    <row r="3085" spans="1:32">
      <c r="A3085" s="15">
        <v>3083</v>
      </c>
      <c r="B3085" s="16">
        <v>1</v>
      </c>
      <c r="C3085" s="20">
        <v>0.2</v>
      </c>
      <c r="D3085" s="20">
        <v>0.78044635787420491</v>
      </c>
      <c r="E3085" s="20">
        <v>0.08</v>
      </c>
      <c r="F3085" s="8" t="s">
        <v>436</v>
      </c>
      <c r="G3085" s="24">
        <v>0.77309245216335076</v>
      </c>
      <c r="H3085" s="24">
        <v>0.77756846012404135</v>
      </c>
      <c r="I3085" s="25">
        <v>0.79116707123578944</v>
      </c>
      <c r="X3085" s="15">
        <v>3084</v>
      </c>
      <c r="Y3085" s="39">
        <v>0.49600619526921497</v>
      </c>
      <c r="Z3085" s="39">
        <v>0.48609086731833373</v>
      </c>
      <c r="AA3085" s="39">
        <v>0.49322688529080305</v>
      </c>
      <c r="AB3085" s="39">
        <v>0.48986047541629685</v>
      </c>
      <c r="AC3085" s="39">
        <v>0.48705291363744929</v>
      </c>
      <c r="AD3085" s="39">
        <v>0.47862548080924722</v>
      </c>
      <c r="AE3085" s="39">
        <v>0.48667236691221444</v>
      </c>
      <c r="AF3085" s="40">
        <v>0.48626202205835167</v>
      </c>
    </row>
    <row r="3086" spans="1:32">
      <c r="A3086" s="15">
        <v>3084</v>
      </c>
      <c r="B3086" s="16">
        <v>1</v>
      </c>
      <c r="C3086" s="20">
        <v>0.92</v>
      </c>
      <c r="D3086" s="20">
        <v>0.20258497911151899</v>
      </c>
      <c r="E3086" s="20">
        <v>0.08</v>
      </c>
      <c r="F3086" s="8" t="s">
        <v>434</v>
      </c>
      <c r="G3086" s="24">
        <v>0.68495868038920793</v>
      </c>
      <c r="H3086" s="24">
        <v>0.68892441630809698</v>
      </c>
      <c r="I3086" s="25">
        <v>0.7009727640783594</v>
      </c>
      <c r="X3086" s="15">
        <v>3085</v>
      </c>
      <c r="Y3086" s="39">
        <v>0.48784733716769768</v>
      </c>
      <c r="Z3086" s="39">
        <v>0.47166532590181787</v>
      </c>
      <c r="AA3086" s="39">
        <v>0.48191424514267467</v>
      </c>
      <c r="AB3086" s="39">
        <v>0.4859383786692596</v>
      </c>
      <c r="AC3086" s="39">
        <v>0.48047036495186957</v>
      </c>
      <c r="AD3086" s="39">
        <v>0.46906381825760157</v>
      </c>
      <c r="AE3086" s="39">
        <v>0.47362850318346034</v>
      </c>
      <c r="AF3086" s="40">
        <v>0.48147625819419537</v>
      </c>
    </row>
    <row r="3087" spans="1:32">
      <c r="A3087" s="15">
        <v>3085</v>
      </c>
      <c r="B3087" s="16">
        <v>1</v>
      </c>
      <c r="C3087" s="20">
        <v>0.62</v>
      </c>
      <c r="D3087" s="20">
        <v>0.47293417640243801</v>
      </c>
      <c r="E3087" s="20">
        <v>0.04</v>
      </c>
      <c r="F3087" s="8" t="s">
        <v>438</v>
      </c>
      <c r="G3087" s="24">
        <v>1.0646909158949911</v>
      </c>
      <c r="H3087" s="24">
        <v>1.0708552045281103</v>
      </c>
      <c r="I3087" s="25">
        <v>1.0895830005102756</v>
      </c>
      <c r="X3087" s="15">
        <v>3086</v>
      </c>
      <c r="Y3087" s="39">
        <v>0.47274137925239512</v>
      </c>
      <c r="Z3087" s="39">
        <v>0.48246978493859044</v>
      </c>
      <c r="AA3087" s="39">
        <v>0.49047757073068937</v>
      </c>
      <c r="AB3087" s="39">
        <v>0.47162521021008841</v>
      </c>
      <c r="AC3087" s="39">
        <v>0.46562479379062682</v>
      </c>
      <c r="AD3087" s="39">
        <v>0.47471974957120794</v>
      </c>
      <c r="AE3087" s="39">
        <v>0.48536886743020552</v>
      </c>
      <c r="AF3087" s="40">
        <v>0.46736059257434537</v>
      </c>
    </row>
    <row r="3088" spans="1:32">
      <c r="A3088" s="15">
        <v>3086</v>
      </c>
      <c r="B3088" s="16">
        <v>1</v>
      </c>
      <c r="C3088" s="20">
        <v>0.02</v>
      </c>
      <c r="D3088" s="20">
        <v>0.99756714174924133</v>
      </c>
      <c r="E3088" s="20">
        <v>1</v>
      </c>
      <c r="F3088" s="8" t="s">
        <v>436</v>
      </c>
      <c r="G3088" s="24">
        <v>0.99519153782100256</v>
      </c>
      <c r="H3088" s="24">
        <v>1.0009534427952831</v>
      </c>
      <c r="I3088" s="25">
        <v>1.0184587523693971</v>
      </c>
      <c r="X3088" s="15">
        <v>3087</v>
      </c>
      <c r="Y3088" s="39">
        <v>0.48324007007643205</v>
      </c>
      <c r="Z3088" s="39">
        <v>0.50201790398458779</v>
      </c>
      <c r="AA3088" s="39">
        <v>0.47731413494523384</v>
      </c>
      <c r="AB3088" s="39">
        <v>0.48920867991465072</v>
      </c>
      <c r="AC3088" s="39">
        <v>0.4771609042057548</v>
      </c>
      <c r="AD3088" s="39">
        <v>0.49359498419998499</v>
      </c>
      <c r="AE3088" s="39">
        <v>0.46993488094086611</v>
      </c>
      <c r="AF3088" s="40">
        <v>0.48412385286086446</v>
      </c>
    </row>
    <row r="3089" spans="1:32">
      <c r="A3089" s="15">
        <v>3087</v>
      </c>
      <c r="B3089" s="16">
        <v>1</v>
      </c>
      <c r="C3089" s="20">
        <v>0.26</v>
      </c>
      <c r="D3089" s="20">
        <v>0.70999277733863242</v>
      </c>
      <c r="E3089" s="20">
        <v>0.06</v>
      </c>
      <c r="F3089" s="8" t="s">
        <v>436</v>
      </c>
      <c r="G3089" s="24">
        <v>1.148132007514181</v>
      </c>
      <c r="H3089" s="24">
        <v>1.1547793987688446</v>
      </c>
      <c r="I3089" s="25">
        <v>1.1749749143652601</v>
      </c>
      <c r="X3089" s="15">
        <v>3088</v>
      </c>
      <c r="Y3089" s="39">
        <v>0.485606253457874</v>
      </c>
      <c r="Z3089" s="39">
        <v>0.48165724449873698</v>
      </c>
      <c r="AA3089" s="39">
        <v>0.48769141225718521</v>
      </c>
      <c r="AB3089" s="39">
        <v>0.48630089949814626</v>
      </c>
      <c r="AC3089" s="39">
        <v>0.47789652859995263</v>
      </c>
      <c r="AD3089" s="39">
        <v>0.47311456617916176</v>
      </c>
      <c r="AE3089" s="39">
        <v>0.47894156952666406</v>
      </c>
      <c r="AF3089" s="40">
        <v>0.48229869887910332</v>
      </c>
    </row>
    <row r="3090" spans="1:32">
      <c r="A3090" s="15">
        <v>3088</v>
      </c>
      <c r="B3090" s="16">
        <v>0</v>
      </c>
      <c r="C3090" s="20">
        <v>0.51</v>
      </c>
      <c r="D3090" s="20">
        <v>0.46882684830902555</v>
      </c>
      <c r="E3090" s="20">
        <v>7.0000000000000007E-2</v>
      </c>
      <c r="F3090" s="8" t="s">
        <v>438</v>
      </c>
      <c r="G3090" s="24">
        <v>0.84763911272881909</v>
      </c>
      <c r="H3090" s="24">
        <v>0.85254672682561949</v>
      </c>
      <c r="I3090" s="25">
        <v>0.86745660548870973</v>
      </c>
      <c r="X3090" s="15">
        <v>3089</v>
      </c>
      <c r="Y3090" s="39">
        <v>0.49639367218857422</v>
      </c>
      <c r="Z3090" s="39">
        <v>0.4768359591873314</v>
      </c>
      <c r="AA3090" s="39">
        <v>0.48618538889422386</v>
      </c>
      <c r="AB3090" s="39">
        <v>0.50278858346208155</v>
      </c>
      <c r="AC3090" s="39">
        <v>0.48909917529816999</v>
      </c>
      <c r="AD3090" s="39">
        <v>0.47211685114896268</v>
      </c>
      <c r="AE3090" s="39">
        <v>0.47682987104892349</v>
      </c>
      <c r="AF3090" s="40">
        <v>0.49913680799556448</v>
      </c>
    </row>
    <row r="3091" spans="1:32">
      <c r="A3091" s="15">
        <v>3089</v>
      </c>
      <c r="B3091" s="16">
        <v>1</v>
      </c>
      <c r="C3091" s="20">
        <v>0.24</v>
      </c>
      <c r="D3091" s="20">
        <v>0.80667051081398355</v>
      </c>
      <c r="E3091" s="20">
        <v>7.0000000000000007E-2</v>
      </c>
      <c r="F3091" s="8" t="s">
        <v>436</v>
      </c>
      <c r="G3091" s="24">
        <v>0.57774638446128512</v>
      </c>
      <c r="H3091" s="24">
        <v>0.58109138855345088</v>
      </c>
      <c r="I3091" s="25">
        <v>0.59125388384301492</v>
      </c>
      <c r="X3091" s="15">
        <v>3090</v>
      </c>
      <c r="Y3091" s="39">
        <v>0.48165624470344393</v>
      </c>
      <c r="Z3091" s="39">
        <v>0.48899302944475537</v>
      </c>
      <c r="AA3091" s="39">
        <v>0.48683015759416109</v>
      </c>
      <c r="AB3091" s="39">
        <v>0.49035148491365338</v>
      </c>
      <c r="AC3091" s="39">
        <v>0.4756676267690757</v>
      </c>
      <c r="AD3091" s="39">
        <v>0.48167201473042642</v>
      </c>
      <c r="AE3091" s="39">
        <v>0.47965520119061533</v>
      </c>
      <c r="AF3091" s="40">
        <v>0.4869763462641053</v>
      </c>
    </row>
    <row r="3092" spans="1:32">
      <c r="A3092" s="15">
        <v>3090</v>
      </c>
      <c r="B3092" s="16">
        <v>0</v>
      </c>
      <c r="C3092" s="20">
        <v>0.19</v>
      </c>
      <c r="D3092" s="20">
        <v>0.86605091274023471</v>
      </c>
      <c r="E3092" s="20">
        <v>0.05</v>
      </c>
      <c r="F3092" s="8" t="s">
        <v>436</v>
      </c>
      <c r="G3092" s="24">
        <v>0.95567288905639203</v>
      </c>
      <c r="H3092" s="24">
        <v>0.96120599114174088</v>
      </c>
      <c r="I3092" s="25">
        <v>0.97801617203530988</v>
      </c>
      <c r="X3092" s="15">
        <v>3091</v>
      </c>
      <c r="Y3092" s="39">
        <v>0.4826932321889455</v>
      </c>
      <c r="Z3092" s="39">
        <v>0.49602022360119408</v>
      </c>
      <c r="AA3092" s="39">
        <v>0.48838933961566622</v>
      </c>
      <c r="AB3092" s="39">
        <v>0.48423601803611505</v>
      </c>
      <c r="AC3092" s="39">
        <v>0.47796437225422639</v>
      </c>
      <c r="AD3092" s="39">
        <v>0.48850941499244405</v>
      </c>
      <c r="AE3092" s="39">
        <v>0.4812311352684891</v>
      </c>
      <c r="AF3092" s="40">
        <v>0.47955832883011151</v>
      </c>
    </row>
    <row r="3093" spans="1:32">
      <c r="A3093" s="15">
        <v>3091</v>
      </c>
      <c r="B3093" s="16">
        <v>1</v>
      </c>
      <c r="C3093" s="20">
        <v>0.08</v>
      </c>
      <c r="D3093" s="20">
        <v>0.95172913374148882</v>
      </c>
      <c r="E3093" s="20">
        <v>0.49</v>
      </c>
      <c r="F3093" s="8" t="s">
        <v>436</v>
      </c>
      <c r="G3093" s="24">
        <v>1.3136448154258273</v>
      </c>
      <c r="H3093" s="24">
        <v>1.3212504835899805</v>
      </c>
      <c r="I3093" s="25">
        <v>1.3443573512536755</v>
      </c>
      <c r="X3093" s="15">
        <v>3092</v>
      </c>
      <c r="Y3093" s="39">
        <v>0.49927627973366645</v>
      </c>
      <c r="Z3093" s="39">
        <v>0.4863516309527065</v>
      </c>
      <c r="AA3093" s="39">
        <v>0.48031049958170702</v>
      </c>
      <c r="AB3093" s="39">
        <v>0.49009485077606768</v>
      </c>
      <c r="AC3093" s="39">
        <v>0.492390228124299</v>
      </c>
      <c r="AD3093" s="39">
        <v>0.47698928328674356</v>
      </c>
      <c r="AE3093" s="39">
        <v>0.47418595516454265</v>
      </c>
      <c r="AF3093" s="40">
        <v>0.48431447752589757</v>
      </c>
    </row>
    <row r="3094" spans="1:32">
      <c r="A3094" s="15">
        <v>3092</v>
      </c>
      <c r="B3094" s="16">
        <v>0</v>
      </c>
      <c r="C3094" s="20">
        <v>0.16</v>
      </c>
      <c r="D3094" s="20">
        <v>0.88344326760317082</v>
      </c>
      <c r="E3094" s="20">
        <v>7.0000000000000007E-2</v>
      </c>
      <c r="F3094" s="8" t="s">
        <v>436</v>
      </c>
      <c r="G3094" s="24">
        <v>1.4362724629076857</v>
      </c>
      <c r="H3094" s="24">
        <v>1.4445881138491814</v>
      </c>
      <c r="I3094" s="25">
        <v>1.4698519883300922</v>
      </c>
      <c r="X3094" s="15">
        <v>3093</v>
      </c>
      <c r="Y3094" s="39">
        <v>0.49167213853787961</v>
      </c>
      <c r="Z3094" s="39">
        <v>0.47477397470279281</v>
      </c>
      <c r="AA3094" s="39">
        <v>0.48696462420540687</v>
      </c>
      <c r="AB3094" s="39">
        <v>0.47544171870406848</v>
      </c>
      <c r="AC3094" s="39">
        <v>0.48543466261158058</v>
      </c>
      <c r="AD3094" s="39">
        <v>0.46969034179741193</v>
      </c>
      <c r="AE3094" s="39">
        <v>0.48194235265069613</v>
      </c>
      <c r="AF3094" s="40">
        <v>0.47086521768285661</v>
      </c>
    </row>
    <row r="3095" spans="1:32">
      <c r="A3095" s="15">
        <v>3093</v>
      </c>
      <c r="B3095" s="16">
        <v>1</v>
      </c>
      <c r="C3095" s="20">
        <v>0.39</v>
      </c>
      <c r="D3095" s="20">
        <v>0.58650783932032946</v>
      </c>
      <c r="E3095" s="20">
        <v>7.0000000000000007E-2</v>
      </c>
      <c r="F3095" s="8" t="s">
        <v>436</v>
      </c>
      <c r="G3095" s="24">
        <v>0.72483207581346754</v>
      </c>
      <c r="H3095" s="24">
        <v>0.72902866851389581</v>
      </c>
      <c r="I3095" s="25">
        <v>0.74177838491938708</v>
      </c>
      <c r="X3095" s="15">
        <v>3094</v>
      </c>
      <c r="Y3095" s="39">
        <v>0.47422733203392226</v>
      </c>
      <c r="Z3095" s="39">
        <v>0.4976535622315309</v>
      </c>
      <c r="AA3095" s="39">
        <v>0.4880891097615041</v>
      </c>
      <c r="AB3095" s="39">
        <v>0.48616961900789302</v>
      </c>
      <c r="AC3095" s="39">
        <v>0.46820298059152227</v>
      </c>
      <c r="AD3095" s="39">
        <v>0.4912623543125702</v>
      </c>
      <c r="AE3095" s="39">
        <v>0.48090795374937795</v>
      </c>
      <c r="AF3095" s="40">
        <v>0.4820687151080062</v>
      </c>
    </row>
    <row r="3096" spans="1:32">
      <c r="A3096" s="15">
        <v>3094</v>
      </c>
      <c r="B3096" s="16">
        <v>0</v>
      </c>
      <c r="C3096" s="20">
        <v>0.16</v>
      </c>
      <c r="D3096" s="20">
        <v>0.8932377444198184</v>
      </c>
      <c r="E3096" s="20">
        <v>0.05</v>
      </c>
      <c r="F3096" s="8" t="s">
        <v>436</v>
      </c>
      <c r="G3096" s="24">
        <v>1.1703085781331248</v>
      </c>
      <c r="H3096" s="24">
        <v>1.1770843660709451</v>
      </c>
      <c r="I3096" s="25">
        <v>1.1976699651027833</v>
      </c>
      <c r="X3096" s="15">
        <v>3095</v>
      </c>
      <c r="Y3096" s="39">
        <v>0.48381958094340705</v>
      </c>
      <c r="Z3096" s="39">
        <v>0.49642345292694423</v>
      </c>
      <c r="AA3096" s="39">
        <v>0.48434821505854481</v>
      </c>
      <c r="AB3096" s="39">
        <v>0.48733859346687758</v>
      </c>
      <c r="AC3096" s="39">
        <v>0.47789571264183228</v>
      </c>
      <c r="AD3096" s="39">
        <v>0.48992384545476514</v>
      </c>
      <c r="AE3096" s="39">
        <v>0.47666003558361297</v>
      </c>
      <c r="AF3096" s="40">
        <v>0.48599998959078494</v>
      </c>
    </row>
    <row r="3097" spans="1:32">
      <c r="A3097" s="15">
        <v>3095</v>
      </c>
      <c r="B3097" s="16">
        <v>0</v>
      </c>
      <c r="C3097" s="20">
        <v>0.25</v>
      </c>
      <c r="D3097" s="20">
        <v>0.85084005676585328</v>
      </c>
      <c r="E3097" s="20">
        <v>0.08</v>
      </c>
      <c r="F3097" s="8" t="s">
        <v>436</v>
      </c>
      <c r="G3097" s="24">
        <v>1.0411328859828506</v>
      </c>
      <c r="H3097" s="24">
        <v>1.0471607796361329</v>
      </c>
      <c r="I3097" s="25">
        <v>1.0654741924660145</v>
      </c>
      <c r="X3097" s="15">
        <v>3096</v>
      </c>
      <c r="Y3097" s="39">
        <v>0.482622525268393</v>
      </c>
      <c r="Z3097" s="39">
        <v>0.48228105192663451</v>
      </c>
      <c r="AA3097" s="39">
        <v>0.49432956047919541</v>
      </c>
      <c r="AB3097" s="39">
        <v>0.49451304574060845</v>
      </c>
      <c r="AC3097" s="39">
        <v>0.47617168570129231</v>
      </c>
      <c r="AD3097" s="39">
        <v>0.4723788941147512</v>
      </c>
      <c r="AE3097" s="39">
        <v>0.48647441796050006</v>
      </c>
      <c r="AF3097" s="40">
        <v>0.48907392565014007</v>
      </c>
    </row>
    <row r="3098" spans="1:32">
      <c r="A3098" s="15">
        <v>3096</v>
      </c>
      <c r="B3098" s="16">
        <v>1</v>
      </c>
      <c r="C3098" s="20">
        <v>0.1</v>
      </c>
      <c r="D3098" s="20">
        <v>0.91221926798829545</v>
      </c>
      <c r="E3098" s="20">
        <v>0.11</v>
      </c>
      <c r="F3098" s="8" t="s">
        <v>436</v>
      </c>
      <c r="G3098" s="24">
        <v>0.94463421382094814</v>
      </c>
      <c r="H3098" s="24">
        <v>0.95010340479438404</v>
      </c>
      <c r="I3098" s="25">
        <v>0.96671941660598149</v>
      </c>
      <c r="X3098" s="15">
        <v>3097</v>
      </c>
      <c r="Y3098" s="39">
        <v>0.49241923944719546</v>
      </c>
      <c r="Z3098" s="39">
        <v>0.48395043040215385</v>
      </c>
      <c r="AA3098" s="39">
        <v>0.49231068789502364</v>
      </c>
      <c r="AB3098" s="39">
        <v>0.47624492968934568</v>
      </c>
      <c r="AC3098" s="39">
        <v>0.48474515836490351</v>
      </c>
      <c r="AD3098" s="39">
        <v>0.47729038456089562</v>
      </c>
      <c r="AE3098" s="39">
        <v>0.48629809081398595</v>
      </c>
      <c r="AF3098" s="40">
        <v>0.4703663600914183</v>
      </c>
    </row>
    <row r="3099" spans="1:32">
      <c r="A3099" s="15">
        <v>3097</v>
      </c>
      <c r="B3099" s="16">
        <v>1</v>
      </c>
      <c r="C3099" s="20">
        <v>0.09</v>
      </c>
      <c r="D3099" s="20">
        <v>0.92717329096792744</v>
      </c>
      <c r="E3099" s="20">
        <v>0.47</v>
      </c>
      <c r="F3099" s="8" t="s">
        <v>436</v>
      </c>
      <c r="G3099" s="24">
        <v>0.97995070331258827</v>
      </c>
      <c r="H3099" s="24">
        <v>0.98562436774539619</v>
      </c>
      <c r="I3099" s="25">
        <v>1.0028615927186084</v>
      </c>
      <c r="X3099" s="15">
        <v>3098</v>
      </c>
      <c r="Y3099" s="39">
        <v>0.48284903050433248</v>
      </c>
      <c r="Z3099" s="39">
        <v>0.47476335284998206</v>
      </c>
      <c r="AA3099" s="39">
        <v>0.49283597414115954</v>
      </c>
      <c r="AB3099" s="39">
        <v>0.49434320628687139</v>
      </c>
      <c r="AC3099" s="39">
        <v>0.4774669700728878</v>
      </c>
      <c r="AD3099" s="39">
        <v>0.46882285886212938</v>
      </c>
      <c r="AE3099" s="39">
        <v>0.48552191538521433</v>
      </c>
      <c r="AF3099" s="40">
        <v>0.48891975705815138</v>
      </c>
    </row>
    <row r="3100" spans="1:32">
      <c r="A3100" s="15">
        <v>3098</v>
      </c>
      <c r="B3100" s="16">
        <v>0</v>
      </c>
      <c r="C3100" s="20">
        <v>0.94</v>
      </c>
      <c r="D3100" s="20">
        <v>0.17188516685452584</v>
      </c>
      <c r="E3100" s="20">
        <v>0.06</v>
      </c>
      <c r="F3100" s="8" t="s">
        <v>434</v>
      </c>
      <c r="G3100" s="24">
        <v>0.6833548886470836</v>
      </c>
      <c r="H3100" s="24">
        <v>0.68731133902116492</v>
      </c>
      <c r="I3100" s="25">
        <v>0.6993314762712699</v>
      </c>
      <c r="X3100" s="15">
        <v>3099</v>
      </c>
      <c r="Y3100" s="39">
        <v>0.48440002736311566</v>
      </c>
      <c r="Z3100" s="39">
        <v>0.46280113909962822</v>
      </c>
      <c r="AA3100" s="39">
        <v>0.47775891380176749</v>
      </c>
      <c r="AB3100" s="39">
        <v>0.49929778188333496</v>
      </c>
      <c r="AC3100" s="39">
        <v>0.47653363181306685</v>
      </c>
      <c r="AD3100" s="39">
        <v>0.45904634513038034</v>
      </c>
      <c r="AE3100" s="39">
        <v>0.47068266665617947</v>
      </c>
      <c r="AF3100" s="40">
        <v>0.49651046444458347</v>
      </c>
    </row>
    <row r="3101" spans="1:32">
      <c r="A3101" s="15">
        <v>3099</v>
      </c>
      <c r="B3101" s="16">
        <v>1</v>
      </c>
      <c r="C3101" s="20">
        <v>0.95</v>
      </c>
      <c r="D3101" s="20">
        <v>0.15570568692893463</v>
      </c>
      <c r="E3101" s="20">
        <v>0.05</v>
      </c>
      <c r="F3101" s="8" t="s">
        <v>434</v>
      </c>
      <c r="G3101" s="24">
        <v>1.4341601845171612</v>
      </c>
      <c r="H3101" s="24">
        <v>1.4424636059059499</v>
      </c>
      <c r="I3101" s="25">
        <v>1.4676903256425449</v>
      </c>
      <c r="X3101" s="15">
        <v>3100</v>
      </c>
      <c r="Y3101" s="39">
        <v>0.47241479574252848</v>
      </c>
      <c r="Z3101" s="39">
        <v>0.48002900600945747</v>
      </c>
      <c r="AA3101" s="39">
        <v>0.489102149047978</v>
      </c>
      <c r="AB3101" s="39">
        <v>0.49339693334759843</v>
      </c>
      <c r="AC3101" s="39">
        <v>0.46671678468501304</v>
      </c>
      <c r="AD3101" s="39">
        <v>0.47110674816033499</v>
      </c>
      <c r="AE3101" s="39">
        <v>0.4823026194230487</v>
      </c>
      <c r="AF3101" s="40">
        <v>0.49070973738247547</v>
      </c>
    </row>
    <row r="3102" spans="1:32">
      <c r="A3102" s="15">
        <v>3100</v>
      </c>
      <c r="B3102" s="16">
        <v>0</v>
      </c>
      <c r="C3102" s="20">
        <v>0.02</v>
      </c>
      <c r="D3102" s="20">
        <v>0.99917029198757767</v>
      </c>
      <c r="E3102" s="20">
        <v>1</v>
      </c>
      <c r="F3102" s="8" t="s">
        <v>436</v>
      </c>
      <c r="G3102" s="24">
        <v>1.1096468937172042</v>
      </c>
      <c r="H3102" s="24">
        <v>1.1160714659865816</v>
      </c>
      <c r="I3102" s="25">
        <v>1.1355900326687347</v>
      </c>
      <c r="X3102" s="15">
        <v>3101</v>
      </c>
      <c r="Y3102" s="39">
        <v>0.48420655384753364</v>
      </c>
      <c r="Z3102" s="39">
        <v>0.47416531051996602</v>
      </c>
      <c r="AA3102" s="39">
        <v>0.48750939562086132</v>
      </c>
      <c r="AB3102" s="39">
        <v>0.48363260030167154</v>
      </c>
      <c r="AC3102" s="39">
        <v>0.4781914318639634</v>
      </c>
      <c r="AD3102" s="39">
        <v>0.46775994027239814</v>
      </c>
      <c r="AE3102" s="39">
        <v>0.48077581080370874</v>
      </c>
      <c r="AF3102" s="40">
        <v>0.47746187571671539</v>
      </c>
    </row>
    <row r="3103" spans="1:32">
      <c r="A3103" s="15">
        <v>3101</v>
      </c>
      <c r="B3103" s="16">
        <v>1</v>
      </c>
      <c r="C3103" s="20">
        <v>0.74</v>
      </c>
      <c r="D3103" s="20">
        <v>0.45825071120367222</v>
      </c>
      <c r="E3103" s="20">
        <v>0.04</v>
      </c>
      <c r="F3103" s="8" t="s">
        <v>438</v>
      </c>
      <c r="G3103" s="24">
        <v>1.5897885503625124</v>
      </c>
      <c r="H3103" s="24">
        <v>1.5989930202643008</v>
      </c>
      <c r="I3103" s="25">
        <v>1.6269572258205616</v>
      </c>
      <c r="X3103" s="15">
        <v>3102</v>
      </c>
      <c r="Y3103" s="39">
        <v>0.47294557504675477</v>
      </c>
      <c r="Z3103" s="39">
        <v>0.47190509599125713</v>
      </c>
      <c r="AA3103" s="39">
        <v>0.48092301444288954</v>
      </c>
      <c r="AB3103" s="39">
        <v>0.47883044631108507</v>
      </c>
      <c r="AC3103" s="39">
        <v>0.46652974933392977</v>
      </c>
      <c r="AD3103" s="39">
        <v>0.46809966255887758</v>
      </c>
      <c r="AE3103" s="39">
        <v>0.47516057506620252</v>
      </c>
      <c r="AF3103" s="40">
        <v>0.47703393851757042</v>
      </c>
    </row>
    <row r="3104" spans="1:32">
      <c r="A3104" s="15">
        <v>3102</v>
      </c>
      <c r="B3104" s="16">
        <v>0</v>
      </c>
      <c r="C3104" s="20">
        <v>0.95</v>
      </c>
      <c r="D3104" s="20">
        <v>0.15570568692893463</v>
      </c>
      <c r="E3104" s="20">
        <v>0.05</v>
      </c>
      <c r="F3104" s="8" t="s">
        <v>434</v>
      </c>
      <c r="G3104" s="24">
        <v>1.7429651722246478</v>
      </c>
      <c r="H3104" s="24">
        <v>1.753056495667598</v>
      </c>
      <c r="I3104" s="25">
        <v>1.6578926537592125</v>
      </c>
      <c r="X3104" s="15">
        <v>3103</v>
      </c>
      <c r="Y3104" s="39">
        <v>0.49427296192171555</v>
      </c>
      <c r="Z3104" s="39">
        <v>0.48455831362149815</v>
      </c>
      <c r="AA3104" s="39">
        <v>0.49156450876209268</v>
      </c>
      <c r="AB3104" s="39">
        <v>0.49567565634520605</v>
      </c>
      <c r="AC3104" s="39">
        <v>0.48699609387403364</v>
      </c>
      <c r="AD3104" s="39">
        <v>0.47588969215550408</v>
      </c>
      <c r="AE3104" s="39">
        <v>0.4827223246677283</v>
      </c>
      <c r="AF3104" s="40">
        <v>0.490632676771936</v>
      </c>
    </row>
    <row r="3105" spans="1:32">
      <c r="A3105" s="15">
        <v>3103</v>
      </c>
      <c r="B3105" s="16">
        <v>0</v>
      </c>
      <c r="C3105" s="20">
        <v>0.88</v>
      </c>
      <c r="D3105" s="20">
        <v>0.25930874124763043</v>
      </c>
      <c r="E3105" s="20">
        <v>0.12</v>
      </c>
      <c r="F3105" s="8" t="s">
        <v>434</v>
      </c>
      <c r="G3105" s="24">
        <v>0.88833969805672064</v>
      </c>
      <c r="H3105" s="24">
        <v>0.89348295815345635</v>
      </c>
      <c r="I3105" s="25">
        <v>0.90910875563110216</v>
      </c>
      <c r="X3105" s="15">
        <v>3104</v>
      </c>
      <c r="Y3105" s="39">
        <v>0.4725849450764566</v>
      </c>
      <c r="Z3105" s="39">
        <v>0.47550041343345156</v>
      </c>
      <c r="AA3105" s="39">
        <v>0.47346444187108661</v>
      </c>
      <c r="AB3105" s="39">
        <v>0.49947418403347443</v>
      </c>
      <c r="AC3105" s="39">
        <v>0.4652924612065209</v>
      </c>
      <c r="AD3105" s="39">
        <v>0.47335666864465342</v>
      </c>
      <c r="AE3105" s="39">
        <v>0.46571833468901125</v>
      </c>
      <c r="AF3105" s="40">
        <v>0.49302204970384433</v>
      </c>
    </row>
    <row r="3106" spans="1:32">
      <c r="A3106" s="15">
        <v>3104</v>
      </c>
      <c r="B3106" s="16">
        <v>0</v>
      </c>
      <c r="C3106" s="20">
        <v>0.23</v>
      </c>
      <c r="D3106" s="20">
        <v>0.84446747781351539</v>
      </c>
      <c r="E3106" s="20">
        <v>0.04</v>
      </c>
      <c r="F3106" s="8" t="s">
        <v>436</v>
      </c>
      <c r="G3106" s="24">
        <v>0.78068484621820911</v>
      </c>
      <c r="H3106" s="24">
        <v>0.78520481220246485</v>
      </c>
      <c r="I3106" s="25">
        <v>0.7989369726896729</v>
      </c>
      <c r="X3106" s="15">
        <v>3105</v>
      </c>
      <c r="Y3106" s="39">
        <v>0.49228296885750644</v>
      </c>
      <c r="Z3106" s="39">
        <v>0.48866842464140631</v>
      </c>
      <c r="AA3106" s="39">
        <v>0.49368972665963745</v>
      </c>
      <c r="AB3106" s="39">
        <v>0.48152209615379715</v>
      </c>
      <c r="AC3106" s="39">
        <v>0.48889184657962992</v>
      </c>
      <c r="AD3106" s="39">
        <v>0.47862425017397342</v>
      </c>
      <c r="AE3106" s="39">
        <v>0.4842872860474548</v>
      </c>
      <c r="AF3106" s="40">
        <v>0.4753603921971426</v>
      </c>
    </row>
    <row r="3107" spans="1:32">
      <c r="A3107" s="15">
        <v>3105</v>
      </c>
      <c r="B3107" s="16">
        <v>0</v>
      </c>
      <c r="C3107" s="20">
        <v>0.02</v>
      </c>
      <c r="D3107" s="20">
        <v>0.99604261948721451</v>
      </c>
      <c r="E3107" s="20">
        <v>1</v>
      </c>
      <c r="F3107" s="8" t="s">
        <v>436</v>
      </c>
      <c r="G3107" s="24">
        <v>1.2099484109164393</v>
      </c>
      <c r="H3107" s="24">
        <v>1.2169537033677262</v>
      </c>
      <c r="I3107" s="25">
        <v>1.2382365626936556</v>
      </c>
      <c r="X3107" s="15">
        <v>3106</v>
      </c>
      <c r="Y3107" s="39">
        <v>0.47719574598786141</v>
      </c>
      <c r="Z3107" s="39">
        <v>0.49022863738648587</v>
      </c>
      <c r="AA3107" s="39">
        <v>0.48837825657851369</v>
      </c>
      <c r="AB3107" s="39">
        <v>0.4846461063878888</v>
      </c>
      <c r="AC3107" s="39">
        <v>0.46748656337227856</v>
      </c>
      <c r="AD3107" s="39">
        <v>0.48023448822977638</v>
      </c>
      <c r="AE3107" s="39">
        <v>0.48063607832639027</v>
      </c>
      <c r="AF3107" s="40">
        <v>0.48113703578583861</v>
      </c>
    </row>
    <row r="3108" spans="1:32">
      <c r="A3108" s="15">
        <v>3106</v>
      </c>
      <c r="B3108" s="16">
        <v>1</v>
      </c>
      <c r="C3108" s="20">
        <v>0.19</v>
      </c>
      <c r="D3108" s="20">
        <v>0.77106945510456437</v>
      </c>
      <c r="E3108" s="20">
        <v>0.12</v>
      </c>
      <c r="F3108" s="8" t="s">
        <v>436</v>
      </c>
      <c r="G3108" s="24">
        <v>0.95538528964034897</v>
      </c>
      <c r="H3108" s="24">
        <v>0.96091672659849081</v>
      </c>
      <c r="I3108" s="25">
        <v>0.97772184864999789</v>
      </c>
      <c r="X3108" s="15">
        <v>3107</v>
      </c>
      <c r="Y3108" s="39">
        <v>0.49620909796140816</v>
      </c>
      <c r="Z3108" s="39">
        <v>0.49525754392517007</v>
      </c>
      <c r="AA3108" s="39">
        <v>0.48287177327204206</v>
      </c>
      <c r="AB3108" s="39">
        <v>0.48777010688998329</v>
      </c>
      <c r="AC3108" s="39">
        <v>0.4863080504735352</v>
      </c>
      <c r="AD3108" s="39">
        <v>0.48761068486011788</v>
      </c>
      <c r="AE3108" s="39">
        <v>0.47509012526878713</v>
      </c>
      <c r="AF3108" s="40">
        <v>0.48234735660138495</v>
      </c>
    </row>
    <row r="3109" spans="1:32">
      <c r="A3109" s="15">
        <v>3107</v>
      </c>
      <c r="B3109" s="16">
        <v>0</v>
      </c>
      <c r="C3109" s="20">
        <v>0.95</v>
      </c>
      <c r="D3109" s="20">
        <v>0.15570568692893463</v>
      </c>
      <c r="E3109" s="20">
        <v>0.05</v>
      </c>
      <c r="F3109" s="8" t="s">
        <v>434</v>
      </c>
      <c r="G3109" s="24">
        <v>1.4188249036386267</v>
      </c>
      <c r="H3109" s="24">
        <v>1.4270395376655678</v>
      </c>
      <c r="I3109" s="25">
        <v>1.4519965115000097</v>
      </c>
      <c r="X3109" s="15">
        <v>3108</v>
      </c>
      <c r="Y3109" s="39">
        <v>0.49530377674735176</v>
      </c>
      <c r="Z3109" s="39">
        <v>0.48829826660182674</v>
      </c>
      <c r="AA3109" s="39">
        <v>0.4822236219854063</v>
      </c>
      <c r="AB3109" s="39">
        <v>0.49094218589065552</v>
      </c>
      <c r="AC3109" s="39">
        <v>0.489408886873342</v>
      </c>
      <c r="AD3109" s="39">
        <v>0.48425913072421478</v>
      </c>
      <c r="AE3109" s="39">
        <v>0.47442746040918954</v>
      </c>
      <c r="AF3109" s="40">
        <v>0.48598349197596546</v>
      </c>
    </row>
    <row r="3110" spans="1:32">
      <c r="A3110" s="15">
        <v>3108</v>
      </c>
      <c r="B3110" s="16">
        <v>1</v>
      </c>
      <c r="C3110" s="20">
        <v>0.51</v>
      </c>
      <c r="D3110" s="20">
        <v>0.47254180694911996</v>
      </c>
      <c r="E3110" s="20">
        <v>0.06</v>
      </c>
      <c r="F3110" s="8" t="s">
        <v>438</v>
      </c>
      <c r="G3110" s="24">
        <v>0.98911970820922301</v>
      </c>
      <c r="H3110" s="24">
        <v>0.99484645883992884</v>
      </c>
      <c r="I3110" s="25">
        <v>1.0122449655997141</v>
      </c>
      <c r="X3110" s="15">
        <v>3109</v>
      </c>
      <c r="Y3110" s="39">
        <v>0.48264182387107496</v>
      </c>
      <c r="Z3110" s="39">
        <v>0.48627420377352348</v>
      </c>
      <c r="AA3110" s="39">
        <v>0.47592552964596235</v>
      </c>
      <c r="AB3110" s="39">
        <v>0.48557665620699303</v>
      </c>
      <c r="AC3110" s="39">
        <v>0.47471942526174649</v>
      </c>
      <c r="AD3110" s="39">
        <v>0.47767987741952078</v>
      </c>
      <c r="AE3110" s="39">
        <v>0.46695188273134303</v>
      </c>
      <c r="AF3110" s="40">
        <v>0.48118808671170576</v>
      </c>
    </row>
    <row r="3111" spans="1:32">
      <c r="A3111" s="15">
        <v>3109</v>
      </c>
      <c r="B3111" s="16">
        <v>1</v>
      </c>
      <c r="C3111" s="20">
        <v>0.28000000000000003</v>
      </c>
      <c r="D3111" s="20">
        <v>0.69368009266054753</v>
      </c>
      <c r="E3111" s="20">
        <v>7.0000000000000007E-2</v>
      </c>
      <c r="F3111" s="8" t="s">
        <v>436</v>
      </c>
      <c r="G3111" s="24">
        <v>1.4839178060151237</v>
      </c>
      <c r="H3111" s="24">
        <v>1.4925093113313994</v>
      </c>
      <c r="I3111" s="25">
        <v>1.5186112621515511</v>
      </c>
      <c r="X3111" s="15">
        <v>3110</v>
      </c>
      <c r="Y3111" s="39">
        <v>0.48929630425801318</v>
      </c>
      <c r="Z3111" s="39">
        <v>0.48416085769043071</v>
      </c>
      <c r="AA3111" s="39">
        <v>0.46772179960834559</v>
      </c>
      <c r="AB3111" s="39">
        <v>0.49113371158368463</v>
      </c>
      <c r="AC3111" s="39">
        <v>0.48414218020991784</v>
      </c>
      <c r="AD3111" s="39">
        <v>0.47843313210914906</v>
      </c>
      <c r="AE3111" s="39">
        <v>0.45888503915207246</v>
      </c>
      <c r="AF3111" s="40">
        <v>0.48704830969645108</v>
      </c>
    </row>
    <row r="3112" spans="1:32">
      <c r="A3112" s="15">
        <v>3110</v>
      </c>
      <c r="B3112" s="16">
        <v>1</v>
      </c>
      <c r="C3112" s="20">
        <v>0.9</v>
      </c>
      <c r="D3112" s="20">
        <v>0.23159538658365303</v>
      </c>
      <c r="E3112" s="20">
        <v>0.1</v>
      </c>
      <c r="F3112" s="8" t="s">
        <v>434</v>
      </c>
      <c r="G3112" s="24">
        <v>0.98939233544709959</v>
      </c>
      <c r="H3112" s="24">
        <v>0.99512066451992265</v>
      </c>
      <c r="I3112" s="25">
        <v>1.0125239667628045</v>
      </c>
      <c r="X3112" s="15">
        <v>3111</v>
      </c>
      <c r="Y3112" s="39">
        <v>0.48049924571031405</v>
      </c>
      <c r="Z3112" s="39">
        <v>0.49009635717940525</v>
      </c>
      <c r="AA3112" s="39">
        <v>0.49275897925390399</v>
      </c>
      <c r="AB3112" s="39">
        <v>0.47688112437118457</v>
      </c>
      <c r="AC3112" s="39">
        <v>0.47414711106998148</v>
      </c>
      <c r="AD3112" s="39">
        <v>0.48253235541054978</v>
      </c>
      <c r="AE3112" s="39">
        <v>0.48543845410508141</v>
      </c>
      <c r="AF3112" s="40">
        <v>0.47315700163615204</v>
      </c>
    </row>
    <row r="3113" spans="1:32">
      <c r="A3113" s="15">
        <v>3111</v>
      </c>
      <c r="B3113" s="16">
        <v>0</v>
      </c>
      <c r="C3113" s="20">
        <v>0.02</v>
      </c>
      <c r="D3113" s="20">
        <v>0.99835916395484214</v>
      </c>
      <c r="E3113" s="20">
        <v>1</v>
      </c>
      <c r="F3113" s="8" t="s">
        <v>436</v>
      </c>
      <c r="G3113" s="24">
        <v>1.0461508878630643</v>
      </c>
      <c r="H3113" s="24">
        <v>1.0522078344663526</v>
      </c>
      <c r="I3113" s="25">
        <v>1.0706095133967968</v>
      </c>
      <c r="X3113" s="15">
        <v>3112</v>
      </c>
      <c r="Y3113" s="39">
        <v>0.4887639093619689</v>
      </c>
      <c r="Z3113" s="39">
        <v>0.50173096722821786</v>
      </c>
      <c r="AA3113" s="39">
        <v>0.48534991079277823</v>
      </c>
      <c r="AB3113" s="39">
        <v>0.48912395168273437</v>
      </c>
      <c r="AC3113" s="39">
        <v>0.483672858978206</v>
      </c>
      <c r="AD3113" s="39">
        <v>0.4934921522677394</v>
      </c>
      <c r="AE3113" s="39">
        <v>0.48031553767056173</v>
      </c>
      <c r="AF3113" s="40">
        <v>0.48429627411172388</v>
      </c>
    </row>
    <row r="3114" spans="1:32">
      <c r="A3114" s="15">
        <v>3112</v>
      </c>
      <c r="B3114" s="16">
        <v>0</v>
      </c>
      <c r="C3114" s="20">
        <v>0.02</v>
      </c>
      <c r="D3114" s="20">
        <v>0.99756714174924133</v>
      </c>
      <c r="E3114" s="20">
        <v>1</v>
      </c>
      <c r="F3114" s="8" t="s">
        <v>436</v>
      </c>
      <c r="G3114" s="24">
        <v>1.0055221757408566</v>
      </c>
      <c r="H3114" s="24">
        <v>1.0113438924717244</v>
      </c>
      <c r="I3114" s="25">
        <v>1.0290309168293876</v>
      </c>
      <c r="X3114" s="15">
        <v>3113</v>
      </c>
      <c r="Y3114" s="39">
        <v>0.47055909780713923</v>
      </c>
      <c r="Z3114" s="39">
        <v>0.48318305716429033</v>
      </c>
      <c r="AA3114" s="39">
        <v>0.47990330026056649</v>
      </c>
      <c r="AB3114" s="39">
        <v>0.49453742076335649</v>
      </c>
      <c r="AC3114" s="39">
        <v>0.46485558295429691</v>
      </c>
      <c r="AD3114" s="39">
        <v>0.47661827949597152</v>
      </c>
      <c r="AE3114" s="39">
        <v>0.47229059651789035</v>
      </c>
      <c r="AF3114" s="40">
        <v>0.48948943965330899</v>
      </c>
    </row>
    <row r="3115" spans="1:32">
      <c r="A3115" s="15">
        <v>3113</v>
      </c>
      <c r="B3115" s="16">
        <v>0</v>
      </c>
      <c r="C3115" s="20">
        <v>0.15</v>
      </c>
      <c r="D3115" s="20">
        <v>0.87783194937063069</v>
      </c>
      <c r="E3115" s="20">
        <v>7.0000000000000007E-2</v>
      </c>
      <c r="F3115" s="8" t="s">
        <v>436</v>
      </c>
      <c r="G3115" s="24">
        <v>1.2139770931035827</v>
      </c>
      <c r="H3115" s="24">
        <v>1.2210057105963834</v>
      </c>
      <c r="I3115" s="25">
        <v>1.2423594339984043</v>
      </c>
      <c r="X3115" s="15">
        <v>3114</v>
      </c>
      <c r="Y3115" s="39">
        <v>0.49340526455824407</v>
      </c>
      <c r="Z3115" s="39">
        <v>0.48105593373279304</v>
      </c>
      <c r="AA3115" s="39">
        <v>0.47557458293817789</v>
      </c>
      <c r="AB3115" s="39">
        <v>0.49929416124180659</v>
      </c>
      <c r="AC3115" s="39">
        <v>0.48596525591744805</v>
      </c>
      <c r="AD3115" s="39">
        <v>0.47272060394305943</v>
      </c>
      <c r="AE3115" s="39">
        <v>0.47205604005887758</v>
      </c>
      <c r="AF3115" s="40">
        <v>0.49601403788486242</v>
      </c>
    </row>
    <row r="3116" spans="1:32">
      <c r="A3116" s="15">
        <v>3114</v>
      </c>
      <c r="B3116" s="16">
        <v>0</v>
      </c>
      <c r="C3116" s="20">
        <v>0.87</v>
      </c>
      <c r="D3116" s="20">
        <v>0.27276032039195819</v>
      </c>
      <c r="E3116" s="20">
        <v>0.13</v>
      </c>
      <c r="F3116" s="8" t="s">
        <v>434</v>
      </c>
      <c r="G3116" s="24">
        <v>0.71044587539066117</v>
      </c>
      <c r="H3116" s="24">
        <v>0.71455917566282123</v>
      </c>
      <c r="I3116" s="25">
        <v>0.72705584038687643</v>
      </c>
      <c r="X3116" s="15">
        <v>3115</v>
      </c>
      <c r="Y3116" s="39">
        <v>0.48512562520165747</v>
      </c>
      <c r="Z3116" s="39">
        <v>0.48816403528824032</v>
      </c>
      <c r="AA3116" s="39">
        <v>0.48581617081802525</v>
      </c>
      <c r="AB3116" s="39">
        <v>0.49026015414337587</v>
      </c>
      <c r="AC3116" s="39">
        <v>0.47786131653048802</v>
      </c>
      <c r="AD3116" s="39">
        <v>0.48100093092167284</v>
      </c>
      <c r="AE3116" s="39">
        <v>0.4820297381225816</v>
      </c>
      <c r="AF3116" s="40">
        <v>0.48655341772847549</v>
      </c>
    </row>
    <row r="3117" spans="1:32">
      <c r="A3117" s="15">
        <v>3115</v>
      </c>
      <c r="B3117" s="16">
        <v>0</v>
      </c>
      <c r="C3117" s="20">
        <v>0.2</v>
      </c>
      <c r="D3117" s="20">
        <v>0.87636487737373447</v>
      </c>
      <c r="E3117" s="20">
        <v>0.09</v>
      </c>
      <c r="F3117" s="8" t="s">
        <v>436</v>
      </c>
      <c r="G3117" s="24">
        <v>1.1498441229774001</v>
      </c>
      <c r="H3117" s="24">
        <v>1.1565014269435661</v>
      </c>
      <c r="I3117" s="25">
        <v>1.1767270584624663</v>
      </c>
      <c r="X3117" s="15">
        <v>3116</v>
      </c>
      <c r="Y3117" s="39">
        <v>0.48953094279169984</v>
      </c>
      <c r="Z3117" s="39">
        <v>0.47290816387995072</v>
      </c>
      <c r="AA3117" s="39">
        <v>0.48002804457225051</v>
      </c>
      <c r="AB3117" s="39">
        <v>0.49042473478546261</v>
      </c>
      <c r="AC3117" s="39">
        <v>0.48047428914628182</v>
      </c>
      <c r="AD3117" s="39">
        <v>0.46707234962793914</v>
      </c>
      <c r="AE3117" s="39">
        <v>0.47498269583778291</v>
      </c>
      <c r="AF3117" s="40">
        <v>0.48745197603178403</v>
      </c>
    </row>
    <row r="3118" spans="1:32">
      <c r="A3118" s="15">
        <v>3116</v>
      </c>
      <c r="B3118" s="16">
        <v>0</v>
      </c>
      <c r="C3118" s="20">
        <v>0.4</v>
      </c>
      <c r="D3118" s="20">
        <v>0.59550998749341066</v>
      </c>
      <c r="E3118" s="20">
        <v>7.0000000000000007E-2</v>
      </c>
      <c r="F3118" s="8" t="s">
        <v>436</v>
      </c>
      <c r="G3118" s="24">
        <v>0.62995717518528527</v>
      </c>
      <c r="H3118" s="24">
        <v>0.63360446642856816</v>
      </c>
      <c r="I3118" s="25">
        <v>0.64468534377826714</v>
      </c>
      <c r="X3118" s="15">
        <v>3117</v>
      </c>
      <c r="Y3118" s="39">
        <v>0.4854209424226284</v>
      </c>
      <c r="Z3118" s="39">
        <v>0.48984600283084895</v>
      </c>
      <c r="AA3118" s="39">
        <v>0.49199984495911769</v>
      </c>
      <c r="AB3118" s="39">
        <v>0.48519470541805582</v>
      </c>
      <c r="AC3118" s="39">
        <v>0.47664798951452247</v>
      </c>
      <c r="AD3118" s="39">
        <v>0.48469401921541644</v>
      </c>
      <c r="AE3118" s="39">
        <v>0.48506765521547957</v>
      </c>
      <c r="AF3118" s="40">
        <v>0.4808192031114813</v>
      </c>
    </row>
    <row r="3119" spans="1:32">
      <c r="A3119" s="15">
        <v>3117</v>
      </c>
      <c r="B3119" s="16">
        <v>0</v>
      </c>
      <c r="C3119" s="20">
        <v>0.02</v>
      </c>
      <c r="D3119" s="20">
        <v>0.99460135128185911</v>
      </c>
      <c r="E3119" s="20">
        <v>1</v>
      </c>
      <c r="F3119" s="8" t="s">
        <v>436</v>
      </c>
      <c r="G3119" s="24">
        <v>1.0659566346739855</v>
      </c>
      <c r="H3119" s="24">
        <v>1.0721282514957515</v>
      </c>
      <c r="I3119" s="25">
        <v>1.0908783113318763</v>
      </c>
      <c r="X3119" s="15">
        <v>3118</v>
      </c>
      <c r="Y3119" s="39">
        <v>0.48662789482971214</v>
      </c>
      <c r="Z3119" s="39">
        <v>0.46793127033575893</v>
      </c>
      <c r="AA3119" s="39">
        <v>0.49080263966150645</v>
      </c>
      <c r="AB3119" s="39">
        <v>0.48578391813212923</v>
      </c>
      <c r="AC3119" s="39">
        <v>0.47728590552319683</v>
      </c>
      <c r="AD3119" s="39">
        <v>0.46291389172177022</v>
      </c>
      <c r="AE3119" s="39">
        <v>0.48290911996020847</v>
      </c>
      <c r="AF3119" s="40">
        <v>0.48108013620597456</v>
      </c>
    </row>
    <row r="3120" spans="1:32">
      <c r="A3120" s="15">
        <v>3118</v>
      </c>
      <c r="B3120" s="16">
        <v>1</v>
      </c>
      <c r="C3120" s="20">
        <v>0.16</v>
      </c>
      <c r="D3120" s="20">
        <v>0.8913810891715912</v>
      </c>
      <c r="E3120" s="20">
        <v>0.05</v>
      </c>
      <c r="F3120" s="8" t="s">
        <v>436</v>
      </c>
      <c r="G3120" s="24">
        <v>1.197543770357653</v>
      </c>
      <c r="H3120" s="24">
        <v>1.2044772431064772</v>
      </c>
      <c r="I3120" s="25">
        <v>1.2255419061707977</v>
      </c>
      <c r="X3120" s="15">
        <v>3119</v>
      </c>
      <c r="Y3120" s="39">
        <v>0.47869059063286057</v>
      </c>
      <c r="Z3120" s="39">
        <v>0.48960551913823042</v>
      </c>
      <c r="AA3120" s="39">
        <v>0.47863335614415614</v>
      </c>
      <c r="AB3120" s="39">
        <v>0.49324720483361695</v>
      </c>
      <c r="AC3120" s="39">
        <v>0.47043058455594378</v>
      </c>
      <c r="AD3120" s="39">
        <v>0.48113465636750796</v>
      </c>
      <c r="AE3120" s="39">
        <v>0.47453474355519465</v>
      </c>
      <c r="AF3120" s="40">
        <v>0.48909474559352145</v>
      </c>
    </row>
    <row r="3121" spans="1:32">
      <c r="A3121" s="15">
        <v>3119</v>
      </c>
      <c r="B3121" s="16">
        <v>1</v>
      </c>
      <c r="C3121" s="20">
        <v>0.02</v>
      </c>
      <c r="D3121" s="20">
        <v>0.99835916395484214</v>
      </c>
      <c r="E3121" s="20">
        <v>1</v>
      </c>
      <c r="F3121" s="8" t="s">
        <v>436</v>
      </c>
      <c r="G3121" s="24">
        <v>0.94979857897999498</v>
      </c>
      <c r="H3121" s="24">
        <v>0.95529767030946089</v>
      </c>
      <c r="I3121" s="25">
        <v>0.97200452273558047</v>
      </c>
      <c r="X3121" s="15">
        <v>3120</v>
      </c>
      <c r="Y3121" s="39">
        <v>0.47970066763486263</v>
      </c>
      <c r="Z3121" s="39">
        <v>0.46973929061544711</v>
      </c>
      <c r="AA3121" s="39">
        <v>0.48756609416645535</v>
      </c>
      <c r="AB3121" s="39">
        <v>0.49991612453433226</v>
      </c>
      <c r="AC3121" s="39">
        <v>0.4722360705959705</v>
      </c>
      <c r="AD3121" s="39">
        <v>0.46504192160101415</v>
      </c>
      <c r="AE3121" s="39">
        <v>0.47843475782534894</v>
      </c>
      <c r="AF3121" s="40">
        <v>0.49823138860780708</v>
      </c>
    </row>
    <row r="3122" spans="1:32">
      <c r="A3122" s="15">
        <v>3120</v>
      </c>
      <c r="B3122" s="16">
        <v>0</v>
      </c>
      <c r="C3122" s="20">
        <v>0.8</v>
      </c>
      <c r="D3122" s="20">
        <v>0.36115643774699402</v>
      </c>
      <c r="E3122" s="20">
        <v>0.2</v>
      </c>
      <c r="F3122" s="8" t="s">
        <v>434</v>
      </c>
      <c r="G3122" s="24">
        <v>1.0342233309159232</v>
      </c>
      <c r="H3122" s="24">
        <v>1.040211220009081</v>
      </c>
      <c r="I3122" s="25">
        <v>1.058403094526116</v>
      </c>
      <c r="X3122" s="15">
        <v>3121</v>
      </c>
      <c r="Y3122" s="39">
        <v>0.47934040210756956</v>
      </c>
      <c r="Z3122" s="39">
        <v>0.4897634076721763</v>
      </c>
      <c r="AA3122" s="39">
        <v>0.48787451910881457</v>
      </c>
      <c r="AB3122" s="39">
        <v>0.49210722314568112</v>
      </c>
      <c r="AC3122" s="39">
        <v>0.47137268935597776</v>
      </c>
      <c r="AD3122" s="39">
        <v>0.48165996316997534</v>
      </c>
      <c r="AE3122" s="39">
        <v>0.47963336795756717</v>
      </c>
      <c r="AF3122" s="40">
        <v>0.48555630148789114</v>
      </c>
    </row>
    <row r="3123" spans="1:32">
      <c r="A3123" s="15">
        <v>3121</v>
      </c>
      <c r="B3123" s="16">
        <v>1</v>
      </c>
      <c r="C3123" s="20">
        <v>0.88</v>
      </c>
      <c r="D3123" s="20">
        <v>0.25930874124763043</v>
      </c>
      <c r="E3123" s="20">
        <v>0.12</v>
      </c>
      <c r="F3123" s="8" t="s">
        <v>434</v>
      </c>
      <c r="G3123" s="24">
        <v>1.4200318873803559</v>
      </c>
      <c r="H3123" s="24">
        <v>1.4282535095350706</v>
      </c>
      <c r="I3123" s="25">
        <v>1.4532317140806339</v>
      </c>
      <c r="X3123" s="15">
        <v>3122</v>
      </c>
      <c r="Y3123" s="39">
        <v>0.47700676983008616</v>
      </c>
      <c r="Z3123" s="39">
        <v>0.49275169303086824</v>
      </c>
      <c r="AA3123" s="39">
        <v>0.48916975950421371</v>
      </c>
      <c r="AB3123" s="39">
        <v>0.49685146966684091</v>
      </c>
      <c r="AC3123" s="39">
        <v>0.47148454196916051</v>
      </c>
      <c r="AD3123" s="39">
        <v>0.48147277922119214</v>
      </c>
      <c r="AE3123" s="39">
        <v>0.4831176573766266</v>
      </c>
      <c r="AF3123" s="40">
        <v>0.49155435663369407</v>
      </c>
    </row>
    <row r="3124" spans="1:32">
      <c r="A3124" s="15">
        <v>3122</v>
      </c>
      <c r="B3124" s="16">
        <v>1</v>
      </c>
      <c r="C3124" s="20">
        <v>0.01</v>
      </c>
      <c r="D3124" s="20">
        <v>0.99999999999999978</v>
      </c>
      <c r="E3124" s="20">
        <v>1</v>
      </c>
      <c r="F3124" s="8" t="s">
        <v>436</v>
      </c>
      <c r="G3124" s="24">
        <v>1.0079304549343349</v>
      </c>
      <c r="H3124" s="24">
        <v>1.0137661149870025</v>
      </c>
      <c r="I3124" s="25">
        <v>1.031495500710514</v>
      </c>
      <c r="X3124" s="15">
        <v>3123</v>
      </c>
      <c r="Y3124" s="39">
        <v>0.48697751227343683</v>
      </c>
      <c r="Z3124" s="39">
        <v>0.46613534423725556</v>
      </c>
      <c r="AA3124" s="39">
        <v>0.4846681659092637</v>
      </c>
      <c r="AB3124" s="39">
        <v>0.48420222252226736</v>
      </c>
      <c r="AC3124" s="39">
        <v>0.48031279545536626</v>
      </c>
      <c r="AD3124" s="39">
        <v>0.46105564247943659</v>
      </c>
      <c r="AE3124" s="39">
        <v>0.4772267714526533</v>
      </c>
      <c r="AF3124" s="40">
        <v>0.47893148902024402</v>
      </c>
    </row>
    <row r="3125" spans="1:32">
      <c r="A3125" s="15">
        <v>3123</v>
      </c>
      <c r="B3125" s="16">
        <v>0</v>
      </c>
      <c r="C3125" s="20">
        <v>0.02</v>
      </c>
      <c r="D3125" s="20">
        <v>0.99917029198757767</v>
      </c>
      <c r="E3125" s="20">
        <v>1</v>
      </c>
      <c r="F3125" s="8" t="s">
        <v>436</v>
      </c>
      <c r="G3125" s="24">
        <v>1.0722000795222946</v>
      </c>
      <c r="H3125" s="24">
        <v>1.0784078442960487</v>
      </c>
      <c r="I3125" s="25">
        <v>1.0972677256396171</v>
      </c>
      <c r="X3125" s="15">
        <v>3124</v>
      </c>
      <c r="Y3125" s="39">
        <v>0.48368098390349717</v>
      </c>
      <c r="Z3125" s="39">
        <v>0.49380625239329462</v>
      </c>
      <c r="AA3125" s="39">
        <v>0.48617198663546002</v>
      </c>
      <c r="AB3125" s="39">
        <v>0.48150583982970552</v>
      </c>
      <c r="AC3125" s="39">
        <v>0.4745286889750866</v>
      </c>
      <c r="AD3125" s="39">
        <v>0.48767024869223174</v>
      </c>
      <c r="AE3125" s="39">
        <v>0.4800316552567791</v>
      </c>
      <c r="AF3125" s="40">
        <v>0.47605482919157893</v>
      </c>
    </row>
    <row r="3126" spans="1:32">
      <c r="A3126" s="15">
        <v>3124</v>
      </c>
      <c r="B3126" s="16">
        <v>1</v>
      </c>
      <c r="C3126" s="20">
        <v>0.94</v>
      </c>
      <c r="D3126" s="20">
        <v>0.17188516685452584</v>
      </c>
      <c r="E3126" s="20">
        <v>0.06</v>
      </c>
      <c r="F3126" s="8" t="s">
        <v>434</v>
      </c>
      <c r="G3126" s="24">
        <v>1.1943475716583427</v>
      </c>
      <c r="H3126" s="24">
        <v>1.2012625392325502</v>
      </c>
      <c r="I3126" s="25">
        <v>1.2222709815136694</v>
      </c>
      <c r="X3126" s="15">
        <v>3125</v>
      </c>
      <c r="Y3126" s="39">
        <v>0.4809685788243826</v>
      </c>
      <c r="Z3126" s="39">
        <v>0.49145406336174136</v>
      </c>
      <c r="AA3126" s="39">
        <v>0.47728691195833717</v>
      </c>
      <c r="AB3126" s="39">
        <v>0.47950864581150243</v>
      </c>
      <c r="AC3126" s="39">
        <v>0.47192526704840831</v>
      </c>
      <c r="AD3126" s="39">
        <v>0.48698642002964665</v>
      </c>
      <c r="AE3126" s="39">
        <v>0.47067863578137453</v>
      </c>
      <c r="AF3126" s="40">
        <v>0.47326749748227592</v>
      </c>
    </row>
    <row r="3127" spans="1:32">
      <c r="A3127" s="15">
        <v>3125</v>
      </c>
      <c r="B3127" s="16">
        <v>1</v>
      </c>
      <c r="C3127" s="20">
        <v>0.02</v>
      </c>
      <c r="D3127" s="20">
        <v>0.99835916395484214</v>
      </c>
      <c r="E3127" s="20">
        <v>1</v>
      </c>
      <c r="F3127" s="8" t="s">
        <v>436</v>
      </c>
      <c r="G3127" s="24">
        <v>1.0127291560996037</v>
      </c>
      <c r="H3127" s="24">
        <v>1.0185925994071157</v>
      </c>
      <c r="I3127" s="25">
        <v>1.0364063937557604</v>
      </c>
      <c r="X3127" s="15">
        <v>3126</v>
      </c>
      <c r="Y3127" s="39">
        <v>0.4919978376108331</v>
      </c>
      <c r="Z3127" s="39">
        <v>0.48312033499271717</v>
      </c>
      <c r="AA3127" s="39">
        <v>0.49972858729560854</v>
      </c>
      <c r="AB3127" s="39">
        <v>0.48192789597238361</v>
      </c>
      <c r="AC3127" s="39">
        <v>0.4835589240139605</v>
      </c>
      <c r="AD3127" s="39">
        <v>0.47625551894826423</v>
      </c>
      <c r="AE3127" s="39">
        <v>0.49270512348817391</v>
      </c>
      <c r="AF3127" s="40">
        <v>0.47353633463162381</v>
      </c>
    </row>
    <row r="3128" spans="1:32">
      <c r="A3128" s="15">
        <v>3126</v>
      </c>
      <c r="B3128" s="16">
        <v>0</v>
      </c>
      <c r="C3128" s="20">
        <v>0.49</v>
      </c>
      <c r="D3128" s="20">
        <v>0.48100099367996046</v>
      </c>
      <c r="E3128" s="20">
        <v>0.12</v>
      </c>
      <c r="F3128" s="8" t="s">
        <v>436</v>
      </c>
      <c r="G3128" s="24">
        <v>0.61934043749949785</v>
      </c>
      <c r="H3128" s="24">
        <v>0.62292626054157763</v>
      </c>
      <c r="I3128" s="25">
        <v>0.63382039064434581</v>
      </c>
      <c r="X3128" s="15">
        <v>3127</v>
      </c>
      <c r="Y3128" s="39">
        <v>0.47814528866853195</v>
      </c>
      <c r="Z3128" s="39">
        <v>0.46322720294468395</v>
      </c>
      <c r="AA3128" s="39">
        <v>0.51027196533925911</v>
      </c>
      <c r="AB3128" s="39">
        <v>0.49909902809892187</v>
      </c>
      <c r="AC3128" s="39">
        <v>0.46990286653287866</v>
      </c>
      <c r="AD3128" s="39">
        <v>0.45907792013275139</v>
      </c>
      <c r="AE3128" s="39">
        <v>0.50380501302730885</v>
      </c>
      <c r="AF3128" s="40">
        <v>0.4947792155488987</v>
      </c>
    </row>
    <row r="3129" spans="1:32">
      <c r="A3129" s="15">
        <v>3127</v>
      </c>
      <c r="B3129" s="16">
        <v>0</v>
      </c>
      <c r="C3129" s="20">
        <v>0.92</v>
      </c>
      <c r="D3129" s="20">
        <v>0.20258497911151899</v>
      </c>
      <c r="E3129" s="20">
        <v>0.08</v>
      </c>
      <c r="F3129" s="8" t="s">
        <v>434</v>
      </c>
      <c r="G3129" s="24">
        <v>0.69413985802582789</v>
      </c>
      <c r="H3129" s="24">
        <v>0.69815875061967214</v>
      </c>
      <c r="I3129" s="25">
        <v>0.71036859429366372</v>
      </c>
      <c r="X3129" s="15">
        <v>3128</v>
      </c>
      <c r="Y3129" s="39">
        <v>0.48947227154590744</v>
      </c>
      <c r="Z3129" s="39">
        <v>0.4879012381220974</v>
      </c>
      <c r="AA3129" s="39">
        <v>0.46516562041346926</v>
      </c>
      <c r="AB3129" s="39">
        <v>0.48685439691568283</v>
      </c>
      <c r="AC3129" s="39">
        <v>0.48051978055575312</v>
      </c>
      <c r="AD3129" s="39">
        <v>0.48033950738833814</v>
      </c>
      <c r="AE3129" s="39">
        <v>0.45649465532371758</v>
      </c>
      <c r="AF3129" s="40">
        <v>0.48152804010094363</v>
      </c>
    </row>
    <row r="3130" spans="1:32">
      <c r="A3130" s="15">
        <v>3128</v>
      </c>
      <c r="B3130" s="16">
        <v>1</v>
      </c>
      <c r="C3130" s="20">
        <v>0.02</v>
      </c>
      <c r="D3130" s="20">
        <v>0.99835916395484214</v>
      </c>
      <c r="E3130" s="20">
        <v>1</v>
      </c>
      <c r="F3130" s="8" t="s">
        <v>436</v>
      </c>
      <c r="G3130" s="24">
        <v>1.1247460255815176</v>
      </c>
      <c r="H3130" s="24">
        <v>1.131258017970229</v>
      </c>
      <c r="I3130" s="25">
        <v>1.1510421767193764</v>
      </c>
      <c r="X3130" s="15">
        <v>3129</v>
      </c>
      <c r="Y3130" s="39">
        <v>0.4940061812792787</v>
      </c>
      <c r="Z3130" s="39">
        <v>0.48723462723159111</v>
      </c>
      <c r="AA3130" s="39">
        <v>0.49679780838895687</v>
      </c>
      <c r="AB3130" s="39">
        <v>0.47869776121096647</v>
      </c>
      <c r="AC3130" s="39">
        <v>0.48620069079922323</v>
      </c>
      <c r="AD3130" s="39">
        <v>0.4832642409394563</v>
      </c>
      <c r="AE3130" s="39">
        <v>0.49114169648797634</v>
      </c>
      <c r="AF3130" s="40">
        <v>0.47499553109638115</v>
      </c>
    </row>
    <row r="3131" spans="1:32">
      <c r="A3131" s="15">
        <v>3129</v>
      </c>
      <c r="B3131" s="16">
        <v>1</v>
      </c>
      <c r="C3131" s="20">
        <v>0.02</v>
      </c>
      <c r="D3131" s="20">
        <v>0.99604261948721451</v>
      </c>
      <c r="E3131" s="20">
        <v>1</v>
      </c>
      <c r="F3131" s="8" t="s">
        <v>436</v>
      </c>
      <c r="G3131" s="24">
        <v>1.044816928386366</v>
      </c>
      <c r="H3131" s="24">
        <v>1.0508661517047868</v>
      </c>
      <c r="I3131" s="25">
        <v>1.0692443664349123</v>
      </c>
      <c r="X3131" s="15">
        <v>3130</v>
      </c>
      <c r="Y3131" s="39">
        <v>0.50478748883474678</v>
      </c>
      <c r="Z3131" s="39">
        <v>0.4885104092585853</v>
      </c>
      <c r="AA3131" s="39">
        <v>0.48338293263253806</v>
      </c>
      <c r="AB3131" s="39">
        <v>0.50726251109693421</v>
      </c>
      <c r="AC3131" s="39">
        <v>0.49512440245356482</v>
      </c>
      <c r="AD3131" s="39">
        <v>0.48213717766393133</v>
      </c>
      <c r="AE3131" s="39">
        <v>0.47467955674754492</v>
      </c>
      <c r="AF3131" s="40">
        <v>0.50281965448955335</v>
      </c>
    </row>
    <row r="3132" spans="1:32">
      <c r="A3132" s="15">
        <v>3130</v>
      </c>
      <c r="B3132" s="16">
        <v>0</v>
      </c>
      <c r="C3132" s="20">
        <v>0.98</v>
      </c>
      <c r="D3132" s="20">
        <v>0.10185764172235329</v>
      </c>
      <c r="E3132" s="20">
        <v>0.02</v>
      </c>
      <c r="F3132" s="8" t="s">
        <v>434</v>
      </c>
      <c r="G3132" s="24">
        <v>0.54604758652505803</v>
      </c>
      <c r="H3132" s="24">
        <v>0.54920906266851621</v>
      </c>
      <c r="I3132" s="25">
        <v>0.55881397959259704</v>
      </c>
      <c r="X3132" s="15">
        <v>3131</v>
      </c>
      <c r="Y3132" s="39">
        <v>0.48590848740775239</v>
      </c>
      <c r="Z3132" s="39">
        <v>0.48507835185038145</v>
      </c>
      <c r="AA3132" s="39">
        <v>0.49478491244573886</v>
      </c>
      <c r="AB3132" s="39">
        <v>0.48972769184418274</v>
      </c>
      <c r="AC3132" s="39">
        <v>0.47714455726601812</v>
      </c>
      <c r="AD3132" s="39">
        <v>0.47822432574812079</v>
      </c>
      <c r="AE3132" s="39">
        <v>0.48998907692486171</v>
      </c>
      <c r="AF3132" s="40">
        <v>0.48731482123226805</v>
      </c>
    </row>
    <row r="3133" spans="1:32">
      <c r="A3133" s="15">
        <v>3131</v>
      </c>
      <c r="B3133" s="16">
        <v>0</v>
      </c>
      <c r="C3133" s="20">
        <v>0.3</v>
      </c>
      <c r="D3133" s="20">
        <v>0.67837743519840177</v>
      </c>
      <c r="E3133" s="20">
        <v>0.09</v>
      </c>
      <c r="F3133" s="8" t="s">
        <v>436</v>
      </c>
      <c r="G3133" s="24">
        <v>2.174116106257534</v>
      </c>
      <c r="H3133" s="24">
        <v>2.1867036835541986</v>
      </c>
      <c r="I3133" s="25">
        <v>1.6578926537592125</v>
      </c>
      <c r="X3133" s="15">
        <v>3132</v>
      </c>
      <c r="Y3133" s="39">
        <v>0.49268352031325918</v>
      </c>
      <c r="Z3133" s="39">
        <v>0.48824891451926472</v>
      </c>
      <c r="AA3133" s="39">
        <v>0.48858976445586322</v>
      </c>
      <c r="AB3133" s="39">
        <v>0.48347894766945437</v>
      </c>
      <c r="AC3133" s="39">
        <v>0.48428595637858735</v>
      </c>
      <c r="AD3133" s="39">
        <v>0.48002154569308292</v>
      </c>
      <c r="AE3133" s="39">
        <v>0.48369994285572993</v>
      </c>
      <c r="AF3133" s="40">
        <v>0.48002206682483378</v>
      </c>
    </row>
    <row r="3134" spans="1:32">
      <c r="A3134" s="15">
        <v>3132</v>
      </c>
      <c r="B3134" s="16">
        <v>1</v>
      </c>
      <c r="C3134" s="20">
        <v>0.2</v>
      </c>
      <c r="D3134" s="20">
        <v>0.79712414209915716</v>
      </c>
      <c r="E3134" s="20">
        <v>0.12</v>
      </c>
      <c r="F3134" s="8" t="s">
        <v>436</v>
      </c>
      <c r="G3134" s="24">
        <v>0.71756590092479788</v>
      </c>
      <c r="H3134" s="24">
        <v>0.7217204243273635</v>
      </c>
      <c r="I3134" s="25">
        <v>0.73434232951660949</v>
      </c>
      <c r="X3134" s="15">
        <v>3133</v>
      </c>
      <c r="Y3134" s="39">
        <v>0.48535252355456771</v>
      </c>
      <c r="Z3134" s="39">
        <v>0.47215064669770224</v>
      </c>
      <c r="AA3134" s="39">
        <v>0.48329373334613385</v>
      </c>
      <c r="AB3134" s="39">
        <v>0.48477900712896455</v>
      </c>
      <c r="AC3134" s="39">
        <v>0.47749790787050678</v>
      </c>
      <c r="AD3134" s="39">
        <v>0.46706140121797352</v>
      </c>
      <c r="AE3134" s="39">
        <v>0.47570856126377364</v>
      </c>
      <c r="AF3134" s="40">
        <v>0.48236984014764767</v>
      </c>
    </row>
    <row r="3135" spans="1:32">
      <c r="A3135" s="15">
        <v>3133</v>
      </c>
      <c r="B3135" s="16">
        <v>0</v>
      </c>
      <c r="C3135" s="20">
        <v>0.48</v>
      </c>
      <c r="D3135" s="20">
        <v>0.49058009869340541</v>
      </c>
      <c r="E3135" s="20">
        <v>7.0000000000000007E-2</v>
      </c>
      <c r="F3135" s="8" t="s">
        <v>436</v>
      </c>
      <c r="G3135" s="24">
        <v>1.0648597957884676</v>
      </c>
      <c r="H3135" s="24">
        <v>1.0710250621930624</v>
      </c>
      <c r="I3135" s="25">
        <v>1.089755828753959</v>
      </c>
      <c r="X3135" s="15">
        <v>3134</v>
      </c>
      <c r="Y3135" s="39">
        <v>0.49500746561836584</v>
      </c>
      <c r="Z3135" s="39">
        <v>0.48671195414018059</v>
      </c>
      <c r="AA3135" s="39">
        <v>0.47357454684508843</v>
      </c>
      <c r="AB3135" s="39">
        <v>0.4829498375074387</v>
      </c>
      <c r="AC3135" s="39">
        <v>0.48623032803850535</v>
      </c>
      <c r="AD3135" s="39">
        <v>0.47951906985037712</v>
      </c>
      <c r="AE3135" s="39">
        <v>0.46821510658940818</v>
      </c>
      <c r="AF3135" s="40">
        <v>0.47718639902223209</v>
      </c>
    </row>
    <row r="3136" spans="1:32">
      <c r="A3136" s="15">
        <v>3134</v>
      </c>
      <c r="B3136" s="16">
        <v>1</v>
      </c>
      <c r="C3136" s="20">
        <v>0.31</v>
      </c>
      <c r="D3136" s="20">
        <v>0.71507580724176201</v>
      </c>
      <c r="E3136" s="20">
        <v>0.44</v>
      </c>
      <c r="F3136" s="8" t="s">
        <v>436</v>
      </c>
      <c r="G3136" s="24">
        <v>1.3145728963547074</v>
      </c>
      <c r="H3136" s="24">
        <v>1.3221839378705396</v>
      </c>
      <c r="I3136" s="25">
        <v>1.3453071303755866</v>
      </c>
      <c r="X3136" s="15">
        <v>3135</v>
      </c>
      <c r="Y3136" s="39">
        <v>0.49060267858779061</v>
      </c>
      <c r="Z3136" s="39">
        <v>0.49088759323496589</v>
      </c>
      <c r="AA3136" s="39">
        <v>0.47840684412275042</v>
      </c>
      <c r="AB3136" s="39">
        <v>0.4845964390696646</v>
      </c>
      <c r="AC3136" s="39">
        <v>0.48224563461323511</v>
      </c>
      <c r="AD3136" s="39">
        <v>0.4860382100654726</v>
      </c>
      <c r="AE3136" s="39">
        <v>0.47220587397186098</v>
      </c>
      <c r="AF3136" s="40">
        <v>0.47890478278720483</v>
      </c>
    </row>
    <row r="3137" spans="1:32">
      <c r="A3137" s="15">
        <v>3135</v>
      </c>
      <c r="B3137" s="16">
        <v>0</v>
      </c>
      <c r="C3137" s="20">
        <v>0.98</v>
      </c>
      <c r="D3137" s="20">
        <v>0.10185764172235329</v>
      </c>
      <c r="E3137" s="20">
        <v>0.02</v>
      </c>
      <c r="F3137" s="8" t="s">
        <v>434</v>
      </c>
      <c r="G3137" s="24">
        <v>0.84124903268181694</v>
      </c>
      <c r="H3137" s="24">
        <v>0.84611964984625854</v>
      </c>
      <c r="I3137" s="25">
        <v>0.86091712770490558</v>
      </c>
      <c r="X3137" s="15">
        <v>3136</v>
      </c>
      <c r="Y3137" s="39">
        <v>0.49283025779418821</v>
      </c>
      <c r="Z3137" s="39">
        <v>0.49156107025326423</v>
      </c>
      <c r="AA3137" s="39">
        <v>0.4730534839211592</v>
      </c>
      <c r="AB3137" s="39">
        <v>0.49178462363096614</v>
      </c>
      <c r="AC3137" s="39">
        <v>0.48551994026537443</v>
      </c>
      <c r="AD3137" s="39">
        <v>0.48339093255750643</v>
      </c>
      <c r="AE3137" s="39">
        <v>0.46495397947691441</v>
      </c>
      <c r="AF3137" s="40">
        <v>0.48562115132982842</v>
      </c>
    </row>
    <row r="3138" spans="1:32">
      <c r="A3138" s="15">
        <v>3136</v>
      </c>
      <c r="B3138" s="16">
        <v>1</v>
      </c>
      <c r="C3138" s="20">
        <v>0.94</v>
      </c>
      <c r="D3138" s="20">
        <v>0.17188516685452584</v>
      </c>
      <c r="E3138" s="20">
        <v>0.06</v>
      </c>
      <c r="F3138" s="8" t="s">
        <v>434</v>
      </c>
      <c r="G3138" s="24">
        <v>1.9797746128295648</v>
      </c>
      <c r="H3138" s="24">
        <v>1.9912370024863271</v>
      </c>
      <c r="I3138" s="25">
        <v>1.6578926537592125</v>
      </c>
      <c r="X3138" s="15">
        <v>3137</v>
      </c>
      <c r="Y3138" s="39">
        <v>0.49252467963254543</v>
      </c>
      <c r="Z3138" s="39">
        <v>0.47096489440086287</v>
      </c>
      <c r="AA3138" s="39">
        <v>0.4972780558129774</v>
      </c>
      <c r="AB3138" s="39">
        <v>0.48475261982066181</v>
      </c>
      <c r="AC3138" s="39">
        <v>0.48384888846770435</v>
      </c>
      <c r="AD3138" s="39">
        <v>0.46952464159541024</v>
      </c>
      <c r="AE3138" s="39">
        <v>0.48944968851120296</v>
      </c>
      <c r="AF3138" s="40">
        <v>0.48025855776394261</v>
      </c>
    </row>
    <row r="3139" spans="1:32">
      <c r="A3139" s="15">
        <v>3137</v>
      </c>
      <c r="B3139" s="16">
        <v>1</v>
      </c>
      <c r="C3139" s="20">
        <v>0.02</v>
      </c>
      <c r="D3139" s="20">
        <v>0.99756714174924133</v>
      </c>
      <c r="E3139" s="20">
        <v>1</v>
      </c>
      <c r="F3139" s="8" t="s">
        <v>436</v>
      </c>
      <c r="G3139" s="24">
        <v>1.0639066439013467</v>
      </c>
      <c r="H3139" s="24">
        <v>1.0700663917998139</v>
      </c>
      <c r="I3139" s="25">
        <v>1.0887803925239634</v>
      </c>
      <c r="X3139" s="15">
        <v>3138</v>
      </c>
      <c r="Y3139" s="39">
        <v>0.49157906020457104</v>
      </c>
      <c r="Z3139" s="39">
        <v>0.49594132029956756</v>
      </c>
      <c r="AA3139" s="39">
        <v>0.48063889889075823</v>
      </c>
      <c r="AB3139" s="39">
        <v>0.47688758246657437</v>
      </c>
      <c r="AC3139" s="39">
        <v>0.48179940647148872</v>
      </c>
      <c r="AD3139" s="39">
        <v>0.48799554362119391</v>
      </c>
      <c r="AE3139" s="39">
        <v>0.47242350907352593</v>
      </c>
      <c r="AF3139" s="40">
        <v>0.4718620131769905</v>
      </c>
    </row>
    <row r="3140" spans="1:32">
      <c r="A3140" s="15">
        <v>3138</v>
      </c>
      <c r="B3140" s="16">
        <v>1</v>
      </c>
      <c r="C3140" s="20">
        <v>0.98</v>
      </c>
      <c r="D3140" s="20">
        <v>0.10185764172235329</v>
      </c>
      <c r="E3140" s="20">
        <v>0.02</v>
      </c>
      <c r="F3140" s="8" t="s">
        <v>434</v>
      </c>
      <c r="G3140" s="24">
        <v>0.80217361384220975</v>
      </c>
      <c r="H3140" s="24">
        <v>0.806817994305848</v>
      </c>
      <c r="I3140" s="25">
        <v>0.82092813984952862</v>
      </c>
      <c r="X3140" s="15">
        <v>3139</v>
      </c>
      <c r="Y3140" s="39">
        <v>0.49096048048954483</v>
      </c>
      <c r="Z3140" s="39">
        <v>0.48246062697491837</v>
      </c>
      <c r="AA3140" s="39">
        <v>0.49291089359443946</v>
      </c>
      <c r="AB3140" s="39">
        <v>0.46862046578781141</v>
      </c>
      <c r="AC3140" s="39">
        <v>0.48339637443449052</v>
      </c>
      <c r="AD3140" s="39">
        <v>0.47548478776872138</v>
      </c>
      <c r="AE3140" s="39">
        <v>0.48369260748953374</v>
      </c>
      <c r="AF3140" s="40">
        <v>0.46529770849800117</v>
      </c>
    </row>
    <row r="3141" spans="1:32">
      <c r="A3141" s="15">
        <v>3139</v>
      </c>
      <c r="B3141" s="16">
        <v>0</v>
      </c>
      <c r="C3141" s="20">
        <v>0.02</v>
      </c>
      <c r="D3141" s="20">
        <v>0.99835916395484214</v>
      </c>
      <c r="E3141" s="20">
        <v>1</v>
      </c>
      <c r="F3141" s="8" t="s">
        <v>436</v>
      </c>
      <c r="G3141" s="24">
        <v>1.0651121113980837</v>
      </c>
      <c r="H3141" s="24">
        <v>1.0712788386456529</v>
      </c>
      <c r="I3141" s="25">
        <v>1.0900140434103414</v>
      </c>
      <c r="X3141" s="15">
        <v>3140</v>
      </c>
      <c r="Y3141" s="39">
        <v>0.49814835772055638</v>
      </c>
      <c r="Z3141" s="39">
        <v>0.50938798622615267</v>
      </c>
      <c r="AA3141" s="39">
        <v>0.50263056481376511</v>
      </c>
      <c r="AB3141" s="39">
        <v>0.50837607383235972</v>
      </c>
      <c r="AC3141" s="39">
        <v>0.48999520554797349</v>
      </c>
      <c r="AD3141" s="39">
        <v>0.50137273697889317</v>
      </c>
      <c r="AE3141" s="39">
        <v>0.49426415490055475</v>
      </c>
      <c r="AF3141" s="40">
        <v>0.50610139972553125</v>
      </c>
    </row>
    <row r="3142" spans="1:32">
      <c r="A3142" s="15">
        <v>3140</v>
      </c>
      <c r="B3142" s="16">
        <v>0</v>
      </c>
      <c r="C3142" s="20">
        <v>0.09</v>
      </c>
      <c r="D3142" s="20">
        <v>0.92391086493360786</v>
      </c>
      <c r="E3142" s="20">
        <v>0.47</v>
      </c>
      <c r="F3142" s="8" t="s">
        <v>436</v>
      </c>
      <c r="G3142" s="24">
        <v>1.116715427926021</v>
      </c>
      <c r="H3142" s="24">
        <v>1.123180925204174</v>
      </c>
      <c r="I3142" s="25">
        <v>1.142823826624775</v>
      </c>
      <c r="X3142" s="15">
        <v>3141</v>
      </c>
      <c r="Y3142" s="39">
        <v>0.48139492652594223</v>
      </c>
      <c r="Z3142" s="39">
        <v>0.4905014860236282</v>
      </c>
      <c r="AA3142" s="39">
        <v>0.47456618784834292</v>
      </c>
      <c r="AB3142" s="39">
        <v>0.49225481555837081</v>
      </c>
      <c r="AC3142" s="39">
        <v>0.47208085872581784</v>
      </c>
      <c r="AD3142" s="39">
        <v>0.48481632053370899</v>
      </c>
      <c r="AE3142" s="39">
        <v>0.46859837532027393</v>
      </c>
      <c r="AF3142" s="40">
        <v>0.48929433688010571</v>
      </c>
    </row>
    <row r="3143" spans="1:32">
      <c r="A3143" s="15">
        <v>3141</v>
      </c>
      <c r="B3143" s="16">
        <v>1</v>
      </c>
      <c r="C3143" s="20">
        <v>0.17</v>
      </c>
      <c r="D3143" s="20">
        <v>0.84765117575281179</v>
      </c>
      <c r="E3143" s="20">
        <v>7.0000000000000007E-2</v>
      </c>
      <c r="F3143" s="8" t="s">
        <v>436</v>
      </c>
      <c r="G3143" s="24">
        <v>0.72675672414312242</v>
      </c>
      <c r="H3143" s="24">
        <v>0.73096446006609928</v>
      </c>
      <c r="I3143" s="25">
        <v>0.74374803082379459</v>
      </c>
      <c r="X3143" s="15">
        <v>3142</v>
      </c>
      <c r="Y3143" s="39">
        <v>0.49145962437376234</v>
      </c>
      <c r="Z3143" s="39">
        <v>0.48184121999068263</v>
      </c>
      <c r="AA3143" s="39">
        <v>0.48096369103030706</v>
      </c>
      <c r="AB3143" s="39">
        <v>0.48880765399574783</v>
      </c>
      <c r="AC3143" s="39">
        <v>0.48388194595171136</v>
      </c>
      <c r="AD3143" s="39">
        <v>0.4755329993598772</v>
      </c>
      <c r="AE3143" s="39">
        <v>0.47113546925942029</v>
      </c>
      <c r="AF3143" s="40">
        <v>0.48427061289832879</v>
      </c>
    </row>
    <row r="3144" spans="1:32">
      <c r="A3144" s="15">
        <v>3142</v>
      </c>
      <c r="B3144" s="16">
        <v>0</v>
      </c>
      <c r="C3144" s="20">
        <v>0.94</v>
      </c>
      <c r="D3144" s="20">
        <v>0.17188516685452584</v>
      </c>
      <c r="E3144" s="20">
        <v>0.06</v>
      </c>
      <c r="F3144" s="8" t="s">
        <v>434</v>
      </c>
      <c r="G3144" s="24">
        <v>0.54512310071782233</v>
      </c>
      <c r="H3144" s="24">
        <v>0.54827922432443821</v>
      </c>
      <c r="I3144" s="25">
        <v>0.55786787964496076</v>
      </c>
      <c r="X3144" s="15">
        <v>3143</v>
      </c>
      <c r="Y3144" s="39">
        <v>0.49879004959031076</v>
      </c>
      <c r="Z3144" s="39">
        <v>0.48672199951768613</v>
      </c>
      <c r="AA3144" s="39">
        <v>0.50797548040852702</v>
      </c>
      <c r="AB3144" s="39">
        <v>0.49270617977719366</v>
      </c>
      <c r="AC3144" s="39">
        <v>0.49087587941757427</v>
      </c>
      <c r="AD3144" s="39">
        <v>0.47822989334255056</v>
      </c>
      <c r="AE3144" s="39">
        <v>0.49824812049965506</v>
      </c>
      <c r="AF3144" s="40">
        <v>0.48798915848771368</v>
      </c>
    </row>
    <row r="3145" spans="1:32">
      <c r="A3145" s="15">
        <v>3143</v>
      </c>
      <c r="B3145" s="16">
        <v>1</v>
      </c>
      <c r="C3145" s="20">
        <v>0.2</v>
      </c>
      <c r="D3145" s="20">
        <v>0.8444150986795852</v>
      </c>
      <c r="E3145" s="20">
        <v>7.0000000000000007E-2</v>
      </c>
      <c r="F3145" s="8" t="s">
        <v>436</v>
      </c>
      <c r="G3145" s="24">
        <v>0.86189239670021367</v>
      </c>
      <c r="H3145" s="24">
        <v>0.86688253367295653</v>
      </c>
      <c r="I3145" s="25">
        <v>0.88204312603173729</v>
      </c>
      <c r="X3145" s="15">
        <v>3144</v>
      </c>
      <c r="Y3145" s="39">
        <v>0.48761897486839312</v>
      </c>
      <c r="Z3145" s="39">
        <v>0.48080950182740695</v>
      </c>
      <c r="AA3145" s="39">
        <v>0.47038094898264349</v>
      </c>
      <c r="AB3145" s="39">
        <v>0.48919644676635893</v>
      </c>
      <c r="AC3145" s="39">
        <v>0.48190524614328611</v>
      </c>
      <c r="AD3145" s="39">
        <v>0.47485935210966984</v>
      </c>
      <c r="AE3145" s="39">
        <v>0.46563782897360906</v>
      </c>
      <c r="AF3145" s="40">
        <v>0.48303772232284631</v>
      </c>
    </row>
    <row r="3146" spans="1:32">
      <c r="A3146" s="15">
        <v>3144</v>
      </c>
      <c r="B3146" s="16">
        <v>1</v>
      </c>
      <c r="C3146" s="20">
        <v>0.39</v>
      </c>
      <c r="D3146" s="20">
        <v>0.62738610808179018</v>
      </c>
      <c r="E3146" s="20">
        <v>0.05</v>
      </c>
      <c r="F3146" s="8" t="s">
        <v>436</v>
      </c>
      <c r="G3146" s="24">
        <v>0.72247008398053636</v>
      </c>
      <c r="H3146" s="24">
        <v>0.72665300135116717</v>
      </c>
      <c r="I3146" s="25">
        <v>0.73936117058038564</v>
      </c>
      <c r="X3146" s="15">
        <v>3145</v>
      </c>
      <c r="Y3146" s="39">
        <v>0.49068566035952221</v>
      </c>
      <c r="Z3146" s="39">
        <v>0.48630798644146545</v>
      </c>
      <c r="AA3146" s="39">
        <v>0.48142736694560784</v>
      </c>
      <c r="AB3146" s="39">
        <v>0.49135239749005816</v>
      </c>
      <c r="AC3146" s="39">
        <v>0.48337855671240182</v>
      </c>
      <c r="AD3146" s="39">
        <v>0.47916789723145092</v>
      </c>
      <c r="AE3146" s="39">
        <v>0.47385993494568268</v>
      </c>
      <c r="AF3146" s="40">
        <v>0.48735560090974833</v>
      </c>
    </row>
    <row r="3147" spans="1:32">
      <c r="A3147" s="15">
        <v>3145</v>
      </c>
      <c r="B3147" s="16">
        <v>1</v>
      </c>
      <c r="C3147" s="20">
        <v>0.91</v>
      </c>
      <c r="D3147" s="20">
        <v>0.21727233298780477</v>
      </c>
      <c r="E3147" s="20">
        <v>0.09</v>
      </c>
      <c r="F3147" s="8" t="s">
        <v>434</v>
      </c>
      <c r="G3147" s="24">
        <v>0.49648794344469416</v>
      </c>
      <c r="H3147" s="24">
        <v>0.49936248190516769</v>
      </c>
      <c r="I3147" s="25">
        <v>0.50809565016425895</v>
      </c>
      <c r="X3147" s="15">
        <v>3146</v>
      </c>
      <c r="Y3147" s="39">
        <v>0.49664930686853365</v>
      </c>
      <c r="Z3147" s="39">
        <v>0.50388505700815411</v>
      </c>
      <c r="AA3147" s="39">
        <v>0.47200126439965967</v>
      </c>
      <c r="AB3147" s="39">
        <v>0.47589841080354123</v>
      </c>
      <c r="AC3147" s="39">
        <v>0.49099346060805921</v>
      </c>
      <c r="AD3147" s="39">
        <v>0.49371297040178014</v>
      </c>
      <c r="AE3147" s="39">
        <v>0.46429771772572215</v>
      </c>
      <c r="AF3147" s="40">
        <v>0.47346267218800486</v>
      </c>
    </row>
    <row r="3148" spans="1:32">
      <c r="A3148" s="15">
        <v>3146</v>
      </c>
      <c r="B3148" s="16">
        <v>0</v>
      </c>
      <c r="C3148" s="20">
        <v>0.94</v>
      </c>
      <c r="D3148" s="20">
        <v>0.17188516685452584</v>
      </c>
      <c r="E3148" s="20">
        <v>0.06</v>
      </c>
      <c r="F3148" s="8" t="s">
        <v>434</v>
      </c>
      <c r="G3148" s="24">
        <v>0.55320171359197234</v>
      </c>
      <c r="H3148" s="24">
        <v>0.55640461030500621</v>
      </c>
      <c r="I3148" s="25">
        <v>0.56613536753648463</v>
      </c>
      <c r="X3148" s="15">
        <v>3147</v>
      </c>
      <c r="Y3148" s="39">
        <v>0.48608860177464008</v>
      </c>
      <c r="Z3148" s="39">
        <v>0.47475480668961234</v>
      </c>
      <c r="AA3148" s="39">
        <v>0.50243071204970458</v>
      </c>
      <c r="AB3148" s="39">
        <v>0.48678206126726237</v>
      </c>
      <c r="AC3148" s="39">
        <v>0.4809406827916714</v>
      </c>
      <c r="AD3148" s="39">
        <v>0.46623210286778488</v>
      </c>
      <c r="AE3148" s="39">
        <v>0.4939457631042668</v>
      </c>
      <c r="AF3148" s="40">
        <v>0.48504766305941532</v>
      </c>
    </row>
    <row r="3149" spans="1:32">
      <c r="A3149" s="15">
        <v>3147</v>
      </c>
      <c r="B3149" s="16">
        <v>0</v>
      </c>
      <c r="C3149" s="20">
        <v>0.02</v>
      </c>
      <c r="D3149" s="20">
        <v>0.99835916395484214</v>
      </c>
      <c r="E3149" s="20">
        <v>1</v>
      </c>
      <c r="F3149" s="8" t="s">
        <v>436</v>
      </c>
      <c r="G3149" s="24">
        <v>1.0563789469187146</v>
      </c>
      <c r="H3149" s="24">
        <v>1.0624951113731502</v>
      </c>
      <c r="I3149" s="25">
        <v>1.081076700736217</v>
      </c>
      <c r="X3149" s="15">
        <v>3148</v>
      </c>
      <c r="Y3149" s="39">
        <v>0.48144879108531025</v>
      </c>
      <c r="Z3149" s="39">
        <v>0.48787466932600493</v>
      </c>
      <c r="AA3149" s="39">
        <v>0.48108668449034825</v>
      </c>
      <c r="AB3149" s="39">
        <v>0.49062209107065069</v>
      </c>
      <c r="AC3149" s="39">
        <v>0.47706609143332696</v>
      </c>
      <c r="AD3149" s="39">
        <v>0.4819058129718386</v>
      </c>
      <c r="AE3149" s="39">
        <v>0.47543463179838352</v>
      </c>
      <c r="AF3149" s="40">
        <v>0.48516144676749323</v>
      </c>
    </row>
    <row r="3150" spans="1:32">
      <c r="A3150" s="15">
        <v>3148</v>
      </c>
      <c r="B3150" s="16">
        <v>1</v>
      </c>
      <c r="C3150" s="20">
        <v>0.55000000000000004</v>
      </c>
      <c r="D3150" s="20">
        <v>0.46760049399329512</v>
      </c>
      <c r="E3150" s="20">
        <v>0.06</v>
      </c>
      <c r="F3150" s="8" t="s">
        <v>438</v>
      </c>
      <c r="G3150" s="24">
        <v>0.87516249581721317</v>
      </c>
      <c r="H3150" s="24">
        <v>0.88022946327655649</v>
      </c>
      <c r="I3150" s="25">
        <v>0.89562347521769314</v>
      </c>
      <c r="X3150" s="15">
        <v>3149</v>
      </c>
      <c r="Y3150" s="39">
        <v>0.48729597458575219</v>
      </c>
      <c r="Z3150" s="39">
        <v>0.4915409475210834</v>
      </c>
      <c r="AA3150" s="39">
        <v>0.47311082738324334</v>
      </c>
      <c r="AB3150" s="39">
        <v>0.47919600197366385</v>
      </c>
      <c r="AC3150" s="39">
        <v>0.47849014349481139</v>
      </c>
      <c r="AD3150" s="39">
        <v>0.47979900133908127</v>
      </c>
      <c r="AE3150" s="39">
        <v>0.46572245837585957</v>
      </c>
      <c r="AF3150" s="40">
        <v>0.47261897131971642</v>
      </c>
    </row>
    <row r="3151" spans="1:32">
      <c r="A3151" s="15">
        <v>3149</v>
      </c>
      <c r="B3151" s="16">
        <v>1</v>
      </c>
      <c r="C3151" s="20">
        <v>0.16</v>
      </c>
      <c r="D3151" s="20">
        <v>0.84072752333987899</v>
      </c>
      <c r="E3151" s="20">
        <v>0.09</v>
      </c>
      <c r="F3151" s="8" t="s">
        <v>436</v>
      </c>
      <c r="G3151" s="24">
        <v>1.0018962667407552</v>
      </c>
      <c r="H3151" s="24">
        <v>1.0076969903840514</v>
      </c>
      <c r="I3151" s="25">
        <v>1.0253202354016357</v>
      </c>
      <c r="X3151" s="15">
        <v>3150</v>
      </c>
      <c r="Y3151" s="39">
        <v>0.4964690881647516</v>
      </c>
      <c r="Z3151" s="39">
        <v>0.49715889120080325</v>
      </c>
      <c r="AA3151" s="39">
        <v>0.480479223870108</v>
      </c>
      <c r="AB3151" s="39">
        <v>0.47977187101812679</v>
      </c>
      <c r="AC3151" s="39">
        <v>0.48842741995821742</v>
      </c>
      <c r="AD3151" s="39">
        <v>0.48916347435122137</v>
      </c>
      <c r="AE3151" s="39">
        <v>0.47512306845454866</v>
      </c>
      <c r="AF3151" s="40">
        <v>0.47615963448417992</v>
      </c>
    </row>
    <row r="3152" spans="1:32">
      <c r="A3152" s="15">
        <v>3150</v>
      </c>
      <c r="B3152" s="16">
        <v>1</v>
      </c>
      <c r="C3152" s="20">
        <v>0.05</v>
      </c>
      <c r="D3152" s="20">
        <v>0.95303591992792558</v>
      </c>
      <c r="E3152" s="20">
        <v>0.4</v>
      </c>
      <c r="F3152" s="8" t="s">
        <v>436</v>
      </c>
      <c r="G3152" s="24">
        <v>0.91598737809051289</v>
      </c>
      <c r="H3152" s="24">
        <v>0.92129071119737771</v>
      </c>
      <c r="I3152" s="25">
        <v>0.93740282832265365</v>
      </c>
      <c r="X3152" s="15">
        <v>3151</v>
      </c>
      <c r="Y3152" s="39">
        <v>0.49846685156314524</v>
      </c>
      <c r="Z3152" s="39">
        <v>0.49421759178510299</v>
      </c>
      <c r="AA3152" s="39">
        <v>0.48543472525521802</v>
      </c>
      <c r="AB3152" s="39">
        <v>0.47891217372276756</v>
      </c>
      <c r="AC3152" s="39">
        <v>0.49084766810208058</v>
      </c>
      <c r="AD3152" s="39">
        <v>0.48702478186549258</v>
      </c>
      <c r="AE3152" s="39">
        <v>0.48053383553328999</v>
      </c>
      <c r="AF3152" s="40">
        <v>0.47546183798457931</v>
      </c>
    </row>
    <row r="3153" spans="1:32">
      <c r="A3153" s="15">
        <v>3151</v>
      </c>
      <c r="B3153" s="16">
        <v>1</v>
      </c>
      <c r="C3153" s="20">
        <v>0.02</v>
      </c>
      <c r="D3153" s="20">
        <v>0.99917029198757767</v>
      </c>
      <c r="E3153" s="20">
        <v>1</v>
      </c>
      <c r="F3153" s="8" t="s">
        <v>436</v>
      </c>
      <c r="G3153" s="24">
        <v>0.93112061505420896</v>
      </c>
      <c r="H3153" s="24">
        <v>0.93651156574022743</v>
      </c>
      <c r="I3153" s="25">
        <v>0.9528898748374407</v>
      </c>
      <c r="X3153" s="15">
        <v>3152</v>
      </c>
      <c r="Y3153" s="39">
        <v>0.49037401764681549</v>
      </c>
      <c r="Z3153" s="39">
        <v>0.4819115475549054</v>
      </c>
      <c r="AA3153" s="39">
        <v>0.48552304474476116</v>
      </c>
      <c r="AB3153" s="39">
        <v>0.49065012342389142</v>
      </c>
      <c r="AC3153" s="39">
        <v>0.48550090839169469</v>
      </c>
      <c r="AD3153" s="39">
        <v>0.47591420768124437</v>
      </c>
      <c r="AE3153" s="39">
        <v>0.47743578615161836</v>
      </c>
      <c r="AF3153" s="40">
        <v>0.48666652389850534</v>
      </c>
    </row>
    <row r="3154" spans="1:32">
      <c r="A3154" s="15">
        <v>3152</v>
      </c>
      <c r="B3154" s="16">
        <v>1</v>
      </c>
      <c r="C3154" s="20">
        <v>0.02</v>
      </c>
      <c r="D3154" s="20">
        <v>0.99756714174924133</v>
      </c>
      <c r="E3154" s="20">
        <v>1</v>
      </c>
      <c r="F3154" s="8" t="s">
        <v>436</v>
      </c>
      <c r="G3154" s="24">
        <v>0.99772864266779149</v>
      </c>
      <c r="H3154" s="24">
        <v>1.0035052368315207</v>
      </c>
      <c r="I3154" s="25">
        <v>1.0210551738005404</v>
      </c>
      <c r="X3154" s="15">
        <v>3153</v>
      </c>
      <c r="Y3154" s="39">
        <v>0.48070974597751842</v>
      </c>
      <c r="Z3154" s="39">
        <v>0.49399504394275268</v>
      </c>
      <c r="AA3154" s="39">
        <v>0.48519698602579475</v>
      </c>
      <c r="AB3154" s="39">
        <v>0.47785991607380995</v>
      </c>
      <c r="AC3154" s="39">
        <v>0.476421879693461</v>
      </c>
      <c r="AD3154" s="39">
        <v>0.48553171492971148</v>
      </c>
      <c r="AE3154" s="39">
        <v>0.47941343797905722</v>
      </c>
      <c r="AF3154" s="40">
        <v>0.47402043022982815</v>
      </c>
    </row>
    <row r="3155" spans="1:32">
      <c r="A3155" s="15">
        <v>3153</v>
      </c>
      <c r="B3155" s="16">
        <v>1</v>
      </c>
      <c r="C3155" s="20">
        <v>0.14000000000000001</v>
      </c>
      <c r="D3155" s="20">
        <v>0.83115228153326481</v>
      </c>
      <c r="E3155" s="20">
        <v>0.22</v>
      </c>
      <c r="F3155" s="8" t="s">
        <v>436</v>
      </c>
      <c r="G3155" s="24">
        <v>1.1653956311156857</v>
      </c>
      <c r="H3155" s="24">
        <v>1.1721429743443394</v>
      </c>
      <c r="I3155" s="25">
        <v>1.192642155179084</v>
      </c>
      <c r="X3155" s="15">
        <v>3154</v>
      </c>
      <c r="Y3155" s="39">
        <v>0.48437780728811497</v>
      </c>
      <c r="Z3155" s="39">
        <v>0.50494601450247734</v>
      </c>
      <c r="AA3155" s="39">
        <v>0.48878889653097257</v>
      </c>
      <c r="AB3155" s="39">
        <v>0.49329198429106308</v>
      </c>
      <c r="AC3155" s="39">
        <v>0.47695023860937646</v>
      </c>
      <c r="AD3155" s="39">
        <v>0.49744642015165969</v>
      </c>
      <c r="AE3155" s="39">
        <v>0.47937681245087505</v>
      </c>
      <c r="AF3155" s="40">
        <v>0.49003468877321815</v>
      </c>
    </row>
    <row r="3156" spans="1:32">
      <c r="A3156" s="15">
        <v>3154</v>
      </c>
      <c r="B3156" s="16">
        <v>0</v>
      </c>
      <c r="C3156" s="20">
        <v>0.27</v>
      </c>
      <c r="D3156" s="20">
        <v>0.67425911215996259</v>
      </c>
      <c r="E3156" s="20">
        <v>0.15</v>
      </c>
      <c r="F3156" s="8" t="s">
        <v>436</v>
      </c>
      <c r="G3156" s="24">
        <v>1.1191165619618073</v>
      </c>
      <c r="H3156" s="24">
        <v>1.125595961193121</v>
      </c>
      <c r="I3156" s="25">
        <v>1.1452810982970332</v>
      </c>
      <c r="X3156" s="15">
        <v>3155</v>
      </c>
      <c r="Y3156" s="39">
        <v>0.48426477406613383</v>
      </c>
      <c r="Z3156" s="39">
        <v>0.49410097109653328</v>
      </c>
      <c r="AA3156" s="39">
        <v>0.49227532544240044</v>
      </c>
      <c r="AB3156" s="39">
        <v>0.47073511283038549</v>
      </c>
      <c r="AC3156" s="39">
        <v>0.47750914117810472</v>
      </c>
      <c r="AD3156" s="39">
        <v>0.48960487219535936</v>
      </c>
      <c r="AE3156" s="39">
        <v>0.48606887883207123</v>
      </c>
      <c r="AF3156" s="40">
        <v>0.47055139482496688</v>
      </c>
    </row>
    <row r="3157" spans="1:32">
      <c r="A3157" s="15">
        <v>3155</v>
      </c>
      <c r="B3157" s="16">
        <v>1</v>
      </c>
      <c r="C3157" s="20">
        <v>0.02</v>
      </c>
      <c r="D3157" s="20">
        <v>0.99756714174924133</v>
      </c>
      <c r="E3157" s="20">
        <v>1</v>
      </c>
      <c r="F3157" s="8" t="s">
        <v>436</v>
      </c>
      <c r="G3157" s="24">
        <v>1.1107021414438443</v>
      </c>
      <c r="H3157" s="24">
        <v>1.1171328233281996</v>
      </c>
      <c r="I3157" s="25">
        <v>1.1366699517016756</v>
      </c>
      <c r="X3157" s="15">
        <v>3156</v>
      </c>
      <c r="Y3157" s="39">
        <v>0.49037693800718746</v>
      </c>
      <c r="Z3157" s="39">
        <v>0.49745647152327988</v>
      </c>
      <c r="AA3157" s="39">
        <v>0.47587691639801177</v>
      </c>
      <c r="AB3157" s="39">
        <v>0.49751797019610938</v>
      </c>
      <c r="AC3157" s="39">
        <v>0.48462183393581504</v>
      </c>
      <c r="AD3157" s="39">
        <v>0.49115625511736588</v>
      </c>
      <c r="AE3157" s="39">
        <v>0.4689874950794905</v>
      </c>
      <c r="AF3157" s="40">
        <v>0.49340260123308244</v>
      </c>
    </row>
    <row r="3158" spans="1:32">
      <c r="A3158" s="15">
        <v>3156</v>
      </c>
      <c r="B3158" s="16">
        <v>0</v>
      </c>
      <c r="C3158" s="20">
        <v>0.44</v>
      </c>
      <c r="D3158" s="20">
        <v>0.60650788006604595</v>
      </c>
      <c r="E3158" s="20">
        <v>0.09</v>
      </c>
      <c r="F3158" s="8" t="s">
        <v>436</v>
      </c>
      <c r="G3158" s="24">
        <v>0.82836301385484612</v>
      </c>
      <c r="H3158" s="24">
        <v>0.83315902425952726</v>
      </c>
      <c r="I3158" s="25">
        <v>0.84772983846583072</v>
      </c>
      <c r="X3158" s="15">
        <v>3157</v>
      </c>
      <c r="Y3158" s="39">
        <v>0.49584924084645793</v>
      </c>
      <c r="Z3158" s="39">
        <v>0.48176196390850795</v>
      </c>
      <c r="AA3158" s="39">
        <v>0.49194667009471504</v>
      </c>
      <c r="AB3158" s="39">
        <v>0.49848141952204794</v>
      </c>
      <c r="AC3158" s="39">
        <v>0.48756384543455339</v>
      </c>
      <c r="AD3158" s="39">
        <v>0.47543431795659674</v>
      </c>
      <c r="AE3158" s="39">
        <v>0.48408219279299042</v>
      </c>
      <c r="AF3158" s="40">
        <v>0.49852126238084593</v>
      </c>
    </row>
    <row r="3159" spans="1:32">
      <c r="A3159" s="15">
        <v>3157</v>
      </c>
      <c r="B3159" s="16">
        <v>1</v>
      </c>
      <c r="C3159" s="20">
        <v>0.01</v>
      </c>
      <c r="D3159" s="20">
        <v>0.99999999999999978</v>
      </c>
      <c r="E3159" s="20">
        <v>1</v>
      </c>
      <c r="F3159" s="8" t="s">
        <v>436</v>
      </c>
      <c r="G3159" s="24">
        <v>1.0891254339062393</v>
      </c>
      <c r="H3159" s="24">
        <v>1.0954311921615596</v>
      </c>
      <c r="I3159" s="25">
        <v>1.1145887886251653</v>
      </c>
      <c r="X3159" s="15">
        <v>3158</v>
      </c>
      <c r="Y3159" s="39">
        <v>0.49458741441444454</v>
      </c>
      <c r="Z3159" s="39">
        <v>0.49598626654209288</v>
      </c>
      <c r="AA3159" s="39">
        <v>0.49686908807552349</v>
      </c>
      <c r="AB3159" s="39">
        <v>0.49540556541604064</v>
      </c>
      <c r="AC3159" s="39">
        <v>0.48780625040375897</v>
      </c>
      <c r="AD3159" s="39">
        <v>0.48930520061123856</v>
      </c>
      <c r="AE3159" s="39">
        <v>0.48950369760870138</v>
      </c>
      <c r="AF3159" s="40">
        <v>0.49104103279515315</v>
      </c>
    </row>
    <row r="3160" spans="1:32">
      <c r="A3160" s="15">
        <v>3158</v>
      </c>
      <c r="B3160" s="16">
        <v>0</v>
      </c>
      <c r="C3160" s="20">
        <v>0.49</v>
      </c>
      <c r="D3160" s="20">
        <v>0.48591990602030638</v>
      </c>
      <c r="E3160" s="20">
        <v>0.13</v>
      </c>
      <c r="F3160" s="8" t="s">
        <v>436</v>
      </c>
      <c r="G3160" s="24">
        <v>1.1601358010129164</v>
      </c>
      <c r="H3160" s="24">
        <v>1.166852691167884</v>
      </c>
      <c r="I3160" s="25">
        <v>1.1872593521702577</v>
      </c>
      <c r="X3160" s="15">
        <v>3159</v>
      </c>
      <c r="Y3160" s="39">
        <v>0.4667256528115668</v>
      </c>
      <c r="Z3160" s="39">
        <v>0.4872248394344823</v>
      </c>
      <c r="AA3160" s="39">
        <v>0.493727138735575</v>
      </c>
      <c r="AB3160" s="39">
        <v>0.50131264742333026</v>
      </c>
      <c r="AC3160" s="39">
        <v>0.4586626910866225</v>
      </c>
      <c r="AD3160" s="39">
        <v>0.48159005224033824</v>
      </c>
      <c r="AE3160" s="39">
        <v>0.48664548145613146</v>
      </c>
      <c r="AF3160" s="40">
        <v>0.49685848139628286</v>
      </c>
    </row>
    <row r="3161" spans="1:32">
      <c r="A3161" s="15">
        <v>3159</v>
      </c>
      <c r="B3161" s="16">
        <v>1</v>
      </c>
      <c r="C3161" s="20">
        <v>0.57999999999999996</v>
      </c>
      <c r="D3161" s="20">
        <v>0.58107602422948446</v>
      </c>
      <c r="E3161" s="20">
        <v>0.05</v>
      </c>
      <c r="F3161" s="8" t="s">
        <v>438</v>
      </c>
      <c r="G3161" s="24">
        <v>0.67622830288330915</v>
      </c>
      <c r="H3161" s="24">
        <v>0.68014349214492986</v>
      </c>
      <c r="I3161" s="25">
        <v>0.6920382735361269</v>
      </c>
      <c r="X3161" s="15">
        <v>3160</v>
      </c>
      <c r="Y3161" s="39">
        <v>0.47849163522657351</v>
      </c>
      <c r="Z3161" s="39">
        <v>0.48119916902686349</v>
      </c>
      <c r="AA3161" s="39">
        <v>0.49274895175711686</v>
      </c>
      <c r="AB3161" s="39">
        <v>0.49125602721929512</v>
      </c>
      <c r="AC3161" s="39">
        <v>0.47055903042471764</v>
      </c>
      <c r="AD3161" s="39">
        <v>0.47436437907528783</v>
      </c>
      <c r="AE3161" s="39">
        <v>0.48463620899543364</v>
      </c>
      <c r="AF3161" s="40">
        <v>0.48831817941492039</v>
      </c>
    </row>
    <row r="3162" spans="1:32">
      <c r="A3162" s="15">
        <v>3160</v>
      </c>
      <c r="B3162" s="16">
        <v>1</v>
      </c>
      <c r="C3162" s="20">
        <v>0.03</v>
      </c>
      <c r="D3162" s="20">
        <v>0.9948936026028764</v>
      </c>
      <c r="E3162" s="20">
        <v>1</v>
      </c>
      <c r="F3162" s="8" t="s">
        <v>436</v>
      </c>
      <c r="G3162" s="24">
        <v>1.016713174963398</v>
      </c>
      <c r="H3162" s="24">
        <v>1.0225996847231822</v>
      </c>
      <c r="I3162" s="25">
        <v>1.0404835575249785</v>
      </c>
      <c r="X3162" s="15">
        <v>3161</v>
      </c>
      <c r="Y3162" s="39">
        <v>0.49465781430727856</v>
      </c>
      <c r="Z3162" s="39">
        <v>0.47619097260725135</v>
      </c>
      <c r="AA3162" s="39">
        <v>0.47519799393233803</v>
      </c>
      <c r="AB3162" s="39">
        <v>0.47900046368650834</v>
      </c>
      <c r="AC3162" s="39">
        <v>0.48454931802495044</v>
      </c>
      <c r="AD3162" s="39">
        <v>0.46685996813163233</v>
      </c>
      <c r="AE3162" s="39">
        <v>0.47040031923198927</v>
      </c>
      <c r="AF3162" s="40">
        <v>0.47576281372165591</v>
      </c>
    </row>
    <row r="3163" spans="1:32">
      <c r="A3163" s="15">
        <v>3161</v>
      </c>
      <c r="B3163" s="16">
        <v>0</v>
      </c>
      <c r="C3163" s="20">
        <v>0.94</v>
      </c>
      <c r="D3163" s="20">
        <v>0.17188516685452584</v>
      </c>
      <c r="E3163" s="20">
        <v>0.06</v>
      </c>
      <c r="F3163" s="8" t="s">
        <v>434</v>
      </c>
      <c r="G3163" s="24">
        <v>1.2051239156031546</v>
      </c>
      <c r="H3163" s="24">
        <v>1.2121012754580642</v>
      </c>
      <c r="I3163" s="25">
        <v>1.2332992724426368</v>
      </c>
      <c r="X3163" s="15">
        <v>3162</v>
      </c>
      <c r="Y3163" s="39">
        <v>0.46996869018972509</v>
      </c>
      <c r="Z3163" s="39">
        <v>0.48191823420201224</v>
      </c>
      <c r="AA3163" s="39">
        <v>0.47928768338845651</v>
      </c>
      <c r="AB3163" s="39">
        <v>0.4827312115132551</v>
      </c>
      <c r="AC3163" s="39">
        <v>0.46412153010821855</v>
      </c>
      <c r="AD3163" s="39">
        <v>0.4749854775740836</v>
      </c>
      <c r="AE3163" s="39">
        <v>0.47448961206632823</v>
      </c>
      <c r="AF3163" s="40">
        <v>0.47869607866986824</v>
      </c>
    </row>
    <row r="3164" spans="1:32">
      <c r="A3164" s="15">
        <v>3162</v>
      </c>
      <c r="B3164" s="16">
        <v>1</v>
      </c>
      <c r="C3164" s="20">
        <v>0.02</v>
      </c>
      <c r="D3164" s="20">
        <v>0.99679477127711513</v>
      </c>
      <c r="E3164" s="20">
        <v>1</v>
      </c>
      <c r="F3164" s="8" t="s">
        <v>436</v>
      </c>
      <c r="G3164" s="24">
        <v>1.6061557520677596</v>
      </c>
      <c r="H3164" s="24">
        <v>1.6154549838895769</v>
      </c>
      <c r="I3164" s="25">
        <v>1.6437070867217125</v>
      </c>
      <c r="X3164" s="15">
        <v>3163</v>
      </c>
      <c r="Y3164" s="39">
        <v>0.48708486445441601</v>
      </c>
      <c r="Z3164" s="39">
        <v>0.49235619451161838</v>
      </c>
      <c r="AA3164" s="39">
        <v>0.48879020569330855</v>
      </c>
      <c r="AB3164" s="39">
        <v>0.49774134815604887</v>
      </c>
      <c r="AC3164" s="39">
        <v>0.48124814320145198</v>
      </c>
      <c r="AD3164" s="39">
        <v>0.48723743899813765</v>
      </c>
      <c r="AE3164" s="39">
        <v>0.48013895202747459</v>
      </c>
      <c r="AF3164" s="40">
        <v>0.49412331401125592</v>
      </c>
    </row>
    <row r="3165" spans="1:32">
      <c r="A3165" s="15">
        <v>3163</v>
      </c>
      <c r="B3165" s="16">
        <v>0</v>
      </c>
      <c r="C3165" s="20">
        <v>0.88</v>
      </c>
      <c r="D3165" s="20">
        <v>0.25930874124763043</v>
      </c>
      <c r="E3165" s="20">
        <v>0.12</v>
      </c>
      <c r="F3165" s="8" t="s">
        <v>434</v>
      </c>
      <c r="G3165" s="24">
        <v>0.92684653352278434</v>
      </c>
      <c r="H3165" s="24">
        <v>0.93221273836772545</v>
      </c>
      <c r="I3165" s="25">
        <v>0.94851586684140132</v>
      </c>
      <c r="X3165" s="15">
        <v>3164</v>
      </c>
      <c r="Y3165" s="39">
        <v>0.47995400147036948</v>
      </c>
      <c r="Z3165" s="39">
        <v>0.48550819122031619</v>
      </c>
      <c r="AA3165" s="39">
        <v>0.49044978649061166</v>
      </c>
      <c r="AB3165" s="39">
        <v>0.49880230648671053</v>
      </c>
      <c r="AC3165" s="39">
        <v>0.47038488870959361</v>
      </c>
      <c r="AD3165" s="39">
        <v>0.47900079640690546</v>
      </c>
      <c r="AE3165" s="39">
        <v>0.48550486080200467</v>
      </c>
      <c r="AF3165" s="40">
        <v>0.49463945818263311</v>
      </c>
    </row>
    <row r="3166" spans="1:32">
      <c r="A3166" s="15">
        <v>3164</v>
      </c>
      <c r="B3166" s="16">
        <v>1</v>
      </c>
      <c r="C3166" s="20">
        <v>0.01</v>
      </c>
      <c r="D3166" s="20">
        <v>0.99999999999999978</v>
      </c>
      <c r="E3166" s="20">
        <v>1</v>
      </c>
      <c r="F3166" s="8" t="s">
        <v>436</v>
      </c>
      <c r="G3166" s="24">
        <v>1.1354889946403341</v>
      </c>
      <c r="H3166" s="24">
        <v>1.1420631860776769</v>
      </c>
      <c r="I3166" s="25">
        <v>1.162036312469708</v>
      </c>
      <c r="X3166" s="15">
        <v>3165</v>
      </c>
      <c r="Y3166" s="39">
        <v>0.50085257378379811</v>
      </c>
      <c r="Z3166" s="39">
        <v>0.49220874825026573</v>
      </c>
      <c r="AA3166" s="39">
        <v>0.48249540487413001</v>
      </c>
      <c r="AB3166" s="39">
        <v>0.48059099422885987</v>
      </c>
      <c r="AC3166" s="39">
        <v>0.49411065198330456</v>
      </c>
      <c r="AD3166" s="39">
        <v>0.48530178170516242</v>
      </c>
      <c r="AE3166" s="39">
        <v>0.47565103145598164</v>
      </c>
      <c r="AF3166" s="40">
        <v>0.4746002525657535</v>
      </c>
    </row>
    <row r="3167" spans="1:32">
      <c r="A3167" s="15">
        <v>3165</v>
      </c>
      <c r="B3167" s="16">
        <v>1</v>
      </c>
      <c r="C3167" s="20">
        <v>0.06</v>
      </c>
      <c r="D3167" s="20">
        <v>0.94863780816402832</v>
      </c>
      <c r="E3167" s="20">
        <v>0.46</v>
      </c>
      <c r="F3167" s="8" t="s">
        <v>436</v>
      </c>
      <c r="G3167" s="24">
        <v>0.99272588800338812</v>
      </c>
      <c r="H3167" s="24">
        <v>0.99847351749459923</v>
      </c>
      <c r="I3167" s="25">
        <v>1.0159354565599032</v>
      </c>
      <c r="X3167" s="15">
        <v>3166</v>
      </c>
      <c r="Y3167" s="39">
        <v>0.474265657256352</v>
      </c>
      <c r="Z3167" s="39">
        <v>0.49608639831381396</v>
      </c>
      <c r="AA3167" s="39">
        <v>0.48820952399750051</v>
      </c>
      <c r="AB3167" s="39">
        <v>0.47197664751328827</v>
      </c>
      <c r="AC3167" s="39">
        <v>0.46768890740017105</v>
      </c>
      <c r="AD3167" s="39">
        <v>0.49221776078357304</v>
      </c>
      <c r="AE3167" s="39">
        <v>0.48092290765218332</v>
      </c>
      <c r="AF3167" s="40">
        <v>0.46779366914439863</v>
      </c>
    </row>
    <row r="3168" spans="1:32">
      <c r="A3168" s="15">
        <v>3166</v>
      </c>
      <c r="B3168" s="16">
        <v>1</v>
      </c>
      <c r="C3168" s="20">
        <v>0.21</v>
      </c>
      <c r="D3168" s="20">
        <v>0.82673129511486598</v>
      </c>
      <c r="E3168" s="20">
        <v>0.05</v>
      </c>
      <c r="F3168" s="8" t="s">
        <v>436</v>
      </c>
      <c r="G3168" s="24">
        <v>0.76281380945950539</v>
      </c>
      <c r="H3168" s="24">
        <v>0.76723030670263714</v>
      </c>
      <c r="I3168" s="25">
        <v>0.78064811762096076</v>
      </c>
      <c r="X3168" s="15">
        <v>3167</v>
      </c>
      <c r="Y3168" s="39">
        <v>0.47630860493054605</v>
      </c>
      <c r="Z3168" s="39">
        <v>0.47947746184891166</v>
      </c>
      <c r="AA3168" s="39">
        <v>0.47697590315188143</v>
      </c>
      <c r="AB3168" s="39">
        <v>0.48426696612980291</v>
      </c>
      <c r="AC3168" s="39">
        <v>0.47368362122773405</v>
      </c>
      <c r="AD3168" s="39">
        <v>0.47211523808154693</v>
      </c>
      <c r="AE3168" s="39">
        <v>0.46973948638577046</v>
      </c>
      <c r="AF3168" s="40">
        <v>0.4835400491165574</v>
      </c>
    </row>
    <row r="3169" spans="1:32">
      <c r="A3169" s="15">
        <v>3167</v>
      </c>
      <c r="B3169" s="16">
        <v>0</v>
      </c>
      <c r="C3169" s="20">
        <v>0.02</v>
      </c>
      <c r="D3169" s="20">
        <v>0.99604261948721451</v>
      </c>
      <c r="E3169" s="20">
        <v>1</v>
      </c>
      <c r="F3169" s="8" t="s">
        <v>436</v>
      </c>
      <c r="G3169" s="24">
        <v>1.098021507194574</v>
      </c>
      <c r="H3169" s="24">
        <v>1.1043787714434479</v>
      </c>
      <c r="I3169" s="25">
        <v>1.1236928488566882</v>
      </c>
      <c r="X3169" s="15">
        <v>3168</v>
      </c>
      <c r="Y3169" s="39">
        <v>0.48464189048653611</v>
      </c>
      <c r="Z3169" s="39">
        <v>0.49962736556703785</v>
      </c>
      <c r="AA3169" s="39">
        <v>0.48849644449041441</v>
      </c>
      <c r="AB3169" s="39">
        <v>0.49022257319564122</v>
      </c>
      <c r="AC3169" s="39">
        <v>0.47827852254142789</v>
      </c>
      <c r="AD3169" s="39">
        <v>0.49349343596467932</v>
      </c>
      <c r="AE3169" s="39">
        <v>0.48206646123167424</v>
      </c>
      <c r="AF3169" s="40">
        <v>0.48531374650826026</v>
      </c>
    </row>
    <row r="3170" spans="1:32">
      <c r="A3170" s="15">
        <v>3168</v>
      </c>
      <c r="B3170" s="16">
        <v>1</v>
      </c>
      <c r="C3170" s="20">
        <v>0.92</v>
      </c>
      <c r="D3170" s="20">
        <v>0.20258497911151899</v>
      </c>
      <c r="E3170" s="20">
        <v>0.08</v>
      </c>
      <c r="F3170" s="8" t="s">
        <v>434</v>
      </c>
      <c r="G3170" s="24">
        <v>0.49902283370651868</v>
      </c>
      <c r="H3170" s="24">
        <v>0.5019120485345594</v>
      </c>
      <c r="I3170" s="25">
        <v>0.51068980523425056</v>
      </c>
      <c r="X3170" s="15">
        <v>3169</v>
      </c>
      <c r="Y3170" s="39">
        <v>0.48621056512584576</v>
      </c>
      <c r="Z3170" s="39">
        <v>0.49800369563558755</v>
      </c>
      <c r="AA3170" s="39">
        <v>0.48128598102192949</v>
      </c>
      <c r="AB3170" s="39">
        <v>0.47769362663537007</v>
      </c>
      <c r="AC3170" s="39">
        <v>0.47863574791184182</v>
      </c>
      <c r="AD3170" s="39">
        <v>0.49076719239931804</v>
      </c>
      <c r="AE3170" s="39">
        <v>0.47382449726228482</v>
      </c>
      <c r="AF3170" s="40">
        <v>0.47427933353784141</v>
      </c>
    </row>
    <row r="3171" spans="1:32">
      <c r="A3171" s="15">
        <v>3169</v>
      </c>
      <c r="B3171" s="16">
        <v>0</v>
      </c>
      <c r="C3171" s="20">
        <v>0.09</v>
      </c>
      <c r="D3171" s="20">
        <v>0.91309633770167409</v>
      </c>
      <c r="E3171" s="20">
        <v>0.53</v>
      </c>
      <c r="F3171" s="8" t="s">
        <v>436</v>
      </c>
      <c r="G3171" s="24">
        <v>1.0117718635789044</v>
      </c>
      <c r="H3171" s="24">
        <v>1.0176297644070773</v>
      </c>
      <c r="I3171" s="25">
        <v>1.0354267200856861</v>
      </c>
      <c r="X3171" s="15">
        <v>3170</v>
      </c>
      <c r="Y3171" s="39">
        <v>0.47898778099837541</v>
      </c>
      <c r="Z3171" s="39">
        <v>0.48439598100230447</v>
      </c>
      <c r="AA3171" s="39">
        <v>0.48615391071371394</v>
      </c>
      <c r="AB3171" s="39">
        <v>0.49235218100431644</v>
      </c>
      <c r="AC3171" s="39">
        <v>0.47209155431770267</v>
      </c>
      <c r="AD3171" s="39">
        <v>0.47448669393850845</v>
      </c>
      <c r="AE3171" s="39">
        <v>0.48040267928756025</v>
      </c>
      <c r="AF3171" s="40">
        <v>0.4866149721979352</v>
      </c>
    </row>
    <row r="3172" spans="1:32">
      <c r="A3172" s="15">
        <v>3170</v>
      </c>
      <c r="B3172" s="16">
        <v>1</v>
      </c>
      <c r="C3172" s="20">
        <v>0.24</v>
      </c>
      <c r="D3172" s="20">
        <v>0.79517994296365568</v>
      </c>
      <c r="E3172" s="20">
        <v>7.0000000000000007E-2</v>
      </c>
      <c r="F3172" s="8" t="s">
        <v>436</v>
      </c>
      <c r="G3172" s="24">
        <v>0.91296894621682778</v>
      </c>
      <c r="H3172" s="24">
        <v>0.91825480337362009</v>
      </c>
      <c r="I3172" s="25">
        <v>0.93431382661458418</v>
      </c>
      <c r="X3172" s="15">
        <v>3171</v>
      </c>
      <c r="Y3172" s="39">
        <v>0.4765943487167224</v>
      </c>
      <c r="Z3172" s="39">
        <v>0.48842058162433682</v>
      </c>
      <c r="AA3172" s="39">
        <v>0.48483564699201687</v>
      </c>
      <c r="AB3172" s="39">
        <v>0.48598801195979568</v>
      </c>
      <c r="AC3172" s="39">
        <v>0.47062978985678472</v>
      </c>
      <c r="AD3172" s="39">
        <v>0.48118037682770526</v>
      </c>
      <c r="AE3172" s="39">
        <v>0.47910532735400158</v>
      </c>
      <c r="AF3172" s="40">
        <v>0.48055067061667411</v>
      </c>
    </row>
    <row r="3173" spans="1:32">
      <c r="A3173" s="15">
        <v>3171</v>
      </c>
      <c r="B3173" s="16">
        <v>1</v>
      </c>
      <c r="C3173" s="20">
        <v>0.6</v>
      </c>
      <c r="D3173" s="20">
        <v>0.57868535190624271</v>
      </c>
      <c r="E3173" s="20">
        <v>0.4</v>
      </c>
      <c r="F3173" s="8" t="s">
        <v>438</v>
      </c>
      <c r="G3173" s="24">
        <v>0.77792768819998015</v>
      </c>
      <c r="H3173" s="24">
        <v>0.7824316909430945</v>
      </c>
      <c r="I3173" s="25">
        <v>0.79611535332434036</v>
      </c>
      <c r="X3173" s="15">
        <v>3172</v>
      </c>
      <c r="Y3173" s="39">
        <v>0.4831211848812883</v>
      </c>
      <c r="Z3173" s="39">
        <v>0.48185655610793787</v>
      </c>
      <c r="AA3173" s="39">
        <v>0.48741171229651009</v>
      </c>
      <c r="AB3173" s="39">
        <v>0.47954985673967571</v>
      </c>
      <c r="AC3173" s="39">
        <v>0.4763563896654745</v>
      </c>
      <c r="AD3173" s="39">
        <v>0.47569063152615987</v>
      </c>
      <c r="AE3173" s="39">
        <v>0.47824322746260534</v>
      </c>
      <c r="AF3173" s="40">
        <v>0.47923387719146343</v>
      </c>
    </row>
    <row r="3174" spans="1:32">
      <c r="A3174" s="15">
        <v>3172</v>
      </c>
      <c r="B3174" s="16">
        <v>1</v>
      </c>
      <c r="C3174" s="20">
        <v>0.02</v>
      </c>
      <c r="D3174" s="20">
        <v>0.99756714174924133</v>
      </c>
      <c r="E3174" s="20">
        <v>1</v>
      </c>
      <c r="F3174" s="8" t="s">
        <v>436</v>
      </c>
      <c r="G3174" s="24">
        <v>1.1168933581696423</v>
      </c>
      <c r="H3174" s="24">
        <v>1.1233598856184879</v>
      </c>
      <c r="I3174" s="25">
        <v>1.1430059168124831</v>
      </c>
      <c r="X3174" s="15">
        <v>3173</v>
      </c>
      <c r="Y3174" s="39">
        <v>0.48820631677216392</v>
      </c>
      <c r="Z3174" s="39">
        <v>0.48408273591740014</v>
      </c>
      <c r="AA3174" s="39">
        <v>0.47416796993933991</v>
      </c>
      <c r="AB3174" s="39">
        <v>0.49377941655248719</v>
      </c>
      <c r="AC3174" s="39">
        <v>0.48099070083668699</v>
      </c>
      <c r="AD3174" s="39">
        <v>0.47797230754375086</v>
      </c>
      <c r="AE3174" s="39">
        <v>0.46790298006788306</v>
      </c>
      <c r="AF3174" s="40">
        <v>0.48883093608582368</v>
      </c>
    </row>
    <row r="3175" spans="1:32">
      <c r="A3175" s="15">
        <v>3173</v>
      </c>
      <c r="B3175" s="16">
        <v>1</v>
      </c>
      <c r="C3175" s="20">
        <v>0.09</v>
      </c>
      <c r="D3175" s="20">
        <v>0.8856922427059174</v>
      </c>
      <c r="E3175" s="20">
        <v>0.28000000000000003</v>
      </c>
      <c r="F3175" s="8" t="s">
        <v>436</v>
      </c>
      <c r="G3175" s="24">
        <v>0.83898340450946063</v>
      </c>
      <c r="H3175" s="24">
        <v>0.84384090426510194</v>
      </c>
      <c r="I3175" s="25">
        <v>0.8585985299736556</v>
      </c>
      <c r="X3175" s="15">
        <v>3174</v>
      </c>
      <c r="Y3175" s="39">
        <v>0.48263714160828092</v>
      </c>
      <c r="Z3175" s="39">
        <v>0.47204039190436842</v>
      </c>
      <c r="AA3175" s="39">
        <v>0.50759797611103552</v>
      </c>
      <c r="AB3175" s="39">
        <v>0.49815266427362487</v>
      </c>
      <c r="AC3175" s="39">
        <v>0.47474880640643041</v>
      </c>
      <c r="AD3175" s="39">
        <v>0.46746739668728748</v>
      </c>
      <c r="AE3175" s="39">
        <v>0.49967822821633651</v>
      </c>
      <c r="AF3175" s="40">
        <v>0.49637757254525144</v>
      </c>
    </row>
    <row r="3176" spans="1:32">
      <c r="A3176" s="15">
        <v>3174</v>
      </c>
      <c r="B3176" s="16">
        <v>1</v>
      </c>
      <c r="C3176" s="20">
        <v>0.02</v>
      </c>
      <c r="D3176" s="20">
        <v>0.99604261948721451</v>
      </c>
      <c r="E3176" s="20">
        <v>1</v>
      </c>
      <c r="F3176" s="8" t="s">
        <v>436</v>
      </c>
      <c r="G3176" s="24">
        <v>0.95364169457084036</v>
      </c>
      <c r="H3176" s="24">
        <v>0.95916303655859469</v>
      </c>
      <c r="I3176" s="25">
        <v>0.9759374889648087</v>
      </c>
      <c r="X3176" s="15">
        <v>3175</v>
      </c>
      <c r="Y3176" s="39">
        <v>0.47581842868927826</v>
      </c>
      <c r="Z3176" s="39">
        <v>0.48322379870307319</v>
      </c>
      <c r="AA3176" s="39">
        <v>0.46737309655728787</v>
      </c>
      <c r="AB3176" s="39">
        <v>0.48438404748980957</v>
      </c>
      <c r="AC3176" s="39">
        <v>0.47087886684001179</v>
      </c>
      <c r="AD3176" s="39">
        <v>0.47581102134411535</v>
      </c>
      <c r="AE3176" s="39">
        <v>0.46034480181680504</v>
      </c>
      <c r="AF3176" s="40">
        <v>0.47983067107910715</v>
      </c>
    </row>
    <row r="3177" spans="1:32">
      <c r="A3177" s="15">
        <v>3175</v>
      </c>
      <c r="B3177" s="16">
        <v>0</v>
      </c>
      <c r="C3177" s="20">
        <v>0.94</v>
      </c>
      <c r="D3177" s="20">
        <v>0.17188516685452584</v>
      </c>
      <c r="E3177" s="20">
        <v>0.06</v>
      </c>
      <c r="F3177" s="8" t="s">
        <v>434</v>
      </c>
      <c r="G3177" s="24">
        <v>0.37518982220881375</v>
      </c>
      <c r="H3177" s="24">
        <v>0.37736207550953782</v>
      </c>
      <c r="I3177" s="25">
        <v>0.38396162317169191</v>
      </c>
      <c r="X3177" s="15">
        <v>3176</v>
      </c>
      <c r="Y3177" s="39">
        <v>0.48620681220075168</v>
      </c>
      <c r="Z3177" s="39">
        <v>0.48269070025768324</v>
      </c>
      <c r="AA3177" s="39">
        <v>0.50218069519281294</v>
      </c>
      <c r="AB3177" s="39">
        <v>0.47441039524549039</v>
      </c>
      <c r="AC3177" s="39">
        <v>0.47767148004613152</v>
      </c>
      <c r="AD3177" s="39">
        <v>0.47681959671749147</v>
      </c>
      <c r="AE3177" s="39">
        <v>0.49542313889465206</v>
      </c>
      <c r="AF3177" s="40">
        <v>0.46997637670154419</v>
      </c>
    </row>
    <row r="3178" spans="1:32">
      <c r="A3178" s="15">
        <v>3176</v>
      </c>
      <c r="B3178" s="16">
        <v>0</v>
      </c>
      <c r="C3178" s="20">
        <v>0.11</v>
      </c>
      <c r="D3178" s="20">
        <v>0.88806311652035186</v>
      </c>
      <c r="E3178" s="20">
        <v>0.5</v>
      </c>
      <c r="F3178" s="8" t="s">
        <v>436</v>
      </c>
      <c r="G3178" s="24">
        <v>1.1942979073990747</v>
      </c>
      <c r="H3178" s="24">
        <v>1.2012125874298982</v>
      </c>
      <c r="I3178" s="25">
        <v>1.2222201561221651</v>
      </c>
      <c r="X3178" s="15">
        <v>3177</v>
      </c>
      <c r="Y3178" s="39">
        <v>0.48524124275857966</v>
      </c>
      <c r="Z3178" s="39">
        <v>0.49313152744386096</v>
      </c>
      <c r="AA3178" s="39">
        <v>0.46665354532226244</v>
      </c>
      <c r="AB3178" s="39">
        <v>0.49596202555626306</v>
      </c>
      <c r="AC3178" s="39">
        <v>0.47542761986976961</v>
      </c>
      <c r="AD3178" s="39">
        <v>0.48740776533842728</v>
      </c>
      <c r="AE3178" s="39">
        <v>0.46071704478151337</v>
      </c>
      <c r="AF3178" s="40">
        <v>0.49156463005256523</v>
      </c>
    </row>
    <row r="3179" spans="1:32">
      <c r="A3179" s="15">
        <v>3177</v>
      </c>
      <c r="B3179" s="16">
        <v>1</v>
      </c>
      <c r="C3179" s="20">
        <v>0.03</v>
      </c>
      <c r="D3179" s="20">
        <v>0.99415958227269285</v>
      </c>
      <c r="E3179" s="20">
        <v>1</v>
      </c>
      <c r="F3179" s="8" t="s">
        <v>436</v>
      </c>
      <c r="G3179" s="24">
        <v>0.99042594393789984</v>
      </c>
      <c r="H3179" s="24">
        <v>0.99616025734004876</v>
      </c>
      <c r="I3179" s="25">
        <v>1.0135817406424776</v>
      </c>
      <c r="X3179" s="15">
        <v>3178</v>
      </c>
      <c r="Y3179" s="39">
        <v>0.48567031345744821</v>
      </c>
      <c r="Z3179" s="39">
        <v>0.48282815597402251</v>
      </c>
      <c r="AA3179" s="39">
        <v>0.50200520921957836</v>
      </c>
      <c r="AB3179" s="39">
        <v>0.48994833159453383</v>
      </c>
      <c r="AC3179" s="39">
        <v>0.47839734855839755</v>
      </c>
      <c r="AD3179" s="39">
        <v>0.47860056417975183</v>
      </c>
      <c r="AE3179" s="39">
        <v>0.49579439959156191</v>
      </c>
      <c r="AF3179" s="40">
        <v>0.48529055347023076</v>
      </c>
    </row>
    <row r="3180" spans="1:32">
      <c r="A3180" s="15">
        <v>3178</v>
      </c>
      <c r="B3180" s="16">
        <v>1</v>
      </c>
      <c r="C3180" s="20">
        <v>0.91</v>
      </c>
      <c r="D3180" s="20">
        <v>0.21727233298780477</v>
      </c>
      <c r="E3180" s="20">
        <v>0.09</v>
      </c>
      <c r="F3180" s="8" t="s">
        <v>434</v>
      </c>
      <c r="G3180" s="24">
        <v>0.62659405115817213</v>
      </c>
      <c r="H3180" s="24">
        <v>0.63022187077179925</v>
      </c>
      <c r="I3180" s="25">
        <v>0.64124359114016005</v>
      </c>
      <c r="X3180" s="15">
        <v>3179</v>
      </c>
      <c r="Y3180" s="39">
        <v>0.49305206807527618</v>
      </c>
      <c r="Z3180" s="39">
        <v>0.46979741914156498</v>
      </c>
      <c r="AA3180" s="39">
        <v>0.48791038372685824</v>
      </c>
      <c r="AB3180" s="39">
        <v>0.4877990782897938</v>
      </c>
      <c r="AC3180" s="39">
        <v>0.48419634850627358</v>
      </c>
      <c r="AD3180" s="39">
        <v>0.46508227744516528</v>
      </c>
      <c r="AE3180" s="39">
        <v>0.48133683235825453</v>
      </c>
      <c r="AF3180" s="40">
        <v>0.48397505995039819</v>
      </c>
    </row>
    <row r="3181" spans="1:32">
      <c r="A3181" s="15">
        <v>3179</v>
      </c>
      <c r="B3181" s="16">
        <v>0</v>
      </c>
      <c r="C3181" s="20">
        <v>0.9</v>
      </c>
      <c r="D3181" s="20">
        <v>0.23159538658365303</v>
      </c>
      <c r="E3181" s="20">
        <v>0.1</v>
      </c>
      <c r="F3181" s="8" t="s">
        <v>434</v>
      </c>
      <c r="G3181" s="24">
        <v>0.45553070848487476</v>
      </c>
      <c r="H3181" s="24">
        <v>0.45816811500955579</v>
      </c>
      <c r="I3181" s="25">
        <v>0.46618085001532461</v>
      </c>
      <c r="X3181" s="15">
        <v>3180</v>
      </c>
      <c r="Y3181" s="39">
        <v>0.4822929511245031</v>
      </c>
      <c r="Z3181" s="39">
        <v>0.49437438907406772</v>
      </c>
      <c r="AA3181" s="39">
        <v>0.48886020249439577</v>
      </c>
      <c r="AB3181" s="39">
        <v>0.50293396959702674</v>
      </c>
      <c r="AC3181" s="39">
        <v>0.4756453684899617</v>
      </c>
      <c r="AD3181" s="39">
        <v>0.48741153057467551</v>
      </c>
      <c r="AE3181" s="39">
        <v>0.48377009738047233</v>
      </c>
      <c r="AF3181" s="40">
        <v>0.49842240126203091</v>
      </c>
    </row>
    <row r="3182" spans="1:32">
      <c r="A3182" s="15">
        <v>3180</v>
      </c>
      <c r="B3182" s="16">
        <v>0</v>
      </c>
      <c r="C3182" s="20">
        <v>0.28999999999999998</v>
      </c>
      <c r="D3182" s="20">
        <v>0.68927166114629146</v>
      </c>
      <c r="E3182" s="20">
        <v>0.22</v>
      </c>
      <c r="F3182" s="8" t="s">
        <v>436</v>
      </c>
      <c r="G3182" s="24">
        <v>0.98815369644199702</v>
      </c>
      <c r="H3182" s="24">
        <v>0.99387485411115195</v>
      </c>
      <c r="I3182" s="25">
        <v>1.0112563688303151</v>
      </c>
      <c r="X3182" s="15">
        <v>3181</v>
      </c>
      <c r="Y3182" s="39">
        <v>0.47908096240821563</v>
      </c>
      <c r="Z3182" s="39">
        <v>0.49377690174143235</v>
      </c>
      <c r="AA3182" s="39">
        <v>0.48578883123658806</v>
      </c>
      <c r="AB3182" s="39">
        <v>0.49661309058827191</v>
      </c>
      <c r="AC3182" s="39">
        <v>0.47399857959765929</v>
      </c>
      <c r="AD3182" s="39">
        <v>0.48412131270738967</v>
      </c>
      <c r="AE3182" s="39">
        <v>0.47701210272426592</v>
      </c>
      <c r="AF3182" s="40">
        <v>0.49102195494059364</v>
      </c>
    </row>
    <row r="3183" spans="1:32">
      <c r="A3183" s="15">
        <v>3181</v>
      </c>
      <c r="B3183" s="16">
        <v>1</v>
      </c>
      <c r="C3183" s="20">
        <v>0.17</v>
      </c>
      <c r="D3183" s="20">
        <v>0.89409763035225065</v>
      </c>
      <c r="E3183" s="20">
        <v>0.08</v>
      </c>
      <c r="F3183" s="8" t="s">
        <v>436</v>
      </c>
      <c r="G3183" s="24">
        <v>0.79575928063890222</v>
      </c>
      <c r="H3183" s="24">
        <v>0.80036652375059736</v>
      </c>
      <c r="I3183" s="25">
        <v>0.81436384187948585</v>
      </c>
      <c r="X3183" s="15">
        <v>3182</v>
      </c>
      <c r="Y3183" s="39">
        <v>0.49449135485008516</v>
      </c>
      <c r="Z3183" s="39">
        <v>0.49329050490960535</v>
      </c>
      <c r="AA3183" s="39">
        <v>0.48175567431759098</v>
      </c>
      <c r="AB3183" s="39">
        <v>0.4923694711765465</v>
      </c>
      <c r="AC3183" s="39">
        <v>0.48735304322699724</v>
      </c>
      <c r="AD3183" s="39">
        <v>0.48858211994157613</v>
      </c>
      <c r="AE3183" s="39">
        <v>0.47519904809941632</v>
      </c>
      <c r="AF3183" s="40">
        <v>0.48733413365911793</v>
      </c>
    </row>
    <row r="3184" spans="1:32">
      <c r="A3184" s="15">
        <v>3182</v>
      </c>
      <c r="B3184" s="16">
        <v>1</v>
      </c>
      <c r="C3184" s="20">
        <v>0.18</v>
      </c>
      <c r="D3184" s="20">
        <v>0.9093074275150681</v>
      </c>
      <c r="E3184" s="20">
        <v>0.52</v>
      </c>
      <c r="F3184" s="8" t="s">
        <v>436</v>
      </c>
      <c r="G3184" s="24">
        <v>1.1444698343484696</v>
      </c>
      <c r="H3184" s="24">
        <v>1.1510960225552993</v>
      </c>
      <c r="I3184" s="25">
        <v>1.1712271209289558</v>
      </c>
      <c r="X3184" s="15">
        <v>3183</v>
      </c>
      <c r="Y3184" s="39">
        <v>0.48215578446644214</v>
      </c>
      <c r="Z3184" s="39">
        <v>0.497204345080623</v>
      </c>
      <c r="AA3184" s="39">
        <v>0.48010911802584272</v>
      </c>
      <c r="AB3184" s="39">
        <v>0.50378480864521524</v>
      </c>
      <c r="AC3184" s="39">
        <v>0.47275345440970129</v>
      </c>
      <c r="AD3184" s="39">
        <v>0.49009210822073412</v>
      </c>
      <c r="AE3184" s="39">
        <v>0.4730439252037989</v>
      </c>
      <c r="AF3184" s="40">
        <v>0.50022273849550514</v>
      </c>
    </row>
    <row r="3185" spans="1:32">
      <c r="A3185" s="15">
        <v>3183</v>
      </c>
      <c r="B3185" s="16">
        <v>0</v>
      </c>
      <c r="C3185" s="20">
        <v>0.13</v>
      </c>
      <c r="D3185" s="20">
        <v>0.89780296994027153</v>
      </c>
      <c r="E3185" s="20">
        <v>0.37</v>
      </c>
      <c r="F3185" s="8" t="s">
        <v>436</v>
      </c>
      <c r="G3185" s="24">
        <v>1.0297471794768023</v>
      </c>
      <c r="H3185" s="24">
        <v>1.035709152795697</v>
      </c>
      <c r="I3185" s="25">
        <v>1.053822292301767</v>
      </c>
      <c r="X3185" s="15">
        <v>3184</v>
      </c>
      <c r="Y3185" s="39">
        <v>0.49445966126827406</v>
      </c>
      <c r="Z3185" s="39">
        <v>0.4847861827580825</v>
      </c>
      <c r="AA3185" s="39">
        <v>0.47769803438621233</v>
      </c>
      <c r="AB3185" s="39">
        <v>0.47940261235029957</v>
      </c>
      <c r="AC3185" s="39">
        <v>0.4900664076861237</v>
      </c>
      <c r="AD3185" s="39">
        <v>0.47900572947014336</v>
      </c>
      <c r="AE3185" s="39">
        <v>0.46987181418376239</v>
      </c>
      <c r="AF3185" s="40">
        <v>0.47341715102762649</v>
      </c>
    </row>
    <row r="3186" spans="1:32">
      <c r="A3186" s="15">
        <v>3184</v>
      </c>
      <c r="B3186" s="16">
        <v>1</v>
      </c>
      <c r="C3186" s="20">
        <v>0.99</v>
      </c>
      <c r="D3186" s="20">
        <v>8.0793135895911181E-2</v>
      </c>
      <c r="E3186" s="20">
        <v>0.01</v>
      </c>
      <c r="F3186" s="8" t="s">
        <v>434</v>
      </c>
      <c r="G3186" s="24">
        <v>0.45808832028357283</v>
      </c>
      <c r="H3186" s="24">
        <v>0.46074053472771975</v>
      </c>
      <c r="I3186" s="25">
        <v>0.46879825784342033</v>
      </c>
      <c r="X3186" s="15">
        <v>3185</v>
      </c>
      <c r="Y3186" s="39">
        <v>0.48902951497361158</v>
      </c>
      <c r="Z3186" s="39">
        <v>0.48432253868021818</v>
      </c>
      <c r="AA3186" s="39">
        <v>0.49665564363503728</v>
      </c>
      <c r="AB3186" s="39">
        <v>0.47884557977126352</v>
      </c>
      <c r="AC3186" s="39">
        <v>0.4798216884630026</v>
      </c>
      <c r="AD3186" s="39">
        <v>0.47869594909570595</v>
      </c>
      <c r="AE3186" s="39">
        <v>0.49040833244839749</v>
      </c>
      <c r="AF3186" s="40">
        <v>0.47518789711797416</v>
      </c>
    </row>
    <row r="3187" spans="1:32">
      <c r="A3187" s="15">
        <v>3185</v>
      </c>
      <c r="B3187" s="16">
        <v>1</v>
      </c>
      <c r="C3187" s="20">
        <v>0.14000000000000001</v>
      </c>
      <c r="D3187" s="20">
        <v>0.88734981167709825</v>
      </c>
      <c r="E3187" s="20">
        <v>0.15</v>
      </c>
      <c r="F3187" s="8" t="s">
        <v>436</v>
      </c>
      <c r="G3187" s="24">
        <v>1.1678484579180184</v>
      </c>
      <c r="H3187" s="24">
        <v>1.1746100023877564</v>
      </c>
      <c r="I3187" s="25">
        <v>1.1951523281758838</v>
      </c>
      <c r="X3187" s="15">
        <v>3186</v>
      </c>
      <c r="Y3187" s="39">
        <v>0.48803218750988808</v>
      </c>
      <c r="Z3187" s="39">
        <v>0.49000414240120665</v>
      </c>
      <c r="AA3187" s="39">
        <v>0.4825578768076923</v>
      </c>
      <c r="AB3187" s="39">
        <v>0.4756340443465476</v>
      </c>
      <c r="AC3187" s="39">
        <v>0.48130152598192677</v>
      </c>
      <c r="AD3187" s="39">
        <v>0.48254169797883234</v>
      </c>
      <c r="AE3187" s="39">
        <v>0.47605758618741489</v>
      </c>
      <c r="AF3187" s="40">
        <v>0.47031873654544992</v>
      </c>
    </row>
    <row r="3188" spans="1:32">
      <c r="A3188" s="15">
        <v>3186</v>
      </c>
      <c r="B3188" s="16">
        <v>1</v>
      </c>
      <c r="C3188" s="20">
        <v>0.11</v>
      </c>
      <c r="D3188" s="20">
        <v>0.86822215120477653</v>
      </c>
      <c r="E3188" s="20">
        <v>0.44</v>
      </c>
      <c r="F3188" s="8" t="s">
        <v>436</v>
      </c>
      <c r="G3188" s="24">
        <v>0.91379931648443669</v>
      </c>
      <c r="H3188" s="24">
        <v>0.91908998127312058</v>
      </c>
      <c r="I3188" s="25">
        <v>0.93516361063566344</v>
      </c>
      <c r="X3188" s="15">
        <v>3187</v>
      </c>
      <c r="Y3188" s="39">
        <v>0.49820900009818508</v>
      </c>
      <c r="Z3188" s="39">
        <v>0.49301260964139276</v>
      </c>
      <c r="AA3188" s="39">
        <v>0.48759948727890595</v>
      </c>
      <c r="AB3188" s="39">
        <v>0.50074290351821804</v>
      </c>
      <c r="AC3188" s="39">
        <v>0.49177467922910045</v>
      </c>
      <c r="AD3188" s="39">
        <v>0.48694133759732477</v>
      </c>
      <c r="AE3188" s="39">
        <v>0.4806155313217475</v>
      </c>
      <c r="AF3188" s="40">
        <v>0.49675322729180937</v>
      </c>
    </row>
    <row r="3189" spans="1:32">
      <c r="A3189" s="15">
        <v>3187</v>
      </c>
      <c r="B3189" s="16">
        <v>0</v>
      </c>
      <c r="C3189" s="20">
        <v>0.49</v>
      </c>
      <c r="D3189" s="20">
        <v>0.48100099367996041</v>
      </c>
      <c r="E3189" s="20">
        <v>0.12</v>
      </c>
      <c r="F3189" s="8" t="s">
        <v>436</v>
      </c>
      <c r="G3189" s="24">
        <v>0.80198903749415829</v>
      </c>
      <c r="H3189" s="24">
        <v>0.80663234930785566</v>
      </c>
      <c r="I3189" s="25">
        <v>0.82073924817389698</v>
      </c>
      <c r="X3189" s="15">
        <v>3188</v>
      </c>
      <c r="Y3189" s="39">
        <v>0.50064019227656786</v>
      </c>
      <c r="Z3189" s="39">
        <v>0.49020862518568487</v>
      </c>
      <c r="AA3189" s="39">
        <v>0.48397514931409297</v>
      </c>
      <c r="AB3189" s="39">
        <v>0.48122584976900762</v>
      </c>
      <c r="AC3189" s="39">
        <v>0.49312905472781421</v>
      </c>
      <c r="AD3189" s="39">
        <v>0.48536902131441995</v>
      </c>
      <c r="AE3189" s="39">
        <v>0.47635943624635474</v>
      </c>
      <c r="AF3189" s="40">
        <v>0.47669599362335213</v>
      </c>
    </row>
    <row r="3190" spans="1:32">
      <c r="A3190" s="15">
        <v>3188</v>
      </c>
      <c r="B3190" s="16">
        <v>0</v>
      </c>
      <c r="C3190" s="20">
        <v>0.02</v>
      </c>
      <c r="D3190" s="20">
        <v>0.99917029198757767</v>
      </c>
      <c r="E3190" s="20">
        <v>1</v>
      </c>
      <c r="F3190" s="8" t="s">
        <v>436</v>
      </c>
      <c r="G3190" s="24">
        <v>0.94029201719552857</v>
      </c>
      <c r="H3190" s="24">
        <v>0.94573606795887977</v>
      </c>
      <c r="I3190" s="25">
        <v>0.9622757010099362</v>
      </c>
      <c r="X3190" s="15">
        <v>3189</v>
      </c>
      <c r="Y3190" s="39">
        <v>0.47339138467953334</v>
      </c>
      <c r="Z3190" s="39">
        <v>0.47546455404219035</v>
      </c>
      <c r="AA3190" s="39">
        <v>0.47528465569857403</v>
      </c>
      <c r="AB3190" s="39">
        <v>0.49166531201559666</v>
      </c>
      <c r="AC3190" s="39">
        <v>0.46856141765078396</v>
      </c>
      <c r="AD3190" s="39">
        <v>0.47029282004304879</v>
      </c>
      <c r="AE3190" s="39">
        <v>0.46902827194550573</v>
      </c>
      <c r="AF3190" s="40">
        <v>0.48710841386317832</v>
      </c>
    </row>
    <row r="3191" spans="1:32">
      <c r="A3191" s="15">
        <v>3189</v>
      </c>
      <c r="B3191" s="16">
        <v>1</v>
      </c>
      <c r="C3191" s="20">
        <v>0.02</v>
      </c>
      <c r="D3191" s="20">
        <v>0.99756714174924133</v>
      </c>
      <c r="E3191" s="20">
        <v>1</v>
      </c>
      <c r="F3191" s="8" t="s">
        <v>436</v>
      </c>
      <c r="G3191" s="24">
        <v>1.1082522901349943</v>
      </c>
      <c r="H3191" s="24">
        <v>1.1146687880056132</v>
      </c>
      <c r="I3191" s="25">
        <v>1.1341628237643089</v>
      </c>
      <c r="X3191" s="15">
        <v>3190</v>
      </c>
      <c r="Y3191" s="39">
        <v>0.48612934224439702</v>
      </c>
      <c r="Z3191" s="39">
        <v>0.50335369507309702</v>
      </c>
      <c r="AA3191" s="39">
        <v>0.48503139306702509</v>
      </c>
      <c r="AB3191" s="39">
        <v>0.49551604047921521</v>
      </c>
      <c r="AC3191" s="39">
        <v>0.47665811607135095</v>
      </c>
      <c r="AD3191" s="39">
        <v>0.49688146023426788</v>
      </c>
      <c r="AE3191" s="39">
        <v>0.47663188435703679</v>
      </c>
      <c r="AF3191" s="40">
        <v>0.49161482337560708</v>
      </c>
    </row>
    <row r="3192" spans="1:32">
      <c r="A3192" s="15">
        <v>3190</v>
      </c>
      <c r="B3192" s="16">
        <v>0</v>
      </c>
      <c r="C3192" s="20">
        <v>0.92</v>
      </c>
      <c r="D3192" s="20">
        <v>0.20258497911151899</v>
      </c>
      <c r="E3192" s="20">
        <v>0.08</v>
      </c>
      <c r="F3192" s="8" t="s">
        <v>434</v>
      </c>
      <c r="G3192" s="24">
        <v>0.92707096874605521</v>
      </c>
      <c r="H3192" s="24">
        <v>0.93243847301365046</v>
      </c>
      <c r="I3192" s="25">
        <v>0.94874554927819199</v>
      </c>
      <c r="X3192" s="15">
        <v>3191</v>
      </c>
      <c r="Y3192" s="39">
        <v>0.49286663870363207</v>
      </c>
      <c r="Z3192" s="39">
        <v>0.4785340244458659</v>
      </c>
      <c r="AA3192" s="39">
        <v>0.48929777362772908</v>
      </c>
      <c r="AB3192" s="39">
        <v>0.50141806509872233</v>
      </c>
      <c r="AC3192" s="39">
        <v>0.48421156782718389</v>
      </c>
      <c r="AD3192" s="39">
        <v>0.47118589462422045</v>
      </c>
      <c r="AE3192" s="39">
        <v>0.48258243655750405</v>
      </c>
      <c r="AF3192" s="40">
        <v>0.49634580004933071</v>
      </c>
    </row>
    <row r="3193" spans="1:32">
      <c r="A3193" s="15">
        <v>3191</v>
      </c>
      <c r="B3193" s="16">
        <v>0</v>
      </c>
      <c r="C3193" s="20">
        <v>0.13</v>
      </c>
      <c r="D3193" s="20">
        <v>0.91105510838375481</v>
      </c>
      <c r="E3193" s="20">
        <v>0.09</v>
      </c>
      <c r="F3193" s="8" t="s">
        <v>436</v>
      </c>
      <c r="G3193" s="24">
        <v>1.0505184579990219</v>
      </c>
      <c r="H3193" s="24">
        <v>1.056600691718544</v>
      </c>
      <c r="I3193" s="25">
        <v>1.075079195726786</v>
      </c>
      <c r="X3193" s="15">
        <v>3192</v>
      </c>
      <c r="Y3193" s="39">
        <v>0.4736059800791993</v>
      </c>
      <c r="Z3193" s="39">
        <v>0.47893613205119573</v>
      </c>
      <c r="AA3193" s="39">
        <v>0.48337523680514177</v>
      </c>
      <c r="AB3193" s="39">
        <v>0.49130807834899554</v>
      </c>
      <c r="AC3193" s="39">
        <v>0.46811144042518349</v>
      </c>
      <c r="AD3193" s="39">
        <v>0.47296732191161428</v>
      </c>
      <c r="AE3193" s="39">
        <v>0.47651980560852936</v>
      </c>
      <c r="AF3193" s="40">
        <v>0.48714459668554616</v>
      </c>
    </row>
    <row r="3194" spans="1:32">
      <c r="A3194" s="15">
        <v>3192</v>
      </c>
      <c r="B3194" s="16">
        <v>0</v>
      </c>
      <c r="C3194" s="20">
        <v>0.93</v>
      </c>
      <c r="D3194" s="20">
        <v>0.18747949848141848</v>
      </c>
      <c r="E3194" s="20">
        <v>7.0000000000000007E-2</v>
      </c>
      <c r="F3194" s="8" t="s">
        <v>434</v>
      </c>
      <c r="G3194" s="24">
        <v>0.489199612360456</v>
      </c>
      <c r="H3194" s="24">
        <v>0.49203195324435001</v>
      </c>
      <c r="I3194" s="25">
        <v>0.50063692056215559</v>
      </c>
      <c r="X3194" s="15">
        <v>3193</v>
      </c>
      <c r="Y3194" s="39">
        <v>0.49456271806919744</v>
      </c>
      <c r="Z3194" s="39">
        <v>0.48573708851104608</v>
      </c>
      <c r="AA3194" s="39">
        <v>0.47728993545043663</v>
      </c>
      <c r="AB3194" s="39">
        <v>0.48191290599281733</v>
      </c>
      <c r="AC3194" s="39">
        <v>0.48708179222377596</v>
      </c>
      <c r="AD3194" s="39">
        <v>0.47791169008947226</v>
      </c>
      <c r="AE3194" s="39">
        <v>0.46949785861639942</v>
      </c>
      <c r="AF3194" s="40">
        <v>0.4761911203482812</v>
      </c>
    </row>
    <row r="3195" spans="1:32">
      <c r="A3195" s="15">
        <v>3193</v>
      </c>
      <c r="B3195" s="16">
        <v>1</v>
      </c>
      <c r="C3195" s="20">
        <v>0.14000000000000001</v>
      </c>
      <c r="D3195" s="20">
        <v>0.87219436703364828</v>
      </c>
      <c r="E3195" s="20">
        <v>0.5</v>
      </c>
      <c r="F3195" s="8" t="s">
        <v>436</v>
      </c>
      <c r="G3195" s="24">
        <v>1.0965853187776677</v>
      </c>
      <c r="H3195" s="24">
        <v>1.1029342678622049</v>
      </c>
      <c r="I3195" s="25">
        <v>1.1222230828793243</v>
      </c>
      <c r="X3195" s="15">
        <v>3194</v>
      </c>
      <c r="Y3195" s="39">
        <v>0.50342823309158247</v>
      </c>
      <c r="Z3195" s="39">
        <v>0.47796787513772621</v>
      </c>
      <c r="AA3195" s="39">
        <v>0.47812156383732041</v>
      </c>
      <c r="AB3195" s="39">
        <v>0.49410048293588921</v>
      </c>
      <c r="AC3195" s="39">
        <v>0.49504048045055571</v>
      </c>
      <c r="AD3195" s="39">
        <v>0.47030015723893265</v>
      </c>
      <c r="AE3195" s="39">
        <v>0.47121984059930222</v>
      </c>
      <c r="AF3195" s="40">
        <v>0.48779873497670695</v>
      </c>
    </row>
    <row r="3196" spans="1:32">
      <c r="A3196" s="15">
        <v>3194</v>
      </c>
      <c r="B3196" s="16">
        <v>0</v>
      </c>
      <c r="C3196" s="20">
        <v>0.24</v>
      </c>
      <c r="D3196" s="20">
        <v>0.78831401289039604</v>
      </c>
      <c r="E3196" s="20">
        <v>0.12</v>
      </c>
      <c r="F3196" s="8" t="s">
        <v>436</v>
      </c>
      <c r="G3196" s="24">
        <v>0.67651559994272248</v>
      </c>
      <c r="H3196" s="24">
        <v>0.68043245258098251</v>
      </c>
      <c r="I3196" s="25">
        <v>0.69233228749582176</v>
      </c>
      <c r="X3196" s="15">
        <v>3195</v>
      </c>
      <c r="Y3196" s="39">
        <v>0.48484724970157306</v>
      </c>
      <c r="Z3196" s="39">
        <v>0.48614120593087295</v>
      </c>
      <c r="AA3196" s="39">
        <v>0.48822202615100513</v>
      </c>
      <c r="AB3196" s="39">
        <v>0.49061239503110121</v>
      </c>
      <c r="AC3196" s="39">
        <v>0.47651864366830077</v>
      </c>
      <c r="AD3196" s="39">
        <v>0.47641077996046233</v>
      </c>
      <c r="AE3196" s="39">
        <v>0.48043851242739027</v>
      </c>
      <c r="AF3196" s="40">
        <v>0.48488305234270207</v>
      </c>
    </row>
    <row r="3197" spans="1:32">
      <c r="A3197" s="15">
        <v>3195</v>
      </c>
      <c r="B3197" s="16">
        <v>1</v>
      </c>
      <c r="C3197" s="20">
        <v>0.08</v>
      </c>
      <c r="D3197" s="20">
        <v>0.94976048994081941</v>
      </c>
      <c r="E3197" s="20">
        <v>0.46</v>
      </c>
      <c r="F3197" s="8" t="s">
        <v>436</v>
      </c>
      <c r="G3197" s="24">
        <v>1.0582816744598649</v>
      </c>
      <c r="H3197" s="24">
        <v>1.0644088552210791</v>
      </c>
      <c r="I3197" s="25">
        <v>1.0830239133520938</v>
      </c>
      <c r="X3197" s="15">
        <v>3196</v>
      </c>
      <c r="Y3197" s="39">
        <v>0.49809137016244193</v>
      </c>
      <c r="Z3197" s="39">
        <v>0.4781808845916749</v>
      </c>
      <c r="AA3197" s="39">
        <v>0.48933275597132614</v>
      </c>
      <c r="AB3197" s="39">
        <v>0.4940792557873559</v>
      </c>
      <c r="AC3197" s="39">
        <v>0.49269125642416145</v>
      </c>
      <c r="AD3197" s="39">
        <v>0.47079205435359778</v>
      </c>
      <c r="AE3197" s="39">
        <v>0.48064757553720483</v>
      </c>
      <c r="AF3197" s="40">
        <v>0.48931332522342114</v>
      </c>
    </row>
    <row r="3198" spans="1:32">
      <c r="A3198" s="15">
        <v>3196</v>
      </c>
      <c r="B3198" s="16">
        <v>0</v>
      </c>
      <c r="C3198" s="20">
        <v>0.02</v>
      </c>
      <c r="D3198" s="20">
        <v>0.99835916395484214</v>
      </c>
      <c r="E3198" s="20">
        <v>1</v>
      </c>
      <c r="F3198" s="8" t="s">
        <v>436</v>
      </c>
      <c r="G3198" s="24">
        <v>1.0798379540327525</v>
      </c>
      <c r="H3198" s="24">
        <v>1.0860899401503006</v>
      </c>
      <c r="I3198" s="25">
        <v>1.1050841708655352</v>
      </c>
      <c r="X3198" s="15">
        <v>3197</v>
      </c>
      <c r="Y3198" s="39">
        <v>0.49959314762945545</v>
      </c>
      <c r="Z3198" s="39">
        <v>0.47227552735748568</v>
      </c>
      <c r="AA3198" s="39">
        <v>0.49196843436294169</v>
      </c>
      <c r="AB3198" s="39">
        <v>0.47723397377533983</v>
      </c>
      <c r="AC3198" s="39">
        <v>0.49457532212443051</v>
      </c>
      <c r="AD3198" s="39">
        <v>0.46644575965763452</v>
      </c>
      <c r="AE3198" s="39">
        <v>0.48388589844493879</v>
      </c>
      <c r="AF3198" s="40">
        <v>0.47521329854958994</v>
      </c>
    </row>
    <row r="3199" spans="1:32">
      <c r="A3199" s="15">
        <v>3197</v>
      </c>
      <c r="B3199" s="16">
        <v>1</v>
      </c>
      <c r="C3199" s="20">
        <v>0.2</v>
      </c>
      <c r="D3199" s="20">
        <v>0.86569072685117121</v>
      </c>
      <c r="E3199" s="20">
        <v>0.06</v>
      </c>
      <c r="F3199" s="8" t="s">
        <v>436</v>
      </c>
      <c r="G3199" s="24">
        <v>0.92346424401142202</v>
      </c>
      <c r="H3199" s="24">
        <v>0.92881086626344578</v>
      </c>
      <c r="I3199" s="25">
        <v>0.94505450063702579</v>
      </c>
      <c r="X3199" s="15">
        <v>3198</v>
      </c>
      <c r="Y3199" s="39">
        <v>0.47616852150733074</v>
      </c>
      <c r="Z3199" s="39">
        <v>0.49770786710508957</v>
      </c>
      <c r="AA3199" s="39">
        <v>0.48441968191966739</v>
      </c>
      <c r="AB3199" s="39">
        <v>0.48294481728274785</v>
      </c>
      <c r="AC3199" s="39">
        <v>0.47066582673064605</v>
      </c>
      <c r="AD3199" s="39">
        <v>0.49109201426083726</v>
      </c>
      <c r="AE3199" s="39">
        <v>0.47967161936134745</v>
      </c>
      <c r="AF3199" s="40">
        <v>0.48099125950828864</v>
      </c>
    </row>
    <row r="3200" spans="1:32">
      <c r="A3200" s="15">
        <v>3198</v>
      </c>
      <c r="B3200" s="16">
        <v>1</v>
      </c>
      <c r="C3200" s="20">
        <v>0.02</v>
      </c>
      <c r="D3200" s="20">
        <v>0.99835916395484214</v>
      </c>
      <c r="E3200" s="20">
        <v>1</v>
      </c>
      <c r="F3200" s="8" t="s">
        <v>436</v>
      </c>
      <c r="G3200" s="24">
        <v>1.0102797572967224</v>
      </c>
      <c r="H3200" s="24">
        <v>1.016129019210392</v>
      </c>
      <c r="I3200" s="25">
        <v>1.0338997289037868</v>
      </c>
      <c r="X3200" s="15">
        <v>3199</v>
      </c>
      <c r="Y3200" s="39">
        <v>0.47121272154633337</v>
      </c>
      <c r="Z3200" s="39">
        <v>0.48554747152580446</v>
      </c>
      <c r="AA3200" s="39">
        <v>0.47894950340136699</v>
      </c>
      <c r="AB3200" s="39">
        <v>0.48203855468347862</v>
      </c>
      <c r="AC3200" s="39">
        <v>0.46471103871135877</v>
      </c>
      <c r="AD3200" s="39">
        <v>0.47894921377593158</v>
      </c>
      <c r="AE3200" s="39">
        <v>0.4741579499236549</v>
      </c>
      <c r="AF3200" s="40">
        <v>0.47627217505902375</v>
      </c>
    </row>
    <row r="3201" spans="1:32">
      <c r="A3201" s="15">
        <v>3199</v>
      </c>
      <c r="B3201" s="16">
        <v>1</v>
      </c>
      <c r="C3201" s="20">
        <v>0.03</v>
      </c>
      <c r="D3201" s="20">
        <v>0.99415958227269285</v>
      </c>
      <c r="E3201" s="20">
        <v>1</v>
      </c>
      <c r="F3201" s="8" t="s">
        <v>436</v>
      </c>
      <c r="G3201" s="24">
        <v>1.0461208177873271</v>
      </c>
      <c r="H3201" s="24">
        <v>1.0521775902925523</v>
      </c>
      <c r="I3201" s="25">
        <v>1.0705787402936755</v>
      </c>
      <c r="X3201" s="15">
        <v>3200</v>
      </c>
      <c r="Y3201" s="39">
        <v>0.49730704431570927</v>
      </c>
      <c r="Z3201" s="39">
        <v>0.49136682599526749</v>
      </c>
      <c r="AA3201" s="39">
        <v>0.483483084388736</v>
      </c>
      <c r="AB3201" s="39">
        <v>0.49022000461978699</v>
      </c>
      <c r="AC3201" s="39">
        <v>0.48959925309494323</v>
      </c>
      <c r="AD3201" s="39">
        <v>0.48377144298914682</v>
      </c>
      <c r="AE3201" s="39">
        <v>0.47498231260475299</v>
      </c>
      <c r="AF3201" s="40">
        <v>0.48480278902161239</v>
      </c>
    </row>
    <row r="3202" spans="1:32">
      <c r="A3202" s="15">
        <v>3200</v>
      </c>
      <c r="B3202" s="16">
        <v>0</v>
      </c>
      <c r="C3202" s="20">
        <v>0.93</v>
      </c>
      <c r="D3202" s="20">
        <v>0.18747949848141848</v>
      </c>
      <c r="E3202" s="20">
        <v>7.0000000000000007E-2</v>
      </c>
      <c r="F3202" s="8" t="s">
        <v>434</v>
      </c>
      <c r="G3202" s="24">
        <v>0.63109979869220856</v>
      </c>
      <c r="H3202" s="24">
        <v>0.63475370543393372</v>
      </c>
      <c r="I3202" s="25">
        <v>0.64585468140531022</v>
      </c>
      <c r="X3202" s="15">
        <v>3201</v>
      </c>
      <c r="Y3202" s="39">
        <v>0.48121347946783088</v>
      </c>
      <c r="Z3202" s="39">
        <v>0.48746392362405794</v>
      </c>
      <c r="AA3202" s="39">
        <v>0.48174077136241922</v>
      </c>
      <c r="AB3202" s="39">
        <v>0.49430855209156577</v>
      </c>
      <c r="AC3202" s="39">
        <v>0.47320512331717401</v>
      </c>
      <c r="AD3202" s="39">
        <v>0.48255733122281996</v>
      </c>
      <c r="AE3202" s="39">
        <v>0.47629069060847984</v>
      </c>
      <c r="AF3202" s="40">
        <v>0.4886443809605831</v>
      </c>
    </row>
    <row r="3203" spans="1:32">
      <c r="A3203" s="15">
        <v>3201</v>
      </c>
      <c r="B3203" s="16">
        <v>1</v>
      </c>
      <c r="C3203" s="20">
        <v>0.05</v>
      </c>
      <c r="D3203" s="20">
        <v>0.94978460064636605</v>
      </c>
      <c r="E3203" s="20">
        <v>0.41</v>
      </c>
      <c r="F3203" s="8" t="s">
        <v>436</v>
      </c>
      <c r="G3203" s="24">
        <v>0.92491685562024828</v>
      </c>
      <c r="H3203" s="24">
        <v>0.93027188812269768</v>
      </c>
      <c r="I3203" s="25">
        <v>0.94654107377453633</v>
      </c>
      <c r="X3203" s="15">
        <v>3202</v>
      </c>
      <c r="Y3203" s="39">
        <v>0.48178109546220532</v>
      </c>
      <c r="Z3203" s="39">
        <v>0.49357987700271971</v>
      </c>
      <c r="AA3203" s="39">
        <v>0.50455573185687597</v>
      </c>
      <c r="AB3203" s="39">
        <v>0.49253302363257906</v>
      </c>
      <c r="AC3203" s="39">
        <v>0.47531685356360043</v>
      </c>
      <c r="AD3203" s="39">
        <v>0.48725946539587622</v>
      </c>
      <c r="AE3203" s="39">
        <v>0.49540876494778963</v>
      </c>
      <c r="AF3203" s="40">
        <v>0.48869004002987199</v>
      </c>
    </row>
    <row r="3204" spans="1:32">
      <c r="A3204" s="15">
        <v>3202</v>
      </c>
      <c r="B3204" s="16">
        <v>0</v>
      </c>
      <c r="C3204" s="20">
        <v>0.18</v>
      </c>
      <c r="D3204" s="20">
        <v>0.90010331663460674</v>
      </c>
      <c r="E3204" s="20">
        <v>0.06</v>
      </c>
      <c r="F3204" s="8" t="s">
        <v>436</v>
      </c>
      <c r="G3204" s="24">
        <v>1.1913383346206763</v>
      </c>
      <c r="H3204" s="24">
        <v>1.1982358794805648</v>
      </c>
      <c r="I3204" s="25">
        <v>1.2191913896135251</v>
      </c>
      <c r="X3204" s="15">
        <v>3203</v>
      </c>
      <c r="Y3204" s="39">
        <v>0.48389517428533968</v>
      </c>
      <c r="Z3204" s="39">
        <v>0.48980975803155147</v>
      </c>
      <c r="AA3204" s="39">
        <v>0.49544552587209267</v>
      </c>
      <c r="AB3204" s="39">
        <v>0.49562124756212311</v>
      </c>
      <c r="AC3204" s="39">
        <v>0.47942855655519517</v>
      </c>
      <c r="AD3204" s="39">
        <v>0.48343346453483088</v>
      </c>
      <c r="AE3204" s="39">
        <v>0.48882485356896499</v>
      </c>
      <c r="AF3204" s="40">
        <v>0.49008755482511462</v>
      </c>
    </row>
    <row r="3205" spans="1:32">
      <c r="A3205" s="15">
        <v>3203</v>
      </c>
      <c r="B3205" s="16">
        <v>1</v>
      </c>
      <c r="C3205" s="20">
        <v>0.08</v>
      </c>
      <c r="D3205" s="20">
        <v>0.9275459870275905</v>
      </c>
      <c r="E3205" s="20">
        <v>0.45</v>
      </c>
      <c r="F3205" s="8" t="s">
        <v>436</v>
      </c>
      <c r="G3205" s="24">
        <v>1.1931247182729117</v>
      </c>
      <c r="H3205" s="24">
        <v>1.2000326058381596</v>
      </c>
      <c r="I3205" s="25">
        <v>1.2210195382628719</v>
      </c>
      <c r="X3205" s="15">
        <v>3204</v>
      </c>
      <c r="Y3205" s="39">
        <v>0.47818479694331983</v>
      </c>
      <c r="Z3205" s="39">
        <v>0.49256378659963035</v>
      </c>
      <c r="AA3205" s="39">
        <v>0.49248858967710424</v>
      </c>
      <c r="AB3205" s="39">
        <v>0.48374987943355952</v>
      </c>
      <c r="AC3205" s="39">
        <v>0.46980394310773033</v>
      </c>
      <c r="AD3205" s="39">
        <v>0.48110379885682297</v>
      </c>
      <c r="AE3205" s="39">
        <v>0.48603682363709705</v>
      </c>
      <c r="AF3205" s="40">
        <v>0.47971648968857633</v>
      </c>
    </row>
    <row r="3206" spans="1:32">
      <c r="A3206" s="15">
        <v>3204</v>
      </c>
      <c r="B3206" s="16">
        <v>0</v>
      </c>
      <c r="C3206" s="20">
        <v>0.93</v>
      </c>
      <c r="D3206" s="20">
        <v>0.19322049064130595</v>
      </c>
      <c r="E3206" s="20">
        <v>7.0000000000000007E-2</v>
      </c>
      <c r="F3206" s="8" t="s">
        <v>434</v>
      </c>
      <c r="G3206" s="24">
        <v>0.84717585237052928</v>
      </c>
      <c r="H3206" s="24">
        <v>0.85208078430810563</v>
      </c>
      <c r="I3206" s="25">
        <v>0.86698251427250117</v>
      </c>
      <c r="X3206" s="15">
        <v>3205</v>
      </c>
      <c r="Y3206" s="39">
        <v>0.48407606225351463</v>
      </c>
      <c r="Z3206" s="39">
        <v>0.47682577991893649</v>
      </c>
      <c r="AA3206" s="39">
        <v>0.47820488440813036</v>
      </c>
      <c r="AB3206" s="39">
        <v>0.48655359491566569</v>
      </c>
      <c r="AC3206" s="39">
        <v>0.47783519002381436</v>
      </c>
      <c r="AD3206" s="39">
        <v>0.47073504173725861</v>
      </c>
      <c r="AE3206" s="39">
        <v>0.47197202951468392</v>
      </c>
      <c r="AF3206" s="40">
        <v>0.48523163631791777</v>
      </c>
    </row>
    <row r="3207" spans="1:32">
      <c r="A3207" s="15">
        <v>3205</v>
      </c>
      <c r="B3207" s="16">
        <v>0</v>
      </c>
      <c r="C3207" s="20">
        <v>0.93</v>
      </c>
      <c r="D3207" s="20">
        <v>0.18747949848141848</v>
      </c>
      <c r="E3207" s="20">
        <v>7.0000000000000007E-2</v>
      </c>
      <c r="F3207" s="8" t="s">
        <v>434</v>
      </c>
      <c r="G3207" s="24">
        <v>0.71959109880305627</v>
      </c>
      <c r="H3207" s="24">
        <v>0.72375734758439081</v>
      </c>
      <c r="I3207" s="25">
        <v>0.7364148757813298</v>
      </c>
      <c r="X3207" s="15">
        <v>3206</v>
      </c>
      <c r="Y3207" s="39">
        <v>0.47715122886679651</v>
      </c>
      <c r="Z3207" s="39">
        <v>0.48878204108718398</v>
      </c>
      <c r="AA3207" s="39">
        <v>0.49719089825041202</v>
      </c>
      <c r="AB3207" s="39">
        <v>0.48643481934322846</v>
      </c>
      <c r="AC3207" s="39">
        <v>0.47252119666639764</v>
      </c>
      <c r="AD3207" s="39">
        <v>0.48138798664147342</v>
      </c>
      <c r="AE3207" s="39">
        <v>0.49011078256685597</v>
      </c>
      <c r="AF3207" s="40">
        <v>0.48281082520827645</v>
      </c>
    </row>
    <row r="3208" spans="1:32">
      <c r="A3208" s="15">
        <v>3206</v>
      </c>
      <c r="B3208" s="16">
        <v>1</v>
      </c>
      <c r="C3208" s="20">
        <v>0.02</v>
      </c>
      <c r="D3208" s="20">
        <v>0.99679477127711513</v>
      </c>
      <c r="E3208" s="20">
        <v>1</v>
      </c>
      <c r="F3208" s="8" t="s">
        <v>436</v>
      </c>
      <c r="G3208" s="24">
        <v>1.0661313167042714</v>
      </c>
      <c r="H3208" s="24">
        <v>1.0723039448904039</v>
      </c>
      <c r="I3208" s="25">
        <v>1.0910570773642081</v>
      </c>
      <c r="X3208" s="15">
        <v>3207</v>
      </c>
      <c r="Y3208" s="39">
        <v>0.48278228802280876</v>
      </c>
      <c r="Z3208" s="39">
        <v>0.48647009760435778</v>
      </c>
      <c r="AA3208" s="39">
        <v>0.48887532526478317</v>
      </c>
      <c r="AB3208" s="39">
        <v>0.49500448007848863</v>
      </c>
      <c r="AC3208" s="39">
        <v>0.47771739067519792</v>
      </c>
      <c r="AD3208" s="39">
        <v>0.47936861962789129</v>
      </c>
      <c r="AE3208" s="39">
        <v>0.47979190492969015</v>
      </c>
      <c r="AF3208" s="40">
        <v>0.49116347981700809</v>
      </c>
    </row>
    <row r="3209" spans="1:32">
      <c r="A3209" s="15">
        <v>3207</v>
      </c>
      <c r="B3209" s="16">
        <v>0</v>
      </c>
      <c r="C3209" s="20">
        <v>0.02</v>
      </c>
      <c r="D3209" s="20">
        <v>0.99835916395484214</v>
      </c>
      <c r="E3209" s="20">
        <v>1</v>
      </c>
      <c r="F3209" s="8" t="s">
        <v>436</v>
      </c>
      <c r="G3209" s="24">
        <v>0.99110740415467269</v>
      </c>
      <c r="H3209" s="24">
        <v>0.99684566303752919</v>
      </c>
      <c r="I3209" s="25">
        <v>1.0142791331501384</v>
      </c>
      <c r="X3209" s="15">
        <v>3208</v>
      </c>
      <c r="Y3209" s="39">
        <v>0.49644979901328101</v>
      </c>
      <c r="Z3209" s="39">
        <v>0.49500052166043601</v>
      </c>
      <c r="AA3209" s="39">
        <v>0.48647397663058639</v>
      </c>
      <c r="AB3209" s="39">
        <v>0.48771534092080743</v>
      </c>
      <c r="AC3209" s="39">
        <v>0.4866394160686579</v>
      </c>
      <c r="AD3209" s="39">
        <v>0.48893340912368477</v>
      </c>
      <c r="AE3209" s="39">
        <v>0.48059013108916221</v>
      </c>
      <c r="AF3209" s="40">
        <v>0.48093573562320874</v>
      </c>
    </row>
    <row r="3210" spans="1:32">
      <c r="A3210" s="15">
        <v>3208</v>
      </c>
      <c r="B3210" s="16">
        <v>1</v>
      </c>
      <c r="C3210" s="20">
        <v>0.59</v>
      </c>
      <c r="D3210" s="20">
        <v>0.45968310296463671</v>
      </c>
      <c r="E3210" s="20">
        <v>0.11</v>
      </c>
      <c r="F3210" s="8" t="s">
        <v>438</v>
      </c>
      <c r="G3210" s="24">
        <v>0.71889159990479945</v>
      </c>
      <c r="H3210" s="24">
        <v>0.72305379876606524</v>
      </c>
      <c r="I3210" s="25">
        <v>0.73569902285440258</v>
      </c>
      <c r="X3210" s="15">
        <v>3209</v>
      </c>
      <c r="Y3210" s="39">
        <v>0.50331999510109893</v>
      </c>
      <c r="Z3210" s="39">
        <v>0.48374250062217766</v>
      </c>
      <c r="AA3210" s="39">
        <v>0.4825564731300499</v>
      </c>
      <c r="AB3210" s="39">
        <v>0.50103749603750358</v>
      </c>
      <c r="AC3210" s="39">
        <v>0.49536848135454864</v>
      </c>
      <c r="AD3210" s="39">
        <v>0.47886181354797924</v>
      </c>
      <c r="AE3210" s="39">
        <v>0.47697594370034974</v>
      </c>
      <c r="AF3210" s="40">
        <v>0.49629906155153175</v>
      </c>
    </row>
    <row r="3211" spans="1:32">
      <c r="A3211" s="15">
        <v>3209</v>
      </c>
      <c r="B3211" s="16">
        <v>1</v>
      </c>
      <c r="C3211" s="20">
        <v>0.88</v>
      </c>
      <c r="D3211" s="20">
        <v>0.25930874124763043</v>
      </c>
      <c r="E3211" s="20">
        <v>0.12</v>
      </c>
      <c r="F3211" s="8" t="s">
        <v>434</v>
      </c>
      <c r="G3211" s="24">
        <v>0.70242838304622457</v>
      </c>
      <c r="H3211" s="24">
        <v>0.70649526408423213</v>
      </c>
      <c r="I3211" s="25">
        <v>0.71885090200071944</v>
      </c>
      <c r="X3211" s="15">
        <v>3210</v>
      </c>
      <c r="Y3211" s="39">
        <v>0.4875805137774154</v>
      </c>
      <c r="Z3211" s="39">
        <v>0.48849737423119405</v>
      </c>
      <c r="AA3211" s="39">
        <v>0.48402320271168708</v>
      </c>
      <c r="AB3211" s="39">
        <v>0.49151616046080537</v>
      </c>
      <c r="AC3211" s="39">
        <v>0.48205884820623318</v>
      </c>
      <c r="AD3211" s="39">
        <v>0.47905714167997093</v>
      </c>
      <c r="AE3211" s="39">
        <v>0.47731171901863972</v>
      </c>
      <c r="AF3211" s="40">
        <v>0.48758539927241917</v>
      </c>
    </row>
    <row r="3212" spans="1:32">
      <c r="A3212" s="15">
        <v>3210</v>
      </c>
      <c r="B3212" s="16">
        <v>0</v>
      </c>
      <c r="C3212" s="20">
        <v>0.08</v>
      </c>
      <c r="D3212" s="20">
        <v>0.93918992762395914</v>
      </c>
      <c r="E3212" s="20">
        <v>0.42</v>
      </c>
      <c r="F3212" s="8" t="s">
        <v>436</v>
      </c>
      <c r="G3212" s="24">
        <v>0.94298094576435321</v>
      </c>
      <c r="H3212" s="24">
        <v>0.94844056473774985</v>
      </c>
      <c r="I3212" s="25">
        <v>0.96502749574626578</v>
      </c>
      <c r="X3212" s="15">
        <v>3211</v>
      </c>
      <c r="Y3212" s="39">
        <v>0.48380273994843787</v>
      </c>
      <c r="Z3212" s="39">
        <v>0.48382458586546334</v>
      </c>
      <c r="AA3212" s="39">
        <v>0.4828551359035414</v>
      </c>
      <c r="AB3212" s="39">
        <v>0.49761019751138663</v>
      </c>
      <c r="AC3212" s="39">
        <v>0.47663898638855101</v>
      </c>
      <c r="AD3212" s="39">
        <v>0.47720544609074045</v>
      </c>
      <c r="AE3212" s="39">
        <v>0.47508879141507065</v>
      </c>
      <c r="AF3212" s="40">
        <v>0.49447874352557075</v>
      </c>
    </row>
    <row r="3213" spans="1:32">
      <c r="A3213" s="15">
        <v>3211</v>
      </c>
      <c r="B3213" s="16">
        <v>1</v>
      </c>
      <c r="C3213" s="20">
        <v>0.91</v>
      </c>
      <c r="D3213" s="20">
        <v>0.21727233298780477</v>
      </c>
      <c r="E3213" s="20">
        <v>0.09</v>
      </c>
      <c r="F3213" s="8" t="s">
        <v>434</v>
      </c>
      <c r="G3213" s="24">
        <v>1.5735870854010148</v>
      </c>
      <c r="H3213" s="24">
        <v>1.582697752956215</v>
      </c>
      <c r="I3213" s="25">
        <v>1.610376976527675</v>
      </c>
      <c r="X3213" s="15">
        <v>3212</v>
      </c>
      <c r="Y3213" s="39">
        <v>0.47572856885716708</v>
      </c>
      <c r="Z3213" s="39">
        <v>0.49152458427088985</v>
      </c>
      <c r="AA3213" s="39">
        <v>0.49278390176817138</v>
      </c>
      <c r="AB3213" s="39">
        <v>0.49295744189082125</v>
      </c>
      <c r="AC3213" s="39">
        <v>0.46864799522542289</v>
      </c>
      <c r="AD3213" s="39">
        <v>0.48122688061622615</v>
      </c>
      <c r="AE3213" s="39">
        <v>0.4842025594136587</v>
      </c>
      <c r="AF3213" s="40">
        <v>0.48859020691748822</v>
      </c>
    </row>
    <row r="3214" spans="1:32">
      <c r="A3214" s="15">
        <v>3212</v>
      </c>
      <c r="B3214" s="16">
        <v>0</v>
      </c>
      <c r="C3214" s="20">
        <v>0.95</v>
      </c>
      <c r="D3214" s="20">
        <v>0.15570568692893463</v>
      </c>
      <c r="E3214" s="20">
        <v>0.05</v>
      </c>
      <c r="F3214" s="8" t="s">
        <v>434</v>
      </c>
      <c r="G3214" s="24">
        <v>1.2742983731415372</v>
      </c>
      <c r="H3214" s="24">
        <v>1.2816762354483229</v>
      </c>
      <c r="I3214" s="25">
        <v>1.3040910035245008</v>
      </c>
      <c r="X3214" s="15">
        <v>3213</v>
      </c>
      <c r="Y3214" s="39">
        <v>0.47879141816163895</v>
      </c>
      <c r="Z3214" s="39">
        <v>0.49270094239054724</v>
      </c>
      <c r="AA3214" s="39">
        <v>0.49254702874119421</v>
      </c>
      <c r="AB3214" s="39">
        <v>0.48564827516000331</v>
      </c>
      <c r="AC3214" s="39">
        <v>0.47414751050265441</v>
      </c>
      <c r="AD3214" s="39">
        <v>0.4855850269319914</v>
      </c>
      <c r="AE3214" s="39">
        <v>0.48264779951678904</v>
      </c>
      <c r="AF3214" s="40">
        <v>0.47990087406296655</v>
      </c>
    </row>
    <row r="3215" spans="1:32">
      <c r="A3215" s="15">
        <v>3213</v>
      </c>
      <c r="B3215" s="16">
        <v>1</v>
      </c>
      <c r="C3215" s="20">
        <v>0.5</v>
      </c>
      <c r="D3215" s="20">
        <v>0.47325939422898389</v>
      </c>
      <c r="E3215" s="20">
        <v>0.06</v>
      </c>
      <c r="F3215" s="8" t="s">
        <v>438</v>
      </c>
      <c r="G3215" s="24">
        <v>0.88354270503569909</v>
      </c>
      <c r="H3215" s="24">
        <v>0.88865819176730954</v>
      </c>
      <c r="I3215" s="25">
        <v>0.9041996106658915</v>
      </c>
      <c r="X3215" s="15">
        <v>3214</v>
      </c>
      <c r="Y3215" s="39">
        <v>0.46997836151631783</v>
      </c>
      <c r="Z3215" s="39">
        <v>0.47897996650825919</v>
      </c>
      <c r="AA3215" s="39">
        <v>0.48539563881987874</v>
      </c>
      <c r="AB3215" s="39">
        <v>0.47977405700439696</v>
      </c>
      <c r="AC3215" s="39">
        <v>0.46518499031762839</v>
      </c>
      <c r="AD3215" s="39">
        <v>0.47200883420150713</v>
      </c>
      <c r="AE3215" s="39">
        <v>0.4777348701780626</v>
      </c>
      <c r="AF3215" s="40">
        <v>0.47442545990309631</v>
      </c>
    </row>
    <row r="3216" spans="1:32">
      <c r="A3216" s="15">
        <v>3214</v>
      </c>
      <c r="B3216" s="16">
        <v>1</v>
      </c>
      <c r="C3216" s="20">
        <v>0.31</v>
      </c>
      <c r="D3216" s="20">
        <v>0.60709027671996296</v>
      </c>
      <c r="E3216" s="20">
        <v>0.08</v>
      </c>
      <c r="F3216" s="8" t="s">
        <v>436</v>
      </c>
      <c r="G3216" s="24">
        <v>1.1250956695284184</v>
      </c>
      <c r="H3216" s="24">
        <v>1.1316096862663332</v>
      </c>
      <c r="I3216" s="25">
        <v>1.1513999952140088</v>
      </c>
      <c r="X3216" s="15">
        <v>3215</v>
      </c>
      <c r="Y3216" s="39">
        <v>0.49538065023683681</v>
      </c>
      <c r="Z3216" s="39">
        <v>0.48405526143416894</v>
      </c>
      <c r="AA3216" s="39">
        <v>0.48904942230038145</v>
      </c>
      <c r="AB3216" s="39">
        <v>0.48723959190639554</v>
      </c>
      <c r="AC3216" s="39">
        <v>0.48956614365781881</v>
      </c>
      <c r="AD3216" s="39">
        <v>0.47453921452051806</v>
      </c>
      <c r="AE3216" s="39">
        <v>0.48287662179058799</v>
      </c>
      <c r="AF3216" s="40">
        <v>0.48386921773336522</v>
      </c>
    </row>
    <row r="3217" spans="1:32">
      <c r="A3217" s="15">
        <v>3215</v>
      </c>
      <c r="B3217" s="16">
        <v>1</v>
      </c>
      <c r="C3217" s="20">
        <v>0.16</v>
      </c>
      <c r="D3217" s="20">
        <v>0.89289105705731775</v>
      </c>
      <c r="E3217" s="20">
        <v>0.05</v>
      </c>
      <c r="F3217" s="8" t="s">
        <v>436</v>
      </c>
      <c r="G3217" s="24">
        <v>1.0882774938687354</v>
      </c>
      <c r="H3217" s="24">
        <v>1.0945783427676812</v>
      </c>
      <c r="I3217" s="25">
        <v>1.1137210240593902</v>
      </c>
      <c r="X3217" s="15">
        <v>3216</v>
      </c>
      <c r="Y3217" s="39">
        <v>0.47327438576438291</v>
      </c>
      <c r="Z3217" s="39">
        <v>0.47234241306760733</v>
      </c>
      <c r="AA3217" s="39">
        <v>0.49566235779797496</v>
      </c>
      <c r="AB3217" s="39">
        <v>0.48548536614487531</v>
      </c>
      <c r="AC3217" s="39">
        <v>0.46682656885083557</v>
      </c>
      <c r="AD3217" s="39">
        <v>0.46614912942724485</v>
      </c>
      <c r="AE3217" s="39">
        <v>0.48881096311954247</v>
      </c>
      <c r="AF3217" s="40">
        <v>0.48014594911933439</v>
      </c>
    </row>
    <row r="3218" spans="1:32">
      <c r="A3218" s="15">
        <v>3216</v>
      </c>
      <c r="B3218" s="16">
        <v>0</v>
      </c>
      <c r="C3218" s="20">
        <v>0.02</v>
      </c>
      <c r="D3218" s="20">
        <v>0.99835916395484214</v>
      </c>
      <c r="E3218" s="20">
        <v>1</v>
      </c>
      <c r="F3218" s="8" t="s">
        <v>436</v>
      </c>
      <c r="G3218" s="24">
        <v>1.0664740393629601</v>
      </c>
      <c r="H3218" s="24">
        <v>1.072648651825804</v>
      </c>
      <c r="I3218" s="25">
        <v>1.0914078127534388</v>
      </c>
      <c r="X3218" s="15">
        <v>3217</v>
      </c>
      <c r="Y3218" s="39">
        <v>0.48287513845095831</v>
      </c>
      <c r="Z3218" s="39">
        <v>0.50514130424026016</v>
      </c>
      <c r="AA3218" s="39">
        <v>0.48333717595377268</v>
      </c>
      <c r="AB3218" s="39">
        <v>0.49553838119402949</v>
      </c>
      <c r="AC3218" s="39">
        <v>0.47664473093464904</v>
      </c>
      <c r="AD3218" s="39">
        <v>0.49607993522668598</v>
      </c>
      <c r="AE3218" s="39">
        <v>0.47596321293170457</v>
      </c>
      <c r="AF3218" s="40">
        <v>0.4918361407541223</v>
      </c>
    </row>
    <row r="3219" spans="1:32">
      <c r="A3219" s="15">
        <v>3217</v>
      </c>
      <c r="B3219" s="16">
        <v>0</v>
      </c>
      <c r="C3219" s="20">
        <v>0.92</v>
      </c>
      <c r="D3219" s="20">
        <v>0.20258497911151899</v>
      </c>
      <c r="E3219" s="20">
        <v>0.08</v>
      </c>
      <c r="F3219" s="8" t="s">
        <v>434</v>
      </c>
      <c r="G3219" s="24">
        <v>1.2068357246340415</v>
      </c>
      <c r="H3219" s="24">
        <v>1.2138229954262887</v>
      </c>
      <c r="I3219" s="25">
        <v>1.2350511029432347</v>
      </c>
      <c r="X3219" s="15">
        <v>3218</v>
      </c>
      <c r="Y3219" s="39">
        <v>0.48838283892586287</v>
      </c>
      <c r="Z3219" s="39">
        <v>0.48961807905927113</v>
      </c>
      <c r="AA3219" s="39">
        <v>0.48904268372954052</v>
      </c>
      <c r="AB3219" s="39">
        <v>0.47366751775892463</v>
      </c>
      <c r="AC3219" s="39">
        <v>0.47967748184146519</v>
      </c>
      <c r="AD3219" s="39">
        <v>0.48449009343775823</v>
      </c>
      <c r="AE3219" s="39">
        <v>0.48257233837318031</v>
      </c>
      <c r="AF3219" s="40">
        <v>0.46944215412842161</v>
      </c>
    </row>
    <row r="3220" spans="1:32">
      <c r="A3220" s="15">
        <v>3218</v>
      </c>
      <c r="B3220" s="16">
        <v>0</v>
      </c>
      <c r="C3220" s="20">
        <v>0.02</v>
      </c>
      <c r="D3220" s="20">
        <v>0.99835916395484214</v>
      </c>
      <c r="E3220" s="20">
        <v>1</v>
      </c>
      <c r="F3220" s="8" t="s">
        <v>436</v>
      </c>
      <c r="G3220" s="24">
        <v>1.1816734170678371</v>
      </c>
      <c r="H3220" s="24">
        <v>1.1885150045221335</v>
      </c>
      <c r="I3220" s="25">
        <v>1.2093005098195011</v>
      </c>
      <c r="X3220" s="15">
        <v>3219</v>
      </c>
      <c r="Y3220" s="39">
        <v>0.48513455519671322</v>
      </c>
      <c r="Z3220" s="39">
        <v>0.5006981418487958</v>
      </c>
      <c r="AA3220" s="39">
        <v>0.48299111542151846</v>
      </c>
      <c r="AB3220" s="39">
        <v>0.49406515430343029</v>
      </c>
      <c r="AC3220" s="39">
        <v>0.48097677908223185</v>
      </c>
      <c r="AD3220" s="39">
        <v>0.49077533893836728</v>
      </c>
      <c r="AE3220" s="39">
        <v>0.4740402219710701</v>
      </c>
      <c r="AF3220" s="40">
        <v>0.4920353033188527</v>
      </c>
    </row>
    <row r="3221" spans="1:32">
      <c r="A3221" s="15">
        <v>3219</v>
      </c>
      <c r="B3221" s="16">
        <v>0</v>
      </c>
      <c r="C3221" s="20">
        <v>0.48</v>
      </c>
      <c r="D3221" s="20">
        <v>0.4698850284057956</v>
      </c>
      <c r="E3221" s="20">
        <v>0.08</v>
      </c>
      <c r="F3221" s="8" t="s">
        <v>436</v>
      </c>
      <c r="G3221" s="24">
        <v>1.3319706847912569</v>
      </c>
      <c r="H3221" s="24">
        <v>1.3396824550612276</v>
      </c>
      <c r="I3221" s="25">
        <v>1.3631116727492798</v>
      </c>
      <c r="X3221" s="15">
        <v>3220</v>
      </c>
      <c r="Y3221" s="39">
        <v>0.50368644767535031</v>
      </c>
      <c r="Z3221" s="39">
        <v>0.48907356874681535</v>
      </c>
      <c r="AA3221" s="39">
        <v>0.47227784766714065</v>
      </c>
      <c r="AB3221" s="39">
        <v>0.48523234987965591</v>
      </c>
      <c r="AC3221" s="39">
        <v>0.49334484489781533</v>
      </c>
      <c r="AD3221" s="39">
        <v>0.48267575695990084</v>
      </c>
      <c r="AE3221" s="39">
        <v>0.46600334933343446</v>
      </c>
      <c r="AF3221" s="40">
        <v>0.4796881902978643</v>
      </c>
    </row>
    <row r="3222" spans="1:32">
      <c r="A3222" s="15">
        <v>3220</v>
      </c>
      <c r="B3222" s="16">
        <v>1</v>
      </c>
      <c r="C3222" s="20">
        <v>0.41</v>
      </c>
      <c r="D3222" s="20">
        <v>0.59519767873967322</v>
      </c>
      <c r="E3222" s="20">
        <v>0.28000000000000003</v>
      </c>
      <c r="F3222" s="8" t="s">
        <v>436</v>
      </c>
      <c r="G3222" s="24">
        <v>0.61095394340294895</v>
      </c>
      <c r="H3222" s="24">
        <v>0.61449121078492186</v>
      </c>
      <c r="I3222" s="25">
        <v>0.62523782337993172</v>
      </c>
      <c r="X3222" s="15">
        <v>3221</v>
      </c>
      <c r="Y3222" s="39">
        <v>0.48310871944898198</v>
      </c>
      <c r="Z3222" s="39">
        <v>0.48432652660588121</v>
      </c>
      <c r="AA3222" s="39">
        <v>0.49170872045042702</v>
      </c>
      <c r="AB3222" s="39">
        <v>0.50155096773942331</v>
      </c>
      <c r="AC3222" s="39">
        <v>0.4756350573930786</v>
      </c>
      <c r="AD3222" s="39">
        <v>0.476770287433947</v>
      </c>
      <c r="AE3222" s="39">
        <v>0.48660779401928739</v>
      </c>
      <c r="AF3222" s="40">
        <v>0.50084977404187681</v>
      </c>
    </row>
    <row r="3223" spans="1:32">
      <c r="A3223" s="15">
        <v>3221</v>
      </c>
      <c r="B3223" s="16">
        <v>1</v>
      </c>
      <c r="C3223" s="20">
        <v>0.52</v>
      </c>
      <c r="D3223" s="20">
        <v>0.46685426477871944</v>
      </c>
      <c r="E3223" s="20">
        <v>0.08</v>
      </c>
      <c r="F3223" s="8" t="s">
        <v>438</v>
      </c>
      <c r="G3223" s="24">
        <v>0.67792315967496097</v>
      </c>
      <c r="H3223" s="24">
        <v>0.68184816172478113</v>
      </c>
      <c r="I3223" s="25">
        <v>0.69377275546033013</v>
      </c>
      <c r="X3223" s="15">
        <v>3222</v>
      </c>
      <c r="Y3223" s="39">
        <v>0.47868276181063435</v>
      </c>
      <c r="Z3223" s="39">
        <v>0.49324450341317122</v>
      </c>
      <c r="AA3223" s="39">
        <v>0.50488506490732232</v>
      </c>
      <c r="AB3223" s="39">
        <v>0.48937325676067228</v>
      </c>
      <c r="AC3223" s="39">
        <v>0.47458334514463768</v>
      </c>
      <c r="AD3223" s="39">
        <v>0.48602000962641129</v>
      </c>
      <c r="AE3223" s="39">
        <v>0.49690470613377008</v>
      </c>
      <c r="AF3223" s="40">
        <v>0.48573758605947998</v>
      </c>
    </row>
    <row r="3224" spans="1:32">
      <c r="A3224" s="15">
        <v>3222</v>
      </c>
      <c r="B3224" s="16">
        <v>0</v>
      </c>
      <c r="C3224" s="20">
        <v>0.95</v>
      </c>
      <c r="D3224" s="20">
        <v>0.15570568692893463</v>
      </c>
      <c r="E3224" s="20">
        <v>0.05</v>
      </c>
      <c r="F3224" s="8" t="s">
        <v>434</v>
      </c>
      <c r="G3224" s="24">
        <v>1.4133835926741523</v>
      </c>
      <c r="H3224" s="24">
        <v>1.4215667228995423</v>
      </c>
      <c r="I3224" s="25">
        <v>1.446427984673238</v>
      </c>
      <c r="X3224" s="15">
        <v>3223</v>
      </c>
      <c r="Y3224" s="39">
        <v>0.48046458749591486</v>
      </c>
      <c r="Z3224" s="39">
        <v>0.49177393112810264</v>
      </c>
      <c r="AA3224" s="39">
        <v>0.4818920944889426</v>
      </c>
      <c r="AB3224" s="39">
        <v>0.48100636868770097</v>
      </c>
      <c r="AC3224" s="39">
        <v>0.47183152388995286</v>
      </c>
      <c r="AD3224" s="39">
        <v>0.48239674957211631</v>
      </c>
      <c r="AE3224" s="39">
        <v>0.47538791875085545</v>
      </c>
      <c r="AF3224" s="40">
        <v>0.47616905675948618</v>
      </c>
    </row>
    <row r="3225" spans="1:32">
      <c r="A3225" s="15">
        <v>3223</v>
      </c>
      <c r="B3225" s="16">
        <v>0</v>
      </c>
      <c r="C3225" s="20">
        <v>0.02</v>
      </c>
      <c r="D3225" s="20">
        <v>0.99917029198757767</v>
      </c>
      <c r="E3225" s="20">
        <v>1</v>
      </c>
      <c r="F3225" s="8" t="s">
        <v>436</v>
      </c>
      <c r="G3225" s="24">
        <v>1.1183252749246586</v>
      </c>
      <c r="H3225" s="24">
        <v>1.1248000928060089</v>
      </c>
      <c r="I3225" s="25">
        <v>1.1444713112580627</v>
      </c>
      <c r="X3225" s="15">
        <v>3224</v>
      </c>
      <c r="Y3225" s="39">
        <v>0.49240340036461083</v>
      </c>
      <c r="Z3225" s="39">
        <v>0.48024662113783628</v>
      </c>
      <c r="AA3225" s="39">
        <v>0.47956913132114259</v>
      </c>
      <c r="AB3225" s="39">
        <v>0.48656288493161609</v>
      </c>
      <c r="AC3225" s="39">
        <v>0.48578426467941399</v>
      </c>
      <c r="AD3225" s="39">
        <v>0.4732668292982628</v>
      </c>
      <c r="AE3225" s="39">
        <v>0.47252269408206193</v>
      </c>
      <c r="AF3225" s="40">
        <v>0.48288936712581265</v>
      </c>
    </row>
    <row r="3226" spans="1:32">
      <c r="A3226" s="15">
        <v>3224</v>
      </c>
      <c r="B3226" s="16">
        <v>1</v>
      </c>
      <c r="C3226" s="20">
        <v>0.93</v>
      </c>
      <c r="D3226" s="20">
        <v>0.18747949848141848</v>
      </c>
      <c r="E3226" s="20">
        <v>7.0000000000000007E-2</v>
      </c>
      <c r="F3226" s="8" t="s">
        <v>434</v>
      </c>
      <c r="G3226" s="24">
        <v>0.61023704680570712</v>
      </c>
      <c r="H3226" s="24">
        <v>0.61377016353937497</v>
      </c>
      <c r="I3226" s="25">
        <v>0.62450416600217362</v>
      </c>
      <c r="X3226" s="15">
        <v>3225</v>
      </c>
      <c r="Y3226" s="39">
        <v>0.49114542523927301</v>
      </c>
      <c r="Z3226" s="39">
        <v>0.48759424399226647</v>
      </c>
      <c r="AA3226" s="39">
        <v>0.49524297331325018</v>
      </c>
      <c r="AB3226" s="39">
        <v>0.49346897012788082</v>
      </c>
      <c r="AC3226" s="39">
        <v>0.48270632549417603</v>
      </c>
      <c r="AD3226" s="39">
        <v>0.48035613083345252</v>
      </c>
      <c r="AE3226" s="39">
        <v>0.48965310733292011</v>
      </c>
      <c r="AF3226" s="40">
        <v>0.49055049847428644</v>
      </c>
    </row>
    <row r="3227" spans="1:32">
      <c r="A3227" s="15">
        <v>3225</v>
      </c>
      <c r="B3227" s="16">
        <v>0</v>
      </c>
      <c r="C3227" s="20">
        <v>0.06</v>
      </c>
      <c r="D3227" s="20">
        <v>0.94623581076461727</v>
      </c>
      <c r="E3227" s="20">
        <v>0.43</v>
      </c>
      <c r="F3227" s="8" t="s">
        <v>436</v>
      </c>
      <c r="G3227" s="24">
        <v>1.0490341320983352</v>
      </c>
      <c r="H3227" s="24">
        <v>1.055107771949777</v>
      </c>
      <c r="I3227" s="25">
        <v>1.0735601668288586</v>
      </c>
      <c r="X3227" s="15">
        <v>3226</v>
      </c>
      <c r="Y3227" s="39">
        <v>0.47944043549169657</v>
      </c>
      <c r="Z3227" s="39">
        <v>0.48395413525334097</v>
      </c>
      <c r="AA3227" s="39">
        <v>0.49556777634074622</v>
      </c>
      <c r="AB3227" s="39">
        <v>0.50250469929914221</v>
      </c>
      <c r="AC3227" s="39">
        <v>0.47342645600256084</v>
      </c>
      <c r="AD3227" s="39">
        <v>0.47689838832405768</v>
      </c>
      <c r="AE3227" s="39">
        <v>0.48853892476590161</v>
      </c>
      <c r="AF3227" s="40">
        <v>0.49602769569298266</v>
      </c>
    </row>
    <row r="3228" spans="1:32">
      <c r="A3228" s="15">
        <v>3226</v>
      </c>
      <c r="B3228" s="16">
        <v>0</v>
      </c>
      <c r="C3228" s="20">
        <v>0.24</v>
      </c>
      <c r="D3228" s="20">
        <v>0.86447300681013339</v>
      </c>
      <c r="E3228" s="20">
        <v>0.04</v>
      </c>
      <c r="F3228" s="8" t="s">
        <v>436</v>
      </c>
      <c r="G3228" s="24">
        <v>1.09981962466426</v>
      </c>
      <c r="H3228" s="24">
        <v>1.1061872995543012</v>
      </c>
      <c r="I3228" s="25">
        <v>1.1255330056558503</v>
      </c>
      <c r="X3228" s="15">
        <v>3227</v>
      </c>
      <c r="Y3228" s="39">
        <v>0.47029905069713346</v>
      </c>
      <c r="Z3228" s="39">
        <v>0.49753130053740185</v>
      </c>
      <c r="AA3228" s="39">
        <v>0.49643711634954168</v>
      </c>
      <c r="AB3228" s="39">
        <v>0.49732732212311298</v>
      </c>
      <c r="AC3228" s="39">
        <v>0.46343761864700173</v>
      </c>
      <c r="AD3228" s="39">
        <v>0.48751293514729233</v>
      </c>
      <c r="AE3228" s="39">
        <v>0.49051223238557295</v>
      </c>
      <c r="AF3228" s="40">
        <v>0.49210836581006634</v>
      </c>
    </row>
    <row r="3229" spans="1:32">
      <c r="A3229" s="15">
        <v>3227</v>
      </c>
      <c r="B3229" s="16">
        <v>0</v>
      </c>
      <c r="C3229" s="20">
        <v>0.94</v>
      </c>
      <c r="D3229" s="20">
        <v>0.17188516685452584</v>
      </c>
      <c r="E3229" s="20">
        <v>0.06</v>
      </c>
      <c r="F3229" s="8" t="s">
        <v>434</v>
      </c>
      <c r="G3229" s="24">
        <v>1.5060804041706515</v>
      </c>
      <c r="H3229" s="24">
        <v>1.5148002252730872</v>
      </c>
      <c r="I3229" s="25">
        <v>1.5412920137545687</v>
      </c>
      <c r="X3229" s="15">
        <v>3228</v>
      </c>
      <c r="Y3229" s="39">
        <v>0.46867499764566534</v>
      </c>
      <c r="Z3229" s="39">
        <v>0.47058720590000491</v>
      </c>
      <c r="AA3229" s="39">
        <v>0.48378323293741171</v>
      </c>
      <c r="AB3229" s="39">
        <v>0.48227648982592397</v>
      </c>
      <c r="AC3229" s="39">
        <v>0.46422197854373609</v>
      </c>
      <c r="AD3229" s="39">
        <v>0.46470947614670011</v>
      </c>
      <c r="AE3229" s="39">
        <v>0.4782726924168485</v>
      </c>
      <c r="AF3229" s="40">
        <v>0.48102139468657862</v>
      </c>
    </row>
    <row r="3230" spans="1:32">
      <c r="A3230" s="15">
        <v>3228</v>
      </c>
      <c r="B3230" s="16">
        <v>0</v>
      </c>
      <c r="C3230" s="20">
        <v>0.89</v>
      </c>
      <c r="D3230" s="20">
        <v>0.24559627500636821</v>
      </c>
      <c r="E3230" s="20">
        <v>0.11</v>
      </c>
      <c r="F3230" s="8" t="s">
        <v>434</v>
      </c>
      <c r="G3230" s="24">
        <v>0.70295860530746568</v>
      </c>
      <c r="H3230" s="24">
        <v>0.70702855619702276</v>
      </c>
      <c r="I3230" s="25">
        <v>0.71939352066470497</v>
      </c>
      <c r="X3230" s="15">
        <v>3229</v>
      </c>
      <c r="Y3230" s="39">
        <v>0.48847653651435297</v>
      </c>
      <c r="Z3230" s="39">
        <v>0.48047137529784634</v>
      </c>
      <c r="AA3230" s="39">
        <v>0.49435044668962974</v>
      </c>
      <c r="AB3230" s="39">
        <v>0.49521264915662661</v>
      </c>
      <c r="AC3230" s="39">
        <v>0.48263138646785864</v>
      </c>
      <c r="AD3230" s="39">
        <v>0.47438779031439959</v>
      </c>
      <c r="AE3230" s="39">
        <v>0.48578763658960944</v>
      </c>
      <c r="AF3230" s="40">
        <v>0.4922191527261956</v>
      </c>
    </row>
    <row r="3231" spans="1:32">
      <c r="A3231" s="15">
        <v>3229</v>
      </c>
      <c r="B3231" s="16">
        <v>0</v>
      </c>
      <c r="C3231" s="20">
        <v>0.15</v>
      </c>
      <c r="D3231" s="20">
        <v>0.8902485249562716</v>
      </c>
      <c r="E3231" s="20">
        <v>0.05</v>
      </c>
      <c r="F3231" s="8" t="s">
        <v>436</v>
      </c>
      <c r="G3231" s="24">
        <v>0.88702500984916177</v>
      </c>
      <c r="H3231" s="24">
        <v>0.89216065823675916</v>
      </c>
      <c r="I3231" s="25">
        <v>0.90776333049358859</v>
      </c>
      <c r="X3231" s="15">
        <v>3230</v>
      </c>
      <c r="Y3231" s="39">
        <v>0.50043488250024282</v>
      </c>
      <c r="Z3231" s="39">
        <v>0.49574847893966228</v>
      </c>
      <c r="AA3231" s="39">
        <v>0.48257439764172377</v>
      </c>
      <c r="AB3231" s="39">
        <v>0.48855376190697269</v>
      </c>
      <c r="AC3231" s="39">
        <v>0.4933748698651696</v>
      </c>
      <c r="AD3231" s="39">
        <v>0.49010285515769647</v>
      </c>
      <c r="AE3231" s="39">
        <v>0.47651485777028196</v>
      </c>
      <c r="AF3231" s="40">
        <v>0.48215074423409321</v>
      </c>
    </row>
    <row r="3232" spans="1:32">
      <c r="A3232" s="15">
        <v>3230</v>
      </c>
      <c r="B3232" s="16">
        <v>0</v>
      </c>
      <c r="C3232" s="20">
        <v>0.02</v>
      </c>
      <c r="D3232" s="20">
        <v>0.99756714174924133</v>
      </c>
      <c r="E3232" s="20">
        <v>1</v>
      </c>
      <c r="F3232" s="8" t="s">
        <v>436</v>
      </c>
      <c r="G3232" s="24">
        <v>1.0808843569438384</v>
      </c>
      <c r="H3232" s="24">
        <v>1.0871424014671398</v>
      </c>
      <c r="I3232" s="25">
        <v>1.1061550382943657</v>
      </c>
      <c r="X3232" s="15">
        <v>3231</v>
      </c>
      <c r="Y3232" s="39">
        <v>0.50281699027352844</v>
      </c>
      <c r="Z3232" s="39">
        <v>0.49778158919957893</v>
      </c>
      <c r="AA3232" s="39">
        <v>0.48564429636668832</v>
      </c>
      <c r="AB3232" s="39">
        <v>0.48664117322273709</v>
      </c>
      <c r="AC3232" s="39">
        <v>0.49565778786496945</v>
      </c>
      <c r="AD3232" s="39">
        <v>0.4878233556480745</v>
      </c>
      <c r="AE3232" s="39">
        <v>0.47961497151148091</v>
      </c>
      <c r="AF3232" s="40">
        <v>0.4841456836306996</v>
      </c>
    </row>
    <row r="3233" spans="1:32">
      <c r="A3233" s="15">
        <v>3231</v>
      </c>
      <c r="B3233" s="16">
        <v>0</v>
      </c>
      <c r="C3233" s="20">
        <v>0.26</v>
      </c>
      <c r="D3233" s="20">
        <v>0.80111009072107253</v>
      </c>
      <c r="E3233" s="20">
        <v>0.05</v>
      </c>
      <c r="F3233" s="8" t="s">
        <v>436</v>
      </c>
      <c r="G3233" s="24">
        <v>1.119215098475528</v>
      </c>
      <c r="H3233" s="24">
        <v>1.1256950682081042</v>
      </c>
      <c r="I3233" s="25">
        <v>1.1453819385584432</v>
      </c>
      <c r="X3233" s="15">
        <v>3232</v>
      </c>
      <c r="Y3233" s="39">
        <v>0.48008098505691726</v>
      </c>
      <c r="Z3233" s="39">
        <v>0.50209246877561398</v>
      </c>
      <c r="AA3233" s="39">
        <v>0.48800087789516217</v>
      </c>
      <c r="AB3233" s="39">
        <v>0.50134126554084912</v>
      </c>
      <c r="AC3233" s="39">
        <v>0.4743226064049953</v>
      </c>
      <c r="AD3233" s="39">
        <v>0.49496240380679118</v>
      </c>
      <c r="AE3233" s="39">
        <v>0.48082634334860885</v>
      </c>
      <c r="AF3233" s="40">
        <v>0.49878685076475854</v>
      </c>
    </row>
    <row r="3234" spans="1:32">
      <c r="A3234" s="15">
        <v>3232</v>
      </c>
      <c r="B3234" s="16">
        <v>0</v>
      </c>
      <c r="C3234" s="20">
        <v>0.94</v>
      </c>
      <c r="D3234" s="20">
        <v>0.17188516685452584</v>
      </c>
      <c r="E3234" s="20">
        <v>0.06</v>
      </c>
      <c r="F3234" s="8" t="s">
        <v>434</v>
      </c>
      <c r="G3234" s="24">
        <v>0.65783564255630145</v>
      </c>
      <c r="H3234" s="24">
        <v>0.66164434300948582</v>
      </c>
      <c r="I3234" s="25">
        <v>0.67321559953066568</v>
      </c>
      <c r="X3234" s="15">
        <v>3233</v>
      </c>
      <c r="Y3234" s="39">
        <v>0.46853819063815572</v>
      </c>
      <c r="Z3234" s="39">
        <v>0.47522335889363376</v>
      </c>
      <c r="AA3234" s="39">
        <v>0.4823298554885041</v>
      </c>
      <c r="AB3234" s="39">
        <v>0.49203398023949285</v>
      </c>
      <c r="AC3234" s="39">
        <v>0.46288166930634628</v>
      </c>
      <c r="AD3234" s="39">
        <v>0.46962974846843797</v>
      </c>
      <c r="AE3234" s="39">
        <v>0.47443542324692034</v>
      </c>
      <c r="AF3234" s="40">
        <v>0.48858955341934163</v>
      </c>
    </row>
    <row r="3235" spans="1:32">
      <c r="A3235" s="15">
        <v>3233</v>
      </c>
      <c r="B3235" s="16">
        <v>1</v>
      </c>
      <c r="C3235" s="20">
        <v>0.21</v>
      </c>
      <c r="D3235" s="20">
        <v>0.85091901529122449</v>
      </c>
      <c r="E3235" s="20">
        <v>0.22</v>
      </c>
      <c r="F3235" s="8" t="s">
        <v>436</v>
      </c>
      <c r="G3235" s="24">
        <v>0.80288333346052143</v>
      </c>
      <c r="H3235" s="24">
        <v>0.8075318230195887</v>
      </c>
      <c r="I3235" s="25">
        <v>0.82165445245321134</v>
      </c>
      <c r="X3235" s="15">
        <v>3234</v>
      </c>
      <c r="Y3235" s="39">
        <v>0.47712608435588494</v>
      </c>
      <c r="Z3235" s="39">
        <v>0.48900387590504829</v>
      </c>
      <c r="AA3235" s="39">
        <v>0.47795317229345224</v>
      </c>
      <c r="AB3235" s="39">
        <v>0.48045074189473513</v>
      </c>
      <c r="AC3235" s="39">
        <v>0.46791074494439977</v>
      </c>
      <c r="AD3235" s="39">
        <v>0.48360661299501811</v>
      </c>
      <c r="AE3235" s="39">
        <v>0.47262100998288198</v>
      </c>
      <c r="AF3235" s="40">
        <v>0.47501952888889581</v>
      </c>
    </row>
    <row r="3236" spans="1:32">
      <c r="A3236" s="15">
        <v>3234</v>
      </c>
      <c r="B3236" s="16">
        <v>0</v>
      </c>
      <c r="C3236" s="20">
        <v>0.26</v>
      </c>
      <c r="D3236" s="20">
        <v>0.74651429264767877</v>
      </c>
      <c r="E3236" s="20">
        <v>7.0000000000000007E-2</v>
      </c>
      <c r="F3236" s="8" t="s">
        <v>436</v>
      </c>
      <c r="G3236" s="24">
        <v>0.59089775677271905</v>
      </c>
      <c r="H3236" s="24">
        <v>0.59431890395358689</v>
      </c>
      <c r="I3236" s="25">
        <v>0.60471273043406937</v>
      </c>
      <c r="X3236" s="15">
        <v>3235</v>
      </c>
      <c r="Y3236" s="39">
        <v>0.47583586835126457</v>
      </c>
      <c r="Z3236" s="39">
        <v>0.4931559600019858</v>
      </c>
      <c r="AA3236" s="39">
        <v>0.49561699976085349</v>
      </c>
      <c r="AB3236" s="39">
        <v>0.48816893824072771</v>
      </c>
      <c r="AC3236" s="39">
        <v>0.4709567085970463</v>
      </c>
      <c r="AD3236" s="39">
        <v>0.48597869652622605</v>
      </c>
      <c r="AE3236" s="39">
        <v>0.48407230009622326</v>
      </c>
      <c r="AF3236" s="40">
        <v>0.48118899888102834</v>
      </c>
    </row>
    <row r="3237" spans="1:32">
      <c r="A3237" s="15">
        <v>3235</v>
      </c>
      <c r="B3237" s="16">
        <v>1</v>
      </c>
      <c r="C3237" s="20">
        <v>0.64</v>
      </c>
      <c r="D3237" s="20">
        <v>0.45169042346287769</v>
      </c>
      <c r="E3237" s="20">
        <v>0.05</v>
      </c>
      <c r="F3237" s="8" t="s">
        <v>438</v>
      </c>
      <c r="G3237" s="24">
        <v>1.3702855022422655</v>
      </c>
      <c r="H3237" s="24">
        <v>1.3782191055251485</v>
      </c>
      <c r="I3237" s="25">
        <v>1.4023222766334882</v>
      </c>
      <c r="X3237" s="15">
        <v>3236</v>
      </c>
      <c r="Y3237" s="39">
        <v>0.49129896056481803</v>
      </c>
      <c r="Z3237" s="39">
        <v>0.48013099760516509</v>
      </c>
      <c r="AA3237" s="39">
        <v>0.4888132363045028</v>
      </c>
      <c r="AB3237" s="39">
        <v>0.47556738833139284</v>
      </c>
      <c r="AC3237" s="39">
        <v>0.48328965347834152</v>
      </c>
      <c r="AD3237" s="39">
        <v>0.47581635644694609</v>
      </c>
      <c r="AE3237" s="39">
        <v>0.47744258697326403</v>
      </c>
      <c r="AF3237" s="40">
        <v>0.47101713344448909</v>
      </c>
    </row>
    <row r="3238" spans="1:32">
      <c r="A3238" s="15">
        <v>3236</v>
      </c>
      <c r="B3238" s="16">
        <v>0</v>
      </c>
      <c r="C3238" s="20">
        <v>0.02</v>
      </c>
      <c r="D3238" s="20">
        <v>0.99679477127711513</v>
      </c>
      <c r="E3238" s="20">
        <v>1</v>
      </c>
      <c r="F3238" s="8" t="s">
        <v>436</v>
      </c>
      <c r="G3238" s="24">
        <v>1.0113847571223578</v>
      </c>
      <c r="H3238" s="24">
        <v>1.0172404167029589</v>
      </c>
      <c r="I3238" s="25">
        <v>1.0350305632216197</v>
      </c>
      <c r="X3238" s="15">
        <v>3237</v>
      </c>
      <c r="Y3238" s="39">
        <v>0.48455933563635001</v>
      </c>
      <c r="Z3238" s="39">
        <v>0.48682248995422628</v>
      </c>
      <c r="AA3238" s="39">
        <v>0.48513449358664895</v>
      </c>
      <c r="AB3238" s="39">
        <v>0.48578086520401609</v>
      </c>
      <c r="AC3238" s="39">
        <v>0.47931086163263342</v>
      </c>
      <c r="AD3238" s="39">
        <v>0.48003282545398096</v>
      </c>
      <c r="AE3238" s="39">
        <v>0.47947969799298512</v>
      </c>
      <c r="AF3238" s="40">
        <v>0.48165902645572461</v>
      </c>
    </row>
    <row r="3239" spans="1:32">
      <c r="A3239" s="15">
        <v>3237</v>
      </c>
      <c r="B3239" s="16">
        <v>0</v>
      </c>
      <c r="C3239" s="20">
        <v>0.02</v>
      </c>
      <c r="D3239" s="20">
        <v>0.99679477127711513</v>
      </c>
      <c r="E3239" s="20">
        <v>1</v>
      </c>
      <c r="F3239" s="8" t="s">
        <v>436</v>
      </c>
      <c r="G3239" s="24">
        <v>0.99171266164749072</v>
      </c>
      <c r="H3239" s="24">
        <v>0.9974544248167343</v>
      </c>
      <c r="I3239" s="25">
        <v>1.0148985413420002</v>
      </c>
      <c r="X3239" s="15">
        <v>3238</v>
      </c>
      <c r="Y3239" s="39">
        <v>0.48436989273651898</v>
      </c>
      <c r="Z3239" s="39">
        <v>0.4716049656552358</v>
      </c>
      <c r="AA3239" s="39">
        <v>0.48336253185633393</v>
      </c>
      <c r="AB3239" s="39">
        <v>0.49700926764989301</v>
      </c>
      <c r="AC3239" s="39">
        <v>0.4772092176451197</v>
      </c>
      <c r="AD3239" s="39">
        <v>0.46510135580882506</v>
      </c>
      <c r="AE3239" s="39">
        <v>0.47779256828425848</v>
      </c>
      <c r="AF3239" s="40">
        <v>0.492357311636545</v>
      </c>
    </row>
    <row r="3240" spans="1:32">
      <c r="A3240" s="15">
        <v>3238</v>
      </c>
      <c r="B3240" s="16">
        <v>1</v>
      </c>
      <c r="C3240" s="20">
        <v>0.01</v>
      </c>
      <c r="D3240" s="20">
        <v>0.99999999999999978</v>
      </c>
      <c r="E3240" s="20">
        <v>1</v>
      </c>
      <c r="F3240" s="8" t="s">
        <v>436</v>
      </c>
      <c r="G3240" s="24">
        <v>1.0506921830063156</v>
      </c>
      <c r="H3240" s="24">
        <v>1.0567754225492854</v>
      </c>
      <c r="I3240" s="25">
        <v>1.0752569823612776</v>
      </c>
      <c r="X3240" s="15">
        <v>3239</v>
      </c>
      <c r="Y3240" s="39">
        <v>0.47998631431394884</v>
      </c>
      <c r="Z3240" s="39">
        <v>0.47818141911847883</v>
      </c>
      <c r="AA3240" s="39">
        <v>0.4861018595241603</v>
      </c>
      <c r="AB3240" s="39">
        <v>0.48663558954644565</v>
      </c>
      <c r="AC3240" s="39">
        <v>0.47281889927380494</v>
      </c>
      <c r="AD3240" s="39">
        <v>0.47380795393054231</v>
      </c>
      <c r="AE3240" s="39">
        <v>0.47704943767644681</v>
      </c>
      <c r="AF3240" s="40">
        <v>0.48335252987985577</v>
      </c>
    </row>
    <row r="3241" spans="1:32">
      <c r="A3241" s="15">
        <v>3239</v>
      </c>
      <c r="B3241" s="16">
        <v>0</v>
      </c>
      <c r="C3241" s="20">
        <v>0.53</v>
      </c>
      <c r="D3241" s="20">
        <v>0.47048734232093831</v>
      </c>
      <c r="E3241" s="20">
        <v>0.06</v>
      </c>
      <c r="F3241" s="8" t="s">
        <v>438</v>
      </c>
      <c r="G3241" s="24">
        <v>0.71555671748775707</v>
      </c>
      <c r="H3241" s="24">
        <v>0.71969960823108059</v>
      </c>
      <c r="I3241" s="25">
        <v>0.73228617210489133</v>
      </c>
      <c r="X3241" s="15">
        <v>3240</v>
      </c>
      <c r="Y3241" s="39">
        <v>0.49344098987102508</v>
      </c>
      <c r="Z3241" s="39">
        <v>0.48787948226079614</v>
      </c>
      <c r="AA3241" s="39">
        <v>0.47478803621560839</v>
      </c>
      <c r="AB3241" s="39">
        <v>0.47909101901775275</v>
      </c>
      <c r="AC3241" s="39">
        <v>0.48527542117050604</v>
      </c>
      <c r="AD3241" s="39">
        <v>0.48181573180593973</v>
      </c>
      <c r="AE3241" s="39">
        <v>0.47302563630242439</v>
      </c>
      <c r="AF3241" s="40">
        <v>0.47325220783956989</v>
      </c>
    </row>
    <row r="3242" spans="1:32">
      <c r="A3242" s="15">
        <v>3240</v>
      </c>
      <c r="B3242" s="16">
        <v>0</v>
      </c>
      <c r="C3242" s="20">
        <v>0.09</v>
      </c>
      <c r="D3242" s="20">
        <v>0.92582099837354703</v>
      </c>
      <c r="E3242" s="20">
        <v>7.0000000000000007E-2</v>
      </c>
      <c r="F3242" s="8" t="s">
        <v>436</v>
      </c>
      <c r="G3242" s="24">
        <v>0.90330353887385084</v>
      </c>
      <c r="H3242" s="24">
        <v>0.90853343578929113</v>
      </c>
      <c r="I3242" s="25">
        <v>0.92442244557930775</v>
      </c>
      <c r="X3242" s="15">
        <v>3241</v>
      </c>
      <c r="Y3242" s="39">
        <v>0.49170207617832329</v>
      </c>
      <c r="Z3242" s="39">
        <v>0.4926077447886163</v>
      </c>
      <c r="AA3242" s="39">
        <v>0.48872546503330033</v>
      </c>
      <c r="AB3242" s="39">
        <v>0.48076667122007338</v>
      </c>
      <c r="AC3242" s="39">
        <v>0.48268214234177842</v>
      </c>
      <c r="AD3242" s="39">
        <v>0.48322873997423371</v>
      </c>
      <c r="AE3242" s="39">
        <v>0.48340952448453656</v>
      </c>
      <c r="AF3242" s="40">
        <v>0.47608506142571688</v>
      </c>
    </row>
    <row r="3243" spans="1:32">
      <c r="A3243" s="15">
        <v>3241</v>
      </c>
      <c r="B3243" s="16">
        <v>0</v>
      </c>
      <c r="C3243" s="20">
        <v>0.93</v>
      </c>
      <c r="D3243" s="20">
        <v>0.18747949848141848</v>
      </c>
      <c r="E3243" s="20">
        <v>7.0000000000000007E-2</v>
      </c>
      <c r="F3243" s="8" t="s">
        <v>434</v>
      </c>
      <c r="G3243" s="24">
        <v>0.64175378215200529</v>
      </c>
      <c r="H3243" s="24">
        <v>0.64546937273845784</v>
      </c>
      <c r="I3243" s="25">
        <v>0.6567577511058289</v>
      </c>
      <c r="X3243" s="15">
        <v>3242</v>
      </c>
      <c r="Y3243" s="39">
        <v>0.50503204546581104</v>
      </c>
      <c r="Z3243" s="39">
        <v>0.4944629510809288</v>
      </c>
      <c r="AA3243" s="39">
        <v>0.47688367673026055</v>
      </c>
      <c r="AB3243" s="39">
        <v>0.47858444315048715</v>
      </c>
      <c r="AC3243" s="39">
        <v>0.49872476346848449</v>
      </c>
      <c r="AD3243" s="39">
        <v>0.48675580904413485</v>
      </c>
      <c r="AE3243" s="39">
        <v>0.46973887677108606</v>
      </c>
      <c r="AF3243" s="40">
        <v>0.47323634316670693</v>
      </c>
    </row>
    <row r="3244" spans="1:32">
      <c r="A3244" s="15">
        <v>3242</v>
      </c>
      <c r="B3244" s="16">
        <v>0</v>
      </c>
      <c r="C3244" s="20">
        <v>0.25</v>
      </c>
      <c r="D3244" s="20">
        <v>0.69021715483557045</v>
      </c>
      <c r="E3244" s="20">
        <v>0.08</v>
      </c>
      <c r="F3244" s="8" t="s">
        <v>436</v>
      </c>
      <c r="G3244" s="24">
        <v>0.91370171415012691</v>
      </c>
      <c r="H3244" s="24">
        <v>0.91899181384620876</v>
      </c>
      <c r="I3244" s="25">
        <v>0.9350637263944378</v>
      </c>
      <c r="X3244" s="15">
        <v>3243</v>
      </c>
      <c r="Y3244" s="39">
        <v>0.47441631007006124</v>
      </c>
      <c r="Z3244" s="39">
        <v>0.49080853559547549</v>
      </c>
      <c r="AA3244" s="39">
        <v>0.48913841620558868</v>
      </c>
      <c r="AB3244" s="39">
        <v>0.49287741809055791</v>
      </c>
      <c r="AC3244" s="39">
        <v>0.46998778742527664</v>
      </c>
      <c r="AD3244" s="39">
        <v>0.48327544445475529</v>
      </c>
      <c r="AE3244" s="39">
        <v>0.48181999004820492</v>
      </c>
      <c r="AF3244" s="40">
        <v>0.4854518339451826</v>
      </c>
    </row>
    <row r="3245" spans="1:32">
      <c r="A3245" s="15">
        <v>3243</v>
      </c>
      <c r="B3245" s="16">
        <v>1</v>
      </c>
      <c r="C3245" s="20">
        <v>0.06</v>
      </c>
      <c r="D3245" s="20">
        <v>0.94958181434082067</v>
      </c>
      <c r="E3245" s="20">
        <v>0.42</v>
      </c>
      <c r="F3245" s="8" t="s">
        <v>436</v>
      </c>
      <c r="G3245" s="24">
        <v>0.99904826553409176</v>
      </c>
      <c r="H3245" s="24">
        <v>1.0048324999773739</v>
      </c>
      <c r="I3245" s="25">
        <v>1.0224056489673139</v>
      </c>
      <c r="X3245" s="15">
        <v>3244</v>
      </c>
      <c r="Y3245" s="39">
        <v>0.45577689528379889</v>
      </c>
      <c r="Z3245" s="39">
        <v>0.48944204091529975</v>
      </c>
      <c r="AA3245" s="39">
        <v>0.48085539771702196</v>
      </c>
      <c r="AB3245" s="39">
        <v>0.49250066639488332</v>
      </c>
      <c r="AC3245" s="39">
        <v>0.45132006695644911</v>
      </c>
      <c r="AD3245" s="39">
        <v>0.48409538857156065</v>
      </c>
      <c r="AE3245" s="39">
        <v>0.47442486795548738</v>
      </c>
      <c r="AF3245" s="40">
        <v>0.49050253431074275</v>
      </c>
    </row>
    <row r="3246" spans="1:32">
      <c r="A3246" s="15">
        <v>3244</v>
      </c>
      <c r="B3246" s="16">
        <v>1</v>
      </c>
      <c r="C3246" s="20">
        <v>0.96</v>
      </c>
      <c r="D3246" s="20">
        <v>0.13880369068795359</v>
      </c>
      <c r="E3246" s="20">
        <v>0.04</v>
      </c>
      <c r="F3246" s="8" t="s">
        <v>434</v>
      </c>
      <c r="G3246" s="24">
        <v>0.92704157380264163</v>
      </c>
      <c r="H3246" s="24">
        <v>0.93240890788101771</v>
      </c>
      <c r="I3246" s="25">
        <v>0.94871546709174126</v>
      </c>
      <c r="X3246" s="15">
        <v>3245</v>
      </c>
      <c r="Y3246" s="39">
        <v>0.49767996891477007</v>
      </c>
      <c r="Z3246" s="39">
        <v>0.49229484882947955</v>
      </c>
      <c r="AA3246" s="39">
        <v>0.48865106125684754</v>
      </c>
      <c r="AB3246" s="39">
        <v>0.48669824570420989</v>
      </c>
      <c r="AC3246" s="39">
        <v>0.48733334427761288</v>
      </c>
      <c r="AD3246" s="39">
        <v>0.48554435103789417</v>
      </c>
      <c r="AE3246" s="39">
        <v>0.48292437880161104</v>
      </c>
      <c r="AF3246" s="40">
        <v>0.48581378530856822</v>
      </c>
    </row>
    <row r="3247" spans="1:32">
      <c r="A3247" s="15">
        <v>3245</v>
      </c>
      <c r="B3247" s="16">
        <v>1</v>
      </c>
      <c r="C3247" s="20">
        <v>0.13</v>
      </c>
      <c r="D3247" s="20">
        <v>0.91680195865711156</v>
      </c>
      <c r="E3247" s="20">
        <v>0.05</v>
      </c>
      <c r="F3247" s="8" t="s">
        <v>436</v>
      </c>
      <c r="G3247" s="24">
        <v>0.78626780193671808</v>
      </c>
      <c r="H3247" s="24">
        <v>0.79082009180949486</v>
      </c>
      <c r="I3247" s="25">
        <v>0.80465045587307682</v>
      </c>
      <c r="X3247" s="15">
        <v>3246</v>
      </c>
      <c r="Y3247" s="39">
        <v>0.48336243414760827</v>
      </c>
      <c r="Z3247" s="39">
        <v>0.48595804724819608</v>
      </c>
      <c r="AA3247" s="39">
        <v>0.48687425065974799</v>
      </c>
      <c r="AB3247" s="39">
        <v>0.49378526831789721</v>
      </c>
      <c r="AC3247" s="39">
        <v>0.4774986371455085</v>
      </c>
      <c r="AD3247" s="39">
        <v>0.48005710708592053</v>
      </c>
      <c r="AE3247" s="39">
        <v>0.47917794404490949</v>
      </c>
      <c r="AF3247" s="40">
        <v>0.49062730071620014</v>
      </c>
    </row>
    <row r="3248" spans="1:32">
      <c r="A3248" s="15">
        <v>3246</v>
      </c>
      <c r="B3248" s="16">
        <v>1</v>
      </c>
      <c r="C3248" s="20">
        <v>0.8</v>
      </c>
      <c r="D3248" s="20">
        <v>0.34866962152215031</v>
      </c>
      <c r="E3248" s="20">
        <v>7.0000000000000007E-2</v>
      </c>
      <c r="F3248" s="8" t="s">
        <v>434</v>
      </c>
      <c r="G3248" s="24">
        <v>0.68705083808138656</v>
      </c>
      <c r="H3248" s="24">
        <v>0.69102868705927523</v>
      </c>
      <c r="I3248" s="25">
        <v>0.7031138356529848</v>
      </c>
      <c r="X3248" s="15">
        <v>3247</v>
      </c>
      <c r="Y3248" s="39">
        <v>0.4906368522880607</v>
      </c>
      <c r="Z3248" s="39">
        <v>0.49166093452186893</v>
      </c>
      <c r="AA3248" s="39">
        <v>0.48923407289774723</v>
      </c>
      <c r="AB3248" s="39">
        <v>0.49712709346522782</v>
      </c>
      <c r="AC3248" s="39">
        <v>0.4816072876871923</v>
      </c>
      <c r="AD3248" s="39">
        <v>0.48545752145171389</v>
      </c>
      <c r="AE3248" s="39">
        <v>0.48432789761093836</v>
      </c>
      <c r="AF3248" s="40">
        <v>0.49362600727050276</v>
      </c>
    </row>
    <row r="3249" spans="1:32">
      <c r="A3249" s="15">
        <v>3247</v>
      </c>
      <c r="B3249" s="16">
        <v>0</v>
      </c>
      <c r="C3249" s="20">
        <v>0.93</v>
      </c>
      <c r="D3249" s="20">
        <v>0.18747949848141848</v>
      </c>
      <c r="E3249" s="20">
        <v>7.0000000000000007E-2</v>
      </c>
      <c r="F3249" s="8" t="s">
        <v>434</v>
      </c>
      <c r="G3249" s="24">
        <v>0.43912071459810259</v>
      </c>
      <c r="H3249" s="24">
        <v>0.44166311144694664</v>
      </c>
      <c r="I3249" s="25">
        <v>0.44938719646707931</v>
      </c>
      <c r="X3249" s="15">
        <v>3248</v>
      </c>
      <c r="Y3249" s="39">
        <v>0.47741326908329051</v>
      </c>
      <c r="Z3249" s="39">
        <v>0.47922506917305957</v>
      </c>
      <c r="AA3249" s="39">
        <v>0.4866887962809478</v>
      </c>
      <c r="AB3249" s="39">
        <v>0.47925463393614548</v>
      </c>
      <c r="AC3249" s="39">
        <v>0.47090277329229291</v>
      </c>
      <c r="AD3249" s="39">
        <v>0.47017617614817153</v>
      </c>
      <c r="AE3249" s="39">
        <v>0.47836053658135275</v>
      </c>
      <c r="AF3249" s="40">
        <v>0.47348194241068198</v>
      </c>
    </row>
    <row r="3250" spans="1:32">
      <c r="A3250" s="15">
        <v>3248</v>
      </c>
      <c r="B3250" s="16">
        <v>0</v>
      </c>
      <c r="C3250" s="20">
        <v>0.15</v>
      </c>
      <c r="D3250" s="20">
        <v>0.87242310826585789</v>
      </c>
      <c r="E3250" s="20">
        <v>0.09</v>
      </c>
      <c r="F3250" s="8" t="s">
        <v>436</v>
      </c>
      <c r="G3250" s="24">
        <v>0.80793371420830573</v>
      </c>
      <c r="H3250" s="24">
        <v>0.8126114441827571</v>
      </c>
      <c r="I3250" s="25">
        <v>0.82682290925765811</v>
      </c>
      <c r="X3250" s="15">
        <v>3249</v>
      </c>
      <c r="Y3250" s="39">
        <v>0.49568379816413261</v>
      </c>
      <c r="Z3250" s="39">
        <v>0.48926389924350699</v>
      </c>
      <c r="AA3250" s="39">
        <v>0.48607242877051782</v>
      </c>
      <c r="AB3250" s="39">
        <v>0.49074093978691513</v>
      </c>
      <c r="AC3250" s="39">
        <v>0.48699111591541638</v>
      </c>
      <c r="AD3250" s="39">
        <v>0.48296178032836307</v>
      </c>
      <c r="AE3250" s="39">
        <v>0.4782890686887098</v>
      </c>
      <c r="AF3250" s="40">
        <v>0.48626574991204952</v>
      </c>
    </row>
    <row r="3251" spans="1:32">
      <c r="A3251" s="15">
        <v>3249</v>
      </c>
      <c r="B3251" s="16">
        <v>1</v>
      </c>
      <c r="C3251" s="20">
        <v>0.03</v>
      </c>
      <c r="D3251" s="20">
        <v>0.9956483904099791</v>
      </c>
      <c r="E3251" s="20">
        <v>1</v>
      </c>
      <c r="F3251" s="8" t="s">
        <v>436</v>
      </c>
      <c r="G3251" s="24">
        <v>1.0973911404169936</v>
      </c>
      <c r="H3251" s="24">
        <v>1.103744755003131</v>
      </c>
      <c r="I3251" s="25">
        <v>1.1230477443341602</v>
      </c>
      <c r="X3251" s="15">
        <v>3250</v>
      </c>
      <c r="Y3251" s="39">
        <v>0.48661841006265311</v>
      </c>
      <c r="Z3251" s="39">
        <v>0.49458865451799416</v>
      </c>
      <c r="AA3251" s="39">
        <v>0.4984964996621391</v>
      </c>
      <c r="AB3251" s="39">
        <v>0.47570682330956771</v>
      </c>
      <c r="AC3251" s="39">
        <v>0.47871348264618729</v>
      </c>
      <c r="AD3251" s="39">
        <v>0.48714600436631211</v>
      </c>
      <c r="AE3251" s="39">
        <v>0.49055872108632526</v>
      </c>
      <c r="AF3251" s="40">
        <v>0.47130377417818847</v>
      </c>
    </row>
    <row r="3252" spans="1:32">
      <c r="A3252" s="15">
        <v>3250</v>
      </c>
      <c r="B3252" s="16">
        <v>0</v>
      </c>
      <c r="C3252" s="20">
        <v>0.02</v>
      </c>
      <c r="D3252" s="20">
        <v>0.99391348368425891</v>
      </c>
      <c r="E3252" s="20">
        <v>1</v>
      </c>
      <c r="F3252" s="8" t="s">
        <v>436</v>
      </c>
      <c r="G3252" s="24">
        <v>0.98868884834879645</v>
      </c>
      <c r="H3252" s="24">
        <v>0.99441310441089048</v>
      </c>
      <c r="I3252" s="25">
        <v>1.011804032393171</v>
      </c>
      <c r="X3252" s="15">
        <v>3251</v>
      </c>
      <c r="Y3252" s="39">
        <v>0.50432702183432976</v>
      </c>
      <c r="Z3252" s="39">
        <v>0.48709243876500258</v>
      </c>
      <c r="AA3252" s="39">
        <v>0.49959881238730092</v>
      </c>
      <c r="AB3252" s="39">
        <v>0.47527402304450317</v>
      </c>
      <c r="AC3252" s="39">
        <v>0.49760515038702968</v>
      </c>
      <c r="AD3252" s="39">
        <v>0.47873305318117038</v>
      </c>
      <c r="AE3252" s="39">
        <v>0.49196559614882801</v>
      </c>
      <c r="AF3252" s="40">
        <v>0.46986779320159561</v>
      </c>
    </row>
    <row r="3253" spans="1:32">
      <c r="A3253" s="15">
        <v>3251</v>
      </c>
      <c r="B3253" s="16">
        <v>0</v>
      </c>
      <c r="C3253" s="20">
        <v>0.03</v>
      </c>
      <c r="D3253" s="20">
        <v>0.99275631294341449</v>
      </c>
      <c r="E3253" s="20">
        <v>1</v>
      </c>
      <c r="F3253" s="8" t="s">
        <v>436</v>
      </c>
      <c r="G3253" s="24">
        <v>1.0361147995620639</v>
      </c>
      <c r="H3253" s="24">
        <v>1.0421136397758721</v>
      </c>
      <c r="I3253" s="25">
        <v>1.0603387850181312</v>
      </c>
      <c r="X3253" s="15">
        <v>3252</v>
      </c>
      <c r="Y3253" s="39">
        <v>0.48174994702150659</v>
      </c>
      <c r="Z3253" s="39">
        <v>0.49403370710370004</v>
      </c>
      <c r="AA3253" s="39">
        <v>0.47953219972400724</v>
      </c>
      <c r="AB3253" s="39">
        <v>0.4914515228871929</v>
      </c>
      <c r="AC3253" s="39">
        <v>0.47192428424234983</v>
      </c>
      <c r="AD3253" s="39">
        <v>0.48644105331563542</v>
      </c>
      <c r="AE3253" s="39">
        <v>0.47120521143093141</v>
      </c>
      <c r="AF3253" s="40">
        <v>0.48715801740737941</v>
      </c>
    </row>
    <row r="3254" spans="1:32">
      <c r="A3254" s="15">
        <v>3252</v>
      </c>
      <c r="B3254" s="16">
        <v>1</v>
      </c>
      <c r="C3254" s="20">
        <v>0.5</v>
      </c>
      <c r="D3254" s="20">
        <v>0.57073034969186753</v>
      </c>
      <c r="E3254" s="20">
        <v>0.08</v>
      </c>
      <c r="F3254" s="8" t="s">
        <v>438</v>
      </c>
      <c r="G3254" s="24">
        <v>1.0081614705052129</v>
      </c>
      <c r="H3254" s="24">
        <v>1.0139984680790675</v>
      </c>
      <c r="I3254" s="25">
        <v>1.0317319173410346</v>
      </c>
      <c r="X3254" s="15">
        <v>3253</v>
      </c>
      <c r="Y3254" s="39">
        <v>0.48791381868562828</v>
      </c>
      <c r="Z3254" s="39">
        <v>0.48531729630461884</v>
      </c>
      <c r="AA3254" s="39">
        <v>0.481830661163001</v>
      </c>
      <c r="AB3254" s="39">
        <v>0.48364844260806938</v>
      </c>
      <c r="AC3254" s="39">
        <v>0.48254163609917888</v>
      </c>
      <c r="AD3254" s="39">
        <v>0.47900268576146493</v>
      </c>
      <c r="AE3254" s="39">
        <v>0.47302233392891346</v>
      </c>
      <c r="AF3254" s="40">
        <v>0.47725249990399726</v>
      </c>
    </row>
    <row r="3255" spans="1:32">
      <c r="A3255" s="15">
        <v>3253</v>
      </c>
      <c r="B3255" s="16">
        <v>0</v>
      </c>
      <c r="C3255" s="20">
        <v>0.06</v>
      </c>
      <c r="D3255" s="20">
        <v>0.94712899342107792</v>
      </c>
      <c r="E3255" s="20">
        <v>0.4</v>
      </c>
      <c r="F3255" s="8" t="s">
        <v>436</v>
      </c>
      <c r="G3255" s="24">
        <v>1.0013480153700185</v>
      </c>
      <c r="H3255" s="24">
        <v>1.0071455647778231</v>
      </c>
      <c r="I3255" s="25">
        <v>1.0247591661141617</v>
      </c>
      <c r="X3255" s="15">
        <v>3254</v>
      </c>
      <c r="Y3255" s="39">
        <v>0.48609830403581505</v>
      </c>
      <c r="Z3255" s="39">
        <v>0.49401922657089165</v>
      </c>
      <c r="AA3255" s="39">
        <v>0.49042941255619421</v>
      </c>
      <c r="AB3255" s="39">
        <v>0.48216341843768329</v>
      </c>
      <c r="AC3255" s="39">
        <v>0.47965925275640225</v>
      </c>
      <c r="AD3255" s="39">
        <v>0.4848714973052306</v>
      </c>
      <c r="AE3255" s="39">
        <v>0.48508263172734334</v>
      </c>
      <c r="AF3255" s="40">
        <v>0.4801959333330808</v>
      </c>
    </row>
    <row r="3256" spans="1:32">
      <c r="A3256" s="15">
        <v>3254</v>
      </c>
      <c r="B3256" s="16">
        <v>0</v>
      </c>
      <c r="C3256" s="20">
        <v>0.02</v>
      </c>
      <c r="D3256" s="20">
        <v>0.99835916395484214</v>
      </c>
      <c r="E3256" s="20">
        <v>1</v>
      </c>
      <c r="F3256" s="8" t="s">
        <v>436</v>
      </c>
      <c r="G3256" s="24">
        <v>1.0829920234288384</v>
      </c>
      <c r="H3256" s="24">
        <v>1.089262270803091</v>
      </c>
      <c r="I3256" s="25">
        <v>1.1083119812517221</v>
      </c>
      <c r="X3256" s="15">
        <v>3255</v>
      </c>
      <c r="Y3256" s="39">
        <v>0.48655414990579959</v>
      </c>
      <c r="Z3256" s="39">
        <v>0.48507598969347132</v>
      </c>
      <c r="AA3256" s="39">
        <v>0.48032002523519357</v>
      </c>
      <c r="AB3256" s="39">
        <v>0.49143462783006014</v>
      </c>
      <c r="AC3256" s="39">
        <v>0.48020188160983307</v>
      </c>
      <c r="AD3256" s="39">
        <v>0.47687465028508308</v>
      </c>
      <c r="AE3256" s="39">
        <v>0.47277542958411806</v>
      </c>
      <c r="AF3256" s="40">
        <v>0.48604416153118396</v>
      </c>
    </row>
    <row r="3257" spans="1:32">
      <c r="A3257" s="15">
        <v>3255</v>
      </c>
      <c r="B3257" s="16">
        <v>1</v>
      </c>
      <c r="C3257" s="20">
        <v>0.19</v>
      </c>
      <c r="D3257" s="20">
        <v>0.88305999005883851</v>
      </c>
      <c r="E3257" s="20">
        <v>0.05</v>
      </c>
      <c r="F3257" s="8" t="s">
        <v>436</v>
      </c>
      <c r="G3257" s="24">
        <v>1.1157974821010985</v>
      </c>
      <c r="H3257" s="24">
        <v>1.1222576647072375</v>
      </c>
      <c r="I3257" s="25">
        <v>1.1418844195618492</v>
      </c>
      <c r="X3257" s="15">
        <v>3256</v>
      </c>
      <c r="Y3257" s="39">
        <v>0.46924878834264094</v>
      </c>
      <c r="Z3257" s="39">
        <v>0.47071724268469695</v>
      </c>
      <c r="AA3257" s="39">
        <v>0.48761026784977735</v>
      </c>
      <c r="AB3257" s="39">
        <v>0.4874292229399666</v>
      </c>
      <c r="AC3257" s="39">
        <v>0.46332180813972895</v>
      </c>
      <c r="AD3257" s="39">
        <v>0.46591444783327751</v>
      </c>
      <c r="AE3257" s="39">
        <v>0.48246561606148697</v>
      </c>
      <c r="AF3257" s="40">
        <v>0.48378090424164288</v>
      </c>
    </row>
    <row r="3258" spans="1:32">
      <c r="A3258" s="15">
        <v>3256</v>
      </c>
      <c r="B3258" s="16">
        <v>1</v>
      </c>
      <c r="C3258" s="20">
        <v>0.02</v>
      </c>
      <c r="D3258" s="20">
        <v>0.99835916395484214</v>
      </c>
      <c r="E3258" s="20">
        <v>1</v>
      </c>
      <c r="F3258" s="8" t="s">
        <v>436</v>
      </c>
      <c r="G3258" s="24">
        <v>1.0697496900739525</v>
      </c>
      <c r="H3258" s="24">
        <v>1.0759432677182799</v>
      </c>
      <c r="I3258" s="25">
        <v>1.0947600469812537</v>
      </c>
      <c r="X3258" s="15">
        <v>3257</v>
      </c>
      <c r="Y3258" s="39">
        <v>0.47827229885811118</v>
      </c>
      <c r="Z3258" s="39">
        <v>0.49459145156661677</v>
      </c>
      <c r="AA3258" s="39">
        <v>0.48575402472477003</v>
      </c>
      <c r="AB3258" s="39">
        <v>0.49369018210842069</v>
      </c>
      <c r="AC3258" s="39">
        <v>0.47233901148131663</v>
      </c>
      <c r="AD3258" s="39">
        <v>0.48722071041101839</v>
      </c>
      <c r="AE3258" s="39">
        <v>0.47756753895881071</v>
      </c>
      <c r="AF3258" s="40">
        <v>0.49068251141164393</v>
      </c>
    </row>
    <row r="3259" spans="1:32">
      <c r="A3259" s="15">
        <v>3257</v>
      </c>
      <c r="B3259" s="16">
        <v>0</v>
      </c>
      <c r="C3259" s="20">
        <v>0.02</v>
      </c>
      <c r="D3259" s="20">
        <v>0.99917029198757767</v>
      </c>
      <c r="E3259" s="20">
        <v>1</v>
      </c>
      <c r="F3259" s="8" t="s">
        <v>436</v>
      </c>
      <c r="G3259" s="24">
        <v>1.0217151064237984</v>
      </c>
      <c r="H3259" s="24">
        <v>1.0276305760899598</v>
      </c>
      <c r="I3259" s="25">
        <v>1.0456024323154038</v>
      </c>
      <c r="X3259" s="15">
        <v>3258</v>
      </c>
      <c r="Y3259" s="39">
        <v>0.47717359105449353</v>
      </c>
      <c r="Z3259" s="39">
        <v>0.49923906109344396</v>
      </c>
      <c r="AA3259" s="39">
        <v>0.4865633362251795</v>
      </c>
      <c r="AB3259" s="39">
        <v>0.50203337545502413</v>
      </c>
      <c r="AC3259" s="39">
        <v>0.47369813683030088</v>
      </c>
      <c r="AD3259" s="39">
        <v>0.49076771095907873</v>
      </c>
      <c r="AE3259" s="39">
        <v>0.48101284606127359</v>
      </c>
      <c r="AF3259" s="40">
        <v>0.49781606448365262</v>
      </c>
    </row>
    <row r="3260" spans="1:32">
      <c r="A3260" s="15">
        <v>3258</v>
      </c>
      <c r="B3260" s="16">
        <v>0</v>
      </c>
      <c r="C3260" s="20">
        <v>0.94</v>
      </c>
      <c r="D3260" s="20">
        <v>0.17188516685452584</v>
      </c>
      <c r="E3260" s="20">
        <v>0.06</v>
      </c>
      <c r="F3260" s="8" t="s">
        <v>434</v>
      </c>
      <c r="G3260" s="24">
        <v>0.47100596378888282</v>
      </c>
      <c r="H3260" s="24">
        <v>0.47373296809160531</v>
      </c>
      <c r="I3260" s="25">
        <v>0.48201791113425946</v>
      </c>
      <c r="X3260" s="15">
        <v>3259</v>
      </c>
      <c r="Y3260" s="39">
        <v>0.48476076114380129</v>
      </c>
      <c r="Z3260" s="39">
        <v>0.48477076279061482</v>
      </c>
      <c r="AA3260" s="39">
        <v>0.49234279576900486</v>
      </c>
      <c r="AB3260" s="39">
        <v>0.48063763576558227</v>
      </c>
      <c r="AC3260" s="39">
        <v>0.47828079203599794</v>
      </c>
      <c r="AD3260" s="39">
        <v>0.47770813647764215</v>
      </c>
      <c r="AE3260" s="39">
        <v>0.48348923326590676</v>
      </c>
      <c r="AF3260" s="40">
        <v>0.47567381235420253</v>
      </c>
    </row>
    <row r="3261" spans="1:32">
      <c r="A3261" s="15">
        <v>3259</v>
      </c>
      <c r="B3261" s="16">
        <v>0</v>
      </c>
      <c r="C3261" s="20">
        <v>0.02</v>
      </c>
      <c r="D3261" s="20">
        <v>0.99835916395484214</v>
      </c>
      <c r="E3261" s="20">
        <v>1</v>
      </c>
      <c r="F3261" s="8" t="s">
        <v>436</v>
      </c>
      <c r="G3261" s="24">
        <v>1.0569630471202709</v>
      </c>
      <c r="H3261" s="24">
        <v>1.0630825933657779</v>
      </c>
      <c r="I3261" s="25">
        <v>1.0816744569870773</v>
      </c>
      <c r="X3261" s="15">
        <v>3260</v>
      </c>
      <c r="Y3261" s="39">
        <v>0.49526103954143913</v>
      </c>
      <c r="Z3261" s="39">
        <v>0.4908901645985394</v>
      </c>
      <c r="AA3261" s="39">
        <v>0.49237305066722342</v>
      </c>
      <c r="AB3261" s="39">
        <v>0.47355730634138921</v>
      </c>
      <c r="AC3261" s="39">
        <v>0.48951041219098274</v>
      </c>
      <c r="AD3261" s="39">
        <v>0.48301526175136938</v>
      </c>
      <c r="AE3261" s="39">
        <v>0.48547537900792165</v>
      </c>
      <c r="AF3261" s="40">
        <v>0.46971598351522104</v>
      </c>
    </row>
    <row r="3262" spans="1:32">
      <c r="A3262" s="15">
        <v>3260</v>
      </c>
      <c r="B3262" s="16">
        <v>0</v>
      </c>
      <c r="C3262" s="20">
        <v>0.56000000000000005</v>
      </c>
      <c r="D3262" s="20">
        <v>0.47390893029338543</v>
      </c>
      <c r="E3262" s="20">
        <v>0.05</v>
      </c>
      <c r="F3262" s="8" t="s">
        <v>438</v>
      </c>
      <c r="G3262" s="24">
        <v>0.86013234393481264</v>
      </c>
      <c r="H3262" s="24">
        <v>0.86511229065130979</v>
      </c>
      <c r="I3262" s="25">
        <v>0.88024192387573885</v>
      </c>
      <c r="X3262" s="15">
        <v>3261</v>
      </c>
      <c r="Y3262" s="39">
        <v>0.4853173453658986</v>
      </c>
      <c r="Z3262" s="39">
        <v>0.4842304758983052</v>
      </c>
      <c r="AA3262" s="39">
        <v>0.48821276301956995</v>
      </c>
      <c r="AB3262" s="39">
        <v>0.49374117268583939</v>
      </c>
      <c r="AC3262" s="39">
        <v>0.47870679672867605</v>
      </c>
      <c r="AD3262" s="39">
        <v>0.47568609738373124</v>
      </c>
      <c r="AE3262" s="39">
        <v>0.48006760724881464</v>
      </c>
      <c r="AF3262" s="40">
        <v>0.48928575483047204</v>
      </c>
    </row>
    <row r="3263" spans="1:32">
      <c r="A3263" s="15">
        <v>3261</v>
      </c>
      <c r="B3263" s="16">
        <v>1</v>
      </c>
      <c r="C3263" s="20">
        <v>0.09</v>
      </c>
      <c r="D3263" s="20">
        <v>0.92178974226393062</v>
      </c>
      <c r="E3263" s="20">
        <v>0.24</v>
      </c>
      <c r="F3263" s="8" t="s">
        <v>436</v>
      </c>
      <c r="G3263" s="24">
        <v>0.84659471669849584</v>
      </c>
      <c r="H3263" s="24">
        <v>0.85149628400887023</v>
      </c>
      <c r="I3263" s="25">
        <v>0.86638779186078096</v>
      </c>
      <c r="X3263" s="15">
        <v>3262</v>
      </c>
      <c r="Y3263" s="39">
        <v>0.48291559532014772</v>
      </c>
      <c r="Z3263" s="39">
        <v>0.47359571657146515</v>
      </c>
      <c r="AA3263" s="39">
        <v>0.49025390788201212</v>
      </c>
      <c r="AB3263" s="39">
        <v>0.50421880280142617</v>
      </c>
      <c r="AC3263" s="39">
        <v>0.47365137292346948</v>
      </c>
      <c r="AD3263" s="39">
        <v>0.46781453272504309</v>
      </c>
      <c r="AE3263" s="39">
        <v>0.48344207685449825</v>
      </c>
      <c r="AF3263" s="40">
        <v>0.49919869730220096</v>
      </c>
    </row>
    <row r="3264" spans="1:32">
      <c r="A3264" s="15">
        <v>3262</v>
      </c>
      <c r="B3264" s="16">
        <v>1</v>
      </c>
      <c r="C3264" s="20">
        <v>0.27</v>
      </c>
      <c r="D3264" s="20">
        <v>0.69725907388227937</v>
      </c>
      <c r="E3264" s="20">
        <v>7.0000000000000007E-2</v>
      </c>
      <c r="F3264" s="8" t="s">
        <v>436</v>
      </c>
      <c r="G3264" s="24">
        <v>0.71040664068238002</v>
      </c>
      <c r="H3264" s="24">
        <v>0.71451971379559398</v>
      </c>
      <c r="I3264" s="25">
        <v>0.7270156883854505</v>
      </c>
      <c r="X3264" s="15">
        <v>3263</v>
      </c>
      <c r="Y3264" s="39">
        <v>0.498232185654092</v>
      </c>
      <c r="Z3264" s="39">
        <v>0.47917027898945874</v>
      </c>
      <c r="AA3264" s="39">
        <v>0.48877109555502596</v>
      </c>
      <c r="AB3264" s="39">
        <v>0.48579579336994194</v>
      </c>
      <c r="AC3264" s="39">
        <v>0.49089975448405154</v>
      </c>
      <c r="AD3264" s="39">
        <v>0.46577138431585707</v>
      </c>
      <c r="AE3264" s="39">
        <v>0.48225964116986009</v>
      </c>
      <c r="AF3264" s="40">
        <v>0.48164896420631959</v>
      </c>
    </row>
    <row r="3265" spans="1:32">
      <c r="A3265" s="15">
        <v>3263</v>
      </c>
      <c r="B3265" s="16">
        <v>1</v>
      </c>
      <c r="C3265" s="20">
        <v>0.94</v>
      </c>
      <c r="D3265" s="20">
        <v>0.17188516685452584</v>
      </c>
      <c r="E3265" s="20">
        <v>0.06</v>
      </c>
      <c r="F3265" s="8" t="s">
        <v>434</v>
      </c>
      <c r="G3265" s="24">
        <v>0.82189138735651812</v>
      </c>
      <c r="H3265" s="24">
        <v>0.82664992869570253</v>
      </c>
      <c r="I3265" s="25">
        <v>0.84110690770446273</v>
      </c>
      <c r="X3265" s="15">
        <v>3264</v>
      </c>
      <c r="Y3265" s="39">
        <v>0.47534740225074518</v>
      </c>
      <c r="Z3265" s="39">
        <v>0.4800860067841981</v>
      </c>
      <c r="AA3265" s="39">
        <v>0.47949324826901774</v>
      </c>
      <c r="AB3265" s="39">
        <v>0.48725093884806014</v>
      </c>
      <c r="AC3265" s="39">
        <v>0.46867329868231761</v>
      </c>
      <c r="AD3265" s="39">
        <v>0.47346785677184949</v>
      </c>
      <c r="AE3265" s="39">
        <v>0.47025785347764459</v>
      </c>
      <c r="AF3265" s="40">
        <v>0.48036304620981807</v>
      </c>
    </row>
    <row r="3266" spans="1:32">
      <c r="A3266" s="15">
        <v>3264</v>
      </c>
      <c r="B3266" s="16">
        <v>1</v>
      </c>
      <c r="C3266" s="20">
        <v>0.92</v>
      </c>
      <c r="D3266" s="20">
        <v>0.20258497911151899</v>
      </c>
      <c r="E3266" s="20">
        <v>0.08</v>
      </c>
      <c r="F3266" s="8" t="s">
        <v>434</v>
      </c>
      <c r="G3266" s="24">
        <v>0.36145521867458902</v>
      </c>
      <c r="H3266" s="24">
        <v>0.36354795212670499</v>
      </c>
      <c r="I3266" s="25">
        <v>0.36990590962494874</v>
      </c>
      <c r="X3266" s="15">
        <v>3265</v>
      </c>
      <c r="Y3266" s="39">
        <v>0.48732839283662427</v>
      </c>
      <c r="Z3266" s="39">
        <v>0.49311712221863246</v>
      </c>
      <c r="AA3266" s="39">
        <v>0.49261812868657867</v>
      </c>
      <c r="AB3266" s="39">
        <v>0.48583564569782256</v>
      </c>
      <c r="AC3266" s="39">
        <v>0.48195052147266254</v>
      </c>
      <c r="AD3266" s="39">
        <v>0.48409756897713518</v>
      </c>
      <c r="AE3266" s="39">
        <v>0.48724993886116563</v>
      </c>
      <c r="AF3266" s="40">
        <v>0.48259620965758615</v>
      </c>
    </row>
    <row r="3267" spans="1:32">
      <c r="A3267" s="15">
        <v>3265</v>
      </c>
      <c r="B3267" s="16">
        <v>1</v>
      </c>
      <c r="C3267" s="20">
        <v>0.96</v>
      </c>
      <c r="D3267" s="20">
        <v>0.13880369068795359</v>
      </c>
      <c r="E3267" s="20">
        <v>0.04</v>
      </c>
      <c r="F3267" s="8" t="s">
        <v>434</v>
      </c>
      <c r="G3267" s="24">
        <v>1.6274400216224232</v>
      </c>
      <c r="H3267" s="24">
        <v>1.6368624839320012</v>
      </c>
      <c r="I3267" s="25">
        <v>1.6578926537592125</v>
      </c>
      <c r="X3267" s="15">
        <v>3266</v>
      </c>
      <c r="Y3267" s="39">
        <v>0.50977806656118752</v>
      </c>
      <c r="Z3267" s="39">
        <v>0.48591576218992172</v>
      </c>
      <c r="AA3267" s="39">
        <v>0.50139625492075424</v>
      </c>
      <c r="AB3267" s="39">
        <v>0.481572580982217</v>
      </c>
      <c r="AC3267" s="39">
        <v>0.49811178558843644</v>
      </c>
      <c r="AD3267" s="39">
        <v>0.48074558189530842</v>
      </c>
      <c r="AE3267" s="39">
        <v>0.49485513403693576</v>
      </c>
      <c r="AF3267" s="40">
        <v>0.47668637488824922</v>
      </c>
    </row>
    <row r="3268" spans="1:32">
      <c r="A3268" s="15">
        <v>3266</v>
      </c>
      <c r="B3268" s="16">
        <v>1</v>
      </c>
      <c r="C3268" s="20">
        <v>0.05</v>
      </c>
      <c r="D3268" s="20">
        <v>0.95491109389071749</v>
      </c>
      <c r="E3268" s="20">
        <v>0.5</v>
      </c>
      <c r="F3268" s="8" t="s">
        <v>436</v>
      </c>
      <c r="G3268" s="24">
        <v>0.96615768937894408</v>
      </c>
      <c r="H3268" s="24">
        <v>0.97175149578184083</v>
      </c>
      <c r="I3268" s="25">
        <v>0.9887461031586483</v>
      </c>
      <c r="X3268" s="15">
        <v>3267</v>
      </c>
      <c r="Y3268" s="39">
        <v>0.48238554840648418</v>
      </c>
      <c r="Z3268" s="39">
        <v>0.49280557181090706</v>
      </c>
      <c r="AA3268" s="39">
        <v>0.4792285136382734</v>
      </c>
      <c r="AB3268" s="39">
        <v>0.49108599069840148</v>
      </c>
      <c r="AC3268" s="39">
        <v>0.47470613973949538</v>
      </c>
      <c r="AD3268" s="39">
        <v>0.48504246557569136</v>
      </c>
      <c r="AE3268" s="39">
        <v>0.47106332221742719</v>
      </c>
      <c r="AF3268" s="40">
        <v>0.4873415917738228</v>
      </c>
    </row>
    <row r="3269" spans="1:32">
      <c r="A3269" s="15">
        <v>3267</v>
      </c>
      <c r="B3269" s="16">
        <v>1</v>
      </c>
      <c r="C3269" s="20">
        <v>0.47</v>
      </c>
      <c r="D3269" s="20">
        <v>0.47016837557130808</v>
      </c>
      <c r="E3269" s="20">
        <v>0.08</v>
      </c>
      <c r="F3269" s="8" t="s">
        <v>436</v>
      </c>
      <c r="G3269" s="24">
        <v>1.641260836985498</v>
      </c>
      <c r="H3269" s="24">
        <v>1.6507633182881669</v>
      </c>
      <c r="I3269" s="25">
        <v>1.6578926537592125</v>
      </c>
      <c r="X3269" s="15">
        <v>3268</v>
      </c>
      <c r="Y3269" s="39">
        <v>0.48518922130782632</v>
      </c>
      <c r="Z3269" s="39">
        <v>0.51028844748858571</v>
      </c>
      <c r="AA3269" s="39">
        <v>0.47676290663801879</v>
      </c>
      <c r="AB3269" s="39">
        <v>0.49090677544320827</v>
      </c>
      <c r="AC3269" s="39">
        <v>0.47973237366706289</v>
      </c>
      <c r="AD3269" s="39">
        <v>0.50470010260177511</v>
      </c>
      <c r="AE3269" s="39">
        <v>0.46822517066576214</v>
      </c>
      <c r="AF3269" s="40">
        <v>0.4855746944539488</v>
      </c>
    </row>
    <row r="3270" spans="1:32">
      <c r="A3270" s="15">
        <v>3268</v>
      </c>
      <c r="B3270" s="16">
        <v>0</v>
      </c>
      <c r="C3270" s="20">
        <v>0.34</v>
      </c>
      <c r="D3270" s="20">
        <v>0.68488532685965298</v>
      </c>
      <c r="E3270" s="20">
        <v>7.0000000000000007E-2</v>
      </c>
      <c r="F3270" s="8" t="s">
        <v>436</v>
      </c>
      <c r="G3270" s="24">
        <v>0.75280732996164246</v>
      </c>
      <c r="H3270" s="24">
        <v>0.75716589224270647</v>
      </c>
      <c r="I3270" s="25">
        <v>0.77040769028843215</v>
      </c>
      <c r="X3270" s="15">
        <v>3269</v>
      </c>
      <c r="Y3270" s="39">
        <v>0.48248362245825921</v>
      </c>
      <c r="Z3270" s="39">
        <v>0.48981701815172973</v>
      </c>
      <c r="AA3270" s="39">
        <v>0.49474258373695967</v>
      </c>
      <c r="AB3270" s="39">
        <v>0.49519557225647104</v>
      </c>
      <c r="AC3270" s="39">
        <v>0.4759340301502028</v>
      </c>
      <c r="AD3270" s="39">
        <v>0.48219162321747111</v>
      </c>
      <c r="AE3270" s="39">
        <v>0.48995501273292619</v>
      </c>
      <c r="AF3270" s="40">
        <v>0.48957348821286584</v>
      </c>
    </row>
    <row r="3271" spans="1:32">
      <c r="A3271" s="15">
        <v>3269</v>
      </c>
      <c r="B3271" s="16">
        <v>0</v>
      </c>
      <c r="C3271" s="20">
        <v>0.02</v>
      </c>
      <c r="D3271" s="20">
        <v>0.99835916395484214</v>
      </c>
      <c r="E3271" s="20">
        <v>1</v>
      </c>
      <c r="F3271" s="8" t="s">
        <v>436</v>
      </c>
      <c r="G3271" s="24">
        <v>1.0798508552931225</v>
      </c>
      <c r="H3271" s="24">
        <v>1.086102916105675</v>
      </c>
      <c r="I3271" s="25">
        <v>1.105097373752659</v>
      </c>
      <c r="X3271" s="15">
        <v>3270</v>
      </c>
      <c r="Y3271" s="39">
        <v>0.48393727874580206</v>
      </c>
      <c r="Z3271" s="39">
        <v>0.48338366803348654</v>
      </c>
      <c r="AA3271" s="39">
        <v>0.48794046597491963</v>
      </c>
      <c r="AB3271" s="39">
        <v>0.49319128753830022</v>
      </c>
      <c r="AC3271" s="39">
        <v>0.47887564978234043</v>
      </c>
      <c r="AD3271" s="39">
        <v>0.4794120584490012</v>
      </c>
      <c r="AE3271" s="39">
        <v>0.48206465177593499</v>
      </c>
      <c r="AF3271" s="40">
        <v>0.49000645728358394</v>
      </c>
    </row>
    <row r="3272" spans="1:32">
      <c r="A3272" s="15">
        <v>3270</v>
      </c>
      <c r="B3272" s="16">
        <v>0</v>
      </c>
      <c r="C3272" s="20">
        <v>0.12</v>
      </c>
      <c r="D3272" s="20">
        <v>0.92983691526135392</v>
      </c>
      <c r="E3272" s="20">
        <v>0.49</v>
      </c>
      <c r="F3272" s="8" t="s">
        <v>436</v>
      </c>
      <c r="G3272" s="24">
        <v>0.92914684645715873</v>
      </c>
      <c r="H3272" s="24">
        <v>0.93452636952681867</v>
      </c>
      <c r="I3272" s="25">
        <v>0.95086996025173287</v>
      </c>
      <c r="X3272" s="15">
        <v>3271</v>
      </c>
      <c r="Y3272" s="39">
        <v>0.49122607677193736</v>
      </c>
      <c r="Z3272" s="39">
        <v>0.4888165295246108</v>
      </c>
      <c r="AA3272" s="39">
        <v>0.49528163668085096</v>
      </c>
      <c r="AB3272" s="39">
        <v>0.48568280860287272</v>
      </c>
      <c r="AC3272" s="39">
        <v>0.4861212772704917</v>
      </c>
      <c r="AD3272" s="39">
        <v>0.48325976342716653</v>
      </c>
      <c r="AE3272" s="39">
        <v>0.48790525850651378</v>
      </c>
      <c r="AF3272" s="40">
        <v>0.48084507226579254</v>
      </c>
    </row>
    <row r="3273" spans="1:32">
      <c r="A3273" s="15">
        <v>3271</v>
      </c>
      <c r="B3273" s="16">
        <v>1</v>
      </c>
      <c r="C3273" s="20">
        <v>0.02</v>
      </c>
      <c r="D3273" s="20">
        <v>0.99679477127711513</v>
      </c>
      <c r="E3273" s="20">
        <v>1</v>
      </c>
      <c r="F3273" s="8" t="s">
        <v>436</v>
      </c>
      <c r="G3273" s="24">
        <v>1.0740736676706091</v>
      </c>
      <c r="H3273" s="24">
        <v>1.0802922800414951</v>
      </c>
      <c r="I3273" s="25">
        <v>1.0991851175942999</v>
      </c>
      <c r="X3273" s="15">
        <v>3272</v>
      </c>
      <c r="Y3273" s="39">
        <v>0.48569520471751149</v>
      </c>
      <c r="Z3273" s="39">
        <v>0.49290524281531289</v>
      </c>
      <c r="AA3273" s="39">
        <v>0.4860841660142135</v>
      </c>
      <c r="AB3273" s="39">
        <v>0.48924160037022824</v>
      </c>
      <c r="AC3273" s="39">
        <v>0.47923620898062946</v>
      </c>
      <c r="AD3273" s="39">
        <v>0.48568845364339996</v>
      </c>
      <c r="AE3273" s="39">
        <v>0.47748061241658535</v>
      </c>
      <c r="AF3273" s="40">
        <v>0.48553395325438226</v>
      </c>
    </row>
    <row r="3274" spans="1:32">
      <c r="A3274" s="15">
        <v>3272</v>
      </c>
      <c r="B3274" s="16">
        <v>0</v>
      </c>
      <c r="C3274" s="20">
        <v>0.03</v>
      </c>
      <c r="D3274" s="20">
        <v>0.99415958227269285</v>
      </c>
      <c r="E3274" s="20">
        <v>1</v>
      </c>
      <c r="F3274" s="8" t="s">
        <v>436</v>
      </c>
      <c r="G3274" s="24">
        <v>0.97210442850759682</v>
      </c>
      <c r="H3274" s="24">
        <v>0.9777326650121011</v>
      </c>
      <c r="I3274" s="25">
        <v>0.99483187487541236</v>
      </c>
      <c r="X3274" s="15">
        <v>3273</v>
      </c>
      <c r="Y3274" s="39">
        <v>0.4928721273841376</v>
      </c>
      <c r="Z3274" s="39">
        <v>0.48599862613114314</v>
      </c>
      <c r="AA3274" s="39">
        <v>0.48060875591924007</v>
      </c>
      <c r="AB3274" s="39">
        <v>0.49344059337493262</v>
      </c>
      <c r="AC3274" s="39">
        <v>0.48476067892194624</v>
      </c>
      <c r="AD3274" s="39">
        <v>0.48175093420830056</v>
      </c>
      <c r="AE3274" s="39">
        <v>0.47601413008751736</v>
      </c>
      <c r="AF3274" s="40">
        <v>0.48988211391362169</v>
      </c>
    </row>
    <row r="3275" spans="1:32">
      <c r="A3275" s="15">
        <v>3273</v>
      </c>
      <c r="B3275" s="16">
        <v>0</v>
      </c>
      <c r="C3275" s="20">
        <v>0.49</v>
      </c>
      <c r="D3275" s="20">
        <v>0.47666689976222809</v>
      </c>
      <c r="E3275" s="20">
        <v>0.11</v>
      </c>
      <c r="F3275" s="8" t="s">
        <v>436</v>
      </c>
      <c r="G3275" s="24">
        <v>0.68543499369352201</v>
      </c>
      <c r="H3275" s="24">
        <v>0.68940348734486068</v>
      </c>
      <c r="I3275" s="25">
        <v>0.70146021341370124</v>
      </c>
      <c r="X3275" s="15">
        <v>3274</v>
      </c>
      <c r="Y3275" s="39">
        <v>0.47763582203141031</v>
      </c>
      <c r="Z3275" s="39">
        <v>0.48347539075625928</v>
      </c>
      <c r="AA3275" s="39">
        <v>0.48841562344976835</v>
      </c>
      <c r="AB3275" s="39">
        <v>0.49853693266184429</v>
      </c>
      <c r="AC3275" s="39">
        <v>0.47102483578059617</v>
      </c>
      <c r="AD3275" s="39">
        <v>0.47784257010058945</v>
      </c>
      <c r="AE3275" s="39">
        <v>0.48164115940465585</v>
      </c>
      <c r="AF3275" s="40">
        <v>0.49243539645334111</v>
      </c>
    </row>
    <row r="3276" spans="1:32">
      <c r="A3276" s="15">
        <v>3274</v>
      </c>
      <c r="B3276" s="16">
        <v>0</v>
      </c>
      <c r="C3276" s="20">
        <v>0.02</v>
      </c>
      <c r="D3276" s="20">
        <v>0.99835916395484214</v>
      </c>
      <c r="E3276" s="20">
        <v>1</v>
      </c>
      <c r="F3276" s="8" t="s">
        <v>436</v>
      </c>
      <c r="G3276" s="24">
        <v>1.0217373817072235</v>
      </c>
      <c r="H3276" s="24">
        <v>1.0276529803415901</v>
      </c>
      <c r="I3276" s="25">
        <v>1.0456252283868168</v>
      </c>
      <c r="X3276" s="15">
        <v>3275</v>
      </c>
      <c r="Y3276" s="39">
        <v>0.48527304634751889</v>
      </c>
      <c r="Z3276" s="39">
        <v>0.49240260937159214</v>
      </c>
      <c r="AA3276" s="39">
        <v>0.48829415634059226</v>
      </c>
      <c r="AB3276" s="39">
        <v>0.48928079043715161</v>
      </c>
      <c r="AC3276" s="39">
        <v>0.47544506490196226</v>
      </c>
      <c r="AD3276" s="39">
        <v>0.48564432375459327</v>
      </c>
      <c r="AE3276" s="39">
        <v>0.48234340366205253</v>
      </c>
      <c r="AF3276" s="40">
        <v>0.48645461219566333</v>
      </c>
    </row>
    <row r="3277" spans="1:32">
      <c r="A3277" s="15">
        <v>3275</v>
      </c>
      <c r="B3277" s="16">
        <v>0</v>
      </c>
      <c r="C3277" s="20">
        <v>0.09</v>
      </c>
      <c r="D3277" s="20">
        <v>0.93911052814211637</v>
      </c>
      <c r="E3277" s="20">
        <v>0.1</v>
      </c>
      <c r="F3277" s="8" t="s">
        <v>436</v>
      </c>
      <c r="G3277" s="24">
        <v>0.65322293965622635</v>
      </c>
      <c r="H3277" s="24">
        <v>0.65700493373704449</v>
      </c>
      <c r="I3277" s="25">
        <v>0.66849505332209647</v>
      </c>
      <c r="X3277" s="15">
        <v>3276</v>
      </c>
      <c r="Y3277" s="39">
        <v>0.48481218658688002</v>
      </c>
      <c r="Z3277" s="39">
        <v>0.47692861948172333</v>
      </c>
      <c r="AA3277" s="39">
        <v>0.48456518084568673</v>
      </c>
      <c r="AB3277" s="39">
        <v>0.49812400889689284</v>
      </c>
      <c r="AC3277" s="39">
        <v>0.47711097928060675</v>
      </c>
      <c r="AD3277" s="39">
        <v>0.47013246795520724</v>
      </c>
      <c r="AE3277" s="39">
        <v>0.47638468377122328</v>
      </c>
      <c r="AF3277" s="40">
        <v>0.49562857924462489</v>
      </c>
    </row>
    <row r="3278" spans="1:32">
      <c r="A3278" s="15">
        <v>3276</v>
      </c>
      <c r="B3278" s="16">
        <v>0</v>
      </c>
      <c r="C3278" s="20">
        <v>0.42</v>
      </c>
      <c r="D3278" s="20">
        <v>0.56565210238568475</v>
      </c>
      <c r="E3278" s="20">
        <v>0.11</v>
      </c>
      <c r="F3278" s="8" t="s">
        <v>436</v>
      </c>
      <c r="G3278" s="24">
        <v>1.0135903948518559</v>
      </c>
      <c r="H3278" s="24">
        <v>1.0194588245119061</v>
      </c>
      <c r="I3278" s="25">
        <v>1.0372877679553758</v>
      </c>
      <c r="X3278" s="15">
        <v>3277</v>
      </c>
      <c r="Y3278" s="39">
        <v>0.48793465032033734</v>
      </c>
      <c r="Z3278" s="39">
        <v>0.48594710392315305</v>
      </c>
      <c r="AA3278" s="39">
        <v>0.48939178619688928</v>
      </c>
      <c r="AB3278" s="39">
        <v>0.47424435951422345</v>
      </c>
      <c r="AC3278" s="39">
        <v>0.48107451535027557</v>
      </c>
      <c r="AD3278" s="39">
        <v>0.47910103516505453</v>
      </c>
      <c r="AE3278" s="39">
        <v>0.48611148363471884</v>
      </c>
      <c r="AF3278" s="40">
        <v>0.46879011580883201</v>
      </c>
    </row>
    <row r="3279" spans="1:32">
      <c r="A3279" s="15">
        <v>3277</v>
      </c>
      <c r="B3279" s="16">
        <v>1</v>
      </c>
      <c r="C3279" s="20">
        <v>0.96</v>
      </c>
      <c r="D3279" s="20">
        <v>0.13880369068795359</v>
      </c>
      <c r="E3279" s="20">
        <v>0.04</v>
      </c>
      <c r="F3279" s="8" t="s">
        <v>434</v>
      </c>
      <c r="G3279" s="24">
        <v>0.89545051981015666</v>
      </c>
      <c r="H3279" s="24">
        <v>0.900634949749757</v>
      </c>
      <c r="I3279" s="25">
        <v>0.91638582579910455</v>
      </c>
      <c r="X3279" s="15">
        <v>3278</v>
      </c>
      <c r="Y3279" s="39">
        <v>0.4986654575530739</v>
      </c>
      <c r="Z3279" s="39">
        <v>0.48872294709899228</v>
      </c>
      <c r="AA3279" s="39">
        <v>0.48440622693372359</v>
      </c>
      <c r="AB3279" s="39">
        <v>0.4899982450169989</v>
      </c>
      <c r="AC3279" s="39">
        <v>0.49273545812720865</v>
      </c>
      <c r="AD3279" s="39">
        <v>0.48133788306250508</v>
      </c>
      <c r="AE3279" s="39">
        <v>0.47564944331738113</v>
      </c>
      <c r="AF3279" s="40">
        <v>0.48536902633650553</v>
      </c>
    </row>
    <row r="3280" spans="1:32">
      <c r="A3280" s="15">
        <v>3278</v>
      </c>
      <c r="B3280" s="16">
        <v>1</v>
      </c>
      <c r="C3280" s="20">
        <v>0.56999999999999995</v>
      </c>
      <c r="D3280" s="20">
        <v>0.45943140113339631</v>
      </c>
      <c r="E3280" s="20">
        <v>0.09</v>
      </c>
      <c r="F3280" s="8" t="s">
        <v>438</v>
      </c>
      <c r="G3280" s="24">
        <v>0.82259287262834924</v>
      </c>
      <c r="H3280" s="24">
        <v>0.82735547538819842</v>
      </c>
      <c r="I3280" s="25">
        <v>0.84182479344565264</v>
      </c>
      <c r="X3280" s="15">
        <v>3279</v>
      </c>
      <c r="Y3280" s="39">
        <v>0.48485638928856739</v>
      </c>
      <c r="Z3280" s="39">
        <v>0.48016010559286482</v>
      </c>
      <c r="AA3280" s="39">
        <v>0.48998827747719481</v>
      </c>
      <c r="AB3280" s="39">
        <v>0.49712831952074449</v>
      </c>
      <c r="AC3280" s="39">
        <v>0.47817024435421002</v>
      </c>
      <c r="AD3280" s="39">
        <v>0.47377573188832051</v>
      </c>
      <c r="AE3280" s="39">
        <v>0.48219356739618824</v>
      </c>
      <c r="AF3280" s="40">
        <v>0.49331204725873223</v>
      </c>
    </row>
    <row r="3281" spans="1:32">
      <c r="A3281" s="15">
        <v>3279</v>
      </c>
      <c r="B3281" s="16">
        <v>0</v>
      </c>
      <c r="C3281" s="20">
        <v>0.36</v>
      </c>
      <c r="D3281" s="20">
        <v>0.59770097882176165</v>
      </c>
      <c r="E3281" s="20">
        <v>0.11</v>
      </c>
      <c r="F3281" s="8" t="s">
        <v>436</v>
      </c>
      <c r="G3281" s="24">
        <v>1.0491600484845522</v>
      </c>
      <c r="H3281" s="24">
        <v>1.0552344173597292</v>
      </c>
      <c r="I3281" s="25">
        <v>1.0736890270941801</v>
      </c>
      <c r="X3281" s="15">
        <v>3280</v>
      </c>
      <c r="Y3281" s="39">
        <v>0.4820070537027768</v>
      </c>
      <c r="Z3281" s="39">
        <v>0.47650601068401094</v>
      </c>
      <c r="AA3281" s="39">
        <v>0.46817678527083029</v>
      </c>
      <c r="AB3281" s="39">
        <v>0.48780139625822955</v>
      </c>
      <c r="AC3281" s="39">
        <v>0.47418647510591422</v>
      </c>
      <c r="AD3281" s="39">
        <v>0.46733993667101992</v>
      </c>
      <c r="AE3281" s="39">
        <v>0.46310065473003298</v>
      </c>
      <c r="AF3281" s="40">
        <v>0.48353615460317773</v>
      </c>
    </row>
    <row r="3282" spans="1:32">
      <c r="A3282" s="15">
        <v>3280</v>
      </c>
      <c r="B3282" s="16">
        <v>0</v>
      </c>
      <c r="C3282" s="20">
        <v>0.94</v>
      </c>
      <c r="D3282" s="20">
        <v>0.17188516685452584</v>
      </c>
      <c r="E3282" s="20">
        <v>0.06</v>
      </c>
      <c r="F3282" s="8" t="s">
        <v>434</v>
      </c>
      <c r="G3282" s="24">
        <v>0.8187893319987114</v>
      </c>
      <c r="H3282" s="24">
        <v>0.82352991322919578</v>
      </c>
      <c r="I3282" s="25">
        <v>0.83793232742576573</v>
      </c>
      <c r="X3282" s="15">
        <v>3281</v>
      </c>
      <c r="Y3282" s="39">
        <v>0.49830434270739016</v>
      </c>
      <c r="Z3282" s="39">
        <v>0.48467717529236293</v>
      </c>
      <c r="AA3282" s="39">
        <v>0.49326168911699347</v>
      </c>
      <c r="AB3282" s="39">
        <v>0.49491579208435726</v>
      </c>
      <c r="AC3282" s="39">
        <v>0.49047897281970604</v>
      </c>
      <c r="AD3282" s="39">
        <v>0.47991709432825708</v>
      </c>
      <c r="AE3282" s="39">
        <v>0.48591319999880411</v>
      </c>
      <c r="AF3282" s="40">
        <v>0.49193692334780215</v>
      </c>
    </row>
    <row r="3283" spans="1:32">
      <c r="A3283" s="15">
        <v>3281</v>
      </c>
      <c r="B3283" s="16">
        <v>1</v>
      </c>
      <c r="C3283" s="20">
        <v>0.14000000000000001</v>
      </c>
      <c r="D3283" s="20">
        <v>0.83297436741323039</v>
      </c>
      <c r="E3283" s="20">
        <v>0.13</v>
      </c>
      <c r="F3283" s="8" t="s">
        <v>436</v>
      </c>
      <c r="G3283" s="24">
        <v>1.1112544109280882</v>
      </c>
      <c r="H3283" s="24">
        <v>1.1176882903117866</v>
      </c>
      <c r="I3283" s="25">
        <v>1.1372351330446824</v>
      </c>
      <c r="X3283" s="15">
        <v>3282</v>
      </c>
      <c r="Y3283" s="39">
        <v>0.48679797182143258</v>
      </c>
      <c r="Z3283" s="39">
        <v>0.48501578374191967</v>
      </c>
      <c r="AA3283" s="39">
        <v>0.48679961887948231</v>
      </c>
      <c r="AB3283" s="39">
        <v>0.48071413486519604</v>
      </c>
      <c r="AC3283" s="39">
        <v>0.48255401321480257</v>
      </c>
      <c r="AD3283" s="39">
        <v>0.47854727723373192</v>
      </c>
      <c r="AE3283" s="39">
        <v>0.48062459807283131</v>
      </c>
      <c r="AF3283" s="40">
        <v>0.47550908653500196</v>
      </c>
    </row>
    <row r="3284" spans="1:32">
      <c r="A3284" s="15">
        <v>3282</v>
      </c>
      <c r="B3284" s="16">
        <v>0</v>
      </c>
      <c r="C3284" s="20">
        <v>0.55000000000000004</v>
      </c>
      <c r="D3284" s="20">
        <v>0.46256588287337774</v>
      </c>
      <c r="E3284" s="20">
        <v>0.08</v>
      </c>
      <c r="F3284" s="8" t="s">
        <v>438</v>
      </c>
      <c r="G3284" s="24">
        <v>0.40117085756603332</v>
      </c>
      <c r="H3284" s="24">
        <v>0.40349353442963204</v>
      </c>
      <c r="I3284" s="25">
        <v>0.41055008564306222</v>
      </c>
      <c r="X3284" s="15">
        <v>3283</v>
      </c>
      <c r="Y3284" s="39">
        <v>0.48595081930335648</v>
      </c>
      <c r="Z3284" s="39">
        <v>0.49944335574950166</v>
      </c>
      <c r="AA3284" s="39">
        <v>0.4939416131420245</v>
      </c>
      <c r="AB3284" s="39">
        <v>0.50020763595520923</v>
      </c>
      <c r="AC3284" s="39">
        <v>0.48032418753394807</v>
      </c>
      <c r="AD3284" s="39">
        <v>0.49156517346056533</v>
      </c>
      <c r="AE3284" s="39">
        <v>0.48731188366843531</v>
      </c>
      <c r="AF3284" s="40">
        <v>0.49658003395127831</v>
      </c>
    </row>
    <row r="3285" spans="1:32">
      <c r="A3285" s="15">
        <v>3283</v>
      </c>
      <c r="B3285" s="16">
        <v>0</v>
      </c>
      <c r="C3285" s="20">
        <v>0.17</v>
      </c>
      <c r="D3285" s="20">
        <v>0.85775926268429503</v>
      </c>
      <c r="E3285" s="20">
        <v>0.13</v>
      </c>
      <c r="F3285" s="8" t="s">
        <v>436</v>
      </c>
      <c r="G3285" s="24">
        <v>1.216358961872968</v>
      </c>
      <c r="H3285" s="24">
        <v>1.2234013697779547</v>
      </c>
      <c r="I3285" s="25">
        <v>1.2447969899893718</v>
      </c>
      <c r="X3285" s="15">
        <v>3284</v>
      </c>
      <c r="Y3285" s="39">
        <v>0.48567067020154958</v>
      </c>
      <c r="Z3285" s="39">
        <v>0.47685247800153285</v>
      </c>
      <c r="AA3285" s="39">
        <v>0.49805791173178376</v>
      </c>
      <c r="AB3285" s="39">
        <v>0.49933703928687806</v>
      </c>
      <c r="AC3285" s="39">
        <v>0.47804133887441269</v>
      </c>
      <c r="AD3285" s="39">
        <v>0.46970778007067121</v>
      </c>
      <c r="AE3285" s="39">
        <v>0.49128318491985279</v>
      </c>
      <c r="AF3285" s="40">
        <v>0.49511054484183531</v>
      </c>
    </row>
    <row r="3286" spans="1:32">
      <c r="A3286" s="15">
        <v>3284</v>
      </c>
      <c r="B3286" s="16">
        <v>1</v>
      </c>
      <c r="C3286" s="20">
        <v>0.34</v>
      </c>
      <c r="D3286" s="20">
        <v>0.5980431336171852</v>
      </c>
      <c r="E3286" s="20">
        <v>0.09</v>
      </c>
      <c r="F3286" s="8" t="s">
        <v>436</v>
      </c>
      <c r="G3286" s="24">
        <v>0.93518793374401477</v>
      </c>
      <c r="H3286" s="24">
        <v>0.94060243316703529</v>
      </c>
      <c r="I3286" s="25">
        <v>0.95705228595216774</v>
      </c>
      <c r="X3286" s="15">
        <v>3285</v>
      </c>
      <c r="Y3286" s="39">
        <v>0.47984049509990673</v>
      </c>
      <c r="Z3286" s="39">
        <v>0.47998862766372785</v>
      </c>
      <c r="AA3286" s="39">
        <v>0.48060843638766221</v>
      </c>
      <c r="AB3286" s="39">
        <v>0.50315234968647449</v>
      </c>
      <c r="AC3286" s="39">
        <v>0.47301408991338673</v>
      </c>
      <c r="AD3286" s="39">
        <v>0.47579633105477925</v>
      </c>
      <c r="AE3286" s="39">
        <v>0.47380828309669237</v>
      </c>
      <c r="AF3286" s="40">
        <v>0.49730039735356807</v>
      </c>
    </row>
    <row r="3287" spans="1:32">
      <c r="A3287" s="15">
        <v>3285</v>
      </c>
      <c r="B3287" s="16">
        <v>0</v>
      </c>
      <c r="C3287" s="20">
        <v>0.96</v>
      </c>
      <c r="D3287" s="20">
        <v>0.13880369068795359</v>
      </c>
      <c r="E3287" s="20">
        <v>0.04</v>
      </c>
      <c r="F3287" s="8" t="s">
        <v>434</v>
      </c>
      <c r="G3287" s="24">
        <v>0.78364730232225188</v>
      </c>
      <c r="H3287" s="24">
        <v>0.78818442017116208</v>
      </c>
      <c r="I3287" s="25">
        <v>0.80196868993505721</v>
      </c>
      <c r="X3287" s="15">
        <v>3286</v>
      </c>
      <c r="Y3287" s="39">
        <v>0.5052720793922667</v>
      </c>
      <c r="Z3287" s="39">
        <v>0.4904636144498507</v>
      </c>
      <c r="AA3287" s="39">
        <v>0.48765038851011988</v>
      </c>
      <c r="AB3287" s="39">
        <v>0.49318058458496578</v>
      </c>
      <c r="AC3287" s="39">
        <v>0.49877737032661768</v>
      </c>
      <c r="AD3287" s="39">
        <v>0.48334970671598393</v>
      </c>
      <c r="AE3287" s="39">
        <v>0.4819238285721712</v>
      </c>
      <c r="AF3287" s="40">
        <v>0.4900715661560619</v>
      </c>
    </row>
    <row r="3288" spans="1:32">
      <c r="A3288" s="15">
        <v>3286</v>
      </c>
      <c r="B3288" s="16">
        <v>0</v>
      </c>
      <c r="C3288" s="20">
        <v>0.22</v>
      </c>
      <c r="D3288" s="20">
        <v>0.78120495369953658</v>
      </c>
      <c r="E3288" s="20">
        <v>0.05</v>
      </c>
      <c r="F3288" s="8" t="s">
        <v>436</v>
      </c>
      <c r="G3288" s="24">
        <v>0.83271659228011929</v>
      </c>
      <c r="H3288" s="24">
        <v>0.83753780879260098</v>
      </c>
      <c r="I3288" s="25">
        <v>0.85218520196405168</v>
      </c>
      <c r="X3288" s="15">
        <v>3287</v>
      </c>
      <c r="Y3288" s="39">
        <v>0.49624294739089608</v>
      </c>
      <c r="Z3288" s="39">
        <v>0.48664095217106268</v>
      </c>
      <c r="AA3288" s="39">
        <v>0.49430592130983164</v>
      </c>
      <c r="AB3288" s="39">
        <v>0.47726199793617885</v>
      </c>
      <c r="AC3288" s="39">
        <v>0.48985114383008616</v>
      </c>
      <c r="AD3288" s="39">
        <v>0.47966820165487356</v>
      </c>
      <c r="AE3288" s="39">
        <v>0.48414310713383513</v>
      </c>
      <c r="AF3288" s="40">
        <v>0.47243974369449471</v>
      </c>
    </row>
    <row r="3289" spans="1:32">
      <c r="A3289" s="15">
        <v>3287</v>
      </c>
      <c r="B3289" s="16">
        <v>0</v>
      </c>
      <c r="C3289" s="20">
        <v>0.02</v>
      </c>
      <c r="D3289" s="20">
        <v>0.99679477127711513</v>
      </c>
      <c r="E3289" s="20">
        <v>1</v>
      </c>
      <c r="F3289" s="8" t="s">
        <v>436</v>
      </c>
      <c r="G3289" s="24">
        <v>0.98953748404141384</v>
      </c>
      <c r="H3289" s="24">
        <v>0.99526665348754784</v>
      </c>
      <c r="I3289" s="25">
        <v>1.0126725088782218</v>
      </c>
      <c r="X3289" s="15">
        <v>3288</v>
      </c>
      <c r="Y3289" s="39">
        <v>0.47176955438760954</v>
      </c>
      <c r="Z3289" s="39">
        <v>0.47750947642377739</v>
      </c>
      <c r="AA3289" s="39">
        <v>0.47747809554533616</v>
      </c>
      <c r="AB3289" s="39">
        <v>0.49290950077580781</v>
      </c>
      <c r="AC3289" s="39">
        <v>0.46506993409325231</v>
      </c>
      <c r="AD3289" s="39">
        <v>0.47110415005657297</v>
      </c>
      <c r="AE3289" s="39">
        <v>0.47000486488940912</v>
      </c>
      <c r="AF3289" s="40">
        <v>0.48661074062635401</v>
      </c>
    </row>
    <row r="3290" spans="1:32">
      <c r="A3290" s="15">
        <v>3288</v>
      </c>
      <c r="B3290" s="16">
        <v>1</v>
      </c>
      <c r="C3290" s="20">
        <v>0.02</v>
      </c>
      <c r="D3290" s="20">
        <v>0.99756714174924133</v>
      </c>
      <c r="E3290" s="20">
        <v>1</v>
      </c>
      <c r="F3290" s="8" t="s">
        <v>436</v>
      </c>
      <c r="G3290" s="24">
        <v>1.0939105731734766</v>
      </c>
      <c r="H3290" s="24">
        <v>1.1002440361637134</v>
      </c>
      <c r="I3290" s="25">
        <v>1.1194858027001593</v>
      </c>
      <c r="X3290" s="15">
        <v>3289</v>
      </c>
      <c r="Y3290" s="39">
        <v>0.49963849750242478</v>
      </c>
      <c r="Z3290" s="39">
        <v>0.48072949332972842</v>
      </c>
      <c r="AA3290" s="39">
        <v>0.48571252464053977</v>
      </c>
      <c r="AB3290" s="39">
        <v>0.47450011800459063</v>
      </c>
      <c r="AC3290" s="39">
        <v>0.49022746369989284</v>
      </c>
      <c r="AD3290" s="39">
        <v>0.4711651330075376</v>
      </c>
      <c r="AE3290" s="39">
        <v>0.47768728138007904</v>
      </c>
      <c r="AF3290" s="40">
        <v>0.46831315712879601</v>
      </c>
    </row>
    <row r="3291" spans="1:32">
      <c r="A3291" s="15">
        <v>3289</v>
      </c>
      <c r="B3291" s="16">
        <v>1</v>
      </c>
      <c r="C3291" s="20">
        <v>0.17</v>
      </c>
      <c r="D3291" s="20">
        <v>0.81389365747272346</v>
      </c>
      <c r="E3291" s="20">
        <v>0.46</v>
      </c>
      <c r="F3291" s="8" t="s">
        <v>436</v>
      </c>
      <c r="G3291" s="24">
        <v>0.84449011977450827</v>
      </c>
      <c r="H3291" s="24">
        <v>0.84937950200590606</v>
      </c>
      <c r="I3291" s="25">
        <v>0.86423399022965175</v>
      </c>
      <c r="X3291" s="15">
        <v>3290</v>
      </c>
      <c r="Y3291" s="39">
        <v>0.48944289061680274</v>
      </c>
      <c r="Z3291" s="39">
        <v>0.5000099646319881</v>
      </c>
      <c r="AA3291" s="39">
        <v>0.48693719270894215</v>
      </c>
      <c r="AB3291" s="39">
        <v>0.47602717201838196</v>
      </c>
      <c r="AC3291" s="39">
        <v>0.48385858724148229</v>
      </c>
      <c r="AD3291" s="39">
        <v>0.49312515567859194</v>
      </c>
      <c r="AE3291" s="39">
        <v>0.4792427097550313</v>
      </c>
      <c r="AF3291" s="40">
        <v>0.47229748475385935</v>
      </c>
    </row>
    <row r="3292" spans="1:32">
      <c r="A3292" s="15">
        <v>3290</v>
      </c>
      <c r="B3292" s="16">
        <v>1</v>
      </c>
      <c r="C3292" s="20">
        <v>0.96</v>
      </c>
      <c r="D3292" s="20">
        <v>0.13880369068795359</v>
      </c>
      <c r="E3292" s="20">
        <v>0.04</v>
      </c>
      <c r="F3292" s="8" t="s">
        <v>434</v>
      </c>
      <c r="G3292" s="24">
        <v>1.202437719735689</v>
      </c>
      <c r="H3292" s="24">
        <v>1.2093995272021967</v>
      </c>
      <c r="I3292" s="25">
        <v>1.2305502742972256</v>
      </c>
      <c r="X3292" s="15">
        <v>3291</v>
      </c>
      <c r="Y3292" s="39">
        <v>0.47290307314611668</v>
      </c>
      <c r="Z3292" s="39">
        <v>0.48167018316252902</v>
      </c>
      <c r="AA3292" s="39">
        <v>0.48594270293428504</v>
      </c>
      <c r="AB3292" s="39">
        <v>0.50248587081643359</v>
      </c>
      <c r="AC3292" s="39">
        <v>0.46486460024369353</v>
      </c>
      <c r="AD3292" s="39">
        <v>0.47307079250484257</v>
      </c>
      <c r="AE3292" s="39">
        <v>0.48005608231519303</v>
      </c>
      <c r="AF3292" s="40">
        <v>0.49977848456188734</v>
      </c>
    </row>
    <row r="3293" spans="1:32">
      <c r="A3293" s="15">
        <v>3291</v>
      </c>
      <c r="B3293" s="16">
        <v>1</v>
      </c>
      <c r="C3293" s="20">
        <v>0.69</v>
      </c>
      <c r="D3293" s="20">
        <v>0.42989220151634988</v>
      </c>
      <c r="E3293" s="20">
        <v>0.05</v>
      </c>
      <c r="F3293" s="8" t="s">
        <v>438</v>
      </c>
      <c r="G3293" s="24">
        <v>0.90007136948877087</v>
      </c>
      <c r="H3293" s="24">
        <v>0.90528255296850568</v>
      </c>
      <c r="I3293" s="25">
        <v>0.92111470925491867</v>
      </c>
      <c r="X3293" s="15">
        <v>3292</v>
      </c>
      <c r="Y3293" s="39">
        <v>0.48612451063730727</v>
      </c>
      <c r="Z3293" s="39">
        <v>0.47276776018332312</v>
      </c>
      <c r="AA3293" s="39">
        <v>0.4811982171511438</v>
      </c>
      <c r="AB3293" s="39">
        <v>0.4971043213591757</v>
      </c>
      <c r="AC3293" s="39">
        <v>0.47837330776753706</v>
      </c>
      <c r="AD3293" s="39">
        <v>0.46698274466089462</v>
      </c>
      <c r="AE3293" s="39">
        <v>0.47457338333700394</v>
      </c>
      <c r="AF3293" s="40">
        <v>0.49203503201590565</v>
      </c>
    </row>
    <row r="3294" spans="1:32">
      <c r="A3294" s="15">
        <v>3292</v>
      </c>
      <c r="B3294" s="16">
        <v>0</v>
      </c>
      <c r="C3294" s="20">
        <v>0.44</v>
      </c>
      <c r="D3294" s="20">
        <v>0.69513134142377297</v>
      </c>
      <c r="E3294" s="20">
        <v>0.45</v>
      </c>
      <c r="F3294" s="8" t="s">
        <v>436</v>
      </c>
      <c r="G3294" s="24">
        <v>1.0090140416198232</v>
      </c>
      <c r="H3294" s="24">
        <v>1.0148559753628066</v>
      </c>
      <c r="I3294" s="25">
        <v>1.0326044212568068</v>
      </c>
      <c r="X3294" s="15">
        <v>3293</v>
      </c>
      <c r="Y3294" s="39">
        <v>0.48173291937119683</v>
      </c>
      <c r="Z3294" s="39">
        <v>0.48591614807501521</v>
      </c>
      <c r="AA3294" s="39">
        <v>0.48406012779105861</v>
      </c>
      <c r="AB3294" s="39">
        <v>0.48660590863279257</v>
      </c>
      <c r="AC3294" s="39">
        <v>0.47725660626706895</v>
      </c>
      <c r="AD3294" s="39">
        <v>0.47985440213058461</v>
      </c>
      <c r="AE3294" s="39">
        <v>0.47648336049901768</v>
      </c>
      <c r="AF3294" s="40">
        <v>0.48426163695157548</v>
      </c>
    </row>
    <row r="3295" spans="1:32">
      <c r="A3295" s="15">
        <v>3293</v>
      </c>
      <c r="B3295" s="16">
        <v>1</v>
      </c>
      <c r="C3295" s="20">
        <v>0.49</v>
      </c>
      <c r="D3295" s="20">
        <v>0.58094046660785881</v>
      </c>
      <c r="E3295" s="20">
        <v>7.0000000000000007E-2</v>
      </c>
      <c r="F3295" s="8" t="s">
        <v>436</v>
      </c>
      <c r="G3295" s="24">
        <v>1.3394289963645447</v>
      </c>
      <c r="H3295" s="24">
        <v>1.3471839483547379</v>
      </c>
      <c r="I3295" s="25">
        <v>1.3707443569221622</v>
      </c>
      <c r="X3295" s="15">
        <v>3294</v>
      </c>
      <c r="Y3295" s="39">
        <v>0.48109192960982261</v>
      </c>
      <c r="Z3295" s="39">
        <v>0.47492586926895303</v>
      </c>
      <c r="AA3295" s="39">
        <v>0.4863944459322202</v>
      </c>
      <c r="AB3295" s="39">
        <v>0.46682284274715941</v>
      </c>
      <c r="AC3295" s="39">
        <v>0.47639512841228754</v>
      </c>
      <c r="AD3295" s="39">
        <v>0.47036211559965635</v>
      </c>
      <c r="AE3295" s="39">
        <v>0.48010112266164923</v>
      </c>
      <c r="AF3295" s="40">
        <v>0.46493859617239375</v>
      </c>
    </row>
    <row r="3296" spans="1:32">
      <c r="A3296" s="15">
        <v>3294</v>
      </c>
      <c r="B3296" s="16">
        <v>0</v>
      </c>
      <c r="C3296" s="20">
        <v>0.65</v>
      </c>
      <c r="D3296" s="20">
        <v>0.52792199317104227</v>
      </c>
      <c r="E3296" s="20">
        <v>0.35</v>
      </c>
      <c r="F3296" s="8" t="s">
        <v>438</v>
      </c>
      <c r="G3296" s="24">
        <v>0.85807503121327755</v>
      </c>
      <c r="H3296" s="24">
        <v>0.86304306661426067</v>
      </c>
      <c r="I3296" s="25">
        <v>0.87813651193443965</v>
      </c>
      <c r="X3296" s="15">
        <v>3295</v>
      </c>
      <c r="Y3296" s="39">
        <v>0.48880833516320693</v>
      </c>
      <c r="Z3296" s="39">
        <v>0.49657382036664816</v>
      </c>
      <c r="AA3296" s="39">
        <v>0.48617590871094224</v>
      </c>
      <c r="AB3296" s="39">
        <v>0.50505630439595794</v>
      </c>
      <c r="AC3296" s="39">
        <v>0.47813313004689234</v>
      </c>
      <c r="AD3296" s="39">
        <v>0.49094581299690782</v>
      </c>
      <c r="AE3296" s="39">
        <v>0.47893628275287808</v>
      </c>
      <c r="AF3296" s="40">
        <v>0.50168501821996137</v>
      </c>
    </row>
    <row r="3297" spans="1:32">
      <c r="A3297" s="15">
        <v>3295</v>
      </c>
      <c r="B3297" s="16">
        <v>0</v>
      </c>
      <c r="C3297" s="20">
        <v>0.93</v>
      </c>
      <c r="D3297" s="20">
        <v>0.18747949848141848</v>
      </c>
      <c r="E3297" s="20">
        <v>7.0000000000000007E-2</v>
      </c>
      <c r="F3297" s="8" t="s">
        <v>434</v>
      </c>
      <c r="G3297" s="24">
        <v>0.98417562097309197</v>
      </c>
      <c r="H3297" s="24">
        <v>0.98987374660071392</v>
      </c>
      <c r="I3297" s="25">
        <v>1.0071852874103875</v>
      </c>
      <c r="X3297" s="15">
        <v>3296</v>
      </c>
      <c r="Y3297" s="39">
        <v>0.4821194035102408</v>
      </c>
      <c r="Z3297" s="39">
        <v>0.47648613815291663</v>
      </c>
      <c r="AA3297" s="39">
        <v>0.49340674066855533</v>
      </c>
      <c r="AB3297" s="39">
        <v>0.50024271503831608</v>
      </c>
      <c r="AC3297" s="39">
        <v>0.47655889164591242</v>
      </c>
      <c r="AD3297" s="39">
        <v>0.47096823288605344</v>
      </c>
      <c r="AE3297" s="39">
        <v>0.48477918358015315</v>
      </c>
      <c r="AF3297" s="40">
        <v>0.49533005818880022</v>
      </c>
    </row>
    <row r="3298" spans="1:32">
      <c r="A3298" s="15">
        <v>3296</v>
      </c>
      <c r="B3298" s="16">
        <v>1</v>
      </c>
      <c r="C3298" s="20">
        <v>0.16</v>
      </c>
      <c r="D3298" s="20">
        <v>0.85801523986257866</v>
      </c>
      <c r="E3298" s="20">
        <v>0.53</v>
      </c>
      <c r="F3298" s="8" t="s">
        <v>436</v>
      </c>
      <c r="G3298" s="24">
        <v>1.143619959813053</v>
      </c>
      <c r="H3298" s="24">
        <v>1.1502412274632592</v>
      </c>
      <c r="I3298" s="25">
        <v>1.1703573766374136</v>
      </c>
      <c r="X3298" s="15">
        <v>3297</v>
      </c>
      <c r="Y3298" s="39">
        <v>0.5031464980193322</v>
      </c>
      <c r="Z3298" s="39">
        <v>0.4782660403206288</v>
      </c>
      <c r="AA3298" s="39">
        <v>0.47845090218432146</v>
      </c>
      <c r="AB3298" s="39">
        <v>0.48562167664931677</v>
      </c>
      <c r="AC3298" s="39">
        <v>0.49693574950525565</v>
      </c>
      <c r="AD3298" s="39">
        <v>0.47352531630133432</v>
      </c>
      <c r="AE3298" s="39">
        <v>0.47395507423838706</v>
      </c>
      <c r="AF3298" s="40">
        <v>0.47798225488072998</v>
      </c>
    </row>
    <row r="3299" spans="1:32">
      <c r="A3299" s="15">
        <v>3297</v>
      </c>
      <c r="B3299" s="16">
        <v>0</v>
      </c>
      <c r="C3299" s="20">
        <v>0.02</v>
      </c>
      <c r="D3299" s="20">
        <v>0.99917029198757767</v>
      </c>
      <c r="E3299" s="20">
        <v>1</v>
      </c>
      <c r="F3299" s="8" t="s">
        <v>436</v>
      </c>
      <c r="G3299" s="24">
        <v>1.2081940362533898</v>
      </c>
      <c r="H3299" s="24">
        <v>1.2151891713231944</v>
      </c>
      <c r="I3299" s="25">
        <v>1.236441171391967</v>
      </c>
      <c r="X3299" s="15">
        <v>3298</v>
      </c>
      <c r="Y3299" s="39">
        <v>0.49815068921446332</v>
      </c>
      <c r="Z3299" s="39">
        <v>0.4752151929635221</v>
      </c>
      <c r="AA3299" s="39">
        <v>0.49701339608238393</v>
      </c>
      <c r="AB3299" s="39">
        <v>0.48358681792421138</v>
      </c>
      <c r="AC3299" s="39">
        <v>0.48929600631145898</v>
      </c>
      <c r="AD3299" s="39">
        <v>0.46877953657144317</v>
      </c>
      <c r="AE3299" s="39">
        <v>0.48761596862553019</v>
      </c>
      <c r="AF3299" s="40">
        <v>0.47910863680441085</v>
      </c>
    </row>
    <row r="3300" spans="1:32">
      <c r="A3300" s="15">
        <v>3298</v>
      </c>
      <c r="B3300" s="16">
        <v>1</v>
      </c>
      <c r="C3300" s="20">
        <v>0.93</v>
      </c>
      <c r="D3300" s="20">
        <v>0.18747949848141848</v>
      </c>
      <c r="E3300" s="20">
        <v>7.0000000000000007E-2</v>
      </c>
      <c r="F3300" s="8" t="s">
        <v>434</v>
      </c>
      <c r="G3300" s="24">
        <v>1.0942152402398977</v>
      </c>
      <c r="H3300" s="24">
        <v>1.1005504671746806</v>
      </c>
      <c r="I3300" s="25">
        <v>1.1197975927712793</v>
      </c>
      <c r="X3300" s="15">
        <v>3299</v>
      </c>
      <c r="Y3300" s="39">
        <v>0.4879637554362829</v>
      </c>
      <c r="Z3300" s="39">
        <v>0.48267520666089059</v>
      </c>
      <c r="AA3300" s="39">
        <v>0.48869370655833372</v>
      </c>
      <c r="AB3300" s="39">
        <v>0.48801261630841353</v>
      </c>
      <c r="AC3300" s="39">
        <v>0.47775863287800696</v>
      </c>
      <c r="AD3300" s="39">
        <v>0.47478976929738137</v>
      </c>
      <c r="AE3300" s="39">
        <v>0.48080513918482132</v>
      </c>
      <c r="AF3300" s="40">
        <v>0.48246229809992186</v>
      </c>
    </row>
    <row r="3301" spans="1:32">
      <c r="A3301" s="15">
        <v>3299</v>
      </c>
      <c r="B3301" s="16">
        <v>0</v>
      </c>
      <c r="C3301" s="20">
        <v>0.02</v>
      </c>
      <c r="D3301" s="20">
        <v>0.99756714174924133</v>
      </c>
      <c r="E3301" s="20">
        <v>1</v>
      </c>
      <c r="F3301" s="8" t="s">
        <v>436</v>
      </c>
      <c r="G3301" s="24">
        <v>0.92367945777272553</v>
      </c>
      <c r="H3301" s="24">
        <v>0.92902732605749239</v>
      </c>
      <c r="I3301" s="25">
        <v>0.94527474601743744</v>
      </c>
      <c r="X3301" s="15">
        <v>3300</v>
      </c>
      <c r="Y3301" s="39">
        <v>0.49822795850335011</v>
      </c>
      <c r="Z3301" s="39">
        <v>0.49024455816136348</v>
      </c>
      <c r="AA3301" s="39">
        <v>0.48276123810283356</v>
      </c>
      <c r="AB3301" s="39">
        <v>0.48607477266561344</v>
      </c>
      <c r="AC3301" s="39">
        <v>0.49371746602116989</v>
      </c>
      <c r="AD3301" s="39">
        <v>0.48565309488115777</v>
      </c>
      <c r="AE3301" s="39">
        <v>0.47576981327521106</v>
      </c>
      <c r="AF3301" s="40">
        <v>0.4800599970364019</v>
      </c>
    </row>
    <row r="3302" spans="1:32">
      <c r="A3302" s="15">
        <v>3300</v>
      </c>
      <c r="B3302" s="16">
        <v>0</v>
      </c>
      <c r="C3302" s="20">
        <v>0.46</v>
      </c>
      <c r="D3302" s="20">
        <v>0.68316901763174687</v>
      </c>
      <c r="E3302" s="20">
        <v>0.04</v>
      </c>
      <c r="F3302" s="8" t="s">
        <v>436</v>
      </c>
      <c r="G3302" s="24">
        <v>0.9365980064163385</v>
      </c>
      <c r="H3302" s="24">
        <v>0.94202066980020072</v>
      </c>
      <c r="I3302" s="25">
        <v>0.95849532560838235</v>
      </c>
      <c r="X3302" s="15">
        <v>3301</v>
      </c>
      <c r="Y3302" s="39">
        <v>0.4801916863379424</v>
      </c>
      <c r="Z3302" s="39">
        <v>0.49616006064922924</v>
      </c>
      <c r="AA3302" s="39">
        <v>0.47134701348465641</v>
      </c>
      <c r="AB3302" s="39">
        <v>0.49105440568708059</v>
      </c>
      <c r="AC3302" s="39">
        <v>0.47461548035906059</v>
      </c>
      <c r="AD3302" s="39">
        <v>0.48624977674510533</v>
      </c>
      <c r="AE3302" s="39">
        <v>0.4640325354392974</v>
      </c>
      <c r="AF3302" s="40">
        <v>0.48483111009149532</v>
      </c>
    </row>
    <row r="3303" spans="1:32">
      <c r="A3303" s="15">
        <v>3301</v>
      </c>
      <c r="B3303" s="16">
        <v>0</v>
      </c>
      <c r="C3303" s="20">
        <v>0.93</v>
      </c>
      <c r="D3303" s="20">
        <v>0.18747949848141848</v>
      </c>
      <c r="E3303" s="20">
        <v>7.0000000000000007E-2</v>
      </c>
      <c r="F3303" s="8" t="s">
        <v>434</v>
      </c>
      <c r="G3303" s="24">
        <v>0.68409547786426206</v>
      </c>
      <c r="H3303" s="24">
        <v>0.6880562160608702</v>
      </c>
      <c r="I3303" s="25">
        <v>0.70008938019376232</v>
      </c>
      <c r="X3303" s="15">
        <v>3302</v>
      </c>
      <c r="Y3303" s="39">
        <v>0.4961087880689945</v>
      </c>
      <c r="Z3303" s="39">
        <v>0.4905599710438614</v>
      </c>
      <c r="AA3303" s="39">
        <v>0.4929952834936161</v>
      </c>
      <c r="AB3303" s="39">
        <v>0.48813597200844888</v>
      </c>
      <c r="AC3303" s="39">
        <v>0.48804498196264556</v>
      </c>
      <c r="AD3303" s="39">
        <v>0.48263772652228321</v>
      </c>
      <c r="AE3303" s="39">
        <v>0.48806019233900522</v>
      </c>
      <c r="AF3303" s="40">
        <v>0.48273630295815478</v>
      </c>
    </row>
    <row r="3304" spans="1:32">
      <c r="A3304" s="15">
        <v>3302</v>
      </c>
      <c r="B3304" s="16">
        <v>0</v>
      </c>
      <c r="C3304" s="20">
        <v>0.3</v>
      </c>
      <c r="D3304" s="20">
        <v>0.69597448160491804</v>
      </c>
      <c r="E3304" s="20">
        <v>0.24</v>
      </c>
      <c r="F3304" s="8" t="s">
        <v>436</v>
      </c>
      <c r="G3304" s="24">
        <v>0.61668689798873944</v>
      </c>
      <c r="H3304" s="24">
        <v>0.62025735771438673</v>
      </c>
      <c r="I3304" s="25">
        <v>0.63110481234933025</v>
      </c>
      <c r="X3304" s="15">
        <v>3303</v>
      </c>
      <c r="Y3304" s="39">
        <v>0.50010984369026634</v>
      </c>
      <c r="Z3304" s="39">
        <v>0.48303633501138127</v>
      </c>
      <c r="AA3304" s="39">
        <v>0.48867345502301873</v>
      </c>
      <c r="AB3304" s="39">
        <v>0.48441403208786454</v>
      </c>
      <c r="AC3304" s="39">
        <v>0.49050764627000332</v>
      </c>
      <c r="AD3304" s="39">
        <v>0.47677286713087541</v>
      </c>
      <c r="AE3304" s="39">
        <v>0.481439338138269</v>
      </c>
      <c r="AF3304" s="40">
        <v>0.47925892828517558</v>
      </c>
    </row>
    <row r="3305" spans="1:32">
      <c r="A3305" s="15">
        <v>3303</v>
      </c>
      <c r="B3305" s="16">
        <v>0</v>
      </c>
      <c r="C3305" s="20">
        <v>0.02</v>
      </c>
      <c r="D3305" s="20">
        <v>0.99679477127711513</v>
      </c>
      <c r="E3305" s="20">
        <v>1</v>
      </c>
      <c r="F3305" s="8" t="s">
        <v>436</v>
      </c>
      <c r="G3305" s="24">
        <v>1.058254794801335</v>
      </c>
      <c r="H3305" s="24">
        <v>1.0643818199361876</v>
      </c>
      <c r="I3305" s="25">
        <v>1.0829964052569683</v>
      </c>
      <c r="X3305" s="15">
        <v>3304</v>
      </c>
      <c r="Y3305" s="39">
        <v>0.4776332146348034</v>
      </c>
      <c r="Z3305" s="39">
        <v>0.48834586382293738</v>
      </c>
      <c r="AA3305" s="39">
        <v>0.48630617140187588</v>
      </c>
      <c r="AB3305" s="39">
        <v>0.48999161595965068</v>
      </c>
      <c r="AC3305" s="39">
        <v>0.46861921795802947</v>
      </c>
      <c r="AD3305" s="39">
        <v>0.48302057806570164</v>
      </c>
      <c r="AE3305" s="39">
        <v>0.48060328473488489</v>
      </c>
      <c r="AF3305" s="40">
        <v>0.48582450424489693</v>
      </c>
    </row>
    <row r="3306" spans="1:32">
      <c r="A3306" s="15">
        <v>3304</v>
      </c>
      <c r="B3306" s="16">
        <v>0</v>
      </c>
      <c r="C3306" s="20">
        <v>0.92</v>
      </c>
      <c r="D3306" s="20">
        <v>0.20258497911151899</v>
      </c>
      <c r="E3306" s="20">
        <v>0.08</v>
      </c>
      <c r="F3306" s="8" t="s">
        <v>434</v>
      </c>
      <c r="G3306" s="24">
        <v>0.84991842451464139</v>
      </c>
      <c r="H3306" s="24">
        <v>0.85483923524487115</v>
      </c>
      <c r="I3306" s="25">
        <v>0.86978920675130911</v>
      </c>
      <c r="X3306" s="15">
        <v>3305</v>
      </c>
      <c r="Y3306" s="39">
        <v>0.49137699523955974</v>
      </c>
      <c r="Z3306" s="39">
        <v>0.4932213780289264</v>
      </c>
      <c r="AA3306" s="39">
        <v>0.48223249588576639</v>
      </c>
      <c r="AB3306" s="39">
        <v>0.4896705831093256</v>
      </c>
      <c r="AC3306" s="39">
        <v>0.48369250416917947</v>
      </c>
      <c r="AD3306" s="39">
        <v>0.485026094800518</v>
      </c>
      <c r="AE3306" s="39">
        <v>0.47759406792676939</v>
      </c>
      <c r="AF3306" s="40">
        <v>0.48365390625499843</v>
      </c>
    </row>
    <row r="3307" spans="1:32">
      <c r="A3307" s="15">
        <v>3305</v>
      </c>
      <c r="B3307" s="16">
        <v>0</v>
      </c>
      <c r="C3307" s="20">
        <v>0.91</v>
      </c>
      <c r="D3307" s="20">
        <v>0.21727233298780477</v>
      </c>
      <c r="E3307" s="20">
        <v>0.09</v>
      </c>
      <c r="F3307" s="8" t="s">
        <v>434</v>
      </c>
      <c r="G3307" s="24">
        <v>0.45151394711977655</v>
      </c>
      <c r="H3307" s="24">
        <v>0.45412809762146056</v>
      </c>
      <c r="I3307" s="25">
        <v>0.46207017823708518</v>
      </c>
      <c r="X3307" s="15">
        <v>3306</v>
      </c>
      <c r="Y3307" s="39">
        <v>0.47985243561475649</v>
      </c>
      <c r="Z3307" s="39">
        <v>0.47681397664833908</v>
      </c>
      <c r="AA3307" s="39">
        <v>0.48258176813378978</v>
      </c>
      <c r="AB3307" s="39">
        <v>0.49849400906866226</v>
      </c>
      <c r="AC3307" s="39">
        <v>0.4740565444994897</v>
      </c>
      <c r="AD3307" s="39">
        <v>0.46910604966322511</v>
      </c>
      <c r="AE3307" s="39">
        <v>0.47573620844700676</v>
      </c>
      <c r="AF3307" s="40">
        <v>0.4933226749223365</v>
      </c>
    </row>
    <row r="3308" spans="1:32">
      <c r="A3308" s="15">
        <v>3306</v>
      </c>
      <c r="B3308" s="16">
        <v>0</v>
      </c>
      <c r="C3308" s="20">
        <v>0.36</v>
      </c>
      <c r="D3308" s="20">
        <v>0.60854422681309261</v>
      </c>
      <c r="E3308" s="20">
        <v>0.1</v>
      </c>
      <c r="F3308" s="8" t="s">
        <v>436</v>
      </c>
      <c r="G3308" s="24">
        <v>0.9905752178823467</v>
      </c>
      <c r="H3308" s="24">
        <v>0.99631039554253076</v>
      </c>
      <c r="I3308" s="25">
        <v>1.0137345045572066</v>
      </c>
      <c r="X3308" s="15">
        <v>3307</v>
      </c>
      <c r="Y3308" s="39">
        <v>0.48283334723986426</v>
      </c>
      <c r="Z3308" s="39">
        <v>0.48359801709755934</v>
      </c>
      <c r="AA3308" s="39">
        <v>0.4925449115080362</v>
      </c>
      <c r="AB3308" s="39">
        <v>0.49167082119204564</v>
      </c>
      <c r="AC3308" s="39">
        <v>0.47541075691911944</v>
      </c>
      <c r="AD3308" s="39">
        <v>0.4775604928268305</v>
      </c>
      <c r="AE3308" s="39">
        <v>0.48423062781257675</v>
      </c>
      <c r="AF3308" s="40">
        <v>0.48700224289229044</v>
      </c>
    </row>
    <row r="3309" spans="1:32">
      <c r="A3309" s="15">
        <v>3307</v>
      </c>
      <c r="B3309" s="16">
        <v>1</v>
      </c>
      <c r="C3309" s="20">
        <v>0.94</v>
      </c>
      <c r="D3309" s="20">
        <v>0.17188516685452584</v>
      </c>
      <c r="E3309" s="20">
        <v>0.06</v>
      </c>
      <c r="F3309" s="8" t="s">
        <v>434</v>
      </c>
      <c r="G3309" s="24">
        <v>0.58215360115357118</v>
      </c>
      <c r="H3309" s="24">
        <v>0.58552412190541192</v>
      </c>
      <c r="I3309" s="25">
        <v>0.59576413965133412</v>
      </c>
      <c r="X3309" s="15">
        <v>3308</v>
      </c>
      <c r="Y3309" s="39">
        <v>0.4861627051084163</v>
      </c>
      <c r="Z3309" s="39">
        <v>0.4864640591472274</v>
      </c>
      <c r="AA3309" s="39">
        <v>0.47673144920896782</v>
      </c>
      <c r="AB3309" s="39">
        <v>0.48982318701766159</v>
      </c>
      <c r="AC3309" s="39">
        <v>0.47993385965287122</v>
      </c>
      <c r="AD3309" s="39">
        <v>0.47879162140588788</v>
      </c>
      <c r="AE3309" s="39">
        <v>0.47130798150411662</v>
      </c>
      <c r="AF3309" s="40">
        <v>0.48499940266824054</v>
      </c>
    </row>
    <row r="3310" spans="1:32">
      <c r="A3310" s="15">
        <v>3308</v>
      </c>
      <c r="B3310" s="16">
        <v>0</v>
      </c>
      <c r="C3310" s="20">
        <v>0.02</v>
      </c>
      <c r="D3310" s="20">
        <v>0.99835916395484214</v>
      </c>
      <c r="E3310" s="20">
        <v>1</v>
      </c>
      <c r="F3310" s="8" t="s">
        <v>436</v>
      </c>
      <c r="G3310" s="24">
        <v>1.0572824718264193</v>
      </c>
      <c r="H3310" s="24">
        <v>1.0634038674594395</v>
      </c>
      <c r="I3310" s="25">
        <v>1.0820013497261496</v>
      </c>
      <c r="X3310" s="15">
        <v>3309</v>
      </c>
      <c r="Y3310" s="39">
        <v>0.48186987160767897</v>
      </c>
      <c r="Z3310" s="39">
        <v>0.49145809168438898</v>
      </c>
      <c r="AA3310" s="39">
        <v>0.47283765436862812</v>
      </c>
      <c r="AB3310" s="39">
        <v>0.4904725780361594</v>
      </c>
      <c r="AC3310" s="39">
        <v>0.47313394125309982</v>
      </c>
      <c r="AD3310" s="39">
        <v>0.48623868732116321</v>
      </c>
      <c r="AE3310" s="39">
        <v>0.46631788377245198</v>
      </c>
      <c r="AF3310" s="40">
        <v>0.48516003764534016</v>
      </c>
    </row>
    <row r="3311" spans="1:32">
      <c r="A3311" s="15">
        <v>3309</v>
      </c>
      <c r="B3311" s="16">
        <v>0</v>
      </c>
      <c r="C3311" s="20">
        <v>0.95</v>
      </c>
      <c r="D3311" s="20">
        <v>0.15570568692893463</v>
      </c>
      <c r="E3311" s="20">
        <v>0.05</v>
      </c>
      <c r="F3311" s="8" t="s">
        <v>434</v>
      </c>
      <c r="G3311" s="24">
        <v>0.48572416746272556</v>
      </c>
      <c r="H3311" s="24">
        <v>0.48853638640779368</v>
      </c>
      <c r="I3311" s="25">
        <v>0.49708022103251409</v>
      </c>
      <c r="X3311" s="15">
        <v>3310</v>
      </c>
      <c r="Y3311" s="39">
        <v>0.48563971353988661</v>
      </c>
      <c r="Z3311" s="39">
        <v>0.51350894982684114</v>
      </c>
      <c r="AA3311" s="39">
        <v>0.49083898444473467</v>
      </c>
      <c r="AB3311" s="39">
        <v>0.49439133028670529</v>
      </c>
      <c r="AC3311" s="39">
        <v>0.48096446828354494</v>
      </c>
      <c r="AD3311" s="39">
        <v>0.50593188640333486</v>
      </c>
      <c r="AE3311" s="39">
        <v>0.48137517679429542</v>
      </c>
      <c r="AF3311" s="40">
        <v>0.48998318042351885</v>
      </c>
    </row>
    <row r="3312" spans="1:32">
      <c r="A3312" s="15">
        <v>3310</v>
      </c>
      <c r="B3312" s="16">
        <v>0</v>
      </c>
      <c r="C3312" s="20">
        <v>0.02</v>
      </c>
      <c r="D3312" s="20">
        <v>0.99756714174924133</v>
      </c>
      <c r="E3312" s="20">
        <v>1</v>
      </c>
      <c r="F3312" s="8" t="s">
        <v>436</v>
      </c>
      <c r="G3312" s="24">
        <v>1.1639668656586484</v>
      </c>
      <c r="H3312" s="24">
        <v>1.1707059367000086</v>
      </c>
      <c r="I3312" s="25">
        <v>1.1911799857076788</v>
      </c>
      <c r="X3312" s="15">
        <v>3311</v>
      </c>
      <c r="Y3312" s="39">
        <v>0.50218964581126457</v>
      </c>
      <c r="Z3312" s="39">
        <v>0.49961479377780976</v>
      </c>
      <c r="AA3312" s="39">
        <v>0.47891266992313503</v>
      </c>
      <c r="AB3312" s="39">
        <v>0.49130534048265334</v>
      </c>
      <c r="AC3312" s="39">
        <v>0.49526511420072145</v>
      </c>
      <c r="AD3312" s="39">
        <v>0.49139100763185367</v>
      </c>
      <c r="AE3312" s="39">
        <v>0.47319706545596202</v>
      </c>
      <c r="AF3312" s="40">
        <v>0.48491669116117825</v>
      </c>
    </row>
    <row r="3313" spans="1:32">
      <c r="A3313" s="15">
        <v>3311</v>
      </c>
      <c r="B3313" s="16">
        <v>0</v>
      </c>
      <c r="C3313" s="20">
        <v>0.21</v>
      </c>
      <c r="D3313" s="20">
        <v>0.80177321044228067</v>
      </c>
      <c r="E3313" s="20">
        <v>0.1</v>
      </c>
      <c r="F3313" s="8" t="s">
        <v>436</v>
      </c>
      <c r="G3313" s="24">
        <v>1.1813657900523107</v>
      </c>
      <c r="H3313" s="24">
        <v>1.1882055964247111</v>
      </c>
      <c r="I3313" s="25">
        <v>1.2089856905967469</v>
      </c>
      <c r="X3313" s="15">
        <v>3312</v>
      </c>
      <c r="Y3313" s="39">
        <v>0.48850190621280409</v>
      </c>
      <c r="Z3313" s="39">
        <v>0.49908910363262643</v>
      </c>
      <c r="AA3313" s="39">
        <v>0.48388298262037227</v>
      </c>
      <c r="AB3313" s="39">
        <v>0.48619517672882573</v>
      </c>
      <c r="AC3313" s="39">
        <v>0.48113576000319713</v>
      </c>
      <c r="AD3313" s="39">
        <v>0.48972409065755534</v>
      </c>
      <c r="AE3313" s="39">
        <v>0.47919029374987848</v>
      </c>
      <c r="AF3313" s="40">
        <v>0.48134767924331512</v>
      </c>
    </row>
    <row r="3314" spans="1:32">
      <c r="A3314" s="15">
        <v>3312</v>
      </c>
      <c r="B3314" s="16">
        <v>0</v>
      </c>
      <c r="C3314" s="20">
        <v>0.94</v>
      </c>
      <c r="D3314" s="20">
        <v>0.17188516685452584</v>
      </c>
      <c r="E3314" s="20">
        <v>0.06</v>
      </c>
      <c r="F3314" s="8" t="s">
        <v>434</v>
      </c>
      <c r="G3314" s="24">
        <v>0.73471745069037131</v>
      </c>
      <c r="H3314" s="24">
        <v>0.7389712771880248</v>
      </c>
      <c r="I3314" s="25">
        <v>0.75189487624916562</v>
      </c>
      <c r="X3314" s="15">
        <v>3313</v>
      </c>
      <c r="Y3314" s="39">
        <v>0.48188031700473793</v>
      </c>
      <c r="Z3314" s="39">
        <v>0.47746289446985918</v>
      </c>
      <c r="AA3314" s="39">
        <v>0.48981190507140288</v>
      </c>
      <c r="AB3314" s="39">
        <v>0.48706548168981101</v>
      </c>
      <c r="AC3314" s="39">
        <v>0.47672454867559483</v>
      </c>
      <c r="AD3314" s="39">
        <v>0.4739284572137793</v>
      </c>
      <c r="AE3314" s="39">
        <v>0.48349819437972624</v>
      </c>
      <c r="AF3314" s="40">
        <v>0.48196099709976875</v>
      </c>
    </row>
    <row r="3315" spans="1:32">
      <c r="A3315" s="15">
        <v>3313</v>
      </c>
      <c r="B3315" s="16">
        <v>1</v>
      </c>
      <c r="C3315" s="20">
        <v>0.23</v>
      </c>
      <c r="D3315" s="20">
        <v>0.84170560213191903</v>
      </c>
      <c r="E3315" s="20">
        <v>0.05</v>
      </c>
      <c r="F3315" s="8" t="s">
        <v>436</v>
      </c>
      <c r="G3315" s="24">
        <v>0.88627016581193163</v>
      </c>
      <c r="H3315" s="24">
        <v>0.89140144384523279</v>
      </c>
      <c r="I3315" s="25">
        <v>0.90699083847855988</v>
      </c>
      <c r="X3315" s="15">
        <v>3314</v>
      </c>
      <c r="Y3315" s="39">
        <v>0.49350412482885658</v>
      </c>
      <c r="Z3315" s="39">
        <v>0.47763477442060104</v>
      </c>
      <c r="AA3315" s="39">
        <v>0.49774803825043795</v>
      </c>
      <c r="AB3315" s="39">
        <v>0.48748125419464788</v>
      </c>
      <c r="AC3315" s="39">
        <v>0.48856148333775923</v>
      </c>
      <c r="AD3315" s="39">
        <v>0.47089460247173653</v>
      </c>
      <c r="AE3315" s="39">
        <v>0.49037614479167102</v>
      </c>
      <c r="AF3315" s="40">
        <v>0.48321156079385919</v>
      </c>
    </row>
    <row r="3316" spans="1:32">
      <c r="A3316" s="15">
        <v>3314</v>
      </c>
      <c r="B3316" s="16">
        <v>1</v>
      </c>
      <c r="C3316" s="20">
        <v>0.22</v>
      </c>
      <c r="D3316" s="20">
        <v>0.82255678738248794</v>
      </c>
      <c r="E3316" s="20">
        <v>0.19</v>
      </c>
      <c r="F3316" s="8" t="s">
        <v>436</v>
      </c>
      <c r="G3316" s="24">
        <v>0.74831847993388489</v>
      </c>
      <c r="H3316" s="24">
        <v>0.75265105291909906</v>
      </c>
      <c r="I3316" s="25">
        <v>0.76581389258708388</v>
      </c>
      <c r="X3316" s="15">
        <v>3315</v>
      </c>
      <c r="Y3316" s="39">
        <v>0.47541195274020148</v>
      </c>
      <c r="Z3316" s="39">
        <v>0.47786972613088768</v>
      </c>
      <c r="AA3316" s="39">
        <v>0.48811882878983831</v>
      </c>
      <c r="AB3316" s="39">
        <v>0.50210047533798119</v>
      </c>
      <c r="AC3316" s="39">
        <v>0.46634797767120945</v>
      </c>
      <c r="AD3316" s="39">
        <v>0.47162066212941267</v>
      </c>
      <c r="AE3316" s="39">
        <v>0.48135144927970297</v>
      </c>
      <c r="AF3316" s="40">
        <v>0.49690655914431059</v>
      </c>
    </row>
    <row r="3317" spans="1:32">
      <c r="A3317" s="15">
        <v>3315</v>
      </c>
      <c r="B3317" s="16">
        <v>0</v>
      </c>
      <c r="C3317" s="20">
        <v>0.95</v>
      </c>
      <c r="D3317" s="20">
        <v>0.15570568692893463</v>
      </c>
      <c r="E3317" s="20">
        <v>0.05</v>
      </c>
      <c r="F3317" s="8" t="s">
        <v>434</v>
      </c>
      <c r="G3317" s="24">
        <v>0.75673860462375064</v>
      </c>
      <c r="H3317" s="24">
        <v>0.76111992798162253</v>
      </c>
      <c r="I3317" s="25">
        <v>0.77443087671579924</v>
      </c>
      <c r="X3317" s="15">
        <v>3316</v>
      </c>
      <c r="Y3317" s="39">
        <v>0.48266116688355676</v>
      </c>
      <c r="Z3317" s="39">
        <v>0.49520871793714866</v>
      </c>
      <c r="AA3317" s="39">
        <v>0.48813969330209256</v>
      </c>
      <c r="AB3317" s="39">
        <v>0.4924619315698423</v>
      </c>
      <c r="AC3317" s="39">
        <v>0.47565911950720902</v>
      </c>
      <c r="AD3317" s="39">
        <v>0.48764009077830384</v>
      </c>
      <c r="AE3317" s="39">
        <v>0.48101329758720773</v>
      </c>
      <c r="AF3317" s="40">
        <v>0.49048016313843906</v>
      </c>
    </row>
    <row r="3318" spans="1:32">
      <c r="A3318" s="15">
        <v>3316</v>
      </c>
      <c r="B3318" s="16">
        <v>1</v>
      </c>
      <c r="C3318" s="20">
        <v>0.86</v>
      </c>
      <c r="D3318" s="20">
        <v>0.28597383862931031</v>
      </c>
      <c r="E3318" s="20">
        <v>0.14000000000000001</v>
      </c>
      <c r="F3318" s="8" t="s">
        <v>434</v>
      </c>
      <c r="G3318" s="24">
        <v>3.2092805129024033</v>
      </c>
      <c r="H3318" s="24">
        <v>2.3557193791407478</v>
      </c>
      <c r="I3318" s="25">
        <v>1.6578926537592125</v>
      </c>
      <c r="X3318" s="15">
        <v>3317</v>
      </c>
      <c r="Y3318" s="39">
        <v>0.48616358964839573</v>
      </c>
      <c r="Z3318" s="39">
        <v>0.49419279525453563</v>
      </c>
      <c r="AA3318" s="39">
        <v>0.48578003744494125</v>
      </c>
      <c r="AB3318" s="39">
        <v>0.48051360567591345</v>
      </c>
      <c r="AC3318" s="39">
        <v>0.47938384858746974</v>
      </c>
      <c r="AD3318" s="39">
        <v>0.4863533851519275</v>
      </c>
      <c r="AE3318" s="39">
        <v>0.47669103707507504</v>
      </c>
      <c r="AF3318" s="40">
        <v>0.47569273463056466</v>
      </c>
    </row>
    <row r="3319" spans="1:32">
      <c r="A3319" s="15">
        <v>3317</v>
      </c>
      <c r="B3319" s="16">
        <v>1</v>
      </c>
      <c r="C3319" s="20">
        <v>0.5</v>
      </c>
      <c r="D3319" s="20">
        <v>0.46961182037055549</v>
      </c>
      <c r="E3319" s="20">
        <v>7.0000000000000007E-2</v>
      </c>
      <c r="F3319" s="8" t="s">
        <v>438</v>
      </c>
      <c r="G3319" s="24">
        <v>1.6207145284578446</v>
      </c>
      <c r="H3319" s="24">
        <v>1.6300980518787294</v>
      </c>
      <c r="I3319" s="25">
        <v>1.6578926537592125</v>
      </c>
      <c r="X3319" s="15">
        <v>3318</v>
      </c>
      <c r="Y3319" s="39">
        <v>0.48138679018439184</v>
      </c>
      <c r="Z3319" s="39">
        <v>0.48043098692183883</v>
      </c>
      <c r="AA3319" s="39">
        <v>0.47731916468828439</v>
      </c>
      <c r="AB3319" s="39">
        <v>0.48072623970842088</v>
      </c>
      <c r="AC3319" s="39">
        <v>0.47486725611272784</v>
      </c>
      <c r="AD3319" s="39">
        <v>0.4709162540808785</v>
      </c>
      <c r="AE3319" s="39">
        <v>0.47138670311439007</v>
      </c>
      <c r="AF3319" s="40">
        <v>0.47749355782988062</v>
      </c>
    </row>
    <row r="3320" spans="1:32">
      <c r="A3320" s="15">
        <v>3318</v>
      </c>
      <c r="B3320" s="16">
        <v>0</v>
      </c>
      <c r="C3320" s="20">
        <v>0.57999999999999996</v>
      </c>
      <c r="D3320" s="20">
        <v>0.45920346789389721</v>
      </c>
      <c r="E3320" s="20">
        <v>0.1</v>
      </c>
      <c r="F3320" s="8" t="s">
        <v>438</v>
      </c>
      <c r="G3320" s="24">
        <v>0.89627429141617621</v>
      </c>
      <c r="H3320" s="24">
        <v>0.90146349078310184</v>
      </c>
      <c r="I3320" s="25">
        <v>0.91722885688429745</v>
      </c>
      <c r="X3320" s="15">
        <v>3319</v>
      </c>
      <c r="Y3320" s="39">
        <v>0.48671207212935802</v>
      </c>
      <c r="Z3320" s="39">
        <v>0.50421316260742588</v>
      </c>
      <c r="AA3320" s="39">
        <v>0.50443866960835881</v>
      </c>
      <c r="AB3320" s="39">
        <v>0.47955348700470485</v>
      </c>
      <c r="AC3320" s="39">
        <v>0.47933924496230818</v>
      </c>
      <c r="AD3320" s="39">
        <v>0.49580586286506462</v>
      </c>
      <c r="AE3320" s="39">
        <v>0.49641771399816786</v>
      </c>
      <c r="AF3320" s="40">
        <v>0.47547633943870438</v>
      </c>
    </row>
    <row r="3321" spans="1:32">
      <c r="A3321" s="15">
        <v>3319</v>
      </c>
      <c r="B3321" s="16">
        <v>1</v>
      </c>
      <c r="C3321" s="20">
        <v>0.02</v>
      </c>
      <c r="D3321" s="20">
        <v>0.99756714174924133</v>
      </c>
      <c r="E3321" s="20">
        <v>1</v>
      </c>
      <c r="F3321" s="8" t="s">
        <v>436</v>
      </c>
      <c r="G3321" s="24">
        <v>1.4945631712484921</v>
      </c>
      <c r="H3321" s="24">
        <v>1.5032163105121641</v>
      </c>
      <c r="I3321" s="25">
        <v>1.5295055121346564</v>
      </c>
      <c r="X3321" s="15">
        <v>3320</v>
      </c>
      <c r="Y3321" s="39">
        <v>0.49165955957440405</v>
      </c>
      <c r="Z3321" s="39">
        <v>0.49816140035454048</v>
      </c>
      <c r="AA3321" s="39">
        <v>0.47863072783360899</v>
      </c>
      <c r="AB3321" s="39">
        <v>0.49862952110290837</v>
      </c>
      <c r="AC3321" s="39">
        <v>0.4855668136330698</v>
      </c>
      <c r="AD3321" s="39">
        <v>0.4917141187314375</v>
      </c>
      <c r="AE3321" s="39">
        <v>0.47115321652044578</v>
      </c>
      <c r="AF3321" s="40">
        <v>0.49424727669236013</v>
      </c>
    </row>
    <row r="3322" spans="1:32">
      <c r="A3322" s="15">
        <v>3320</v>
      </c>
      <c r="B3322" s="16">
        <v>0</v>
      </c>
      <c r="C3322" s="20">
        <v>0.96</v>
      </c>
      <c r="D3322" s="20">
        <v>0.13880369068795359</v>
      </c>
      <c r="E3322" s="20">
        <v>0.04</v>
      </c>
      <c r="F3322" s="8" t="s">
        <v>434</v>
      </c>
      <c r="G3322" s="24">
        <v>1.1839869116735839</v>
      </c>
      <c r="H3322" s="24">
        <v>1.1908418936711116</v>
      </c>
      <c r="I3322" s="25">
        <v>1.2116680930838655</v>
      </c>
      <c r="X3322" s="15">
        <v>3321</v>
      </c>
      <c r="Y3322" s="39">
        <v>0.49475446525109812</v>
      </c>
      <c r="Z3322" s="39">
        <v>0.47471045247108562</v>
      </c>
      <c r="AA3322" s="39">
        <v>0.48079616482919413</v>
      </c>
      <c r="AB3322" s="39">
        <v>0.49080704278970055</v>
      </c>
      <c r="AC3322" s="39">
        <v>0.48755366394233374</v>
      </c>
      <c r="AD3322" s="39">
        <v>0.47126435815819451</v>
      </c>
      <c r="AE3322" s="39">
        <v>0.4768358623280477</v>
      </c>
      <c r="AF3322" s="40">
        <v>0.48962540106889751</v>
      </c>
    </row>
    <row r="3323" spans="1:32">
      <c r="A3323" s="15">
        <v>3321</v>
      </c>
      <c r="B3323" s="16">
        <v>1</v>
      </c>
      <c r="C3323" s="20">
        <v>0.06</v>
      </c>
      <c r="D3323" s="20">
        <v>0.94613639385605397</v>
      </c>
      <c r="E3323" s="20">
        <v>0.54</v>
      </c>
      <c r="F3323" s="8" t="s">
        <v>436</v>
      </c>
      <c r="G3323" s="24">
        <v>0.88395909381822957</v>
      </c>
      <c r="H3323" s="24">
        <v>0.88907699133460472</v>
      </c>
      <c r="I3323" s="25">
        <v>0.90462573446602457</v>
      </c>
      <c r="X3323" s="15">
        <v>3322</v>
      </c>
      <c r="Y3323" s="39">
        <v>0.47886930470839478</v>
      </c>
      <c r="Z3323" s="39">
        <v>0.49092226310782172</v>
      </c>
      <c r="AA3323" s="39">
        <v>0.49093707563897093</v>
      </c>
      <c r="AB3323" s="39">
        <v>0.49113630391328711</v>
      </c>
      <c r="AC3323" s="39">
        <v>0.47431370930844946</v>
      </c>
      <c r="AD3323" s="39">
        <v>0.47955761417802178</v>
      </c>
      <c r="AE3323" s="39">
        <v>0.48303475016076386</v>
      </c>
      <c r="AF3323" s="40">
        <v>0.48897611021341358</v>
      </c>
    </row>
    <row r="3324" spans="1:32">
      <c r="A3324" s="15">
        <v>3322</v>
      </c>
      <c r="B3324" s="16">
        <v>1</v>
      </c>
      <c r="C3324" s="20">
        <v>0.1</v>
      </c>
      <c r="D3324" s="20">
        <v>0.93510271168406689</v>
      </c>
      <c r="E3324" s="20">
        <v>0.06</v>
      </c>
      <c r="F3324" s="8" t="s">
        <v>436</v>
      </c>
      <c r="G3324" s="24">
        <v>1.0661366850879375</v>
      </c>
      <c r="H3324" s="24">
        <v>1.0723093443556411</v>
      </c>
      <c r="I3324" s="25">
        <v>1.0910625712587227</v>
      </c>
      <c r="X3324" s="15">
        <v>3323</v>
      </c>
      <c r="Y3324" s="39">
        <v>0.4784527529264368</v>
      </c>
      <c r="Z3324" s="39">
        <v>0.48719630232086264</v>
      </c>
      <c r="AA3324" s="39">
        <v>0.4794616364647854</v>
      </c>
      <c r="AB3324" s="39">
        <v>0.48852231681543862</v>
      </c>
      <c r="AC3324" s="39">
        <v>0.47223534187482252</v>
      </c>
      <c r="AD3324" s="39">
        <v>0.4791265327313704</v>
      </c>
      <c r="AE3324" s="39">
        <v>0.47203103535578167</v>
      </c>
      <c r="AF3324" s="40">
        <v>0.48371570309833073</v>
      </c>
    </row>
    <row r="3325" spans="1:32">
      <c r="A3325" s="15">
        <v>3323</v>
      </c>
      <c r="B3325" s="16">
        <v>1</v>
      </c>
      <c r="C3325" s="20">
        <v>0.02</v>
      </c>
      <c r="D3325" s="20">
        <v>0.99917029198757767</v>
      </c>
      <c r="E3325" s="20">
        <v>1</v>
      </c>
      <c r="F3325" s="8" t="s">
        <v>436</v>
      </c>
      <c r="G3325" s="24">
        <v>1.0706307619619304</v>
      </c>
      <c r="H3325" s="24">
        <v>1.0768294407875894</v>
      </c>
      <c r="I3325" s="25">
        <v>1.0956617180080617</v>
      </c>
      <c r="X3325" s="15">
        <v>3324</v>
      </c>
      <c r="Y3325" s="39">
        <v>0.48699968908837787</v>
      </c>
      <c r="Z3325" s="39">
        <v>0.4792052250283162</v>
      </c>
      <c r="AA3325" s="39">
        <v>0.49359804454180395</v>
      </c>
      <c r="AB3325" s="39">
        <v>0.47967370518117119</v>
      </c>
      <c r="AC3325" s="39">
        <v>0.47758239279792397</v>
      </c>
      <c r="AD3325" s="39">
        <v>0.47301988437210285</v>
      </c>
      <c r="AE3325" s="39">
        <v>0.48638186992708121</v>
      </c>
      <c r="AF3325" s="40">
        <v>0.47411844891258564</v>
      </c>
    </row>
    <row r="3326" spans="1:32">
      <c r="A3326" s="15">
        <v>3324</v>
      </c>
      <c r="B3326" s="16">
        <v>1</v>
      </c>
      <c r="C3326" s="20">
        <v>0.02</v>
      </c>
      <c r="D3326" s="20">
        <v>0.99835916395484214</v>
      </c>
      <c r="E3326" s="20">
        <v>1</v>
      </c>
      <c r="F3326" s="8" t="s">
        <v>436</v>
      </c>
      <c r="G3326" s="24">
        <v>1.157540775294676</v>
      </c>
      <c r="H3326" s="24">
        <v>1.1642426409131339</v>
      </c>
      <c r="I3326" s="25">
        <v>1.1846036556988504</v>
      </c>
      <c r="X3326" s="15">
        <v>3325</v>
      </c>
      <c r="Y3326" s="39">
        <v>0.48425502282790955</v>
      </c>
      <c r="Z3326" s="39">
        <v>0.48637027731118654</v>
      </c>
      <c r="AA3326" s="39">
        <v>0.48008918050930294</v>
      </c>
      <c r="AB3326" s="39">
        <v>0.48029028069744611</v>
      </c>
      <c r="AC3326" s="39">
        <v>0.47718408729102907</v>
      </c>
      <c r="AD3326" s="39">
        <v>0.48042069898232209</v>
      </c>
      <c r="AE3326" s="39">
        <v>0.47061916442710888</v>
      </c>
      <c r="AF3326" s="40">
        <v>0.47586568938534379</v>
      </c>
    </row>
    <row r="3327" spans="1:32">
      <c r="A3327" s="15">
        <v>3325</v>
      </c>
      <c r="B3327" s="16">
        <v>0</v>
      </c>
      <c r="C3327" s="20">
        <v>0.97</v>
      </c>
      <c r="D3327" s="20">
        <v>0.12097036642660543</v>
      </c>
      <c r="E3327" s="20">
        <v>0.03</v>
      </c>
      <c r="F3327" s="8" t="s">
        <v>434</v>
      </c>
      <c r="G3327" s="24">
        <v>0.70001431053491969</v>
      </c>
      <c r="H3327" s="24">
        <v>0.7040672147092959</v>
      </c>
      <c r="I3327" s="25">
        <v>0.71638038935611237</v>
      </c>
      <c r="X3327" s="15">
        <v>3326</v>
      </c>
      <c r="Y3327" s="39">
        <v>0.47830691882035498</v>
      </c>
      <c r="Z3327" s="39">
        <v>0.48908222523927708</v>
      </c>
      <c r="AA3327" s="39">
        <v>0.49768011350643321</v>
      </c>
      <c r="AB3327" s="39">
        <v>0.48997165305675006</v>
      </c>
      <c r="AC3327" s="39">
        <v>0.47073236714577416</v>
      </c>
      <c r="AD3327" s="39">
        <v>0.48168201951433298</v>
      </c>
      <c r="AE3327" s="39">
        <v>0.4916906527060167</v>
      </c>
      <c r="AF3327" s="40">
        <v>0.48672144874264772</v>
      </c>
    </row>
    <row r="3328" spans="1:32">
      <c r="A3328" s="15">
        <v>3326</v>
      </c>
      <c r="B3328" s="16">
        <v>0</v>
      </c>
      <c r="C3328" s="20">
        <v>0.49</v>
      </c>
      <c r="D3328" s="20">
        <v>0.49594205158184368</v>
      </c>
      <c r="E3328" s="20">
        <v>0.04</v>
      </c>
      <c r="F3328" s="8" t="s">
        <v>436</v>
      </c>
      <c r="G3328" s="24">
        <v>0.97780425723681574</v>
      </c>
      <c r="H3328" s="24">
        <v>0.98346549429474051</v>
      </c>
      <c r="I3328" s="25">
        <v>1.0006649635178155</v>
      </c>
      <c r="X3328" s="15">
        <v>3327</v>
      </c>
      <c r="Y3328" s="39">
        <v>0.48812726039371374</v>
      </c>
      <c r="Z3328" s="39">
        <v>0.49177152413747066</v>
      </c>
      <c r="AA3328" s="39">
        <v>0.4790451936383216</v>
      </c>
      <c r="AB3328" s="39">
        <v>0.49115079998480859</v>
      </c>
      <c r="AC3328" s="39">
        <v>0.4794996031519913</v>
      </c>
      <c r="AD3328" s="39">
        <v>0.48598227442958597</v>
      </c>
      <c r="AE3328" s="39">
        <v>0.47231615383936837</v>
      </c>
      <c r="AF3328" s="40">
        <v>0.48702071100275968</v>
      </c>
    </row>
    <row r="3329" spans="1:32">
      <c r="A3329" s="15">
        <v>3327</v>
      </c>
      <c r="B3329" s="16">
        <v>0</v>
      </c>
      <c r="C3329" s="20">
        <v>0.02</v>
      </c>
      <c r="D3329" s="20">
        <v>0.99835916395484214</v>
      </c>
      <c r="E3329" s="20">
        <v>1</v>
      </c>
      <c r="F3329" s="8" t="s">
        <v>436</v>
      </c>
      <c r="G3329" s="24">
        <v>1.0667858520190951</v>
      </c>
      <c r="H3329" s="24">
        <v>1.0729622697976258</v>
      </c>
      <c r="I3329" s="25">
        <v>1.0917269154755496</v>
      </c>
      <c r="X3329" s="15">
        <v>3328</v>
      </c>
      <c r="Y3329" s="39">
        <v>0.47750117957025856</v>
      </c>
      <c r="Z3329" s="39">
        <v>0.48926673880172011</v>
      </c>
      <c r="AA3329" s="39">
        <v>0.49254118803670022</v>
      </c>
      <c r="AB3329" s="39">
        <v>0.49608692074521149</v>
      </c>
      <c r="AC3329" s="39">
        <v>0.47049634766315007</v>
      </c>
      <c r="AD3329" s="39">
        <v>0.48373728790741716</v>
      </c>
      <c r="AE3329" s="39">
        <v>0.48455450253683574</v>
      </c>
      <c r="AF3329" s="40">
        <v>0.49382429340863382</v>
      </c>
    </row>
    <row r="3330" spans="1:32">
      <c r="A3330" s="15">
        <v>3328</v>
      </c>
      <c r="B3330" s="16">
        <v>0</v>
      </c>
      <c r="C3330" s="20">
        <v>0.21</v>
      </c>
      <c r="D3330" s="20">
        <v>0.83444113049010327</v>
      </c>
      <c r="E3330" s="20">
        <v>7.0000000000000007E-2</v>
      </c>
      <c r="F3330" s="8" t="s">
        <v>436</v>
      </c>
      <c r="G3330" s="24">
        <v>0.950521463121071</v>
      </c>
      <c r="H3330" s="24">
        <v>0.95602473976519242</v>
      </c>
      <c r="I3330" s="25">
        <v>0.97274430764375985</v>
      </c>
      <c r="X3330" s="15">
        <v>3329</v>
      </c>
      <c r="Y3330" s="39">
        <v>0.4904816756354014</v>
      </c>
      <c r="Z3330" s="39">
        <v>0.49236464032546901</v>
      </c>
      <c r="AA3330" s="39">
        <v>0.49058768019268512</v>
      </c>
      <c r="AB3330" s="39">
        <v>0.48400956078432783</v>
      </c>
      <c r="AC3330" s="39">
        <v>0.48195130902907152</v>
      </c>
      <c r="AD3330" s="39">
        <v>0.48691030996405876</v>
      </c>
      <c r="AE3330" s="39">
        <v>0.4813975010570159</v>
      </c>
      <c r="AF3330" s="40">
        <v>0.47828981602635706</v>
      </c>
    </row>
    <row r="3331" spans="1:32">
      <c r="A3331" s="15">
        <v>3329</v>
      </c>
      <c r="B3331" s="16">
        <v>1</v>
      </c>
      <c r="C3331" s="20">
        <v>0.02</v>
      </c>
      <c r="D3331" s="20">
        <v>0.99835916395484214</v>
      </c>
      <c r="E3331" s="20">
        <v>1</v>
      </c>
      <c r="F3331" s="8" t="s">
        <v>436</v>
      </c>
      <c r="G3331" s="24">
        <v>1.1352480561334184</v>
      </c>
      <c r="H3331" s="24">
        <v>1.1418208525983073</v>
      </c>
      <c r="I3331" s="25">
        <v>1.1617897409085305</v>
      </c>
      <c r="X3331" s="15">
        <v>3330</v>
      </c>
      <c r="Y3331" s="39">
        <v>0.47746008013634389</v>
      </c>
      <c r="Z3331" s="39">
        <v>0.48318512764097504</v>
      </c>
      <c r="AA3331" s="39">
        <v>0.48457437333855308</v>
      </c>
      <c r="AB3331" s="39">
        <v>0.49323503209479935</v>
      </c>
      <c r="AC3331" s="39">
        <v>0.47173050954773826</v>
      </c>
      <c r="AD3331" s="39">
        <v>0.47826405311897319</v>
      </c>
      <c r="AE3331" s="39">
        <v>0.4765902075312507</v>
      </c>
      <c r="AF3331" s="40">
        <v>0.49091906992074247</v>
      </c>
    </row>
    <row r="3332" spans="1:32">
      <c r="A3332" s="15">
        <v>3330</v>
      </c>
      <c r="B3332" s="16">
        <v>0</v>
      </c>
      <c r="C3332" s="20">
        <v>0.44</v>
      </c>
      <c r="D3332" s="20">
        <v>0.49599064749967137</v>
      </c>
      <c r="E3332" s="20">
        <v>0.13</v>
      </c>
      <c r="F3332" s="8" t="s">
        <v>436</v>
      </c>
      <c r="G3332" s="24">
        <v>0.7865997194793013</v>
      </c>
      <c r="H3332" s="24">
        <v>0.79115393106992538</v>
      </c>
      <c r="I3332" s="25">
        <v>0.80499013352653537</v>
      </c>
      <c r="X3332" s="15">
        <v>3331</v>
      </c>
      <c r="Y3332" s="39">
        <v>0.50050261271959939</v>
      </c>
      <c r="Z3332" s="39">
        <v>0.46314651345897301</v>
      </c>
      <c r="AA3332" s="39">
        <v>0.49925387488823475</v>
      </c>
      <c r="AB3332" s="39">
        <v>0.48768127208797452</v>
      </c>
      <c r="AC3332" s="39">
        <v>0.49402943990418291</v>
      </c>
      <c r="AD3332" s="39">
        <v>0.45874955033314435</v>
      </c>
      <c r="AE3332" s="39">
        <v>0.48925922492078217</v>
      </c>
      <c r="AF3332" s="40">
        <v>0.48450467572604478</v>
      </c>
    </row>
    <row r="3333" spans="1:32">
      <c r="A3333" s="15">
        <v>3331</v>
      </c>
      <c r="B3333" s="16">
        <v>0</v>
      </c>
      <c r="C3333" s="20">
        <v>0.93</v>
      </c>
      <c r="D3333" s="20">
        <v>0.18747949848141848</v>
      </c>
      <c r="E3333" s="20">
        <v>7.0000000000000007E-2</v>
      </c>
      <c r="F3333" s="8" t="s">
        <v>434</v>
      </c>
      <c r="G3333" s="24">
        <v>0.79992747105983864</v>
      </c>
      <c r="H3333" s="24">
        <v>0.80455884693011082</v>
      </c>
      <c r="I3333" s="25">
        <v>0.8186294830695624</v>
      </c>
      <c r="X3333" s="15">
        <v>3332</v>
      </c>
      <c r="Y3333" s="39">
        <v>0.48809852476838117</v>
      </c>
      <c r="Z3333" s="39">
        <v>0.48878889498821115</v>
      </c>
      <c r="AA3333" s="39">
        <v>0.48420730328318862</v>
      </c>
      <c r="AB3333" s="39">
        <v>0.4932205559112734</v>
      </c>
      <c r="AC3333" s="39">
        <v>0.48157008618806924</v>
      </c>
      <c r="AD3333" s="39">
        <v>0.47784971148209232</v>
      </c>
      <c r="AE3333" s="39">
        <v>0.47695931173923345</v>
      </c>
      <c r="AF3333" s="40">
        <v>0.49061577645846788</v>
      </c>
    </row>
    <row r="3334" spans="1:32">
      <c r="A3334" s="15">
        <v>3332</v>
      </c>
      <c r="B3334" s="16">
        <v>0</v>
      </c>
      <c r="C3334" s="20">
        <v>0.09</v>
      </c>
      <c r="D3334" s="20">
        <v>0.94146933678355438</v>
      </c>
      <c r="E3334" s="20">
        <v>0.1</v>
      </c>
      <c r="F3334" s="8" t="s">
        <v>436</v>
      </c>
      <c r="G3334" s="24">
        <v>1.0612114318146917</v>
      </c>
      <c r="H3334" s="24">
        <v>1.0673555751231492</v>
      </c>
      <c r="I3334" s="25">
        <v>1.0860221673634525</v>
      </c>
      <c r="X3334" s="15">
        <v>3333</v>
      </c>
      <c r="Y3334" s="39">
        <v>0.49770179451985919</v>
      </c>
      <c r="Z3334" s="39">
        <v>0.50800423430175989</v>
      </c>
      <c r="AA3334" s="39">
        <v>0.50488092175035193</v>
      </c>
      <c r="AB3334" s="39">
        <v>0.49535636385212733</v>
      </c>
      <c r="AC3334" s="39">
        <v>0.48990001067710648</v>
      </c>
      <c r="AD3334" s="39">
        <v>0.50101367233722427</v>
      </c>
      <c r="AE3334" s="39">
        <v>0.4973287546372645</v>
      </c>
      <c r="AF3334" s="40">
        <v>0.49208426435879365</v>
      </c>
    </row>
    <row r="3335" spans="1:32">
      <c r="A3335" s="15">
        <v>3333</v>
      </c>
      <c r="B3335" s="16">
        <v>0</v>
      </c>
      <c r="C3335" s="20">
        <v>0.96</v>
      </c>
      <c r="D3335" s="20">
        <v>0.13880369068795359</v>
      </c>
      <c r="E3335" s="20">
        <v>0.04</v>
      </c>
      <c r="F3335" s="8" t="s">
        <v>434</v>
      </c>
      <c r="G3335" s="24">
        <v>0.53572193557638259</v>
      </c>
      <c r="H3335" s="24">
        <v>0.53882362883654367</v>
      </c>
      <c r="I3335" s="25">
        <v>0.54824691869734921</v>
      </c>
      <c r="X3335" s="15">
        <v>3334</v>
      </c>
      <c r="Y3335" s="39">
        <v>0.47487338514479022</v>
      </c>
      <c r="Z3335" s="39">
        <v>0.48489288015747234</v>
      </c>
      <c r="AA3335" s="39">
        <v>0.47807737932759187</v>
      </c>
      <c r="AB3335" s="39">
        <v>0.48848069977503228</v>
      </c>
      <c r="AC3335" s="39">
        <v>0.46602686025264906</v>
      </c>
      <c r="AD3335" s="39">
        <v>0.47732062466205466</v>
      </c>
      <c r="AE3335" s="39">
        <v>0.47180848030323702</v>
      </c>
      <c r="AF3335" s="40">
        <v>0.48287189141342296</v>
      </c>
    </row>
    <row r="3336" spans="1:32">
      <c r="A3336" s="15">
        <v>3334</v>
      </c>
      <c r="B3336" s="16">
        <v>0</v>
      </c>
      <c r="C3336" s="20">
        <v>0.02</v>
      </c>
      <c r="D3336" s="20">
        <v>0.99756714174924133</v>
      </c>
      <c r="E3336" s="20">
        <v>1</v>
      </c>
      <c r="F3336" s="8" t="s">
        <v>436</v>
      </c>
      <c r="G3336" s="24">
        <v>1.0858602244475017</v>
      </c>
      <c r="H3336" s="24">
        <v>1.0921470779735238</v>
      </c>
      <c r="I3336" s="25">
        <v>1.1112472397622684</v>
      </c>
      <c r="X3336" s="15">
        <v>3335</v>
      </c>
      <c r="Y3336" s="39">
        <v>0.48141871761655602</v>
      </c>
      <c r="Z3336" s="39">
        <v>0.49671551030009037</v>
      </c>
      <c r="AA3336" s="39">
        <v>0.49964532748729512</v>
      </c>
      <c r="AB3336" s="39">
        <v>0.48638230737354382</v>
      </c>
      <c r="AC3336" s="39">
        <v>0.47358577620355313</v>
      </c>
      <c r="AD3336" s="39">
        <v>0.48396117564891072</v>
      </c>
      <c r="AE3336" s="39">
        <v>0.49246350961845331</v>
      </c>
      <c r="AF3336" s="40">
        <v>0.48173579623321744</v>
      </c>
    </row>
    <row r="3337" spans="1:32">
      <c r="A3337" s="15">
        <v>3335</v>
      </c>
      <c r="B3337" s="16">
        <v>1</v>
      </c>
      <c r="C3337" s="20">
        <v>0.09</v>
      </c>
      <c r="D3337" s="20">
        <v>0.94509990831988566</v>
      </c>
      <c r="E3337" s="20">
        <v>0.05</v>
      </c>
      <c r="F3337" s="8" t="s">
        <v>436</v>
      </c>
      <c r="G3337" s="24">
        <v>0.90988748131371544</v>
      </c>
      <c r="H3337" s="24">
        <v>0.91515549757528447</v>
      </c>
      <c r="I3337" s="25">
        <v>0.93116031818788936</v>
      </c>
      <c r="X3337" s="15">
        <v>3336</v>
      </c>
      <c r="Y3337" s="39">
        <v>0.48418185994951174</v>
      </c>
      <c r="Z3337" s="39">
        <v>0.46706946848230063</v>
      </c>
      <c r="AA3337" s="39">
        <v>0.47794100028723152</v>
      </c>
      <c r="AB3337" s="39">
        <v>0.4988654974184239</v>
      </c>
      <c r="AC3337" s="39">
        <v>0.47572161407021962</v>
      </c>
      <c r="AD3337" s="39">
        <v>0.46115453306688525</v>
      </c>
      <c r="AE3337" s="39">
        <v>0.47172146842805551</v>
      </c>
      <c r="AF3337" s="40">
        <v>0.49419681780822455</v>
      </c>
    </row>
    <row r="3338" spans="1:32">
      <c r="A3338" s="15">
        <v>3336</v>
      </c>
      <c r="B3338" s="16">
        <v>1</v>
      </c>
      <c r="C3338" s="20">
        <v>0.6</v>
      </c>
      <c r="D3338" s="20">
        <v>0.57868535190624271</v>
      </c>
      <c r="E3338" s="20">
        <v>0.4</v>
      </c>
      <c r="F3338" s="8" t="s">
        <v>438</v>
      </c>
      <c r="G3338" s="24">
        <v>0.64589525468124409</v>
      </c>
      <c r="H3338" s="24">
        <v>0.64963482333650069</v>
      </c>
      <c r="I3338" s="25">
        <v>0.66099604974966175</v>
      </c>
      <c r="X3338" s="15">
        <v>3337</v>
      </c>
      <c r="Y3338" s="39">
        <v>0.47418222204547855</v>
      </c>
      <c r="Z3338" s="39">
        <v>0.49396889492506579</v>
      </c>
      <c r="AA3338" s="39">
        <v>0.48960592718979812</v>
      </c>
      <c r="AB3338" s="39">
        <v>0.49174713373980394</v>
      </c>
      <c r="AC3338" s="39">
        <v>0.46931966626641863</v>
      </c>
      <c r="AD3338" s="39">
        <v>0.48823357142133128</v>
      </c>
      <c r="AE3338" s="39">
        <v>0.48251307392717213</v>
      </c>
      <c r="AF3338" s="40">
        <v>0.48578355492233732</v>
      </c>
    </row>
    <row r="3339" spans="1:32">
      <c r="A3339" s="15">
        <v>3337</v>
      </c>
      <c r="B3339" s="16">
        <v>1</v>
      </c>
      <c r="C3339" s="20">
        <v>0.91</v>
      </c>
      <c r="D3339" s="20">
        <v>0.21727233298780477</v>
      </c>
      <c r="E3339" s="20">
        <v>0.09</v>
      </c>
      <c r="F3339" s="8" t="s">
        <v>434</v>
      </c>
      <c r="G3339" s="24">
        <v>1.1325249100176691</v>
      </c>
      <c r="H3339" s="24">
        <v>1.1390819401616503</v>
      </c>
      <c r="I3339" s="25">
        <v>1.1590029286315309</v>
      </c>
      <c r="X3339" s="15">
        <v>3338</v>
      </c>
      <c r="Y3339" s="39">
        <v>0.49381850679194667</v>
      </c>
      <c r="Z3339" s="39">
        <v>0.49382846768507616</v>
      </c>
      <c r="AA3339" s="39">
        <v>0.48230596071187454</v>
      </c>
      <c r="AB3339" s="39">
        <v>0.48620612939583213</v>
      </c>
      <c r="AC3339" s="39">
        <v>0.48561483638609271</v>
      </c>
      <c r="AD3339" s="39">
        <v>0.48434196242337663</v>
      </c>
      <c r="AE3339" s="39">
        <v>0.47347145078527147</v>
      </c>
      <c r="AF3339" s="40">
        <v>0.48299964354684699</v>
      </c>
    </row>
    <row r="3340" spans="1:32">
      <c r="A3340" s="15">
        <v>3338</v>
      </c>
      <c r="B3340" s="16">
        <v>1</v>
      </c>
      <c r="C3340" s="20">
        <v>0.02</v>
      </c>
      <c r="D3340" s="20">
        <v>0.99756714174924133</v>
      </c>
      <c r="E3340" s="20">
        <v>1</v>
      </c>
      <c r="F3340" s="8" t="s">
        <v>436</v>
      </c>
      <c r="G3340" s="24">
        <v>1.0971089841539448</v>
      </c>
      <c r="H3340" s="24">
        <v>1.1034609651273415</v>
      </c>
      <c r="I3340" s="25">
        <v>1.1227589913607707</v>
      </c>
      <c r="X3340" s="15">
        <v>3339</v>
      </c>
      <c r="Y3340" s="39">
        <v>0.48629219825775383</v>
      </c>
      <c r="Z3340" s="39">
        <v>0.50820313111972304</v>
      </c>
      <c r="AA3340" s="39">
        <v>0.48062964166214323</v>
      </c>
      <c r="AB3340" s="39">
        <v>0.48282419800265353</v>
      </c>
      <c r="AC3340" s="39">
        <v>0.47971986489312862</v>
      </c>
      <c r="AD3340" s="39">
        <v>0.49735561160701364</v>
      </c>
      <c r="AE3340" s="39">
        <v>0.47495003861107138</v>
      </c>
      <c r="AF3340" s="40">
        <v>0.4790871467709405</v>
      </c>
    </row>
    <row r="3341" spans="1:32">
      <c r="A3341" s="15">
        <v>3339</v>
      </c>
      <c r="B3341" s="16">
        <v>0</v>
      </c>
      <c r="C3341" s="20">
        <v>0.15</v>
      </c>
      <c r="D3341" s="20">
        <v>0.91801806547190945</v>
      </c>
      <c r="E3341" s="20">
        <v>0.03</v>
      </c>
      <c r="F3341" s="8" t="s">
        <v>436</v>
      </c>
      <c r="G3341" s="24">
        <v>1.0257189217527578</v>
      </c>
      <c r="H3341" s="24">
        <v>1.0316575724876718</v>
      </c>
      <c r="I3341" s="25">
        <v>1.0496998553839096</v>
      </c>
      <c r="X3341" s="15">
        <v>3340</v>
      </c>
      <c r="Y3341" s="39">
        <v>0.48931631870096798</v>
      </c>
      <c r="Z3341" s="39">
        <v>0.48848551828042891</v>
      </c>
      <c r="AA3341" s="39">
        <v>0.48466307180002571</v>
      </c>
      <c r="AB3341" s="39">
        <v>0.47701699660538727</v>
      </c>
      <c r="AC3341" s="39">
        <v>0.48145134973417802</v>
      </c>
      <c r="AD3341" s="39">
        <v>0.48297666104083697</v>
      </c>
      <c r="AE3341" s="39">
        <v>0.47951951387417424</v>
      </c>
      <c r="AF3341" s="40">
        <v>0.47278491014310436</v>
      </c>
    </row>
    <row r="3342" spans="1:32">
      <c r="A3342" s="15">
        <v>3340</v>
      </c>
      <c r="B3342" s="16">
        <v>1</v>
      </c>
      <c r="C3342" s="20">
        <v>0.33</v>
      </c>
      <c r="D3342" s="20">
        <v>0.8190198507585541</v>
      </c>
      <c r="E3342" s="20">
        <v>0.05</v>
      </c>
      <c r="F3342" s="8" t="s">
        <v>436</v>
      </c>
      <c r="G3342" s="24">
        <v>0.951764010527963</v>
      </c>
      <c r="H3342" s="24">
        <v>0.95727448120440128</v>
      </c>
      <c r="I3342" s="25">
        <v>0.97401590535504456</v>
      </c>
      <c r="X3342" s="15">
        <v>3341</v>
      </c>
      <c r="Y3342" s="39">
        <v>0.48097383809900757</v>
      </c>
      <c r="Z3342" s="39">
        <v>0.47553707217637214</v>
      </c>
      <c r="AA3342" s="39">
        <v>0.48340619917266303</v>
      </c>
      <c r="AB3342" s="39">
        <v>0.48688989555243545</v>
      </c>
      <c r="AC3342" s="39">
        <v>0.47459453120733236</v>
      </c>
      <c r="AD3342" s="39">
        <v>0.46734775961322228</v>
      </c>
      <c r="AE3342" s="39">
        <v>0.47562086332493808</v>
      </c>
      <c r="AF3342" s="40">
        <v>0.48193386311125802</v>
      </c>
    </row>
    <row r="3343" spans="1:32">
      <c r="A3343" s="15">
        <v>3341</v>
      </c>
      <c r="B3343" s="16">
        <v>1</v>
      </c>
      <c r="C3343" s="20">
        <v>0.15</v>
      </c>
      <c r="D3343" s="20">
        <v>0.9276478778904772</v>
      </c>
      <c r="E3343" s="20">
        <v>0.09</v>
      </c>
      <c r="F3343" s="8" t="s">
        <v>436</v>
      </c>
      <c r="G3343" s="24">
        <v>0.83270917828831836</v>
      </c>
      <c r="H3343" s="24">
        <v>0.83753035187568003</v>
      </c>
      <c r="I3343" s="25">
        <v>0.85217761463583119</v>
      </c>
      <c r="X3343" s="15">
        <v>3342</v>
      </c>
      <c r="Y3343" s="39">
        <v>0.46764887695555751</v>
      </c>
      <c r="Z3343" s="39">
        <v>0.48977135064913835</v>
      </c>
      <c r="AA3343" s="39">
        <v>0.49522280379307215</v>
      </c>
      <c r="AB3343" s="39">
        <v>0.48900823066544313</v>
      </c>
      <c r="AC3343" s="39">
        <v>0.45922430010765819</v>
      </c>
      <c r="AD3343" s="39">
        <v>0.48404092901173379</v>
      </c>
      <c r="AE3343" s="39">
        <v>0.48931799457434455</v>
      </c>
      <c r="AF3343" s="40">
        <v>0.48479594255455116</v>
      </c>
    </row>
    <row r="3344" spans="1:32">
      <c r="A3344" s="15">
        <v>3342</v>
      </c>
      <c r="B3344" s="16">
        <v>1</v>
      </c>
      <c r="C3344" s="20">
        <v>0.13</v>
      </c>
      <c r="D3344" s="20">
        <v>0.87051477571150393</v>
      </c>
      <c r="E3344" s="20">
        <v>0.46</v>
      </c>
      <c r="F3344" s="8" t="s">
        <v>436</v>
      </c>
      <c r="G3344" s="24">
        <v>1.2078153024797738</v>
      </c>
      <c r="H3344" s="24">
        <v>1.2148082447777035</v>
      </c>
      <c r="I3344" s="25">
        <v>1.236053582961099</v>
      </c>
      <c r="X3344" s="15">
        <v>3343</v>
      </c>
      <c r="Y3344" s="39">
        <v>0.4822252613333165</v>
      </c>
      <c r="Z3344" s="39">
        <v>0.48246158653881827</v>
      </c>
      <c r="AA3344" s="39">
        <v>0.4916023880088814</v>
      </c>
      <c r="AB3344" s="39">
        <v>0.47432827015177215</v>
      </c>
      <c r="AC3344" s="39">
        <v>0.47471867684828356</v>
      </c>
      <c r="AD3344" s="39">
        <v>0.47642813710758986</v>
      </c>
      <c r="AE3344" s="39">
        <v>0.48792421813189724</v>
      </c>
      <c r="AF3344" s="40">
        <v>0.47004858495875457</v>
      </c>
    </row>
    <row r="3345" spans="1:32">
      <c r="A3345" s="15">
        <v>3343</v>
      </c>
      <c r="B3345" s="16">
        <v>0</v>
      </c>
      <c r="C3345" s="20">
        <v>0.92</v>
      </c>
      <c r="D3345" s="20">
        <v>0.20258497911151899</v>
      </c>
      <c r="E3345" s="20">
        <v>0.08</v>
      </c>
      <c r="F3345" s="8" t="s">
        <v>434</v>
      </c>
      <c r="G3345" s="24">
        <v>0.79257072114729221</v>
      </c>
      <c r="H3345" s="24">
        <v>0.79715950331343333</v>
      </c>
      <c r="I3345" s="25">
        <v>0.81110073503194269</v>
      </c>
      <c r="X3345" s="15">
        <v>3344</v>
      </c>
      <c r="Y3345" s="39">
        <v>0.47662678873869729</v>
      </c>
      <c r="Z3345" s="39">
        <v>0.4776937083738011</v>
      </c>
      <c r="AA3345" s="39">
        <v>0.48929296108307463</v>
      </c>
      <c r="AB3345" s="39">
        <v>0.48817918302908025</v>
      </c>
      <c r="AC3345" s="39">
        <v>0.47104616686966527</v>
      </c>
      <c r="AD3345" s="39">
        <v>0.47073193319256584</v>
      </c>
      <c r="AE3345" s="39">
        <v>0.48164912549131172</v>
      </c>
      <c r="AF3345" s="40">
        <v>0.48390128141002653</v>
      </c>
    </row>
    <row r="3346" spans="1:32">
      <c r="A3346" s="15">
        <v>3344</v>
      </c>
      <c r="B3346" s="16">
        <v>1</v>
      </c>
      <c r="C3346" s="20">
        <v>0.02</v>
      </c>
      <c r="D3346" s="20">
        <v>0.99756714174924133</v>
      </c>
      <c r="E3346" s="20">
        <v>1</v>
      </c>
      <c r="F3346" s="8" t="s">
        <v>436</v>
      </c>
      <c r="G3346" s="24">
        <v>1.1039352202979815</v>
      </c>
      <c r="H3346" s="24">
        <v>1.1103267234362069</v>
      </c>
      <c r="I3346" s="25">
        <v>1.1297448224118032</v>
      </c>
      <c r="X3346" s="15">
        <v>3345</v>
      </c>
      <c r="Y3346" s="39">
        <v>0.5021668824973643</v>
      </c>
      <c r="Z3346" s="39">
        <v>0.49146641736390156</v>
      </c>
      <c r="AA3346" s="39">
        <v>0.47525866654102933</v>
      </c>
      <c r="AB3346" s="39">
        <v>0.48586523013484001</v>
      </c>
      <c r="AC3346" s="39">
        <v>0.49374109423892404</v>
      </c>
      <c r="AD3346" s="39">
        <v>0.48419550072859835</v>
      </c>
      <c r="AE3346" s="39">
        <v>0.46985038910801169</v>
      </c>
      <c r="AF3346" s="40">
        <v>0.48210148150407234</v>
      </c>
    </row>
    <row r="3347" spans="1:32">
      <c r="A3347" s="15">
        <v>3345</v>
      </c>
      <c r="B3347" s="16">
        <v>1</v>
      </c>
      <c r="C3347" s="20">
        <v>0.95</v>
      </c>
      <c r="D3347" s="20">
        <v>0.15570568692893463</v>
      </c>
      <c r="E3347" s="20">
        <v>0.05</v>
      </c>
      <c r="F3347" s="8" t="s">
        <v>434</v>
      </c>
      <c r="G3347" s="24">
        <v>1.0335520855002103</v>
      </c>
      <c r="H3347" s="24">
        <v>1.0395360882537512</v>
      </c>
      <c r="I3347" s="25">
        <v>1.0577161556378316</v>
      </c>
      <c r="X3347" s="15">
        <v>3346</v>
      </c>
      <c r="Y3347" s="39">
        <v>0.48097460501326872</v>
      </c>
      <c r="Z3347" s="39">
        <v>0.48056716622459139</v>
      </c>
      <c r="AA3347" s="39">
        <v>0.50140021141456714</v>
      </c>
      <c r="AB3347" s="39">
        <v>0.49918467648115156</v>
      </c>
      <c r="AC3347" s="39">
        <v>0.4723370305519658</v>
      </c>
      <c r="AD3347" s="39">
        <v>0.47230070915525052</v>
      </c>
      <c r="AE3347" s="39">
        <v>0.49469426190474663</v>
      </c>
      <c r="AF3347" s="40">
        <v>0.49613342506555214</v>
      </c>
    </row>
    <row r="3348" spans="1:32">
      <c r="A3348" s="15">
        <v>3346</v>
      </c>
      <c r="B3348" s="16">
        <v>0</v>
      </c>
      <c r="C3348" s="20">
        <v>0.46</v>
      </c>
      <c r="D3348" s="20">
        <v>0.59550005968340614</v>
      </c>
      <c r="E3348" s="20">
        <v>0.28999999999999998</v>
      </c>
      <c r="F3348" s="8" t="s">
        <v>436</v>
      </c>
      <c r="G3348" s="24">
        <v>1.0292289811008266</v>
      </c>
      <c r="H3348" s="24">
        <v>1.0351879541833982</v>
      </c>
      <c r="I3348" s="25">
        <v>1.0532919786370916</v>
      </c>
      <c r="X3348" s="15">
        <v>3347</v>
      </c>
      <c r="Y3348" s="39">
        <v>0.49613568416464165</v>
      </c>
      <c r="Z3348" s="39">
        <v>0.49724496164014476</v>
      </c>
      <c r="AA3348" s="39">
        <v>0.4792812556287388</v>
      </c>
      <c r="AB3348" s="39">
        <v>0.50487605524076762</v>
      </c>
      <c r="AC3348" s="39">
        <v>0.48809785473998946</v>
      </c>
      <c r="AD3348" s="39">
        <v>0.49043304221911782</v>
      </c>
      <c r="AE3348" s="39">
        <v>0.47312248825878939</v>
      </c>
      <c r="AF3348" s="40">
        <v>0.50122121528149943</v>
      </c>
    </row>
    <row r="3349" spans="1:32">
      <c r="A3349" s="15">
        <v>3347</v>
      </c>
      <c r="B3349" s="16">
        <v>1</v>
      </c>
      <c r="C3349" s="20">
        <v>0.02</v>
      </c>
      <c r="D3349" s="20">
        <v>0.99756714174924133</v>
      </c>
      <c r="E3349" s="20">
        <v>1</v>
      </c>
      <c r="F3349" s="8" t="s">
        <v>436</v>
      </c>
      <c r="G3349" s="24">
        <v>1.0092386895542971</v>
      </c>
      <c r="H3349" s="24">
        <v>1.0150819239514781</v>
      </c>
      <c r="I3349" s="25">
        <v>1.0328343213779108</v>
      </c>
      <c r="X3349" s="15">
        <v>3348</v>
      </c>
      <c r="Y3349" s="39">
        <v>0.48505880924075129</v>
      </c>
      <c r="Z3349" s="39">
        <v>0.4966589383487191</v>
      </c>
      <c r="AA3349" s="39">
        <v>0.48432013144550579</v>
      </c>
      <c r="AB3349" s="39">
        <v>0.47715173140615197</v>
      </c>
      <c r="AC3349" s="39">
        <v>0.47524080507890748</v>
      </c>
      <c r="AD3349" s="39">
        <v>0.48701221182711257</v>
      </c>
      <c r="AE3349" s="39">
        <v>0.47986164300150963</v>
      </c>
      <c r="AF3349" s="40">
        <v>0.47498669603964666</v>
      </c>
    </row>
    <row r="3350" spans="1:32">
      <c r="A3350" s="15">
        <v>3348</v>
      </c>
      <c r="B3350" s="16">
        <v>0</v>
      </c>
      <c r="C3350" s="20">
        <v>0.94</v>
      </c>
      <c r="D3350" s="20">
        <v>0.17188516685452584</v>
      </c>
      <c r="E3350" s="20">
        <v>0.06</v>
      </c>
      <c r="F3350" s="8" t="s">
        <v>434</v>
      </c>
      <c r="G3350" s="24">
        <v>0.66697999346860903</v>
      </c>
      <c r="H3350" s="24">
        <v>0.67084163737941516</v>
      </c>
      <c r="I3350" s="25">
        <v>0.68257374202629839</v>
      </c>
      <c r="X3350" s="15">
        <v>3349</v>
      </c>
      <c r="Y3350" s="39">
        <v>0.49453574076008122</v>
      </c>
      <c r="Z3350" s="39">
        <v>0.48862314417061004</v>
      </c>
      <c r="AA3350" s="39">
        <v>0.49413998332647685</v>
      </c>
      <c r="AB3350" s="39">
        <v>0.49645231158931558</v>
      </c>
      <c r="AC3350" s="39">
        <v>0.48490054110318814</v>
      </c>
      <c r="AD3350" s="39">
        <v>0.4838975828336623</v>
      </c>
      <c r="AE3350" s="39">
        <v>0.4884169579860404</v>
      </c>
      <c r="AF3350" s="40">
        <v>0.49025003923675381</v>
      </c>
    </row>
    <row r="3351" spans="1:32">
      <c r="A3351" s="15">
        <v>3349</v>
      </c>
      <c r="B3351" s="16">
        <v>0</v>
      </c>
      <c r="C3351" s="20">
        <v>0.88</v>
      </c>
      <c r="D3351" s="20">
        <v>0.25930874124763043</v>
      </c>
      <c r="E3351" s="20">
        <v>0.12</v>
      </c>
      <c r="F3351" s="8" t="s">
        <v>434</v>
      </c>
      <c r="G3351" s="24">
        <v>0.47082359219295961</v>
      </c>
      <c r="H3351" s="24">
        <v>0.47354954061069338</v>
      </c>
      <c r="I3351" s="25">
        <v>0.48183127575705531</v>
      </c>
      <c r="X3351" s="15">
        <v>3350</v>
      </c>
      <c r="Y3351" s="39">
        <v>0.47756756338705936</v>
      </c>
      <c r="Z3351" s="39">
        <v>0.49822827351630317</v>
      </c>
      <c r="AA3351" s="39">
        <v>0.47728868566710703</v>
      </c>
      <c r="AB3351" s="39">
        <v>0.4718738396391014</v>
      </c>
      <c r="AC3351" s="39">
        <v>0.46931370520129256</v>
      </c>
      <c r="AD3351" s="39">
        <v>0.49245387826643416</v>
      </c>
      <c r="AE3351" s="39">
        <v>0.46901249039256188</v>
      </c>
      <c r="AF3351" s="40">
        <v>0.46822271207648136</v>
      </c>
    </row>
    <row r="3352" spans="1:32">
      <c r="A3352" s="15">
        <v>3350</v>
      </c>
      <c r="B3352" s="16">
        <v>1</v>
      </c>
      <c r="C3352" s="20">
        <v>0.02</v>
      </c>
      <c r="D3352" s="20">
        <v>0.99756714174924133</v>
      </c>
      <c r="E3352" s="20">
        <v>1</v>
      </c>
      <c r="F3352" s="8" t="s">
        <v>436</v>
      </c>
      <c r="G3352" s="24">
        <v>1.0127498957030081</v>
      </c>
      <c r="H3352" s="24">
        <v>1.01861345908753</v>
      </c>
      <c r="I3352" s="25">
        <v>1.036427618243515</v>
      </c>
      <c r="X3352" s="15">
        <v>3351</v>
      </c>
      <c r="Y3352" s="39">
        <v>0.48178254677445642</v>
      </c>
      <c r="Z3352" s="39">
        <v>0.49020656659645889</v>
      </c>
      <c r="AA3352" s="39">
        <v>0.47834251127476862</v>
      </c>
      <c r="AB3352" s="39">
        <v>0.48210490204632128</v>
      </c>
      <c r="AC3352" s="39">
        <v>0.47454023665788586</v>
      </c>
      <c r="AD3352" s="39">
        <v>0.4805886185522284</v>
      </c>
      <c r="AE3352" s="39">
        <v>0.47161301348387341</v>
      </c>
      <c r="AF3352" s="40">
        <v>0.47667152387102174</v>
      </c>
    </row>
    <row r="3353" spans="1:32">
      <c r="A3353" s="15">
        <v>3351</v>
      </c>
      <c r="B3353" s="16">
        <v>0</v>
      </c>
      <c r="C3353" s="20">
        <v>0.47</v>
      </c>
      <c r="D3353" s="20">
        <v>0.47016837557130808</v>
      </c>
      <c r="E3353" s="20">
        <v>0.08</v>
      </c>
      <c r="F3353" s="8" t="s">
        <v>436</v>
      </c>
      <c r="G3353" s="24">
        <v>1.4988385821675012</v>
      </c>
      <c r="H3353" s="24">
        <v>1.5075164749690653</v>
      </c>
      <c r="I3353" s="25">
        <v>1.5338808805988764</v>
      </c>
      <c r="X3353" s="15">
        <v>3352</v>
      </c>
      <c r="Y3353" s="39">
        <v>0.47996242117480764</v>
      </c>
      <c r="Z3353" s="39">
        <v>0.49054002112104766</v>
      </c>
      <c r="AA3353" s="39">
        <v>0.48169498121100074</v>
      </c>
      <c r="AB3353" s="39">
        <v>0.49842791895839506</v>
      </c>
      <c r="AC3353" s="39">
        <v>0.47496815934406905</v>
      </c>
      <c r="AD3353" s="39">
        <v>0.483136988737488</v>
      </c>
      <c r="AE3353" s="39">
        <v>0.4760990257684406</v>
      </c>
      <c r="AF3353" s="40">
        <v>0.49547141113552018</v>
      </c>
    </row>
    <row r="3354" spans="1:32">
      <c r="A3354" s="15">
        <v>3352</v>
      </c>
      <c r="B3354" s="16">
        <v>1</v>
      </c>
      <c r="C3354" s="20">
        <v>0.4</v>
      </c>
      <c r="D3354" s="20">
        <v>0.59153508967725466</v>
      </c>
      <c r="E3354" s="20">
        <v>0.09</v>
      </c>
      <c r="F3354" s="8" t="s">
        <v>436</v>
      </c>
      <c r="G3354" s="24">
        <v>0.75314972226509869</v>
      </c>
      <c r="H3354" s="24">
        <v>0.75751026691020173</v>
      </c>
      <c r="I3354" s="25">
        <v>0.77075808759884579</v>
      </c>
      <c r="X3354" s="15">
        <v>3353</v>
      </c>
      <c r="Y3354" s="39">
        <v>0.49068528701164232</v>
      </c>
      <c r="Z3354" s="39">
        <v>0.48229729868697302</v>
      </c>
      <c r="AA3354" s="39">
        <v>0.4751227896977806</v>
      </c>
      <c r="AB3354" s="39">
        <v>0.49709150222928605</v>
      </c>
      <c r="AC3354" s="39">
        <v>0.48134075466440635</v>
      </c>
      <c r="AD3354" s="39">
        <v>0.47548809298915606</v>
      </c>
      <c r="AE3354" s="39">
        <v>0.46721880621862372</v>
      </c>
      <c r="AF3354" s="40">
        <v>0.49519337105069045</v>
      </c>
    </row>
    <row r="3355" spans="1:32">
      <c r="A3355" s="15">
        <v>3353</v>
      </c>
      <c r="B3355" s="16">
        <v>0</v>
      </c>
      <c r="C3355" s="20">
        <v>0.9</v>
      </c>
      <c r="D3355" s="20">
        <v>0.231595386583653</v>
      </c>
      <c r="E3355" s="20">
        <v>0.1</v>
      </c>
      <c r="F3355" s="8" t="s">
        <v>434</v>
      </c>
      <c r="G3355" s="24">
        <v>1.9615932615280616</v>
      </c>
      <c r="H3355" s="24">
        <v>1.972950385801707</v>
      </c>
      <c r="I3355" s="25">
        <v>1.6578926537592125</v>
      </c>
      <c r="X3355" s="15">
        <v>3354</v>
      </c>
      <c r="Y3355" s="39">
        <v>0.48298844736013208</v>
      </c>
      <c r="Z3355" s="39">
        <v>0.49137683490950784</v>
      </c>
      <c r="AA3355" s="39">
        <v>0.49803364461613936</v>
      </c>
      <c r="AB3355" s="39">
        <v>0.47679151302948802</v>
      </c>
      <c r="AC3355" s="39">
        <v>0.47489251832033225</v>
      </c>
      <c r="AD3355" s="39">
        <v>0.48597868264631039</v>
      </c>
      <c r="AE3355" s="39">
        <v>0.49191919653859684</v>
      </c>
      <c r="AF3355" s="40">
        <v>0.47392534210888987</v>
      </c>
    </row>
    <row r="3356" spans="1:32">
      <c r="A3356" s="15">
        <v>3354</v>
      </c>
      <c r="B3356" s="16">
        <v>0</v>
      </c>
      <c r="C3356" s="20">
        <v>0.02</v>
      </c>
      <c r="D3356" s="20">
        <v>0.99679477127711513</v>
      </c>
      <c r="E3356" s="20">
        <v>1</v>
      </c>
      <c r="F3356" s="8" t="s">
        <v>436</v>
      </c>
      <c r="G3356" s="24">
        <v>1.0324441447178452</v>
      </c>
      <c r="H3356" s="24">
        <v>1.038421732777066</v>
      </c>
      <c r="I3356" s="25">
        <v>1.056582311604775</v>
      </c>
      <c r="X3356" s="15">
        <v>3355</v>
      </c>
      <c r="Y3356" s="39">
        <v>0.47436756138393482</v>
      </c>
      <c r="Z3356" s="39">
        <v>0.47940350443800117</v>
      </c>
      <c r="AA3356" s="39">
        <v>0.48366052676445243</v>
      </c>
      <c r="AB3356" s="39">
        <v>0.48403652361556049</v>
      </c>
      <c r="AC3356" s="39">
        <v>0.46466337635645988</v>
      </c>
      <c r="AD3356" s="39">
        <v>0.47209592378494747</v>
      </c>
      <c r="AE3356" s="39">
        <v>0.47526965619191536</v>
      </c>
      <c r="AF3356" s="40">
        <v>0.47898005000068411</v>
      </c>
    </row>
    <row r="3357" spans="1:32">
      <c r="A3357" s="15">
        <v>3355</v>
      </c>
      <c r="B3357" s="16">
        <v>1</v>
      </c>
      <c r="C3357" s="20">
        <v>0.91</v>
      </c>
      <c r="D3357" s="20">
        <v>0.21727233298780477</v>
      </c>
      <c r="E3357" s="20">
        <v>0.09</v>
      </c>
      <c r="F3357" s="8" t="s">
        <v>434</v>
      </c>
      <c r="G3357" s="24">
        <v>0.50514643867078646</v>
      </c>
      <c r="H3357" s="24">
        <v>0.50807110760847662</v>
      </c>
      <c r="I3357" s="25">
        <v>0.51695657784524618</v>
      </c>
      <c r="X3357" s="15">
        <v>3356</v>
      </c>
      <c r="Y3357" s="39">
        <v>0.48442244460175971</v>
      </c>
      <c r="Z3357" s="39">
        <v>0.49984953077157229</v>
      </c>
      <c r="AA3357" s="39">
        <v>0.49478757205714247</v>
      </c>
      <c r="AB3357" s="39">
        <v>0.50694495434567599</v>
      </c>
      <c r="AC3357" s="39">
        <v>0.47736370385170407</v>
      </c>
      <c r="AD3357" s="39">
        <v>0.4909878566857836</v>
      </c>
      <c r="AE3357" s="39">
        <v>0.48862751954621136</v>
      </c>
      <c r="AF3357" s="40">
        <v>0.50172274627336355</v>
      </c>
    </row>
    <row r="3358" spans="1:32">
      <c r="A3358" s="15">
        <v>3356</v>
      </c>
      <c r="B3358" s="16">
        <v>0</v>
      </c>
      <c r="C3358" s="20">
        <v>0.94</v>
      </c>
      <c r="D3358" s="20">
        <v>0.17188516685452584</v>
      </c>
      <c r="E3358" s="20">
        <v>0.06</v>
      </c>
      <c r="F3358" s="8" t="s">
        <v>434</v>
      </c>
      <c r="G3358" s="24">
        <v>0.37236432018393467</v>
      </c>
      <c r="H3358" s="24">
        <v>0.37452021454916418</v>
      </c>
      <c r="I3358" s="25">
        <v>0.38107006194180421</v>
      </c>
      <c r="X3358" s="15">
        <v>3357</v>
      </c>
      <c r="Y3358" s="39">
        <v>0.49806020870439754</v>
      </c>
      <c r="Z3358" s="39">
        <v>0.48252357273027535</v>
      </c>
      <c r="AA3358" s="39">
        <v>0.49357214040495706</v>
      </c>
      <c r="AB3358" s="39">
        <v>0.50091485573002514</v>
      </c>
      <c r="AC3358" s="39">
        <v>0.49202245925954524</v>
      </c>
      <c r="AD3358" s="39">
        <v>0.47673957227597696</v>
      </c>
      <c r="AE3358" s="39">
        <v>0.48603110030597785</v>
      </c>
      <c r="AF3358" s="40">
        <v>0.49453194172104731</v>
      </c>
    </row>
    <row r="3359" spans="1:32">
      <c r="A3359" s="15">
        <v>3357</v>
      </c>
      <c r="B3359" s="16">
        <v>1</v>
      </c>
      <c r="C3359" s="20">
        <v>0.02</v>
      </c>
      <c r="D3359" s="20">
        <v>0.99835916395484214</v>
      </c>
      <c r="E3359" s="20">
        <v>1</v>
      </c>
      <c r="F3359" s="8" t="s">
        <v>436</v>
      </c>
      <c r="G3359" s="24">
        <v>0.98211264539162935</v>
      </c>
      <c r="H3359" s="24">
        <v>0.98779882691722387</v>
      </c>
      <c r="I3359" s="25">
        <v>1.0050740802135645</v>
      </c>
      <c r="X3359" s="15">
        <v>3358</v>
      </c>
      <c r="Y3359" s="39">
        <v>0.48226265820936126</v>
      </c>
      <c r="Z3359" s="39">
        <v>0.50322663607319407</v>
      </c>
      <c r="AA3359" s="39">
        <v>0.49314685438840566</v>
      </c>
      <c r="AB3359" s="39">
        <v>0.48221593821186048</v>
      </c>
      <c r="AC3359" s="39">
        <v>0.4766849603191603</v>
      </c>
      <c r="AD3359" s="39">
        <v>0.49887715697765739</v>
      </c>
      <c r="AE3359" s="39">
        <v>0.48831030113982704</v>
      </c>
      <c r="AF3359" s="40">
        <v>0.47692607984312713</v>
      </c>
    </row>
    <row r="3360" spans="1:32">
      <c r="A3360" s="15">
        <v>3358</v>
      </c>
      <c r="B3360" s="16">
        <v>0</v>
      </c>
      <c r="C3360" s="20">
        <v>0.06</v>
      </c>
      <c r="D3360" s="20">
        <v>0.95066837977999052</v>
      </c>
      <c r="E3360" s="20">
        <v>0.5</v>
      </c>
      <c r="F3360" s="8" t="s">
        <v>436</v>
      </c>
      <c r="G3360" s="24">
        <v>1.0709090119511941</v>
      </c>
      <c r="H3360" s="24">
        <v>1.0771093017732658</v>
      </c>
      <c r="I3360" s="25">
        <v>1.0959464733804123</v>
      </c>
      <c r="X3360" s="15">
        <v>3359</v>
      </c>
      <c r="Y3360" s="39">
        <v>0.48953259596043475</v>
      </c>
      <c r="Z3360" s="39">
        <v>0.49012042207831663</v>
      </c>
      <c r="AA3360" s="39">
        <v>0.48835500369413981</v>
      </c>
      <c r="AB3360" s="39">
        <v>0.48488194473074031</v>
      </c>
      <c r="AC3360" s="39">
        <v>0.48291510140808036</v>
      </c>
      <c r="AD3360" s="39">
        <v>0.48063401471801454</v>
      </c>
      <c r="AE3360" s="39">
        <v>0.47987165014753641</v>
      </c>
      <c r="AF3360" s="40">
        <v>0.47950110284405523</v>
      </c>
    </row>
    <row r="3361" spans="1:32">
      <c r="A3361" s="15">
        <v>3359</v>
      </c>
      <c r="B3361" s="16">
        <v>0</v>
      </c>
      <c r="C3361" s="20">
        <v>0.95</v>
      </c>
      <c r="D3361" s="20">
        <v>0.15570568692893463</v>
      </c>
      <c r="E3361" s="20">
        <v>0.05</v>
      </c>
      <c r="F3361" s="8" t="s">
        <v>434</v>
      </c>
      <c r="G3361" s="24">
        <v>0.54501842431615521</v>
      </c>
      <c r="H3361" s="24">
        <v>0.54817394187312485</v>
      </c>
      <c r="I3361" s="25">
        <v>0.55776075594726759</v>
      </c>
      <c r="X3361" s="15">
        <v>3360</v>
      </c>
      <c r="Y3361" s="39">
        <v>0.48231971355735792</v>
      </c>
      <c r="Z3361" s="39">
        <v>0.48169315404378982</v>
      </c>
      <c r="AA3361" s="39">
        <v>0.48519820900576316</v>
      </c>
      <c r="AB3361" s="39">
        <v>0.48335703693771603</v>
      </c>
      <c r="AC3361" s="39">
        <v>0.4769242379579593</v>
      </c>
      <c r="AD3361" s="39">
        <v>0.47470259512844426</v>
      </c>
      <c r="AE3361" s="39">
        <v>0.47980541817806133</v>
      </c>
      <c r="AF3361" s="40">
        <v>0.47745847793300639</v>
      </c>
    </row>
    <row r="3362" spans="1:32">
      <c r="A3362" s="15">
        <v>3360</v>
      </c>
      <c r="B3362" s="16">
        <v>0</v>
      </c>
      <c r="C3362" s="20">
        <v>0.49</v>
      </c>
      <c r="D3362" s="20">
        <v>0.5219224352728743</v>
      </c>
      <c r="E3362" s="20">
        <v>0.03</v>
      </c>
      <c r="F3362" s="8" t="s">
        <v>436</v>
      </c>
      <c r="G3362" s="24">
        <v>0.72642604149121204</v>
      </c>
      <c r="H3362" s="24">
        <v>0.73063186284604342</v>
      </c>
      <c r="I3362" s="25">
        <v>0.74340961693230168</v>
      </c>
      <c r="X3362" s="15">
        <v>3361</v>
      </c>
      <c r="Y3362" s="39">
        <v>0.50125555620677298</v>
      </c>
      <c r="Z3362" s="39">
        <v>0.4908775264597155</v>
      </c>
      <c r="AA3362" s="39">
        <v>0.48705855183851687</v>
      </c>
      <c r="AB3362" s="39">
        <v>0.49229842644323402</v>
      </c>
      <c r="AC3362" s="39">
        <v>0.49422355601297924</v>
      </c>
      <c r="AD3362" s="39">
        <v>0.48041312478796577</v>
      </c>
      <c r="AE3362" s="39">
        <v>0.47873345252007538</v>
      </c>
      <c r="AF3362" s="40">
        <v>0.48665338687745485</v>
      </c>
    </row>
    <row r="3363" spans="1:32">
      <c r="A3363" s="15">
        <v>3361</v>
      </c>
      <c r="B3363" s="16">
        <v>0</v>
      </c>
      <c r="C3363" s="20">
        <v>0.11</v>
      </c>
      <c r="D3363" s="20">
        <v>0.90864639548419646</v>
      </c>
      <c r="E3363" s="20">
        <v>0.06</v>
      </c>
      <c r="F3363" s="8" t="s">
        <v>436</v>
      </c>
      <c r="G3363" s="24">
        <v>1.6194502606768224</v>
      </c>
      <c r="H3363" s="24">
        <v>1.6288264643099686</v>
      </c>
      <c r="I3363" s="25">
        <v>1.6573124160847377</v>
      </c>
      <c r="X3363" s="15">
        <v>3362</v>
      </c>
      <c r="Y3363" s="39">
        <v>0.47442702705465395</v>
      </c>
      <c r="Z3363" s="39">
        <v>0.46915944829939288</v>
      </c>
      <c r="AA3363" s="39">
        <v>0.49158087341832823</v>
      </c>
      <c r="AB3363" s="39">
        <v>0.49287486759670879</v>
      </c>
      <c r="AC3363" s="39">
        <v>0.46821519236367526</v>
      </c>
      <c r="AD3363" s="39">
        <v>0.46313965037588622</v>
      </c>
      <c r="AE3363" s="39">
        <v>0.48499357619999611</v>
      </c>
      <c r="AF3363" s="40">
        <v>0.4867198063526923</v>
      </c>
    </row>
    <row r="3364" spans="1:32">
      <c r="A3364" s="15">
        <v>3362</v>
      </c>
      <c r="B3364" s="16">
        <v>1</v>
      </c>
      <c r="C3364" s="20">
        <v>0.02</v>
      </c>
      <c r="D3364" s="20">
        <v>0.99756714174924133</v>
      </c>
      <c r="E3364" s="20">
        <v>1</v>
      </c>
      <c r="F3364" s="8" t="s">
        <v>436</v>
      </c>
      <c r="G3364" s="24">
        <v>1.0241881294984181</v>
      </c>
      <c r="H3364" s="24">
        <v>1.030117917336925</v>
      </c>
      <c r="I3364" s="25">
        <v>1.0481332737659577</v>
      </c>
      <c r="X3364" s="15">
        <v>3363</v>
      </c>
      <c r="Y3364" s="39">
        <v>0.47906100739320739</v>
      </c>
      <c r="Z3364" s="39">
        <v>0.49641056472136025</v>
      </c>
      <c r="AA3364" s="39">
        <v>0.4950602794551387</v>
      </c>
      <c r="AB3364" s="39">
        <v>0.49303779847175477</v>
      </c>
      <c r="AC3364" s="39">
        <v>0.47084680789101097</v>
      </c>
      <c r="AD3364" s="39">
        <v>0.48931568747000587</v>
      </c>
      <c r="AE3364" s="39">
        <v>0.48830988328329883</v>
      </c>
      <c r="AF3364" s="40">
        <v>0.48642254801918344</v>
      </c>
    </row>
    <row r="3365" spans="1:32">
      <c r="A3365" s="15">
        <v>3363</v>
      </c>
      <c r="B3365" s="16">
        <v>1</v>
      </c>
      <c r="C3365" s="20">
        <v>0.12</v>
      </c>
      <c r="D3365" s="20">
        <v>0.89329462777690316</v>
      </c>
      <c r="E3365" s="20">
        <v>0.08</v>
      </c>
      <c r="F3365" s="8" t="s">
        <v>436</v>
      </c>
      <c r="G3365" s="24">
        <v>0.77398749583077064</v>
      </c>
      <c r="H3365" s="24">
        <v>0.77846868586582929</v>
      </c>
      <c r="I3365" s="25">
        <v>0.79208304069713809</v>
      </c>
      <c r="X3365" s="15">
        <v>3364</v>
      </c>
      <c r="Y3365" s="39">
        <v>0.48406400677079831</v>
      </c>
      <c r="Z3365" s="39">
        <v>0.50048412979910883</v>
      </c>
      <c r="AA3365" s="39">
        <v>0.49473086496628088</v>
      </c>
      <c r="AB3365" s="39">
        <v>0.4914890156525471</v>
      </c>
      <c r="AC3365" s="39">
        <v>0.47793372864189371</v>
      </c>
      <c r="AD3365" s="39">
        <v>0.49237617225782965</v>
      </c>
      <c r="AE3365" s="39">
        <v>0.48976679174847432</v>
      </c>
      <c r="AF3365" s="40">
        <v>0.48613277625727214</v>
      </c>
    </row>
    <row r="3366" spans="1:32">
      <c r="A3366" s="15">
        <v>3364</v>
      </c>
      <c r="B3366" s="16">
        <v>1</v>
      </c>
      <c r="C3366" s="20">
        <v>0.73</v>
      </c>
      <c r="D3366" s="20">
        <v>0.44209015066494517</v>
      </c>
      <c r="E3366" s="20">
        <v>0.27</v>
      </c>
      <c r="F3366" s="8" t="s">
        <v>438</v>
      </c>
      <c r="G3366" s="24">
        <v>0.89568840252177473</v>
      </c>
      <c r="H3366" s="24">
        <v>0.90087420974155408</v>
      </c>
      <c r="I3366" s="25">
        <v>0.91662927012160678</v>
      </c>
      <c r="X3366" s="15">
        <v>3365</v>
      </c>
      <c r="Y3366" s="39">
        <v>0.47888019682981103</v>
      </c>
      <c r="Z3366" s="39">
        <v>0.47596922970942029</v>
      </c>
      <c r="AA3366" s="39">
        <v>0.47977050023721146</v>
      </c>
      <c r="AB3366" s="39">
        <v>0.50059369660496045</v>
      </c>
      <c r="AC3366" s="39">
        <v>0.474438468219821</v>
      </c>
      <c r="AD3366" s="39">
        <v>0.47082377579736062</v>
      </c>
      <c r="AE3366" s="39">
        <v>0.46972964239611464</v>
      </c>
      <c r="AF3366" s="40">
        <v>0.49665299830971305</v>
      </c>
    </row>
    <row r="3367" spans="1:32">
      <c r="A3367" s="15">
        <v>3365</v>
      </c>
      <c r="B3367" s="16">
        <v>1</v>
      </c>
      <c r="C3367" s="20">
        <v>0.09</v>
      </c>
      <c r="D3367" s="20">
        <v>0.88768870649251774</v>
      </c>
      <c r="E3367" s="20">
        <v>0.19</v>
      </c>
      <c r="F3367" s="8" t="s">
        <v>436</v>
      </c>
      <c r="G3367" s="24">
        <v>0.82416569172315735</v>
      </c>
      <c r="H3367" s="24">
        <v>0.82893740070409228</v>
      </c>
      <c r="I3367" s="25">
        <v>0.84343438447624797</v>
      </c>
      <c r="X3367" s="15">
        <v>3366</v>
      </c>
      <c r="Y3367" s="39">
        <v>0.48536679078559741</v>
      </c>
      <c r="Z3367" s="39">
        <v>0.48351056995899289</v>
      </c>
      <c r="AA3367" s="39">
        <v>0.50208897851710343</v>
      </c>
      <c r="AB3367" s="39">
        <v>0.48455911263801038</v>
      </c>
      <c r="AC3367" s="39">
        <v>0.47814513885278181</v>
      </c>
      <c r="AD3367" s="39">
        <v>0.47446654412162947</v>
      </c>
      <c r="AE3367" s="39">
        <v>0.49248162410466628</v>
      </c>
      <c r="AF3367" s="40">
        <v>0.47802334579946965</v>
      </c>
    </row>
    <row r="3368" spans="1:32">
      <c r="A3368" s="15">
        <v>3366</v>
      </c>
      <c r="B3368" s="16">
        <v>0</v>
      </c>
      <c r="C3368" s="20">
        <v>0.89</v>
      </c>
      <c r="D3368" s="20">
        <v>0.24559627500636821</v>
      </c>
      <c r="E3368" s="20">
        <v>0.11</v>
      </c>
      <c r="F3368" s="8" t="s">
        <v>434</v>
      </c>
      <c r="G3368" s="24">
        <v>0.70101353029639124</v>
      </c>
      <c r="H3368" s="24">
        <v>0.7050722196981285</v>
      </c>
      <c r="I3368" s="25">
        <v>0.71740297051052948</v>
      </c>
      <c r="X3368" s="15">
        <v>3367</v>
      </c>
      <c r="Y3368" s="39">
        <v>0.49542759684139842</v>
      </c>
      <c r="Z3368" s="39">
        <v>0.47768705994135235</v>
      </c>
      <c r="AA3368" s="39">
        <v>0.49017717240790964</v>
      </c>
      <c r="AB3368" s="39">
        <v>0.49780071570210521</v>
      </c>
      <c r="AC3368" s="39">
        <v>0.48707647163132034</v>
      </c>
      <c r="AD3368" s="39">
        <v>0.4712902648375859</v>
      </c>
      <c r="AE3368" s="39">
        <v>0.48339351902053473</v>
      </c>
      <c r="AF3368" s="40">
        <v>0.49367268314969942</v>
      </c>
    </row>
    <row r="3369" spans="1:32">
      <c r="A3369" s="15">
        <v>3367</v>
      </c>
      <c r="B3369" s="16">
        <v>0</v>
      </c>
      <c r="C3369" s="20">
        <v>0.02</v>
      </c>
      <c r="D3369" s="20">
        <v>0.99756714174924133</v>
      </c>
      <c r="E3369" s="20">
        <v>1</v>
      </c>
      <c r="F3369" s="8" t="s">
        <v>436</v>
      </c>
      <c r="G3369" s="24">
        <v>0.92293381914025296</v>
      </c>
      <c r="H3369" s="24">
        <v>0.92827737036766733</v>
      </c>
      <c r="I3369" s="25">
        <v>0.94451167462616625</v>
      </c>
      <c r="X3369" s="15">
        <v>3368</v>
      </c>
      <c r="Y3369" s="39">
        <v>0.47322498412503483</v>
      </c>
      <c r="Z3369" s="39">
        <v>0.48242919537143075</v>
      </c>
      <c r="AA3369" s="39">
        <v>0.48926034873675051</v>
      </c>
      <c r="AB3369" s="39">
        <v>0.49987416637466919</v>
      </c>
      <c r="AC3369" s="39">
        <v>0.46900559575510725</v>
      </c>
      <c r="AD3369" s="39">
        <v>0.47859160900381714</v>
      </c>
      <c r="AE3369" s="39">
        <v>0.48359178121308743</v>
      </c>
      <c r="AF3369" s="40">
        <v>0.49522118192178294</v>
      </c>
    </row>
    <row r="3370" spans="1:32">
      <c r="A3370" s="15">
        <v>3368</v>
      </c>
      <c r="B3370" s="16">
        <v>0</v>
      </c>
      <c r="C3370" s="20">
        <v>0.02</v>
      </c>
      <c r="D3370" s="20">
        <v>0.99756714174924133</v>
      </c>
      <c r="E3370" s="20">
        <v>1</v>
      </c>
      <c r="F3370" s="8" t="s">
        <v>436</v>
      </c>
      <c r="G3370" s="24">
        <v>0.9881369108008482</v>
      </c>
      <c r="H3370" s="24">
        <v>0.99385797128542552</v>
      </c>
      <c r="I3370" s="25">
        <v>1.0112391907470091</v>
      </c>
      <c r="X3370" s="15">
        <v>3369</v>
      </c>
      <c r="Y3370" s="39">
        <v>0.48817785755094895</v>
      </c>
      <c r="Z3370" s="39">
        <v>0.4808083204344436</v>
      </c>
      <c r="AA3370" s="39">
        <v>0.48629131641734397</v>
      </c>
      <c r="AB3370" s="39">
        <v>0.49506482944189101</v>
      </c>
      <c r="AC3370" s="39">
        <v>0.4813243083333536</v>
      </c>
      <c r="AD3370" s="39">
        <v>0.47630048702905731</v>
      </c>
      <c r="AE3370" s="39">
        <v>0.47873685225267137</v>
      </c>
      <c r="AF3370" s="40">
        <v>0.49066820716681786</v>
      </c>
    </row>
    <row r="3371" spans="1:32">
      <c r="A3371" s="15">
        <v>3369</v>
      </c>
      <c r="B3371" s="16">
        <v>1</v>
      </c>
      <c r="C3371" s="20">
        <v>0.02</v>
      </c>
      <c r="D3371" s="20">
        <v>0.99756714174924133</v>
      </c>
      <c r="E3371" s="20">
        <v>1</v>
      </c>
      <c r="F3371" s="8" t="s">
        <v>436</v>
      </c>
      <c r="G3371" s="24">
        <v>1.0947511259569433</v>
      </c>
      <c r="H3371" s="24">
        <v>1.1010894555332393</v>
      </c>
      <c r="I3371" s="25">
        <v>1.1203460073005969</v>
      </c>
      <c r="X3371" s="15">
        <v>3370</v>
      </c>
      <c r="Y3371" s="39">
        <v>0.49352152420023648</v>
      </c>
      <c r="Z3371" s="39">
        <v>0.49459955614885942</v>
      </c>
      <c r="AA3371" s="39">
        <v>0.5140307826422732</v>
      </c>
      <c r="AB3371" s="39">
        <v>0.4942606855271674</v>
      </c>
      <c r="AC3371" s="39">
        <v>0.48495700222668287</v>
      </c>
      <c r="AD3371" s="39">
        <v>0.48894256043266487</v>
      </c>
      <c r="AE3371" s="39">
        <v>0.5051464552651459</v>
      </c>
      <c r="AF3371" s="40">
        <v>0.49039923154481863</v>
      </c>
    </row>
    <row r="3372" spans="1:32">
      <c r="A3372" s="15">
        <v>3370</v>
      </c>
      <c r="B3372" s="16">
        <v>0</v>
      </c>
      <c r="C3372" s="20">
        <v>0.15</v>
      </c>
      <c r="D3372" s="20">
        <v>0.88095863535341223</v>
      </c>
      <c r="E3372" s="20">
        <v>0.05</v>
      </c>
      <c r="F3372" s="8" t="s">
        <v>436</v>
      </c>
      <c r="G3372" s="24">
        <v>1.2745356598670829</v>
      </c>
      <c r="H3372" s="24">
        <v>1.2819148960034406</v>
      </c>
      <c r="I3372" s="25">
        <v>1.304333837926994</v>
      </c>
      <c r="X3372" s="15">
        <v>3371</v>
      </c>
      <c r="Y3372" s="39">
        <v>0.48707770777806281</v>
      </c>
      <c r="Z3372" s="39">
        <v>0.49808954781331283</v>
      </c>
      <c r="AA3372" s="39">
        <v>0.48629806637182971</v>
      </c>
      <c r="AB3372" s="39">
        <v>0.48243656086616682</v>
      </c>
      <c r="AC3372" s="39">
        <v>0.47854706788138884</v>
      </c>
      <c r="AD3372" s="39">
        <v>0.49123489700481521</v>
      </c>
      <c r="AE3372" s="39">
        <v>0.47847805534795396</v>
      </c>
      <c r="AF3372" s="40">
        <v>0.47829434050020003</v>
      </c>
    </row>
    <row r="3373" spans="1:32">
      <c r="A3373" s="15">
        <v>3371</v>
      </c>
      <c r="B3373" s="16">
        <v>0</v>
      </c>
      <c r="C3373" s="20">
        <v>0.02</v>
      </c>
      <c r="D3373" s="20">
        <v>0.99917029198757767</v>
      </c>
      <c r="E3373" s="20">
        <v>1</v>
      </c>
      <c r="F3373" s="8" t="s">
        <v>436</v>
      </c>
      <c r="G3373" s="24">
        <v>0.99790503627533889</v>
      </c>
      <c r="H3373" s="24">
        <v>1.0036826517130302</v>
      </c>
      <c r="I3373" s="25">
        <v>1.0212356914261846</v>
      </c>
      <c r="X3373" s="15">
        <v>3372</v>
      </c>
      <c r="Y3373" s="39">
        <v>0.47274114337993145</v>
      </c>
      <c r="Z3373" s="39">
        <v>0.47741662239249738</v>
      </c>
      <c r="AA3373" s="39">
        <v>0.48687484659119828</v>
      </c>
      <c r="AB3373" s="39">
        <v>0.49353680095793734</v>
      </c>
      <c r="AC3373" s="39">
        <v>0.46734851392466992</v>
      </c>
      <c r="AD3373" s="39">
        <v>0.46927742014927792</v>
      </c>
      <c r="AE3373" s="39">
        <v>0.48147775689827893</v>
      </c>
      <c r="AF3373" s="40">
        <v>0.48937811076116683</v>
      </c>
    </row>
    <row r="3374" spans="1:32">
      <c r="A3374" s="15">
        <v>3372</v>
      </c>
      <c r="B3374" s="16">
        <v>1</v>
      </c>
      <c r="C3374" s="20">
        <v>0.92</v>
      </c>
      <c r="D3374" s="20">
        <v>0.20258497911151899</v>
      </c>
      <c r="E3374" s="20">
        <v>0.08</v>
      </c>
      <c r="F3374" s="8" t="s">
        <v>434</v>
      </c>
      <c r="G3374" s="24">
        <v>0.77710786042779501</v>
      </c>
      <c r="H3374" s="24">
        <v>0.78160711657737525</v>
      </c>
      <c r="I3374" s="25">
        <v>0.79527635827837606</v>
      </c>
      <c r="X3374" s="15">
        <v>3373</v>
      </c>
      <c r="Y3374" s="39">
        <v>0.46789675406316228</v>
      </c>
      <c r="Z3374" s="39">
        <v>0.47197525382761707</v>
      </c>
      <c r="AA3374" s="39">
        <v>0.48548647863124983</v>
      </c>
      <c r="AB3374" s="39">
        <v>0.49598286712704431</v>
      </c>
      <c r="AC3374" s="39">
        <v>0.46149302791394514</v>
      </c>
      <c r="AD3374" s="39">
        <v>0.46767924649070192</v>
      </c>
      <c r="AE3374" s="39">
        <v>0.47815744095066642</v>
      </c>
      <c r="AF3374" s="40">
        <v>0.49046417212350557</v>
      </c>
    </row>
    <row r="3375" spans="1:32">
      <c r="A3375" s="15">
        <v>3373</v>
      </c>
      <c r="B3375" s="16">
        <v>0</v>
      </c>
      <c r="C3375" s="20">
        <v>0.31</v>
      </c>
      <c r="D3375" s="20">
        <v>0.66456784843512351</v>
      </c>
      <c r="E3375" s="20">
        <v>0.11</v>
      </c>
      <c r="F3375" s="8" t="s">
        <v>436</v>
      </c>
      <c r="G3375" s="24">
        <v>1.2414757626031956</v>
      </c>
      <c r="H3375" s="24">
        <v>1.2486635903731687</v>
      </c>
      <c r="I3375" s="25">
        <v>1.2705010123439302</v>
      </c>
      <c r="X3375" s="15">
        <v>3374</v>
      </c>
      <c r="Y3375" s="39">
        <v>0.46956505199869802</v>
      </c>
      <c r="Z3375" s="39">
        <v>0.48473990812890183</v>
      </c>
      <c r="AA3375" s="39">
        <v>0.49900356750113689</v>
      </c>
      <c r="AB3375" s="39">
        <v>0.48912917740572404</v>
      </c>
      <c r="AC3375" s="39">
        <v>0.46445082399379661</v>
      </c>
      <c r="AD3375" s="39">
        <v>0.47628674752745986</v>
      </c>
      <c r="AE3375" s="39">
        <v>0.4896905874056186</v>
      </c>
      <c r="AF3375" s="40">
        <v>0.4868320204965158</v>
      </c>
    </row>
    <row r="3376" spans="1:32">
      <c r="A3376" s="15">
        <v>3374</v>
      </c>
      <c r="B3376" s="16">
        <v>0</v>
      </c>
      <c r="C3376" s="20">
        <v>0.69</v>
      </c>
      <c r="D3376" s="20">
        <v>0.46352443615843003</v>
      </c>
      <c r="E3376" s="20">
        <v>0.21</v>
      </c>
      <c r="F3376" s="8" t="s">
        <v>438</v>
      </c>
      <c r="G3376" s="24">
        <v>1.4740855636920314</v>
      </c>
      <c r="H3376" s="24">
        <v>1.4826201428350061</v>
      </c>
      <c r="I3376" s="25">
        <v>1.5085491455952795</v>
      </c>
      <c r="X3376" s="15">
        <v>3375</v>
      </c>
      <c r="Y3376" s="39">
        <v>0.4807748259870489</v>
      </c>
      <c r="Z3376" s="39">
        <v>0.4942520268452501</v>
      </c>
      <c r="AA3376" s="39">
        <v>0.48273448902810107</v>
      </c>
      <c r="AB3376" s="39">
        <v>0.48705445145738219</v>
      </c>
      <c r="AC3376" s="39">
        <v>0.47592108724072218</v>
      </c>
      <c r="AD3376" s="39">
        <v>0.48596055699434904</v>
      </c>
      <c r="AE3376" s="39">
        <v>0.47608307173317299</v>
      </c>
      <c r="AF3376" s="40">
        <v>0.48372467975191724</v>
      </c>
    </row>
    <row r="3377" spans="1:32">
      <c r="A3377" s="15">
        <v>3375</v>
      </c>
      <c r="B3377" s="16">
        <v>0</v>
      </c>
      <c r="C3377" s="20">
        <v>0.91</v>
      </c>
      <c r="D3377" s="20">
        <v>0.21727233298780477</v>
      </c>
      <c r="E3377" s="20">
        <v>0.09</v>
      </c>
      <c r="F3377" s="8" t="s">
        <v>434</v>
      </c>
      <c r="G3377" s="24">
        <v>0.54842338395152368</v>
      </c>
      <c r="H3377" s="24">
        <v>0.55159861535564192</v>
      </c>
      <c r="I3377" s="25">
        <v>0.56124532229486568</v>
      </c>
      <c r="X3377" s="15">
        <v>3376</v>
      </c>
      <c r="Y3377" s="39">
        <v>0.49232377981862308</v>
      </c>
      <c r="Z3377" s="39">
        <v>0.47563432010405571</v>
      </c>
      <c r="AA3377" s="39">
        <v>0.49102968382506146</v>
      </c>
      <c r="AB3377" s="39">
        <v>0.49207938497313347</v>
      </c>
      <c r="AC3377" s="39">
        <v>0.4825042643268132</v>
      </c>
      <c r="AD3377" s="39">
        <v>0.46901099117408956</v>
      </c>
      <c r="AE3377" s="39">
        <v>0.48453115396811608</v>
      </c>
      <c r="AF3377" s="40">
        <v>0.48861938769436497</v>
      </c>
    </row>
    <row r="3378" spans="1:32">
      <c r="A3378" s="15">
        <v>3376</v>
      </c>
      <c r="B3378" s="16">
        <v>0</v>
      </c>
      <c r="C3378" s="20">
        <v>0.26</v>
      </c>
      <c r="D3378" s="20">
        <v>0.7329093973027252</v>
      </c>
      <c r="E3378" s="20">
        <v>0.08</v>
      </c>
      <c r="F3378" s="8" t="s">
        <v>436</v>
      </c>
      <c r="G3378" s="24">
        <v>0.7742283498910878</v>
      </c>
      <c r="H3378" s="24">
        <v>0.77871093440967598</v>
      </c>
      <c r="I3378" s="25">
        <v>0.79232952583738636</v>
      </c>
      <c r="X3378" s="15">
        <v>3377</v>
      </c>
      <c r="Y3378" s="39">
        <v>0.46870809382190093</v>
      </c>
      <c r="Z3378" s="39">
        <v>0.4782883885702412</v>
      </c>
      <c r="AA3378" s="39">
        <v>0.49451707376482212</v>
      </c>
      <c r="AB3378" s="39">
        <v>0.49088789867131999</v>
      </c>
      <c r="AC3378" s="39">
        <v>0.46370531749222194</v>
      </c>
      <c r="AD3378" s="39">
        <v>0.4705163172537844</v>
      </c>
      <c r="AE3378" s="39">
        <v>0.48381727041248801</v>
      </c>
      <c r="AF3378" s="40">
        <v>0.48722328227921136</v>
      </c>
    </row>
    <row r="3379" spans="1:32">
      <c r="A3379" s="15">
        <v>3377</v>
      </c>
      <c r="B3379" s="16">
        <v>1</v>
      </c>
      <c r="C3379" s="20">
        <v>0.17</v>
      </c>
      <c r="D3379" s="20">
        <v>0.82084590901650789</v>
      </c>
      <c r="E3379" s="20">
        <v>0.25</v>
      </c>
      <c r="F3379" s="8" t="s">
        <v>436</v>
      </c>
      <c r="G3379" s="24">
        <v>0.84013815313848006</v>
      </c>
      <c r="H3379" s="24">
        <v>0.84500233859392559</v>
      </c>
      <c r="I3379" s="25">
        <v>0.85978027620371944</v>
      </c>
      <c r="X3379" s="15">
        <v>3378</v>
      </c>
      <c r="Y3379" s="39">
        <v>0.48173440152414498</v>
      </c>
      <c r="Z3379" s="39">
        <v>0.48335906152393093</v>
      </c>
      <c r="AA3379" s="39">
        <v>0.48072101358168473</v>
      </c>
      <c r="AB3379" s="39">
        <v>0.50021685741698385</v>
      </c>
      <c r="AC3379" s="39">
        <v>0.4744937161151343</v>
      </c>
      <c r="AD3379" s="39">
        <v>0.47756166543615797</v>
      </c>
      <c r="AE3379" s="39">
        <v>0.47649506824945642</v>
      </c>
      <c r="AF3379" s="40">
        <v>0.49494987815918234</v>
      </c>
    </row>
    <row r="3380" spans="1:32">
      <c r="A3380" s="15">
        <v>3378</v>
      </c>
      <c r="B3380" s="16">
        <v>0</v>
      </c>
      <c r="C3380" s="20">
        <v>0.9</v>
      </c>
      <c r="D3380" s="20">
        <v>0.23159538658365303</v>
      </c>
      <c r="E3380" s="20">
        <v>0.1</v>
      </c>
      <c r="F3380" s="8" t="s">
        <v>434</v>
      </c>
      <c r="G3380" s="24">
        <v>0.77041344505546883</v>
      </c>
      <c r="H3380" s="24">
        <v>0.77487394224884032</v>
      </c>
      <c r="I3380" s="25">
        <v>0.78842542992053455</v>
      </c>
      <c r="X3380" s="15">
        <v>3379</v>
      </c>
      <c r="Y3380" s="39">
        <v>0.48961999376809873</v>
      </c>
      <c r="Z3380" s="39">
        <v>0.49193147530823084</v>
      </c>
      <c r="AA3380" s="39">
        <v>0.48750637163249683</v>
      </c>
      <c r="AB3380" s="39">
        <v>0.48926263159841149</v>
      </c>
      <c r="AC3380" s="39">
        <v>0.48196643395716138</v>
      </c>
      <c r="AD3380" s="39">
        <v>0.48577314781891101</v>
      </c>
      <c r="AE3380" s="39">
        <v>0.48410411898464606</v>
      </c>
      <c r="AF3380" s="40">
        <v>0.48277989803385463</v>
      </c>
    </row>
    <row r="3381" spans="1:32">
      <c r="A3381" s="15">
        <v>3379</v>
      </c>
      <c r="B3381" s="16">
        <v>1</v>
      </c>
      <c r="C3381" s="20">
        <v>0.47</v>
      </c>
      <c r="D3381" s="20">
        <v>0.47147904543010166</v>
      </c>
      <c r="E3381" s="20">
        <v>0.09</v>
      </c>
      <c r="F3381" s="8" t="s">
        <v>436</v>
      </c>
      <c r="G3381" s="24">
        <v>0.74891824261648943</v>
      </c>
      <c r="H3381" s="24">
        <v>0.7532542880745422</v>
      </c>
      <c r="I3381" s="25">
        <v>0.76642767750207685</v>
      </c>
      <c r="X3381" s="15">
        <v>3380</v>
      </c>
      <c r="Y3381" s="39">
        <v>0.4836478813542468</v>
      </c>
      <c r="Z3381" s="39">
        <v>0.49606165013259657</v>
      </c>
      <c r="AA3381" s="39">
        <v>0.49681183695731568</v>
      </c>
      <c r="AB3381" s="39">
        <v>0.47989029018177704</v>
      </c>
      <c r="AC3381" s="39">
        <v>0.47932604374812227</v>
      </c>
      <c r="AD3381" s="39">
        <v>0.49169317577335903</v>
      </c>
      <c r="AE3381" s="39">
        <v>0.48829882435565253</v>
      </c>
      <c r="AF3381" s="40">
        <v>0.47930645628665869</v>
      </c>
    </row>
    <row r="3382" spans="1:32">
      <c r="A3382" s="15">
        <v>3380</v>
      </c>
      <c r="B3382" s="16">
        <v>1</v>
      </c>
      <c r="C3382" s="20">
        <v>0.02</v>
      </c>
      <c r="D3382" s="20">
        <v>0.99917029198757767</v>
      </c>
      <c r="E3382" s="20">
        <v>1</v>
      </c>
      <c r="F3382" s="8" t="s">
        <v>436</v>
      </c>
      <c r="G3382" s="24">
        <v>1.0247282571458929</v>
      </c>
      <c r="H3382" s="24">
        <v>1.0306611721856072</v>
      </c>
      <c r="I3382" s="25">
        <v>1.0486860294004881</v>
      </c>
      <c r="X3382" s="15">
        <v>3381</v>
      </c>
      <c r="Y3382" s="39">
        <v>0.49105033557096706</v>
      </c>
      <c r="Z3382" s="39">
        <v>0.48208400539248736</v>
      </c>
      <c r="AA3382" s="39">
        <v>0.48300622193797171</v>
      </c>
      <c r="AB3382" s="39">
        <v>0.47777470730236316</v>
      </c>
      <c r="AC3382" s="39">
        <v>0.48478803553674921</v>
      </c>
      <c r="AD3382" s="39">
        <v>0.47504564114832393</v>
      </c>
      <c r="AE3382" s="39">
        <v>0.47412017874998463</v>
      </c>
      <c r="AF3382" s="40">
        <v>0.47430874259906852</v>
      </c>
    </row>
    <row r="3383" spans="1:32">
      <c r="A3383" s="15">
        <v>3381</v>
      </c>
      <c r="B3383" s="16">
        <v>1</v>
      </c>
      <c r="C3383" s="20">
        <v>0.02</v>
      </c>
      <c r="D3383" s="20">
        <v>0.99835916395484214</v>
      </c>
      <c r="E3383" s="20">
        <v>1</v>
      </c>
      <c r="F3383" s="8" t="s">
        <v>436</v>
      </c>
      <c r="G3383" s="24">
        <v>1.0232903906056279</v>
      </c>
      <c r="H3383" s="24">
        <v>1.0292149807650997</v>
      </c>
      <c r="I3383" s="25">
        <v>1.0472145460658544</v>
      </c>
      <c r="X3383" s="15">
        <v>3382</v>
      </c>
      <c r="Y3383" s="39">
        <v>0.48863291778785239</v>
      </c>
      <c r="Z3383" s="39">
        <v>0.47399631456809804</v>
      </c>
      <c r="AA3383" s="39">
        <v>0.48472655772069445</v>
      </c>
      <c r="AB3383" s="39">
        <v>0.48553793667556555</v>
      </c>
      <c r="AC3383" s="39">
        <v>0.48337346215428634</v>
      </c>
      <c r="AD3383" s="39">
        <v>0.46584474399155573</v>
      </c>
      <c r="AE3383" s="39">
        <v>0.47787048998593373</v>
      </c>
      <c r="AF3383" s="40">
        <v>0.48001924761694104</v>
      </c>
    </row>
    <row r="3384" spans="1:32">
      <c r="A3384" s="15">
        <v>3382</v>
      </c>
      <c r="B3384" s="16">
        <v>1</v>
      </c>
      <c r="C3384" s="20">
        <v>0.33</v>
      </c>
      <c r="D3384" s="20">
        <v>0.60170554175554902</v>
      </c>
      <c r="E3384" s="20">
        <v>0.09</v>
      </c>
      <c r="F3384" s="8" t="s">
        <v>436</v>
      </c>
      <c r="G3384" s="24">
        <v>0.78940067969805272</v>
      </c>
      <c r="H3384" s="24">
        <v>0.79397110813337834</v>
      </c>
      <c r="I3384" s="25">
        <v>0.80785657917183484</v>
      </c>
      <c r="X3384" s="15">
        <v>3383</v>
      </c>
      <c r="Y3384" s="39">
        <v>0.50261207569110888</v>
      </c>
      <c r="Z3384" s="39">
        <v>0.48792979315003215</v>
      </c>
      <c r="AA3384" s="39">
        <v>0.48217428887890856</v>
      </c>
      <c r="AB3384" s="39">
        <v>0.48240064231597679</v>
      </c>
      <c r="AC3384" s="39">
        <v>0.49389926330616069</v>
      </c>
      <c r="AD3384" s="39">
        <v>0.47973026061593133</v>
      </c>
      <c r="AE3384" s="39">
        <v>0.47419582900948509</v>
      </c>
      <c r="AF3384" s="40">
        <v>0.47887985716114323</v>
      </c>
    </row>
    <row r="3385" spans="1:32">
      <c r="A3385" s="15">
        <v>3383</v>
      </c>
      <c r="B3385" s="16">
        <v>0</v>
      </c>
      <c r="C3385" s="20">
        <v>0.28999999999999998</v>
      </c>
      <c r="D3385" s="20">
        <v>0.69621441771945725</v>
      </c>
      <c r="E3385" s="20">
        <v>7.0000000000000007E-2</v>
      </c>
      <c r="F3385" s="8" t="s">
        <v>436</v>
      </c>
      <c r="G3385" s="24">
        <v>0.7090904748376301</v>
      </c>
      <c r="H3385" s="24">
        <v>0.7131959276865637</v>
      </c>
      <c r="I3385" s="25">
        <v>0.72566875106412831</v>
      </c>
      <c r="X3385" s="15">
        <v>3384</v>
      </c>
      <c r="Y3385" s="39">
        <v>0.47161105635189382</v>
      </c>
      <c r="Z3385" s="39">
        <v>0.48136129721331633</v>
      </c>
      <c r="AA3385" s="39">
        <v>0.4816641924175869</v>
      </c>
      <c r="AB3385" s="39">
        <v>0.49205830005661139</v>
      </c>
      <c r="AC3385" s="39">
        <v>0.4650477838182015</v>
      </c>
      <c r="AD3385" s="39">
        <v>0.47427223860105561</v>
      </c>
      <c r="AE3385" s="39">
        <v>0.47617351852181905</v>
      </c>
      <c r="AF3385" s="40">
        <v>0.48617083793073601</v>
      </c>
    </row>
    <row r="3386" spans="1:32">
      <c r="A3386" s="15">
        <v>3384</v>
      </c>
      <c r="B3386" s="16">
        <v>0</v>
      </c>
      <c r="C3386" s="20">
        <v>0.94</v>
      </c>
      <c r="D3386" s="20">
        <v>0.17188516685452584</v>
      </c>
      <c r="E3386" s="20">
        <v>0.06</v>
      </c>
      <c r="F3386" s="8" t="s">
        <v>434</v>
      </c>
      <c r="G3386" s="24">
        <v>0.71019595554812398</v>
      </c>
      <c r="H3386" s="24">
        <v>0.71430780884818956</v>
      </c>
      <c r="I3386" s="25">
        <v>0.72680007750973208</v>
      </c>
      <c r="X3386" s="15">
        <v>3385</v>
      </c>
      <c r="Y3386" s="39">
        <v>0.47211422826552074</v>
      </c>
      <c r="Z3386" s="39">
        <v>0.49671603004379711</v>
      </c>
      <c r="AA3386" s="39">
        <v>0.47700879697828125</v>
      </c>
      <c r="AB3386" s="39">
        <v>0.48093083096826095</v>
      </c>
      <c r="AC3386" s="39">
        <v>0.46573370167678574</v>
      </c>
      <c r="AD3386" s="39">
        <v>0.49042118072515994</v>
      </c>
      <c r="AE3386" s="39">
        <v>0.47325447075174559</v>
      </c>
      <c r="AF3386" s="40">
        <v>0.47454943724300719</v>
      </c>
    </row>
    <row r="3387" spans="1:32">
      <c r="A3387" s="15">
        <v>3385</v>
      </c>
      <c r="B3387" s="16">
        <v>1</v>
      </c>
      <c r="C3387" s="20">
        <v>0.89</v>
      </c>
      <c r="D3387" s="20">
        <v>0.24559627500636821</v>
      </c>
      <c r="E3387" s="20">
        <v>0.11</v>
      </c>
      <c r="F3387" s="8" t="s">
        <v>434</v>
      </c>
      <c r="G3387" s="24">
        <v>0.75610582765499257</v>
      </c>
      <c r="H3387" s="24">
        <v>0.76048348739573612</v>
      </c>
      <c r="I3387" s="25">
        <v>0.7737833056527047</v>
      </c>
      <c r="X3387" s="15">
        <v>3386</v>
      </c>
      <c r="Y3387" s="39">
        <v>0.48354093792401209</v>
      </c>
      <c r="Z3387" s="39">
        <v>0.48721158203465453</v>
      </c>
      <c r="AA3387" s="39">
        <v>0.4884598705292697</v>
      </c>
      <c r="AB3387" s="39">
        <v>0.4905693377994661</v>
      </c>
      <c r="AC3387" s="39">
        <v>0.47848420364622357</v>
      </c>
      <c r="AD3387" s="39">
        <v>0.48133863661823328</v>
      </c>
      <c r="AE3387" s="39">
        <v>0.47741624640191516</v>
      </c>
      <c r="AF3387" s="40">
        <v>0.48791936713936152</v>
      </c>
    </row>
    <row r="3388" spans="1:32">
      <c r="A3388" s="15">
        <v>3386</v>
      </c>
      <c r="B3388" s="16">
        <v>1</v>
      </c>
      <c r="C3388" s="20">
        <v>0.93</v>
      </c>
      <c r="D3388" s="20">
        <v>0.18747949848141848</v>
      </c>
      <c r="E3388" s="20">
        <v>7.0000000000000007E-2</v>
      </c>
      <c r="F3388" s="8" t="s">
        <v>434</v>
      </c>
      <c r="G3388" s="24">
        <v>0.61090728556392593</v>
      </c>
      <c r="H3388" s="24">
        <v>0.61444428280892061</v>
      </c>
      <c r="I3388" s="25">
        <v>0.6251900746976794</v>
      </c>
      <c r="X3388" s="15">
        <v>3387</v>
      </c>
      <c r="Y3388" s="39">
        <v>0.49312153584414675</v>
      </c>
      <c r="Z3388" s="39">
        <v>0.48039462313558595</v>
      </c>
      <c r="AA3388" s="39">
        <v>0.48278288259719199</v>
      </c>
      <c r="AB3388" s="39">
        <v>0.49527632798357096</v>
      </c>
      <c r="AC3388" s="39">
        <v>0.48655443721362646</v>
      </c>
      <c r="AD3388" s="39">
        <v>0.47441297464267618</v>
      </c>
      <c r="AE3388" s="39">
        <v>0.47665352196493371</v>
      </c>
      <c r="AF3388" s="40">
        <v>0.49440447392949627</v>
      </c>
    </row>
    <row r="3389" spans="1:32">
      <c r="A3389" s="15">
        <v>3387</v>
      </c>
      <c r="B3389" s="16">
        <v>0</v>
      </c>
      <c r="C3389" s="20">
        <v>0.02</v>
      </c>
      <c r="D3389" s="20">
        <v>0.99679477127711513</v>
      </c>
      <c r="E3389" s="20">
        <v>1</v>
      </c>
      <c r="F3389" s="8" t="s">
        <v>436</v>
      </c>
      <c r="G3389" s="24">
        <v>1.0839002049526878</v>
      </c>
      <c r="H3389" s="24">
        <v>1.0901757104661438</v>
      </c>
      <c r="I3389" s="25">
        <v>1.1092413957277836</v>
      </c>
      <c r="X3389" s="15">
        <v>3388</v>
      </c>
      <c r="Y3389" s="39">
        <v>0.48590157495683761</v>
      </c>
      <c r="Z3389" s="39">
        <v>0.4747937284861064</v>
      </c>
      <c r="AA3389" s="39">
        <v>0.49795096182878584</v>
      </c>
      <c r="AB3389" s="39">
        <v>0.48788087544864106</v>
      </c>
      <c r="AC3389" s="39">
        <v>0.47837530135258594</v>
      </c>
      <c r="AD3389" s="39">
        <v>0.4687131709734485</v>
      </c>
      <c r="AE3389" s="39">
        <v>0.48942092941393101</v>
      </c>
      <c r="AF3389" s="40">
        <v>0.480550269139084</v>
      </c>
    </row>
    <row r="3390" spans="1:32">
      <c r="A3390" s="15">
        <v>3388</v>
      </c>
      <c r="B3390" s="16">
        <v>1</v>
      </c>
      <c r="C3390" s="20">
        <v>0.02</v>
      </c>
      <c r="D3390" s="20">
        <v>0.99917029198757767</v>
      </c>
      <c r="E3390" s="20">
        <v>1</v>
      </c>
      <c r="F3390" s="8" t="s">
        <v>436</v>
      </c>
      <c r="G3390" s="24">
        <v>1.0398093913427344</v>
      </c>
      <c r="H3390" s="24">
        <v>1.045829622299882</v>
      </c>
      <c r="I3390" s="25">
        <v>1.0641197550047679</v>
      </c>
      <c r="X3390" s="15">
        <v>3389</v>
      </c>
      <c r="Y3390" s="39">
        <v>0.49831791730548197</v>
      </c>
      <c r="Z3390" s="39">
        <v>0.48419475880431584</v>
      </c>
      <c r="AA3390" s="39">
        <v>0.48437820701191359</v>
      </c>
      <c r="AB3390" s="39">
        <v>0.48760909588300577</v>
      </c>
      <c r="AC3390" s="39">
        <v>0.48920158931162994</v>
      </c>
      <c r="AD3390" s="39">
        <v>0.47788231508729584</v>
      </c>
      <c r="AE3390" s="39">
        <v>0.4790706032507453</v>
      </c>
      <c r="AF3390" s="40">
        <v>0.48253649805874937</v>
      </c>
    </row>
    <row r="3391" spans="1:32">
      <c r="A3391" s="15">
        <v>3389</v>
      </c>
      <c r="B3391" s="16">
        <v>1</v>
      </c>
      <c r="C3391" s="20">
        <v>0.9</v>
      </c>
      <c r="D3391" s="20">
        <v>0.23159538658365303</v>
      </c>
      <c r="E3391" s="20">
        <v>0.1</v>
      </c>
      <c r="F3391" s="8" t="s">
        <v>434</v>
      </c>
      <c r="G3391" s="24">
        <v>0.39824221469966337</v>
      </c>
      <c r="H3391" s="24">
        <v>0.40054793546862266</v>
      </c>
      <c r="I3391" s="25">
        <v>0.40755297217649339</v>
      </c>
      <c r="X3391" s="15">
        <v>3390</v>
      </c>
      <c r="Y3391" s="39">
        <v>0.47649981910335082</v>
      </c>
      <c r="Z3391" s="39">
        <v>0.48857343244458479</v>
      </c>
      <c r="AA3391" s="39">
        <v>0.48771690631451325</v>
      </c>
      <c r="AB3391" s="39">
        <v>0.47389648307900284</v>
      </c>
      <c r="AC3391" s="39">
        <v>0.47059730554005635</v>
      </c>
      <c r="AD3391" s="39">
        <v>0.48303925567238076</v>
      </c>
      <c r="AE3391" s="39">
        <v>0.4805012510108449</v>
      </c>
      <c r="AF3391" s="40">
        <v>0.47145023681744741</v>
      </c>
    </row>
    <row r="3392" spans="1:32">
      <c r="A3392" s="15">
        <v>3390</v>
      </c>
      <c r="B3392" s="16">
        <v>0</v>
      </c>
      <c r="C3392" s="20">
        <v>0.39</v>
      </c>
      <c r="D3392" s="20">
        <v>0.62738610808179018</v>
      </c>
      <c r="E3392" s="20">
        <v>0.05</v>
      </c>
      <c r="F3392" s="8" t="s">
        <v>436</v>
      </c>
      <c r="G3392" s="24">
        <v>1.3578405778964693</v>
      </c>
      <c r="H3392" s="24">
        <v>1.3657021282440454</v>
      </c>
      <c r="I3392" s="25">
        <v>1.3895863945033982</v>
      </c>
      <c r="X3392" s="15">
        <v>3391</v>
      </c>
      <c r="Y3392" s="39">
        <v>0.48719042630026377</v>
      </c>
      <c r="Z3392" s="39">
        <v>0.48606672261810763</v>
      </c>
      <c r="AA3392" s="39">
        <v>0.48809779181140006</v>
      </c>
      <c r="AB3392" s="39">
        <v>0.48340830000434953</v>
      </c>
      <c r="AC3392" s="39">
        <v>0.47878801267604493</v>
      </c>
      <c r="AD3392" s="39">
        <v>0.48099112140631395</v>
      </c>
      <c r="AE3392" s="39">
        <v>0.47998320742082218</v>
      </c>
      <c r="AF3392" s="40">
        <v>0.47884610485787454</v>
      </c>
    </row>
    <row r="3393" spans="1:32">
      <c r="A3393" s="15">
        <v>3391</v>
      </c>
      <c r="B3393" s="16">
        <v>0</v>
      </c>
      <c r="C3393" s="20">
        <v>0.32</v>
      </c>
      <c r="D3393" s="20">
        <v>0.6578524779472863</v>
      </c>
      <c r="E3393" s="20">
        <v>0.08</v>
      </c>
      <c r="F3393" s="8" t="s">
        <v>436</v>
      </c>
      <c r="G3393" s="24">
        <v>0.75110497959159772</v>
      </c>
      <c r="H3393" s="24">
        <v>0.7554536856985562</v>
      </c>
      <c r="I3393" s="25">
        <v>0.76866553958871109</v>
      </c>
      <c r="X3393" s="15">
        <v>3392</v>
      </c>
      <c r="Y3393" s="39">
        <v>0.48004013437283344</v>
      </c>
      <c r="Z3393" s="39">
        <v>0.48905738595430964</v>
      </c>
      <c r="AA3393" s="39">
        <v>0.4812938346054268</v>
      </c>
      <c r="AB3393" s="39">
        <v>0.48151807232218458</v>
      </c>
      <c r="AC3393" s="39">
        <v>0.4722053307246018</v>
      </c>
      <c r="AD3393" s="39">
        <v>0.48479714166500437</v>
      </c>
      <c r="AE3393" s="39">
        <v>0.47597528696982089</v>
      </c>
      <c r="AF3393" s="40">
        <v>0.47785951363015683</v>
      </c>
    </row>
    <row r="3394" spans="1:32">
      <c r="A3394" s="15">
        <v>3392</v>
      </c>
      <c r="B3394" s="16">
        <v>1</v>
      </c>
      <c r="C3394" s="20">
        <v>0.1</v>
      </c>
      <c r="D3394" s="20">
        <v>0.93394990941330092</v>
      </c>
      <c r="E3394" s="20">
        <v>0.37</v>
      </c>
      <c r="F3394" s="8" t="s">
        <v>436</v>
      </c>
      <c r="G3394" s="24">
        <v>1.1968084148672777</v>
      </c>
      <c r="H3394" s="24">
        <v>1.2037376300955174</v>
      </c>
      <c r="I3394" s="25">
        <v>1.224789358337729</v>
      </c>
      <c r="X3394" s="15">
        <v>3393</v>
      </c>
      <c r="Y3394" s="39">
        <v>0.47276467759254898</v>
      </c>
      <c r="Z3394" s="39">
        <v>0.50124427722541731</v>
      </c>
      <c r="AA3394" s="39">
        <v>0.48282281913716785</v>
      </c>
      <c r="AB3394" s="39">
        <v>0.48486533853483282</v>
      </c>
      <c r="AC3394" s="39">
        <v>0.46321788329635211</v>
      </c>
      <c r="AD3394" s="39">
        <v>0.49361422606374117</v>
      </c>
      <c r="AE3394" s="39">
        <v>0.47535455950110217</v>
      </c>
      <c r="AF3394" s="40">
        <v>0.48026713226085238</v>
      </c>
    </row>
    <row r="3395" spans="1:32">
      <c r="A3395" s="15">
        <v>3393</v>
      </c>
      <c r="B3395" s="16">
        <v>1</v>
      </c>
      <c r="C3395" s="20">
        <v>0.93</v>
      </c>
      <c r="D3395" s="20">
        <v>0.18747949848141848</v>
      </c>
      <c r="E3395" s="20">
        <v>7.0000000000000007E-2</v>
      </c>
      <c r="F3395" s="8" t="s">
        <v>434</v>
      </c>
      <c r="G3395" s="24">
        <v>0.61410167184939757</v>
      </c>
      <c r="H3395" s="24">
        <v>0.61765716377559543</v>
      </c>
      <c r="I3395" s="25">
        <v>0.62845914456739571</v>
      </c>
      <c r="X3395" s="15">
        <v>3394</v>
      </c>
      <c r="Y3395" s="39">
        <v>0.48887965428128238</v>
      </c>
      <c r="Z3395" s="39">
        <v>0.49443545998135879</v>
      </c>
      <c r="AA3395" s="39">
        <v>0.48753761539524965</v>
      </c>
      <c r="AB3395" s="39">
        <v>0.49230656136704509</v>
      </c>
      <c r="AC3395" s="39">
        <v>0.47989840155779689</v>
      </c>
      <c r="AD3395" s="39">
        <v>0.48811889809316367</v>
      </c>
      <c r="AE3395" s="39">
        <v>0.48347902319695274</v>
      </c>
      <c r="AF3395" s="40">
        <v>0.48871017833265057</v>
      </c>
    </row>
    <row r="3396" spans="1:32">
      <c r="A3396" s="15">
        <v>3394</v>
      </c>
      <c r="B3396" s="16">
        <v>0</v>
      </c>
      <c r="C3396" s="20">
        <v>0.02</v>
      </c>
      <c r="D3396" s="20">
        <v>0.99917029198757767</v>
      </c>
      <c r="E3396" s="20">
        <v>1</v>
      </c>
      <c r="F3396" s="8" t="s">
        <v>436</v>
      </c>
      <c r="G3396" s="24">
        <v>1.0374776474529885</v>
      </c>
      <c r="H3396" s="24">
        <v>1.0434843782082086</v>
      </c>
      <c r="I3396" s="25">
        <v>1.0617334957948119</v>
      </c>
      <c r="X3396" s="15">
        <v>3395</v>
      </c>
      <c r="Y3396" s="39">
        <v>0.50811462629723469</v>
      </c>
      <c r="Z3396" s="39">
        <v>0.47927268169287929</v>
      </c>
      <c r="AA3396" s="39">
        <v>0.48299099823177855</v>
      </c>
      <c r="AB3396" s="39">
        <v>0.479804804450774</v>
      </c>
      <c r="AC3396" s="39">
        <v>0.49904313564421937</v>
      </c>
      <c r="AD3396" s="39">
        <v>0.4731919000896192</v>
      </c>
      <c r="AE3396" s="39">
        <v>0.47439685794544301</v>
      </c>
      <c r="AF3396" s="40">
        <v>0.47520677392739585</v>
      </c>
    </row>
    <row r="3397" spans="1:32">
      <c r="A3397" s="15">
        <v>3395</v>
      </c>
      <c r="B3397" s="16">
        <v>0</v>
      </c>
      <c r="C3397" s="20">
        <v>0.02</v>
      </c>
      <c r="D3397" s="20">
        <v>0.99917029198757767</v>
      </c>
      <c r="E3397" s="20">
        <v>1</v>
      </c>
      <c r="F3397" s="8" t="s">
        <v>436</v>
      </c>
      <c r="G3397" s="24">
        <v>1.0371043415682133</v>
      </c>
      <c r="H3397" s="24">
        <v>1.0431089109776495</v>
      </c>
      <c r="I3397" s="25">
        <v>1.0613514621548428</v>
      </c>
      <c r="X3397" s="15">
        <v>3396</v>
      </c>
      <c r="Y3397" s="39">
        <v>0.49560804157751104</v>
      </c>
      <c r="Z3397" s="39">
        <v>0.49690485997545358</v>
      </c>
      <c r="AA3397" s="39">
        <v>0.47841043663214911</v>
      </c>
      <c r="AB3397" s="39">
        <v>0.49749175440218268</v>
      </c>
      <c r="AC3397" s="39">
        <v>0.48952286597224365</v>
      </c>
      <c r="AD3397" s="39">
        <v>0.48817169884261941</v>
      </c>
      <c r="AE3397" s="39">
        <v>0.47158787513241029</v>
      </c>
      <c r="AF3397" s="40">
        <v>0.49169007841871715</v>
      </c>
    </row>
    <row r="3398" spans="1:32">
      <c r="A3398" s="15">
        <v>3396</v>
      </c>
      <c r="B3398" s="16">
        <v>0</v>
      </c>
      <c r="C3398" s="20">
        <v>0.93</v>
      </c>
      <c r="D3398" s="20">
        <v>0.18747949848141848</v>
      </c>
      <c r="E3398" s="20">
        <v>7.0000000000000007E-2</v>
      </c>
      <c r="F3398" s="8" t="s">
        <v>434</v>
      </c>
      <c r="G3398" s="24">
        <v>0.54798436534728701</v>
      </c>
      <c r="H3398" s="24">
        <v>0.55115705494574929</v>
      </c>
      <c r="I3398" s="25">
        <v>0.56079603959606306</v>
      </c>
      <c r="X3398" s="15">
        <v>3397</v>
      </c>
      <c r="Y3398" s="39">
        <v>0.50072385616138448</v>
      </c>
      <c r="Z3398" s="39">
        <v>0.48378660635367066</v>
      </c>
      <c r="AA3398" s="39">
        <v>0.48433672783830006</v>
      </c>
      <c r="AB3398" s="39">
        <v>0.47194505275556176</v>
      </c>
      <c r="AC3398" s="39">
        <v>0.49139765439400535</v>
      </c>
      <c r="AD3398" s="39">
        <v>0.47793839854263148</v>
      </c>
      <c r="AE3398" s="39">
        <v>0.47462740223104788</v>
      </c>
      <c r="AF3398" s="40">
        <v>0.46908792248757142</v>
      </c>
    </row>
    <row r="3399" spans="1:32">
      <c r="A3399" s="15">
        <v>3397</v>
      </c>
      <c r="B3399" s="16">
        <v>1</v>
      </c>
      <c r="C3399" s="20">
        <v>0.95</v>
      </c>
      <c r="D3399" s="20">
        <v>0.15570568692893463</v>
      </c>
      <c r="E3399" s="20">
        <v>0.05</v>
      </c>
      <c r="F3399" s="8" t="s">
        <v>434</v>
      </c>
      <c r="G3399" s="24">
        <v>0.47038801642337219</v>
      </c>
      <c r="H3399" s="24">
        <v>0.47311144296858387</v>
      </c>
      <c r="I3399" s="25">
        <v>0.48138551638511812</v>
      </c>
      <c r="X3399" s="15">
        <v>3398</v>
      </c>
      <c r="Y3399" s="39">
        <v>0.48344826754743914</v>
      </c>
      <c r="Z3399" s="39">
        <v>0.47661695203377202</v>
      </c>
      <c r="AA3399" s="39">
        <v>0.49566267337080105</v>
      </c>
      <c r="AB3399" s="39">
        <v>0.47957300265404135</v>
      </c>
      <c r="AC3399" s="39">
        <v>0.47789624970933142</v>
      </c>
      <c r="AD3399" s="39">
        <v>0.46949648659261722</v>
      </c>
      <c r="AE3399" s="39">
        <v>0.48809805365369785</v>
      </c>
      <c r="AF3399" s="40">
        <v>0.47426655824984887</v>
      </c>
    </row>
    <row r="3400" spans="1:32">
      <c r="A3400" s="15">
        <v>3398</v>
      </c>
      <c r="B3400" s="16">
        <v>1</v>
      </c>
      <c r="C3400" s="20">
        <v>0.02</v>
      </c>
      <c r="D3400" s="20">
        <v>0.99917029198757767</v>
      </c>
      <c r="E3400" s="20">
        <v>1</v>
      </c>
      <c r="F3400" s="8" t="s">
        <v>436</v>
      </c>
      <c r="G3400" s="24">
        <v>0.92342044456411332</v>
      </c>
      <c r="H3400" s="24">
        <v>0.92876681322851729</v>
      </c>
      <c r="I3400" s="25">
        <v>0.94500967717464168</v>
      </c>
      <c r="X3400" s="15">
        <v>3399</v>
      </c>
      <c r="Y3400" s="39">
        <v>0.49199397249214405</v>
      </c>
      <c r="Z3400" s="39">
        <v>0.48946065915556453</v>
      </c>
      <c r="AA3400" s="39">
        <v>0.49341396377153168</v>
      </c>
      <c r="AB3400" s="39">
        <v>0.49288159434041184</v>
      </c>
      <c r="AC3400" s="39">
        <v>0.48406825478123061</v>
      </c>
      <c r="AD3400" s="39">
        <v>0.47882580449857653</v>
      </c>
      <c r="AE3400" s="39">
        <v>0.48669665632627424</v>
      </c>
      <c r="AF3400" s="40">
        <v>0.49013924304795908</v>
      </c>
    </row>
    <row r="3401" spans="1:32">
      <c r="A3401" s="15">
        <v>3399</v>
      </c>
      <c r="B3401" s="16">
        <v>1</v>
      </c>
      <c r="C3401" s="20">
        <v>0.22</v>
      </c>
      <c r="D3401" s="20">
        <v>0.87267643654286176</v>
      </c>
      <c r="E3401" s="20">
        <v>0.44</v>
      </c>
      <c r="F3401" s="8" t="s">
        <v>436</v>
      </c>
      <c r="G3401" s="24">
        <v>0.80851319939851496</v>
      </c>
      <c r="H3401" s="24">
        <v>0.81319428444429998</v>
      </c>
      <c r="I3401" s="25">
        <v>0.82741594259989215</v>
      </c>
      <c r="X3401" s="15">
        <v>3400</v>
      </c>
      <c r="Y3401" s="39">
        <v>0.47463107441895025</v>
      </c>
      <c r="Z3401" s="39">
        <v>0.47615945949531929</v>
      </c>
      <c r="AA3401" s="39">
        <v>0.48356896126999765</v>
      </c>
      <c r="AB3401" s="39">
        <v>0.49279075883008056</v>
      </c>
      <c r="AC3401" s="39">
        <v>0.46819672547736713</v>
      </c>
      <c r="AD3401" s="39">
        <v>0.46956769603079485</v>
      </c>
      <c r="AE3401" s="39">
        <v>0.47590364369660271</v>
      </c>
      <c r="AF3401" s="40">
        <v>0.48927312716787436</v>
      </c>
    </row>
    <row r="3402" spans="1:32">
      <c r="A3402" s="15">
        <v>3400</v>
      </c>
      <c r="B3402" s="16">
        <v>1</v>
      </c>
      <c r="C3402" s="20">
        <v>0.02</v>
      </c>
      <c r="D3402" s="20">
        <v>0.99679477127711513</v>
      </c>
      <c r="E3402" s="20">
        <v>1</v>
      </c>
      <c r="F3402" s="8" t="s">
        <v>436</v>
      </c>
      <c r="G3402" s="24">
        <v>1.0202139484666681</v>
      </c>
      <c r="H3402" s="24">
        <v>1.026120726811439</v>
      </c>
      <c r="I3402" s="25">
        <v>1.044066177833703</v>
      </c>
      <c r="X3402" s="15">
        <v>3401</v>
      </c>
      <c r="Y3402" s="39">
        <v>0.4735154679102318</v>
      </c>
      <c r="Z3402" s="39">
        <v>0.4826238207194728</v>
      </c>
      <c r="AA3402" s="39">
        <v>0.47977147520630847</v>
      </c>
      <c r="AB3402" s="39">
        <v>0.48710307848403672</v>
      </c>
      <c r="AC3402" s="39">
        <v>0.46758729780280689</v>
      </c>
      <c r="AD3402" s="39">
        <v>0.47625734336378722</v>
      </c>
      <c r="AE3402" s="39">
        <v>0.47545544761146447</v>
      </c>
      <c r="AF3402" s="40">
        <v>0.48339354736806633</v>
      </c>
    </row>
    <row r="3403" spans="1:32">
      <c r="A3403" s="15">
        <v>3401</v>
      </c>
      <c r="B3403" s="16">
        <v>0</v>
      </c>
      <c r="C3403" s="20">
        <v>0.01</v>
      </c>
      <c r="D3403" s="20">
        <v>0.99999999999999978</v>
      </c>
      <c r="E3403" s="20">
        <v>1</v>
      </c>
      <c r="F3403" s="8" t="s">
        <v>436</v>
      </c>
      <c r="G3403" s="24">
        <v>1.0659233654028748</v>
      </c>
      <c r="H3403" s="24">
        <v>1.0720947896040534</v>
      </c>
      <c r="I3403" s="25">
        <v>1.0908442642373624</v>
      </c>
      <c r="X3403" s="15">
        <v>3402</v>
      </c>
      <c r="Y3403" s="39">
        <v>0.48067948327263998</v>
      </c>
      <c r="Z3403" s="39">
        <v>0.48377759982620616</v>
      </c>
      <c r="AA3403" s="39">
        <v>0.48421534973747044</v>
      </c>
      <c r="AB3403" s="39">
        <v>0.48169590409145296</v>
      </c>
      <c r="AC3403" s="39">
        <v>0.47540888861848302</v>
      </c>
      <c r="AD3403" s="39">
        <v>0.47942084908299609</v>
      </c>
      <c r="AE3403" s="39">
        <v>0.47945325129565913</v>
      </c>
      <c r="AF3403" s="40">
        <v>0.478023000619612</v>
      </c>
    </row>
    <row r="3404" spans="1:32">
      <c r="A3404" s="15">
        <v>3402</v>
      </c>
      <c r="B3404" s="16">
        <v>1</v>
      </c>
      <c r="C3404" s="20">
        <v>0.23</v>
      </c>
      <c r="D3404" s="20">
        <v>0.79817253144679168</v>
      </c>
      <c r="E3404" s="20">
        <v>0.08</v>
      </c>
      <c r="F3404" s="8" t="s">
        <v>436</v>
      </c>
      <c r="G3404" s="24">
        <v>1.6621060836883685</v>
      </c>
      <c r="H3404" s="24">
        <v>1.67172925364855</v>
      </c>
      <c r="I3404" s="25">
        <v>1.6578926537592125</v>
      </c>
      <c r="X3404" s="15">
        <v>3403</v>
      </c>
      <c r="Y3404" s="39">
        <v>0.49521480453935762</v>
      </c>
      <c r="Z3404" s="39">
        <v>0.48436211260666584</v>
      </c>
      <c r="AA3404" s="39">
        <v>0.49033570271380833</v>
      </c>
      <c r="AB3404" s="39">
        <v>0.47603026935756904</v>
      </c>
      <c r="AC3404" s="39">
        <v>0.48672565847398541</v>
      </c>
      <c r="AD3404" s="39">
        <v>0.4787249503218986</v>
      </c>
      <c r="AE3404" s="39">
        <v>0.48047602906745757</v>
      </c>
      <c r="AF3404" s="40">
        <v>0.47174315275675099</v>
      </c>
    </row>
    <row r="3405" spans="1:32">
      <c r="A3405" s="15">
        <v>3403</v>
      </c>
      <c r="B3405" s="16">
        <v>1</v>
      </c>
      <c r="C3405" s="20">
        <v>0.02</v>
      </c>
      <c r="D3405" s="20">
        <v>0.99756714174924133</v>
      </c>
      <c r="E3405" s="20">
        <v>1</v>
      </c>
      <c r="F3405" s="8" t="s">
        <v>436</v>
      </c>
      <c r="G3405" s="24">
        <v>1.0170908539537287</v>
      </c>
      <c r="H3405" s="24">
        <v>1.0229795503784618</v>
      </c>
      <c r="I3405" s="25">
        <v>1.0408700665121131</v>
      </c>
      <c r="X3405" s="15">
        <v>3404</v>
      </c>
      <c r="Y3405" s="39">
        <v>0.48480914426918242</v>
      </c>
      <c r="Z3405" s="39">
        <v>0.4935912191060341</v>
      </c>
      <c r="AA3405" s="39">
        <v>0.47691000767988334</v>
      </c>
      <c r="AB3405" s="39">
        <v>0.48064355232093731</v>
      </c>
      <c r="AC3405" s="39">
        <v>0.4767990030751329</v>
      </c>
      <c r="AD3405" s="39">
        <v>0.48539133017731206</v>
      </c>
      <c r="AE3405" s="39">
        <v>0.46844862853865205</v>
      </c>
      <c r="AF3405" s="40">
        <v>0.47598458027415741</v>
      </c>
    </row>
    <row r="3406" spans="1:32">
      <c r="A3406" s="15">
        <v>3404</v>
      </c>
      <c r="B3406" s="16">
        <v>0</v>
      </c>
      <c r="C3406" s="20">
        <v>0.2</v>
      </c>
      <c r="D3406" s="20">
        <v>0.85266240273535143</v>
      </c>
      <c r="E3406" s="20">
        <v>0.44</v>
      </c>
      <c r="F3406" s="8" t="s">
        <v>436</v>
      </c>
      <c r="G3406" s="24">
        <v>1.1075337891127988</v>
      </c>
      <c r="H3406" s="24">
        <v>1.1139461270459017</v>
      </c>
      <c r="I3406" s="25">
        <v>1.1334275244507279</v>
      </c>
      <c r="X3406" s="15">
        <v>3405</v>
      </c>
      <c r="Y3406" s="39">
        <v>0.48399609997816762</v>
      </c>
      <c r="Z3406" s="39">
        <v>0.49018347302115323</v>
      </c>
      <c r="AA3406" s="39">
        <v>0.48562116679734818</v>
      </c>
      <c r="AB3406" s="39">
        <v>0.5028471900939141</v>
      </c>
      <c r="AC3406" s="39">
        <v>0.47781571487194346</v>
      </c>
      <c r="AD3406" s="39">
        <v>0.4814436497546104</v>
      </c>
      <c r="AE3406" s="39">
        <v>0.47853371402877326</v>
      </c>
      <c r="AF3406" s="40">
        <v>0.49963371798978362</v>
      </c>
    </row>
    <row r="3407" spans="1:32">
      <c r="A3407" s="15">
        <v>3405</v>
      </c>
      <c r="B3407" s="16">
        <v>0</v>
      </c>
      <c r="C3407" s="20">
        <v>0.48</v>
      </c>
      <c r="D3407" s="20">
        <v>0.47372904779892611</v>
      </c>
      <c r="E3407" s="20">
        <v>0.1</v>
      </c>
      <c r="F3407" s="8" t="s">
        <v>436</v>
      </c>
      <c r="G3407" s="24">
        <v>0.78767923980482413</v>
      </c>
      <c r="H3407" s="24">
        <v>0.79223970154257772</v>
      </c>
      <c r="I3407" s="25">
        <v>0.8060948926428525</v>
      </c>
      <c r="X3407" s="15">
        <v>3406</v>
      </c>
      <c r="Y3407" s="39">
        <v>0.49551779917679034</v>
      </c>
      <c r="Z3407" s="39">
        <v>0.48319005063009751</v>
      </c>
      <c r="AA3407" s="39">
        <v>0.4834154703594773</v>
      </c>
      <c r="AB3407" s="39">
        <v>0.48296986430376576</v>
      </c>
      <c r="AC3407" s="39">
        <v>0.48615313680574396</v>
      </c>
      <c r="AD3407" s="39">
        <v>0.47382004058226673</v>
      </c>
      <c r="AE3407" s="39">
        <v>0.47611163663999084</v>
      </c>
      <c r="AF3407" s="40">
        <v>0.48071849624418184</v>
      </c>
    </row>
    <row r="3408" spans="1:32">
      <c r="A3408" s="15">
        <v>3406</v>
      </c>
      <c r="B3408" s="16">
        <v>0</v>
      </c>
      <c r="C3408" s="20">
        <v>0.63</v>
      </c>
      <c r="D3408" s="20">
        <v>0.44357600216012888</v>
      </c>
      <c r="E3408" s="20">
        <v>7.0000000000000007E-2</v>
      </c>
      <c r="F3408" s="8" t="s">
        <v>438</v>
      </c>
      <c r="G3408" s="24">
        <v>0.64096707660104912</v>
      </c>
      <c r="H3408" s="24">
        <v>0.64467811236317374</v>
      </c>
      <c r="I3408" s="25">
        <v>0.65595265266652425</v>
      </c>
      <c r="X3408" s="15">
        <v>3407</v>
      </c>
      <c r="Y3408" s="39">
        <v>0.48091731562581075</v>
      </c>
      <c r="Z3408" s="39">
        <v>0.48554686943539643</v>
      </c>
      <c r="AA3408" s="39">
        <v>0.49006149928891829</v>
      </c>
      <c r="AB3408" s="39">
        <v>0.49609304984303609</v>
      </c>
      <c r="AC3408" s="39">
        <v>0.47272581115747281</v>
      </c>
      <c r="AD3408" s="39">
        <v>0.47759826530174132</v>
      </c>
      <c r="AE3408" s="39">
        <v>0.4854611035000011</v>
      </c>
      <c r="AF3408" s="40">
        <v>0.48841589366192717</v>
      </c>
    </row>
    <row r="3409" spans="1:32">
      <c r="A3409" s="15">
        <v>3407</v>
      </c>
      <c r="B3409" s="16">
        <v>0</v>
      </c>
      <c r="C3409" s="20">
        <v>7.0000000000000007E-2</v>
      </c>
      <c r="D3409" s="20">
        <v>0.95099194839275281</v>
      </c>
      <c r="E3409" s="20">
        <v>0.42</v>
      </c>
      <c r="F3409" s="8" t="s">
        <v>436</v>
      </c>
      <c r="G3409" s="24">
        <v>1.0657137543803754</v>
      </c>
      <c r="H3409" s="24">
        <v>1.0718839649872383</v>
      </c>
      <c r="I3409" s="25">
        <v>1.0906297525857411</v>
      </c>
      <c r="X3409" s="15">
        <v>3408</v>
      </c>
      <c r="Y3409" s="39">
        <v>0.47247283663440326</v>
      </c>
      <c r="Z3409" s="39">
        <v>0.47830620000434093</v>
      </c>
      <c r="AA3409" s="39">
        <v>0.47835405113509649</v>
      </c>
      <c r="AB3409" s="39">
        <v>0.47233878699072224</v>
      </c>
      <c r="AC3409" s="39">
        <v>0.46686395250840135</v>
      </c>
      <c r="AD3409" s="39">
        <v>0.46962709830701826</v>
      </c>
      <c r="AE3409" s="39">
        <v>0.46975023902392066</v>
      </c>
      <c r="AF3409" s="40">
        <v>0.46943619173849693</v>
      </c>
    </row>
    <row r="3410" spans="1:32">
      <c r="A3410" s="15">
        <v>3408</v>
      </c>
      <c r="B3410" s="16">
        <v>0</v>
      </c>
      <c r="C3410" s="20">
        <v>0.16</v>
      </c>
      <c r="D3410" s="20">
        <v>0.87755644242420427</v>
      </c>
      <c r="E3410" s="20">
        <v>0.12</v>
      </c>
      <c r="F3410" s="8" t="s">
        <v>436</v>
      </c>
      <c r="G3410" s="24">
        <v>0.91508695668192996</v>
      </c>
      <c r="H3410" s="24">
        <v>0.92038507657867807</v>
      </c>
      <c r="I3410" s="25">
        <v>0.93648135539051847</v>
      </c>
      <c r="X3410" s="15">
        <v>3409</v>
      </c>
      <c r="Y3410" s="39">
        <v>0.49550329378134378</v>
      </c>
      <c r="Z3410" s="39">
        <v>0.48840090300072636</v>
      </c>
      <c r="AA3410" s="39">
        <v>0.4988929124195628</v>
      </c>
      <c r="AB3410" s="39">
        <v>0.48625113989704422</v>
      </c>
      <c r="AC3410" s="39">
        <v>0.49049763671663066</v>
      </c>
      <c r="AD3410" s="39">
        <v>0.48023030687064122</v>
      </c>
      <c r="AE3410" s="39">
        <v>0.49238528641794477</v>
      </c>
      <c r="AF3410" s="40">
        <v>0.48174159221448609</v>
      </c>
    </row>
    <row r="3411" spans="1:32">
      <c r="A3411" s="15">
        <v>3409</v>
      </c>
      <c r="B3411" s="16">
        <v>1</v>
      </c>
      <c r="C3411" s="20">
        <v>0.27</v>
      </c>
      <c r="D3411" s="20">
        <v>0.74564086818216546</v>
      </c>
      <c r="E3411" s="20">
        <v>0.04</v>
      </c>
      <c r="F3411" s="8" t="s">
        <v>436</v>
      </c>
      <c r="G3411" s="24">
        <v>0.61302134664705876</v>
      </c>
      <c r="H3411" s="24">
        <v>0.61657058376609575</v>
      </c>
      <c r="I3411" s="25">
        <v>0.62735356175653678</v>
      </c>
      <c r="X3411" s="15">
        <v>3410</v>
      </c>
      <c r="Y3411" s="39">
        <v>0.4835262641322684</v>
      </c>
      <c r="Z3411" s="39">
        <v>0.48929576654911011</v>
      </c>
      <c r="AA3411" s="39">
        <v>0.47681707275780688</v>
      </c>
      <c r="AB3411" s="39">
        <v>0.47943181132846663</v>
      </c>
      <c r="AC3411" s="39">
        <v>0.47638279131024686</v>
      </c>
      <c r="AD3411" s="39">
        <v>0.48379818545567593</v>
      </c>
      <c r="AE3411" s="39">
        <v>0.46964532167479245</v>
      </c>
      <c r="AF3411" s="40">
        <v>0.47893114079095772</v>
      </c>
    </row>
    <row r="3412" spans="1:32">
      <c r="A3412" s="15">
        <v>3410</v>
      </c>
      <c r="B3412" s="16">
        <v>0</v>
      </c>
      <c r="C3412" s="20">
        <v>0.93</v>
      </c>
      <c r="D3412" s="20">
        <v>0.18747949848141848</v>
      </c>
      <c r="E3412" s="20">
        <v>7.0000000000000007E-2</v>
      </c>
      <c r="F3412" s="8" t="s">
        <v>434</v>
      </c>
      <c r="G3412" s="24">
        <v>0.35127711832547215</v>
      </c>
      <c r="H3412" s="24">
        <v>0.35331092317459906</v>
      </c>
      <c r="I3412" s="25">
        <v>0.35948984900836767</v>
      </c>
      <c r="X3412" s="15">
        <v>3411</v>
      </c>
      <c r="Y3412" s="39">
        <v>0.48530612470161255</v>
      </c>
      <c r="Z3412" s="39">
        <v>0.48084110296356075</v>
      </c>
      <c r="AA3412" s="39">
        <v>0.48166292473811989</v>
      </c>
      <c r="AB3412" s="39">
        <v>0.49347141015329504</v>
      </c>
      <c r="AC3412" s="39">
        <v>0.47880871109152134</v>
      </c>
      <c r="AD3412" s="39">
        <v>0.47592470425767791</v>
      </c>
      <c r="AE3412" s="39">
        <v>0.47468952389534014</v>
      </c>
      <c r="AF3412" s="40">
        <v>0.48775683580527152</v>
      </c>
    </row>
    <row r="3413" spans="1:32">
      <c r="A3413" s="15">
        <v>3411</v>
      </c>
      <c r="B3413" s="16">
        <v>0</v>
      </c>
      <c r="C3413" s="20">
        <v>0.02</v>
      </c>
      <c r="D3413" s="20">
        <v>0.99917029198757767</v>
      </c>
      <c r="E3413" s="20">
        <v>1</v>
      </c>
      <c r="F3413" s="8" t="s">
        <v>436</v>
      </c>
      <c r="G3413" s="24">
        <v>1.0064748547053581</v>
      </c>
      <c r="H3413" s="24">
        <v>1.0123020872042523</v>
      </c>
      <c r="I3413" s="25">
        <v>1.0300058690800058</v>
      </c>
      <c r="X3413" s="15">
        <v>3412</v>
      </c>
      <c r="Y3413" s="39">
        <v>0.48161807199408924</v>
      </c>
      <c r="Z3413" s="39">
        <v>0.48140495396094479</v>
      </c>
      <c r="AA3413" s="39">
        <v>0.48791850870013115</v>
      </c>
      <c r="AB3413" s="39">
        <v>0.49279738546736096</v>
      </c>
      <c r="AC3413" s="39">
        <v>0.47357632572775216</v>
      </c>
      <c r="AD3413" s="39">
        <v>0.4765472775900802</v>
      </c>
      <c r="AE3413" s="39">
        <v>0.48293087426413706</v>
      </c>
      <c r="AF3413" s="40">
        <v>0.48722229857994698</v>
      </c>
    </row>
    <row r="3414" spans="1:32">
      <c r="A3414" s="15">
        <v>3412</v>
      </c>
      <c r="B3414" s="16">
        <v>1</v>
      </c>
      <c r="C3414" s="20">
        <v>0.12</v>
      </c>
      <c r="D3414" s="20">
        <v>0.89276446179260416</v>
      </c>
      <c r="E3414" s="20">
        <v>0.09</v>
      </c>
      <c r="F3414" s="8" t="s">
        <v>436</v>
      </c>
      <c r="G3414" s="24">
        <v>1.4315197819317644</v>
      </c>
      <c r="H3414" s="24">
        <v>1.4398079160635651</v>
      </c>
      <c r="I3414" s="25">
        <v>1.4649881914094061</v>
      </c>
      <c r="X3414" s="15">
        <v>3413</v>
      </c>
      <c r="Y3414" s="39">
        <v>0.49198893629746582</v>
      </c>
      <c r="Z3414" s="39">
        <v>0.47750656452735774</v>
      </c>
      <c r="AA3414" s="39">
        <v>0.49101294310708749</v>
      </c>
      <c r="AB3414" s="39">
        <v>0.491008294848574</v>
      </c>
      <c r="AC3414" s="39">
        <v>0.4850186731528201</v>
      </c>
      <c r="AD3414" s="39">
        <v>0.47059479527598086</v>
      </c>
      <c r="AE3414" s="39">
        <v>0.48175566515271018</v>
      </c>
      <c r="AF3414" s="40">
        <v>0.48678926503454595</v>
      </c>
    </row>
    <row r="3415" spans="1:32">
      <c r="A3415" s="15">
        <v>3413</v>
      </c>
      <c r="B3415" s="16">
        <v>0</v>
      </c>
      <c r="C3415" s="20">
        <v>0.11</v>
      </c>
      <c r="D3415" s="20">
        <v>0.9141578488423312</v>
      </c>
      <c r="E3415" s="20">
        <v>0.06</v>
      </c>
      <c r="F3415" s="8" t="s">
        <v>436</v>
      </c>
      <c r="G3415" s="24">
        <v>0.95659158330172578</v>
      </c>
      <c r="H3415" s="24">
        <v>0.96213000439225194</v>
      </c>
      <c r="I3415" s="25">
        <v>0.97895634501644291</v>
      </c>
      <c r="X3415" s="15">
        <v>3414</v>
      </c>
      <c r="Y3415" s="39">
        <v>0.48495477603388715</v>
      </c>
      <c r="Z3415" s="39">
        <v>0.48815915304587909</v>
      </c>
      <c r="AA3415" s="39">
        <v>0.4827352696197737</v>
      </c>
      <c r="AB3415" s="39">
        <v>0.49314445946952112</v>
      </c>
      <c r="AC3415" s="39">
        <v>0.48054009854766355</v>
      </c>
      <c r="AD3415" s="39">
        <v>0.48107079756161097</v>
      </c>
      <c r="AE3415" s="39">
        <v>0.47759783480247825</v>
      </c>
      <c r="AF3415" s="40">
        <v>0.49055748818607819</v>
      </c>
    </row>
    <row r="3416" spans="1:32">
      <c r="A3416" s="15">
        <v>3414</v>
      </c>
      <c r="B3416" s="16">
        <v>1</v>
      </c>
      <c r="C3416" s="20">
        <v>0.09</v>
      </c>
      <c r="D3416" s="20">
        <v>0.92521525541073768</v>
      </c>
      <c r="E3416" s="20">
        <v>0.47</v>
      </c>
      <c r="F3416" s="8" t="s">
        <v>436</v>
      </c>
      <c r="G3416" s="24">
        <v>1.0351774487408847</v>
      </c>
      <c r="H3416" s="24">
        <v>1.0411708619327036</v>
      </c>
      <c r="I3416" s="25">
        <v>1.059379519277226</v>
      </c>
      <c r="X3416" s="15">
        <v>3415</v>
      </c>
      <c r="Y3416" s="39">
        <v>0.48671637405087881</v>
      </c>
      <c r="Z3416" s="39">
        <v>0.47283089380418802</v>
      </c>
      <c r="AA3416" s="39">
        <v>0.49161924453177758</v>
      </c>
      <c r="AB3416" s="39">
        <v>0.47498115825065607</v>
      </c>
      <c r="AC3416" s="39">
        <v>0.4790293245663399</v>
      </c>
      <c r="AD3416" s="39">
        <v>0.46546121827570386</v>
      </c>
      <c r="AE3416" s="39">
        <v>0.48394203160817229</v>
      </c>
      <c r="AF3416" s="40">
        <v>0.46583433276339181</v>
      </c>
    </row>
    <row r="3417" spans="1:32">
      <c r="A3417" s="15">
        <v>3415</v>
      </c>
      <c r="B3417" s="16">
        <v>0</v>
      </c>
      <c r="C3417" s="20">
        <v>0.92</v>
      </c>
      <c r="D3417" s="20">
        <v>0.20739306340075761</v>
      </c>
      <c r="E3417" s="20">
        <v>0.08</v>
      </c>
      <c r="F3417" s="8" t="s">
        <v>434</v>
      </c>
      <c r="G3417" s="24">
        <v>2.5019518811359154</v>
      </c>
      <c r="H3417" s="24">
        <v>2.3557193791407478</v>
      </c>
      <c r="I3417" s="25">
        <v>1.6578926537592125</v>
      </c>
      <c r="X3417" s="15">
        <v>3416</v>
      </c>
      <c r="Y3417" s="39">
        <v>0.49250414867020281</v>
      </c>
      <c r="Z3417" s="39">
        <v>0.47497182394692439</v>
      </c>
      <c r="AA3417" s="39">
        <v>0.50324225505435749</v>
      </c>
      <c r="AB3417" s="39">
        <v>0.4844827617132148</v>
      </c>
      <c r="AC3417" s="39">
        <v>0.4866091424871713</v>
      </c>
      <c r="AD3417" s="39">
        <v>0.46664370379005865</v>
      </c>
      <c r="AE3417" s="39">
        <v>0.49666943814398001</v>
      </c>
      <c r="AF3417" s="40">
        <v>0.48265474440332912</v>
      </c>
    </row>
    <row r="3418" spans="1:32">
      <c r="A3418" s="15">
        <v>3416</v>
      </c>
      <c r="B3418" s="16">
        <v>0</v>
      </c>
      <c r="C3418" s="20">
        <v>0.02</v>
      </c>
      <c r="D3418" s="20">
        <v>0.99917029198757767</v>
      </c>
      <c r="E3418" s="20">
        <v>1</v>
      </c>
      <c r="F3418" s="8" t="s">
        <v>436</v>
      </c>
      <c r="G3418" s="24">
        <v>1.1362862499370152</v>
      </c>
      <c r="H3418" s="24">
        <v>1.1428650572790207</v>
      </c>
      <c r="I3418" s="25">
        <v>1.162852207303938</v>
      </c>
      <c r="X3418" s="15">
        <v>3417</v>
      </c>
      <c r="Y3418" s="39">
        <v>0.48828179721983678</v>
      </c>
      <c r="Z3418" s="39">
        <v>0.48864872544907756</v>
      </c>
      <c r="AA3418" s="39">
        <v>0.47180856337883154</v>
      </c>
      <c r="AB3418" s="39">
        <v>0.49134066017332939</v>
      </c>
      <c r="AC3418" s="39">
        <v>0.48288879543306323</v>
      </c>
      <c r="AD3418" s="39">
        <v>0.47979292952616742</v>
      </c>
      <c r="AE3418" s="39">
        <v>0.46519309748821691</v>
      </c>
      <c r="AF3418" s="40">
        <v>0.48852630216557846</v>
      </c>
    </row>
    <row r="3419" spans="1:32">
      <c r="A3419" s="15">
        <v>3417</v>
      </c>
      <c r="B3419" s="16">
        <v>1</v>
      </c>
      <c r="C3419" s="20">
        <v>0.41</v>
      </c>
      <c r="D3419" s="20">
        <v>0.62582711061687779</v>
      </c>
      <c r="E3419" s="20">
        <v>0.05</v>
      </c>
      <c r="F3419" s="8" t="s">
        <v>436</v>
      </c>
      <c r="G3419" s="24">
        <v>1.3758411362662561</v>
      </c>
      <c r="H3419" s="24">
        <v>1.383806905252023</v>
      </c>
      <c r="I3419" s="25">
        <v>1.4080077993511382</v>
      </c>
      <c r="X3419" s="15">
        <v>3418</v>
      </c>
      <c r="Y3419" s="39">
        <v>0.48879510880371579</v>
      </c>
      <c r="Z3419" s="39">
        <v>0.46818116335885651</v>
      </c>
      <c r="AA3419" s="39">
        <v>0.4937074631610685</v>
      </c>
      <c r="AB3419" s="39">
        <v>0.47827010505114853</v>
      </c>
      <c r="AC3419" s="39">
        <v>0.48299846472774333</v>
      </c>
      <c r="AD3419" s="39">
        <v>0.46325256839705292</v>
      </c>
      <c r="AE3419" s="39">
        <v>0.48870199182364715</v>
      </c>
      <c r="AF3419" s="40">
        <v>0.47209116229015402</v>
      </c>
    </row>
    <row r="3420" spans="1:32">
      <c r="A3420" s="15">
        <v>3418</v>
      </c>
      <c r="B3420" s="16">
        <v>0</v>
      </c>
      <c r="C3420" s="20">
        <v>0.91</v>
      </c>
      <c r="D3420" s="20">
        <v>0.21727233298780477</v>
      </c>
      <c r="E3420" s="20">
        <v>0.09</v>
      </c>
      <c r="F3420" s="8" t="s">
        <v>434</v>
      </c>
      <c r="G3420" s="24">
        <v>0.69308375636257136</v>
      </c>
      <c r="H3420" s="24">
        <v>0.69709653439736285</v>
      </c>
      <c r="I3420" s="25">
        <v>0.70928780135938041</v>
      </c>
      <c r="X3420" s="15">
        <v>3419</v>
      </c>
      <c r="Y3420" s="39">
        <v>0.48975404008341578</v>
      </c>
      <c r="Z3420" s="39">
        <v>0.48578321759856102</v>
      </c>
      <c r="AA3420" s="39">
        <v>0.47472202031116056</v>
      </c>
      <c r="AB3420" s="39">
        <v>0.49718550719609272</v>
      </c>
      <c r="AC3420" s="39">
        <v>0.48114543413302419</v>
      </c>
      <c r="AD3420" s="39">
        <v>0.47728200625063855</v>
      </c>
      <c r="AE3420" s="39">
        <v>0.46665985197986304</v>
      </c>
      <c r="AF3420" s="40">
        <v>0.49278102913836902</v>
      </c>
    </row>
    <row r="3421" spans="1:32">
      <c r="A3421" s="15">
        <v>3419</v>
      </c>
      <c r="B3421" s="16">
        <v>0</v>
      </c>
      <c r="C3421" s="20">
        <v>0.28999999999999998</v>
      </c>
      <c r="D3421" s="20">
        <v>0.61303138475002439</v>
      </c>
      <c r="E3421" s="20">
        <v>0.16</v>
      </c>
      <c r="F3421" s="8" t="s">
        <v>436</v>
      </c>
      <c r="G3421" s="24">
        <v>1.1131516893055793</v>
      </c>
      <c r="H3421" s="24">
        <v>1.1195965534467895</v>
      </c>
      <c r="I3421" s="25">
        <v>1.1391767690974446</v>
      </c>
      <c r="X3421" s="15">
        <v>3420</v>
      </c>
      <c r="Y3421" s="39">
        <v>0.49232796775969245</v>
      </c>
      <c r="Z3421" s="39">
        <v>0.49711066679593774</v>
      </c>
      <c r="AA3421" s="39">
        <v>0.47513448531924457</v>
      </c>
      <c r="AB3421" s="39">
        <v>0.49418471527405594</v>
      </c>
      <c r="AC3421" s="39">
        <v>0.48499407810513079</v>
      </c>
      <c r="AD3421" s="39">
        <v>0.48766098805054531</v>
      </c>
      <c r="AE3421" s="39">
        <v>0.46710800193366259</v>
      </c>
      <c r="AF3421" s="40">
        <v>0.49108934754814099</v>
      </c>
    </row>
    <row r="3422" spans="1:32">
      <c r="A3422" s="15">
        <v>3420</v>
      </c>
      <c r="B3422" s="16">
        <v>1</v>
      </c>
      <c r="C3422" s="20">
        <v>0.2</v>
      </c>
      <c r="D3422" s="20">
        <v>0.82974351362578835</v>
      </c>
      <c r="E3422" s="20">
        <v>0.45</v>
      </c>
      <c r="F3422" s="8" t="s">
        <v>436</v>
      </c>
      <c r="G3422" s="24">
        <v>1.1671899154085326</v>
      </c>
      <c r="H3422" s="24">
        <v>1.1739476470852381</v>
      </c>
      <c r="I3422" s="25">
        <v>1.194478389183133</v>
      </c>
      <c r="X3422" s="15">
        <v>3421</v>
      </c>
      <c r="Y3422" s="39">
        <v>0.47801191808817989</v>
      </c>
      <c r="Z3422" s="39">
        <v>0.47548169213915836</v>
      </c>
      <c r="AA3422" s="39">
        <v>0.50306282389673318</v>
      </c>
      <c r="AB3422" s="39">
        <v>0.48747641454868762</v>
      </c>
      <c r="AC3422" s="39">
        <v>0.47090832253124815</v>
      </c>
      <c r="AD3422" s="39">
        <v>0.46744901552765322</v>
      </c>
      <c r="AE3422" s="39">
        <v>0.49904759280079486</v>
      </c>
      <c r="AF3422" s="40">
        <v>0.48223788306388921</v>
      </c>
    </row>
    <row r="3423" spans="1:32">
      <c r="A3423" s="15">
        <v>3421</v>
      </c>
      <c r="B3423" s="16">
        <v>0</v>
      </c>
      <c r="C3423" s="20">
        <v>0.28999999999999998</v>
      </c>
      <c r="D3423" s="20">
        <v>0.732208106287487</v>
      </c>
      <c r="E3423" s="20">
        <v>0.09</v>
      </c>
      <c r="F3423" s="8" t="s">
        <v>436</v>
      </c>
      <c r="G3423" s="24">
        <v>1.1508584527429548</v>
      </c>
      <c r="H3423" s="24">
        <v>1.1575216294195485</v>
      </c>
      <c r="I3423" s="25">
        <v>1.1777651028873413</v>
      </c>
      <c r="X3423" s="15">
        <v>3422</v>
      </c>
      <c r="Y3423" s="39">
        <v>0.48564877562205883</v>
      </c>
      <c r="Z3423" s="39">
        <v>0.50125336177329594</v>
      </c>
      <c r="AA3423" s="39">
        <v>0.4906000688471186</v>
      </c>
      <c r="AB3423" s="39">
        <v>0.49096663690079662</v>
      </c>
      <c r="AC3423" s="39">
        <v>0.47920110208173011</v>
      </c>
      <c r="AD3423" s="39">
        <v>0.49319415160647739</v>
      </c>
      <c r="AE3423" s="39">
        <v>0.48271233301805277</v>
      </c>
      <c r="AF3423" s="40">
        <v>0.48548870714249237</v>
      </c>
    </row>
    <row r="3424" spans="1:32">
      <c r="A3424" s="15">
        <v>3422</v>
      </c>
      <c r="B3424" s="16">
        <v>0</v>
      </c>
      <c r="C3424" s="20">
        <v>0.02</v>
      </c>
      <c r="D3424" s="20">
        <v>0.99679477127711513</v>
      </c>
      <c r="E3424" s="20">
        <v>1</v>
      </c>
      <c r="F3424" s="8" t="s">
        <v>436</v>
      </c>
      <c r="G3424" s="24">
        <v>1.1391926718871281</v>
      </c>
      <c r="H3424" s="24">
        <v>1.14578830667034</v>
      </c>
      <c r="I3424" s="25">
        <v>1.1658265803373464</v>
      </c>
      <c r="X3424" s="15">
        <v>3423</v>
      </c>
      <c r="Y3424" s="39">
        <v>0.48993381879603937</v>
      </c>
      <c r="Z3424" s="39">
        <v>0.48576646011671815</v>
      </c>
      <c r="AA3424" s="39">
        <v>0.47661168729390291</v>
      </c>
      <c r="AB3424" s="39">
        <v>0.4960722548674833</v>
      </c>
      <c r="AC3424" s="39">
        <v>0.48023022664797105</v>
      </c>
      <c r="AD3424" s="39">
        <v>0.47933236864161133</v>
      </c>
      <c r="AE3424" s="39">
        <v>0.46878152682862534</v>
      </c>
      <c r="AF3424" s="40">
        <v>0.49104609712693764</v>
      </c>
    </row>
    <row r="3425" spans="1:32">
      <c r="A3425" s="15">
        <v>3423</v>
      </c>
      <c r="B3425" s="16">
        <v>0</v>
      </c>
      <c r="C3425" s="20">
        <v>0.02</v>
      </c>
      <c r="D3425" s="20">
        <v>0.99756714174924133</v>
      </c>
      <c r="E3425" s="20">
        <v>1</v>
      </c>
      <c r="F3425" s="8" t="s">
        <v>436</v>
      </c>
      <c r="G3425" s="24">
        <v>1.0294767670643967</v>
      </c>
      <c r="H3425" s="24">
        <v>1.0354371747644484</v>
      </c>
      <c r="I3425" s="25">
        <v>1.053545557745958</v>
      </c>
      <c r="X3425" s="15">
        <v>3424</v>
      </c>
      <c r="Y3425" s="39">
        <v>0.49168909196781391</v>
      </c>
      <c r="Z3425" s="39">
        <v>0.4785285432460617</v>
      </c>
      <c r="AA3425" s="39">
        <v>0.47195560406549547</v>
      </c>
      <c r="AB3425" s="39">
        <v>0.48991644094429704</v>
      </c>
      <c r="AC3425" s="39">
        <v>0.48500628770194099</v>
      </c>
      <c r="AD3425" s="39">
        <v>0.47310183476746082</v>
      </c>
      <c r="AE3425" s="39">
        <v>0.4623719279777983</v>
      </c>
      <c r="AF3425" s="40">
        <v>0.48575592892722097</v>
      </c>
    </row>
    <row r="3426" spans="1:32">
      <c r="A3426" s="15">
        <v>3424</v>
      </c>
      <c r="B3426" s="16">
        <v>1</v>
      </c>
      <c r="C3426" s="20">
        <v>0.12</v>
      </c>
      <c r="D3426" s="20">
        <v>0.92030827632051082</v>
      </c>
      <c r="E3426" s="20">
        <v>0.04</v>
      </c>
      <c r="F3426" s="8" t="s">
        <v>436</v>
      </c>
      <c r="G3426" s="24">
        <v>1.1446427483431443</v>
      </c>
      <c r="H3426" s="24">
        <v>1.1512699376778657</v>
      </c>
      <c r="I3426" s="25">
        <v>1.1714040775896497</v>
      </c>
      <c r="X3426" s="15">
        <v>3425</v>
      </c>
      <c r="Y3426" s="39">
        <v>0.49463689714768255</v>
      </c>
      <c r="Z3426" s="39">
        <v>0.47474469424165455</v>
      </c>
      <c r="AA3426" s="39">
        <v>0.47456632578889624</v>
      </c>
      <c r="AB3426" s="39">
        <v>0.49090975009128279</v>
      </c>
      <c r="AC3426" s="39">
        <v>0.48413254452910659</v>
      </c>
      <c r="AD3426" s="39">
        <v>0.46721543865960224</v>
      </c>
      <c r="AE3426" s="39">
        <v>0.46729367384703302</v>
      </c>
      <c r="AF3426" s="40">
        <v>0.48526305573267237</v>
      </c>
    </row>
    <row r="3427" spans="1:32">
      <c r="A3427" s="15">
        <v>3425</v>
      </c>
      <c r="B3427" s="16">
        <v>1</v>
      </c>
      <c r="C3427" s="20">
        <v>0.5</v>
      </c>
      <c r="D3427" s="20">
        <v>0.46875029586487232</v>
      </c>
      <c r="E3427" s="20">
        <v>0.08</v>
      </c>
      <c r="F3427" s="8" t="s">
        <v>438</v>
      </c>
      <c r="G3427" s="24">
        <v>0.49561012397204846</v>
      </c>
      <c r="H3427" s="24">
        <v>0.49847958008184501</v>
      </c>
      <c r="I3427" s="25">
        <v>0.50719730759306525</v>
      </c>
      <c r="X3427" s="15">
        <v>3426</v>
      </c>
      <c r="Y3427" s="39">
        <v>0.47892121966817297</v>
      </c>
      <c r="Z3427" s="39">
        <v>0.47918900642775519</v>
      </c>
      <c r="AA3427" s="39">
        <v>0.4794977933905567</v>
      </c>
      <c r="AB3427" s="39">
        <v>0.49906811618028474</v>
      </c>
      <c r="AC3427" s="39">
        <v>0.47490893001194856</v>
      </c>
      <c r="AD3427" s="39">
        <v>0.47535596314138995</v>
      </c>
      <c r="AE3427" s="39">
        <v>0.47364988941315134</v>
      </c>
      <c r="AF3427" s="40">
        <v>0.49329957396947643</v>
      </c>
    </row>
    <row r="3428" spans="1:32">
      <c r="A3428" s="15">
        <v>3426</v>
      </c>
      <c r="B3428" s="16">
        <v>1</v>
      </c>
      <c r="C3428" s="20">
        <v>0.02</v>
      </c>
      <c r="D3428" s="20">
        <v>0.99756714174924133</v>
      </c>
      <c r="E3428" s="20">
        <v>1</v>
      </c>
      <c r="F3428" s="8" t="s">
        <v>436</v>
      </c>
      <c r="G3428" s="24">
        <v>1.035973537251949</v>
      </c>
      <c r="H3428" s="24">
        <v>1.0419715595930397</v>
      </c>
      <c r="I3428" s="25">
        <v>1.060194220046818</v>
      </c>
      <c r="X3428" s="15">
        <v>3427</v>
      </c>
      <c r="Y3428" s="39">
        <v>0.48963572255291149</v>
      </c>
      <c r="Z3428" s="39">
        <v>0.49277317758439448</v>
      </c>
      <c r="AA3428" s="39">
        <v>0.48540962749507871</v>
      </c>
      <c r="AB3428" s="39">
        <v>0.48936508675744328</v>
      </c>
      <c r="AC3428" s="39">
        <v>0.48008156089124615</v>
      </c>
      <c r="AD3428" s="39">
        <v>0.48589116267803972</v>
      </c>
      <c r="AE3428" s="39">
        <v>0.47845668445454043</v>
      </c>
      <c r="AF3428" s="40">
        <v>0.48723037002139763</v>
      </c>
    </row>
    <row r="3429" spans="1:32">
      <c r="A3429" s="15">
        <v>3427</v>
      </c>
      <c r="B3429" s="16">
        <v>1</v>
      </c>
      <c r="C3429" s="20">
        <v>0.21</v>
      </c>
      <c r="D3429" s="20">
        <v>0.84976037748176958</v>
      </c>
      <c r="E3429" s="20">
        <v>0.48</v>
      </c>
      <c r="F3429" s="8" t="s">
        <v>436</v>
      </c>
      <c r="G3429" s="24">
        <v>1.0336983696333186</v>
      </c>
      <c r="H3429" s="24">
        <v>1.0396832193346504</v>
      </c>
      <c r="I3429" s="25">
        <v>1.0578658598405253</v>
      </c>
      <c r="X3429" s="15">
        <v>3428</v>
      </c>
      <c r="Y3429" s="39">
        <v>0.48695587228574683</v>
      </c>
      <c r="Z3429" s="39">
        <v>0.48992934696101381</v>
      </c>
      <c r="AA3429" s="39">
        <v>0.48694575548088409</v>
      </c>
      <c r="AB3429" s="39">
        <v>0.48533618267663869</v>
      </c>
      <c r="AC3429" s="39">
        <v>0.48250671569149423</v>
      </c>
      <c r="AD3429" s="39">
        <v>0.48361129719990675</v>
      </c>
      <c r="AE3429" s="39">
        <v>0.48063130664751125</v>
      </c>
      <c r="AF3429" s="40">
        <v>0.48281531308948561</v>
      </c>
    </row>
    <row r="3430" spans="1:32">
      <c r="A3430" s="15">
        <v>3428</v>
      </c>
      <c r="B3430" s="16">
        <v>1</v>
      </c>
      <c r="C3430" s="20">
        <v>0.23</v>
      </c>
      <c r="D3430" s="20">
        <v>0.82860309718162295</v>
      </c>
      <c r="E3430" s="20">
        <v>7.0000000000000007E-2</v>
      </c>
      <c r="F3430" s="8" t="s">
        <v>436</v>
      </c>
      <c r="G3430" s="24">
        <v>0.84347374214499604</v>
      </c>
      <c r="H3430" s="24">
        <v>0.84835723980935651</v>
      </c>
      <c r="I3430" s="25">
        <v>0.86319385006250793</v>
      </c>
      <c r="X3430" s="15">
        <v>3429</v>
      </c>
      <c r="Y3430" s="39">
        <v>0.49510710860162105</v>
      </c>
      <c r="Z3430" s="39">
        <v>0.48731201488487175</v>
      </c>
      <c r="AA3430" s="39">
        <v>0.489756889545166</v>
      </c>
      <c r="AB3430" s="39">
        <v>0.4939812337544196</v>
      </c>
      <c r="AC3430" s="39">
        <v>0.48754952684353692</v>
      </c>
      <c r="AD3430" s="39">
        <v>0.47998732459867438</v>
      </c>
      <c r="AE3430" s="39">
        <v>0.48277983392722129</v>
      </c>
      <c r="AF3430" s="40">
        <v>0.48926238789493059</v>
      </c>
    </row>
    <row r="3431" spans="1:32">
      <c r="A3431" s="15">
        <v>3429</v>
      </c>
      <c r="B3431" s="16">
        <v>0</v>
      </c>
      <c r="C3431" s="20">
        <v>0.02</v>
      </c>
      <c r="D3431" s="20">
        <v>0.99917029198757767</v>
      </c>
      <c r="E3431" s="20">
        <v>1</v>
      </c>
      <c r="F3431" s="8" t="s">
        <v>436</v>
      </c>
      <c r="G3431" s="24">
        <v>1.0808487893102696</v>
      </c>
      <c r="H3431" s="24">
        <v>1.0871066279060515</v>
      </c>
      <c r="I3431" s="25">
        <v>1.1061186391025191</v>
      </c>
      <c r="X3431" s="15">
        <v>3430</v>
      </c>
      <c r="Y3431" s="39">
        <v>0.49611013237584239</v>
      </c>
      <c r="Z3431" s="39">
        <v>0.48125490177550256</v>
      </c>
      <c r="AA3431" s="39">
        <v>0.48519245915168413</v>
      </c>
      <c r="AB3431" s="39">
        <v>0.49087127760603583</v>
      </c>
      <c r="AC3431" s="39">
        <v>0.48781322719390952</v>
      </c>
      <c r="AD3431" s="39">
        <v>0.4752655219149175</v>
      </c>
      <c r="AE3431" s="39">
        <v>0.47880894806923935</v>
      </c>
      <c r="AF3431" s="40">
        <v>0.48626572463601581</v>
      </c>
    </row>
    <row r="3432" spans="1:32">
      <c r="A3432" s="15">
        <v>3430</v>
      </c>
      <c r="B3432" s="16">
        <v>0</v>
      </c>
      <c r="C3432" s="20">
        <v>0.28000000000000003</v>
      </c>
      <c r="D3432" s="20">
        <v>0.84399654133030255</v>
      </c>
      <c r="E3432" s="20">
        <v>0.02</v>
      </c>
      <c r="F3432" s="8" t="s">
        <v>436</v>
      </c>
      <c r="G3432" s="24">
        <v>1.4897947194425023</v>
      </c>
      <c r="H3432" s="24">
        <v>1.4984202505873987</v>
      </c>
      <c r="I3432" s="25">
        <v>1.524625575667657</v>
      </c>
      <c r="X3432" s="15">
        <v>3431</v>
      </c>
      <c r="Y3432" s="39">
        <v>0.48272430392369498</v>
      </c>
      <c r="Z3432" s="39">
        <v>0.48420705225569388</v>
      </c>
      <c r="AA3432" s="39">
        <v>0.49396091980134188</v>
      </c>
      <c r="AB3432" s="39">
        <v>0.48968819648089629</v>
      </c>
      <c r="AC3432" s="39">
        <v>0.47663276358423939</v>
      </c>
      <c r="AD3432" s="39">
        <v>0.47883319356077886</v>
      </c>
      <c r="AE3432" s="39">
        <v>0.48527712672085316</v>
      </c>
      <c r="AF3432" s="40">
        <v>0.4851987921136951</v>
      </c>
    </row>
    <row r="3433" spans="1:32">
      <c r="A3433" s="15">
        <v>3431</v>
      </c>
      <c r="B3433" s="16">
        <v>0</v>
      </c>
      <c r="C3433" s="20">
        <v>0.87</v>
      </c>
      <c r="D3433" s="20">
        <v>0.27276032039195819</v>
      </c>
      <c r="E3433" s="20">
        <v>0.13</v>
      </c>
      <c r="F3433" s="8" t="s">
        <v>434</v>
      </c>
      <c r="G3433" s="24">
        <v>0.67483500301707333</v>
      </c>
      <c r="H3433" s="24">
        <v>0.67874212542811818</v>
      </c>
      <c r="I3433" s="25">
        <v>0.69061239882807834</v>
      </c>
      <c r="X3433" s="15">
        <v>3432</v>
      </c>
      <c r="Y3433" s="39">
        <v>0.49375018426120021</v>
      </c>
      <c r="Z3433" s="39">
        <v>0.49062349094535163</v>
      </c>
      <c r="AA3433" s="39">
        <v>0.47783459679005114</v>
      </c>
      <c r="AB3433" s="39">
        <v>0.48274838627618666</v>
      </c>
      <c r="AC3433" s="39">
        <v>0.48734531996772212</v>
      </c>
      <c r="AD3433" s="39">
        <v>0.48670053981096895</v>
      </c>
      <c r="AE3433" s="39">
        <v>0.47188007485094652</v>
      </c>
      <c r="AF3433" s="40">
        <v>0.47647237504477652</v>
      </c>
    </row>
    <row r="3434" spans="1:32">
      <c r="A3434" s="15">
        <v>3432</v>
      </c>
      <c r="B3434" s="16">
        <v>0</v>
      </c>
      <c r="C3434" s="20">
        <v>0.02</v>
      </c>
      <c r="D3434" s="20">
        <v>0.99835916395484214</v>
      </c>
      <c r="E3434" s="20">
        <v>1</v>
      </c>
      <c r="F3434" s="8" t="s">
        <v>436</v>
      </c>
      <c r="G3434" s="24">
        <v>1.0456074100602359</v>
      </c>
      <c r="H3434" s="24">
        <v>1.0516612100657723</v>
      </c>
      <c r="I3434" s="25">
        <v>1.0700533292815049</v>
      </c>
      <c r="X3434" s="15">
        <v>3433</v>
      </c>
      <c r="Y3434" s="39">
        <v>0.47989898360726085</v>
      </c>
      <c r="Z3434" s="39">
        <v>0.47982867317978145</v>
      </c>
      <c r="AA3434" s="39">
        <v>0.4891973411202461</v>
      </c>
      <c r="AB3434" s="39">
        <v>0.5009978275460254</v>
      </c>
      <c r="AC3434" s="39">
        <v>0.47370683049232731</v>
      </c>
      <c r="AD3434" s="39">
        <v>0.47453179598346346</v>
      </c>
      <c r="AE3434" s="39">
        <v>0.48270377009954601</v>
      </c>
      <c r="AF3434" s="40">
        <v>0.49800302927216222</v>
      </c>
    </row>
    <row r="3435" spans="1:32">
      <c r="A3435" s="15">
        <v>3433</v>
      </c>
      <c r="B3435" s="16">
        <v>1</v>
      </c>
      <c r="C3435" s="20">
        <v>0.11</v>
      </c>
      <c r="D3435" s="20">
        <v>0.89483644164258591</v>
      </c>
      <c r="E3435" s="20">
        <v>0.09</v>
      </c>
      <c r="F3435" s="8" t="s">
        <v>436</v>
      </c>
      <c r="G3435" s="24">
        <v>1.1489633714936611</v>
      </c>
      <c r="H3435" s="24">
        <v>1.1556155761335543</v>
      </c>
      <c r="I3435" s="25">
        <v>1.1758257153308311</v>
      </c>
      <c r="X3435" s="15">
        <v>3434</v>
      </c>
      <c r="Y3435" s="39">
        <v>0.48260706413878257</v>
      </c>
      <c r="Z3435" s="39">
        <v>0.48638260117063098</v>
      </c>
      <c r="AA3435" s="39">
        <v>0.49232521167514626</v>
      </c>
      <c r="AB3435" s="39">
        <v>0.49243160815976511</v>
      </c>
      <c r="AC3435" s="39">
        <v>0.47741702085437165</v>
      </c>
      <c r="AD3435" s="39">
        <v>0.47881196857973918</v>
      </c>
      <c r="AE3435" s="39">
        <v>0.48596610285101094</v>
      </c>
      <c r="AF3435" s="40">
        <v>0.48697984147183287</v>
      </c>
    </row>
    <row r="3436" spans="1:32">
      <c r="A3436" s="15">
        <v>3434</v>
      </c>
      <c r="B3436" s="16">
        <v>0</v>
      </c>
      <c r="C3436" s="20">
        <v>0.34</v>
      </c>
      <c r="D3436" s="20">
        <v>0.73771056233383236</v>
      </c>
      <c r="E3436" s="20">
        <v>0.48</v>
      </c>
      <c r="F3436" s="8" t="s">
        <v>436</v>
      </c>
      <c r="G3436" s="24">
        <v>0.65134622886544968</v>
      </c>
      <c r="H3436" s="24">
        <v>0.65511735726983289</v>
      </c>
      <c r="I3436" s="25">
        <v>0.66657446571871148</v>
      </c>
      <c r="X3436" s="15">
        <v>3435</v>
      </c>
      <c r="Y3436" s="39">
        <v>0.4745445082887112</v>
      </c>
      <c r="Z3436" s="39">
        <v>0.48177164225843844</v>
      </c>
      <c r="AA3436" s="39">
        <v>0.49830432020307691</v>
      </c>
      <c r="AB3436" s="39">
        <v>0.50604765687867881</v>
      </c>
      <c r="AC3436" s="39">
        <v>0.46961733572239278</v>
      </c>
      <c r="AD3436" s="39">
        <v>0.47657292078356028</v>
      </c>
      <c r="AE3436" s="39">
        <v>0.48826682593595278</v>
      </c>
      <c r="AF3436" s="40">
        <v>0.50395462658555734</v>
      </c>
    </row>
    <row r="3437" spans="1:32">
      <c r="A3437" s="15">
        <v>3435</v>
      </c>
      <c r="B3437" s="16">
        <v>1</v>
      </c>
      <c r="C3437" s="20">
        <v>0.28000000000000003</v>
      </c>
      <c r="D3437" s="20">
        <v>0.7903176890836896</v>
      </c>
      <c r="E3437" s="20">
        <v>0.04</v>
      </c>
      <c r="F3437" s="8" t="s">
        <v>436</v>
      </c>
      <c r="G3437" s="24">
        <v>0.77679676523394148</v>
      </c>
      <c r="H3437" s="24">
        <v>0.78129422022175854</v>
      </c>
      <c r="I3437" s="25">
        <v>0.79495798979255283</v>
      </c>
      <c r="X3437" s="15">
        <v>3436</v>
      </c>
      <c r="Y3437" s="39">
        <v>0.49180401257943307</v>
      </c>
      <c r="Z3437" s="39">
        <v>0.48886684716731588</v>
      </c>
      <c r="AA3437" s="39">
        <v>0.47325589049313382</v>
      </c>
      <c r="AB3437" s="39">
        <v>0.48912026839499889</v>
      </c>
      <c r="AC3437" s="39">
        <v>0.48514694465614622</v>
      </c>
      <c r="AD3437" s="39">
        <v>0.48249971688229454</v>
      </c>
      <c r="AE3437" s="39">
        <v>0.46690412437114109</v>
      </c>
      <c r="AF3437" s="40">
        <v>0.48635161392419529</v>
      </c>
    </row>
    <row r="3438" spans="1:32">
      <c r="A3438" s="15">
        <v>3436</v>
      </c>
      <c r="B3438" s="16">
        <v>0</v>
      </c>
      <c r="C3438" s="20">
        <v>0.02</v>
      </c>
      <c r="D3438" s="20">
        <v>0.99756714174924133</v>
      </c>
      <c r="E3438" s="20">
        <v>1</v>
      </c>
      <c r="F3438" s="8" t="s">
        <v>436</v>
      </c>
      <c r="G3438" s="24">
        <v>1.1314085975200496</v>
      </c>
      <c r="H3438" s="24">
        <v>1.1379591644996163</v>
      </c>
      <c r="I3438" s="25">
        <v>1.157860517155576</v>
      </c>
      <c r="X3438" s="15">
        <v>3437</v>
      </c>
      <c r="Y3438" s="39">
        <v>0.47707600461284477</v>
      </c>
      <c r="Z3438" s="39">
        <v>0.50004181880659127</v>
      </c>
      <c r="AA3438" s="39">
        <v>0.48687907100287869</v>
      </c>
      <c r="AB3438" s="39">
        <v>0.48382498825915227</v>
      </c>
      <c r="AC3438" s="39">
        <v>0.47114563817782179</v>
      </c>
      <c r="AD3438" s="39">
        <v>0.49690975627411915</v>
      </c>
      <c r="AE3438" s="39">
        <v>0.47883856226239296</v>
      </c>
      <c r="AF3438" s="40">
        <v>0.47955577275744865</v>
      </c>
    </row>
    <row r="3439" spans="1:32">
      <c r="A3439" s="15">
        <v>3437</v>
      </c>
      <c r="B3439" s="16">
        <v>1</v>
      </c>
      <c r="C3439" s="20">
        <v>0.54</v>
      </c>
      <c r="D3439" s="20">
        <v>0.46528232452789647</v>
      </c>
      <c r="E3439" s="20">
        <v>7.0000000000000007E-2</v>
      </c>
      <c r="F3439" s="8" t="s">
        <v>438</v>
      </c>
      <c r="G3439" s="24">
        <v>1.6471996592599794</v>
      </c>
      <c r="H3439" s="24">
        <v>1.6567365248276911</v>
      </c>
      <c r="I3439" s="25">
        <v>1.6578926537592125</v>
      </c>
      <c r="X3439" s="15">
        <v>3438</v>
      </c>
      <c r="Y3439" s="39">
        <v>0.48608960364500492</v>
      </c>
      <c r="Z3439" s="39">
        <v>0.48896209747134706</v>
      </c>
      <c r="AA3439" s="39">
        <v>0.48187914862784581</v>
      </c>
      <c r="AB3439" s="39">
        <v>0.47417333694086372</v>
      </c>
      <c r="AC3439" s="39">
        <v>0.4814735849259279</v>
      </c>
      <c r="AD3439" s="39">
        <v>0.481089017039529</v>
      </c>
      <c r="AE3439" s="39">
        <v>0.47538480656196286</v>
      </c>
      <c r="AF3439" s="40">
        <v>0.46825623990141918</v>
      </c>
    </row>
    <row r="3440" spans="1:32">
      <c r="A3440" s="15">
        <v>3438</v>
      </c>
      <c r="B3440" s="16">
        <v>1</v>
      </c>
      <c r="C3440" s="20">
        <v>0.92</v>
      </c>
      <c r="D3440" s="20">
        <v>0.20258497911151899</v>
      </c>
      <c r="E3440" s="20">
        <v>0.08</v>
      </c>
      <c r="F3440" s="8" t="s">
        <v>434</v>
      </c>
      <c r="G3440" s="24">
        <v>1.749316825299174</v>
      </c>
      <c r="H3440" s="24">
        <v>1.7594449231921212</v>
      </c>
      <c r="I3440" s="25">
        <v>1.6578926537592125</v>
      </c>
      <c r="X3440" s="15">
        <v>3439</v>
      </c>
      <c r="Y3440" s="39">
        <v>0.48365648983974274</v>
      </c>
      <c r="Z3440" s="39">
        <v>0.47619876522106047</v>
      </c>
      <c r="AA3440" s="39">
        <v>0.48954510644633686</v>
      </c>
      <c r="AB3440" s="39">
        <v>0.48333366861703786</v>
      </c>
      <c r="AC3440" s="39">
        <v>0.47511595223612912</v>
      </c>
      <c r="AD3440" s="39">
        <v>0.46914007067415064</v>
      </c>
      <c r="AE3440" s="39">
        <v>0.4825331832253576</v>
      </c>
      <c r="AF3440" s="40">
        <v>0.47916636440465504</v>
      </c>
    </row>
    <row r="3441" spans="1:32">
      <c r="A3441" s="15">
        <v>3439</v>
      </c>
      <c r="B3441" s="16">
        <v>0</v>
      </c>
      <c r="C3441" s="20">
        <v>0.32</v>
      </c>
      <c r="D3441" s="20">
        <v>0.60307352027915329</v>
      </c>
      <c r="E3441" s="20">
        <v>0.09</v>
      </c>
      <c r="F3441" s="8" t="s">
        <v>436</v>
      </c>
      <c r="G3441" s="24">
        <v>0.93906984709047481</v>
      </c>
      <c r="H3441" s="24">
        <v>0.9445068218008853</v>
      </c>
      <c r="I3441" s="25">
        <v>0.96102495701436164</v>
      </c>
      <c r="X3441" s="15">
        <v>3440</v>
      </c>
      <c r="Y3441" s="39">
        <v>0.48038559609646103</v>
      </c>
      <c r="Z3441" s="39">
        <v>0.47549050974064949</v>
      </c>
      <c r="AA3441" s="39">
        <v>0.48360009706949525</v>
      </c>
      <c r="AB3441" s="39">
        <v>0.49375696420002757</v>
      </c>
      <c r="AC3441" s="39">
        <v>0.47273828907068405</v>
      </c>
      <c r="AD3441" s="39">
        <v>0.46795054364883093</v>
      </c>
      <c r="AE3441" s="39">
        <v>0.47772512401055134</v>
      </c>
      <c r="AF3441" s="40">
        <v>0.4905874809443227</v>
      </c>
    </row>
    <row r="3442" spans="1:32">
      <c r="A3442" s="15">
        <v>3440</v>
      </c>
      <c r="B3442" s="16">
        <v>1</v>
      </c>
      <c r="C3442" s="20">
        <v>0.94</v>
      </c>
      <c r="D3442" s="20">
        <v>0.17188516685452584</v>
      </c>
      <c r="E3442" s="20">
        <v>0.06</v>
      </c>
      <c r="F3442" s="8" t="s">
        <v>434</v>
      </c>
      <c r="G3442" s="24">
        <v>1.3745696765470949</v>
      </c>
      <c r="H3442" s="24">
        <v>1.3825280841056369</v>
      </c>
      <c r="I3442" s="25">
        <v>1.4067066133682871</v>
      </c>
      <c r="X3442" s="15">
        <v>3441</v>
      </c>
      <c r="Y3442" s="39">
        <v>0.48164389865942608</v>
      </c>
      <c r="Z3442" s="39">
        <v>0.49668367658447643</v>
      </c>
      <c r="AA3442" s="39">
        <v>0.50657924355894934</v>
      </c>
      <c r="AB3442" s="39">
        <v>0.49530535009756738</v>
      </c>
      <c r="AC3442" s="39">
        <v>0.4741958527828613</v>
      </c>
      <c r="AD3442" s="39">
        <v>0.48997850008515631</v>
      </c>
      <c r="AE3442" s="39">
        <v>0.49872891987057721</v>
      </c>
      <c r="AF3442" s="40">
        <v>0.49077808630248526</v>
      </c>
    </row>
    <row r="3443" spans="1:32">
      <c r="A3443" s="15">
        <v>3441</v>
      </c>
      <c r="B3443" s="16">
        <v>0</v>
      </c>
      <c r="C3443" s="20">
        <v>0.9</v>
      </c>
      <c r="D3443" s="20">
        <v>0.231595386583653</v>
      </c>
      <c r="E3443" s="20">
        <v>0.1</v>
      </c>
      <c r="F3443" s="8" t="s">
        <v>434</v>
      </c>
      <c r="G3443" s="24">
        <v>0.8937162733884465</v>
      </c>
      <c r="H3443" s="24">
        <v>0.89889066248394389</v>
      </c>
      <c r="I3443" s="25">
        <v>0.91461103332968374</v>
      </c>
      <c r="X3443" s="15">
        <v>3442</v>
      </c>
      <c r="Y3443" s="39">
        <v>0.4686406255393068</v>
      </c>
      <c r="Z3443" s="39">
        <v>0.4941961657955703</v>
      </c>
      <c r="AA3443" s="39">
        <v>0.47106939593516101</v>
      </c>
      <c r="AB3443" s="39">
        <v>0.4886179059983734</v>
      </c>
      <c r="AC3443" s="39">
        <v>0.46194512860046766</v>
      </c>
      <c r="AD3443" s="39">
        <v>0.4885771896239538</v>
      </c>
      <c r="AE3443" s="39">
        <v>0.46646479247170819</v>
      </c>
      <c r="AF3443" s="40">
        <v>0.48266531877367236</v>
      </c>
    </row>
    <row r="3444" spans="1:32">
      <c r="A3444" s="15">
        <v>3442</v>
      </c>
      <c r="B3444" s="16">
        <v>1</v>
      </c>
      <c r="C3444" s="20">
        <v>0.52</v>
      </c>
      <c r="D3444" s="20">
        <v>0.48114246465629007</v>
      </c>
      <c r="E3444" s="20">
        <v>0.09</v>
      </c>
      <c r="F3444" s="8" t="s">
        <v>438</v>
      </c>
      <c r="G3444" s="24">
        <v>0.46275996978659567</v>
      </c>
      <c r="H3444" s="24">
        <v>0.46543923188889341</v>
      </c>
      <c r="I3444" s="25">
        <v>0.47357912880497738</v>
      </c>
      <c r="X3444" s="15">
        <v>3443</v>
      </c>
      <c r="Y3444" s="39">
        <v>0.48118709743686178</v>
      </c>
      <c r="Z3444" s="39">
        <v>0.48357060109197125</v>
      </c>
      <c r="AA3444" s="39">
        <v>0.46809426486681288</v>
      </c>
      <c r="AB3444" s="39">
        <v>0.49651066735184896</v>
      </c>
      <c r="AC3444" s="39">
        <v>0.4734481980750776</v>
      </c>
      <c r="AD3444" s="39">
        <v>0.4745204887685</v>
      </c>
      <c r="AE3444" s="39">
        <v>0.46171189131316343</v>
      </c>
      <c r="AF3444" s="40">
        <v>0.49051702145382015</v>
      </c>
    </row>
    <row r="3445" spans="1:32">
      <c r="A3445" s="15">
        <v>3443</v>
      </c>
      <c r="B3445" s="16">
        <v>0</v>
      </c>
      <c r="C3445" s="20">
        <v>0.43</v>
      </c>
      <c r="D3445" s="20">
        <v>0.64974890407966079</v>
      </c>
      <c r="E3445" s="20">
        <v>0.09</v>
      </c>
      <c r="F3445" s="8" t="s">
        <v>436</v>
      </c>
      <c r="G3445" s="24">
        <v>0.84770008764150351</v>
      </c>
      <c r="H3445" s="24">
        <v>0.85260805476748414</v>
      </c>
      <c r="I3445" s="25">
        <v>0.86751900597257481</v>
      </c>
      <c r="X3445" s="15">
        <v>3444</v>
      </c>
      <c r="Y3445" s="39">
        <v>0.48162368479561746</v>
      </c>
      <c r="Z3445" s="39">
        <v>0.49347155461621456</v>
      </c>
      <c r="AA3445" s="39">
        <v>0.48896982371347864</v>
      </c>
      <c r="AB3445" s="39">
        <v>0.48241507811656636</v>
      </c>
      <c r="AC3445" s="39">
        <v>0.47352146151093749</v>
      </c>
      <c r="AD3445" s="39">
        <v>0.48446352304572304</v>
      </c>
      <c r="AE3445" s="39">
        <v>0.48265952964857539</v>
      </c>
      <c r="AF3445" s="40">
        <v>0.47690299218657312</v>
      </c>
    </row>
    <row r="3446" spans="1:32">
      <c r="A3446" s="15">
        <v>3444</v>
      </c>
      <c r="B3446" s="16">
        <v>1</v>
      </c>
      <c r="C3446" s="20">
        <v>0.96</v>
      </c>
      <c r="D3446" s="20">
        <v>0.13880369068795359</v>
      </c>
      <c r="E3446" s="20">
        <v>0.04</v>
      </c>
      <c r="F3446" s="8" t="s">
        <v>434</v>
      </c>
      <c r="G3446" s="24">
        <v>0.53206830063411692</v>
      </c>
      <c r="H3446" s="24">
        <v>0.53514884028057852</v>
      </c>
      <c r="I3446" s="25">
        <v>0.54450786310503529</v>
      </c>
      <c r="X3446" s="15">
        <v>3445</v>
      </c>
      <c r="Y3446" s="39">
        <v>0.49597033623033682</v>
      </c>
      <c r="Z3446" s="39">
        <v>0.48334045809957787</v>
      </c>
      <c r="AA3446" s="39">
        <v>0.48032431440255502</v>
      </c>
      <c r="AB3446" s="39">
        <v>0.48888578785698433</v>
      </c>
      <c r="AC3446" s="39">
        <v>0.48948904508575747</v>
      </c>
      <c r="AD3446" s="39">
        <v>0.4802942370292092</v>
      </c>
      <c r="AE3446" s="39">
        <v>0.47340818855771638</v>
      </c>
      <c r="AF3446" s="40">
        <v>0.48650898335642856</v>
      </c>
    </row>
    <row r="3447" spans="1:32">
      <c r="A3447" s="15">
        <v>3445</v>
      </c>
      <c r="B3447" s="16">
        <v>1</v>
      </c>
      <c r="C3447" s="20">
        <v>0.02</v>
      </c>
      <c r="D3447" s="20">
        <v>0.99835916395484214</v>
      </c>
      <c r="E3447" s="20">
        <v>1</v>
      </c>
      <c r="F3447" s="8" t="s">
        <v>436</v>
      </c>
      <c r="G3447" s="24">
        <v>1.0636854775652729</v>
      </c>
      <c r="H3447" s="24">
        <v>1.0698439449671084</v>
      </c>
      <c r="I3447" s="25">
        <v>1.0885540553997581</v>
      </c>
      <c r="X3447" s="15">
        <v>3446</v>
      </c>
      <c r="Y3447" s="39">
        <v>0.47585531828177763</v>
      </c>
      <c r="Z3447" s="39">
        <v>0.48598366509523477</v>
      </c>
      <c r="AA3447" s="39">
        <v>0.49659647941743745</v>
      </c>
      <c r="AB3447" s="39">
        <v>0.47722786645611287</v>
      </c>
      <c r="AC3447" s="39">
        <v>0.4682281434615273</v>
      </c>
      <c r="AD3447" s="39">
        <v>0.47800395172997123</v>
      </c>
      <c r="AE3447" s="39">
        <v>0.48994707078636895</v>
      </c>
      <c r="AF3447" s="40">
        <v>0.47318131923247764</v>
      </c>
    </row>
    <row r="3448" spans="1:32">
      <c r="A3448" s="15">
        <v>3446</v>
      </c>
      <c r="B3448" s="16">
        <v>0</v>
      </c>
      <c r="C3448" s="20">
        <v>0.02</v>
      </c>
      <c r="D3448" s="20">
        <v>0.99756714174924133</v>
      </c>
      <c r="E3448" s="20">
        <v>1</v>
      </c>
      <c r="F3448" s="8" t="s">
        <v>436</v>
      </c>
      <c r="G3448" s="24">
        <v>0.99639932580172819</v>
      </c>
      <c r="H3448" s="24">
        <v>1.0021682235601206</v>
      </c>
      <c r="I3448" s="25">
        <v>1.0196947779918315</v>
      </c>
      <c r="X3448" s="15">
        <v>3447</v>
      </c>
      <c r="Y3448" s="39">
        <v>0.49431168229207917</v>
      </c>
      <c r="Z3448" s="39">
        <v>0.49739760742321998</v>
      </c>
      <c r="AA3448" s="39">
        <v>0.48389198383602239</v>
      </c>
      <c r="AB3448" s="39">
        <v>0.47507714631956649</v>
      </c>
      <c r="AC3448" s="39">
        <v>0.48667507275370009</v>
      </c>
      <c r="AD3448" s="39">
        <v>0.48945571686510858</v>
      </c>
      <c r="AE3448" s="39">
        <v>0.47987922655525556</v>
      </c>
      <c r="AF3448" s="40">
        <v>0.47261236489696784</v>
      </c>
    </row>
    <row r="3449" spans="1:32">
      <c r="A3449" s="15">
        <v>3447</v>
      </c>
      <c r="B3449" s="16">
        <v>0</v>
      </c>
      <c r="C3449" s="20">
        <v>0.93</v>
      </c>
      <c r="D3449" s="20">
        <v>0.18747949848141848</v>
      </c>
      <c r="E3449" s="20">
        <v>7.0000000000000007E-2</v>
      </c>
      <c r="F3449" s="8" t="s">
        <v>434</v>
      </c>
      <c r="G3449" s="24">
        <v>0.66685232472593559</v>
      </c>
      <c r="H3449" s="24">
        <v>0.67071322946731005</v>
      </c>
      <c r="I3449" s="25">
        <v>0.68244308843506662</v>
      </c>
      <c r="X3449" s="15">
        <v>3448</v>
      </c>
      <c r="Y3449" s="39">
        <v>0.48837628568997793</v>
      </c>
      <c r="Z3449" s="39">
        <v>0.49172676449972264</v>
      </c>
      <c r="AA3449" s="39">
        <v>0.49225633799802965</v>
      </c>
      <c r="AB3449" s="39">
        <v>0.48557312822914278</v>
      </c>
      <c r="AC3449" s="39">
        <v>0.48142896654232042</v>
      </c>
      <c r="AD3449" s="39">
        <v>0.48566049343496553</v>
      </c>
      <c r="AE3449" s="39">
        <v>0.48289896269153948</v>
      </c>
      <c r="AF3449" s="40">
        <v>0.47932719729561746</v>
      </c>
    </row>
    <row r="3450" spans="1:32">
      <c r="A3450" s="15">
        <v>3448</v>
      </c>
      <c r="B3450" s="16">
        <v>0</v>
      </c>
      <c r="C3450" s="20">
        <v>0.02</v>
      </c>
      <c r="D3450" s="20">
        <v>0.99835916395484214</v>
      </c>
      <c r="E3450" s="20">
        <v>1</v>
      </c>
      <c r="F3450" s="8" t="s">
        <v>436</v>
      </c>
      <c r="G3450" s="24">
        <v>1.2595688372178215</v>
      </c>
      <c r="H3450" s="24">
        <v>1.2668614192714276</v>
      </c>
      <c r="I3450" s="25">
        <v>1.2890170964325116</v>
      </c>
      <c r="X3450" s="15">
        <v>3449</v>
      </c>
      <c r="Y3450" s="39">
        <v>0.48312962603177168</v>
      </c>
      <c r="Z3450" s="39">
        <v>0.48794838158700832</v>
      </c>
      <c r="AA3450" s="39">
        <v>0.49023647932937858</v>
      </c>
      <c r="AB3450" s="39">
        <v>0.49237084868596476</v>
      </c>
      <c r="AC3450" s="39">
        <v>0.47607683112503885</v>
      </c>
      <c r="AD3450" s="39">
        <v>0.47886557234516508</v>
      </c>
      <c r="AE3450" s="39">
        <v>0.4820928061307817</v>
      </c>
      <c r="AF3450" s="40">
        <v>0.48976170324867446</v>
      </c>
    </row>
    <row r="3451" spans="1:32">
      <c r="A3451" s="15">
        <v>3449</v>
      </c>
      <c r="B3451" s="16">
        <v>0</v>
      </c>
      <c r="C3451" s="20">
        <v>0.91</v>
      </c>
      <c r="D3451" s="20">
        <v>0.21727233298780477</v>
      </c>
      <c r="E3451" s="20">
        <v>0.09</v>
      </c>
      <c r="F3451" s="8" t="s">
        <v>434</v>
      </c>
      <c r="G3451" s="24">
        <v>1.476994321575346</v>
      </c>
      <c r="H3451" s="24">
        <v>1.4855457416839841</v>
      </c>
      <c r="I3451" s="25">
        <v>1.5115259091751545</v>
      </c>
      <c r="X3451" s="15">
        <v>3450</v>
      </c>
      <c r="Y3451" s="39">
        <v>0.48448236440580816</v>
      </c>
      <c r="Z3451" s="39">
        <v>0.48396037215836679</v>
      </c>
      <c r="AA3451" s="39">
        <v>0.50082340385469881</v>
      </c>
      <c r="AB3451" s="39">
        <v>0.48273339468597043</v>
      </c>
      <c r="AC3451" s="39">
        <v>0.4760486308348828</v>
      </c>
      <c r="AD3451" s="39">
        <v>0.48024460648751965</v>
      </c>
      <c r="AE3451" s="39">
        <v>0.49635692223509975</v>
      </c>
      <c r="AF3451" s="40">
        <v>0.48141975330112324</v>
      </c>
    </row>
    <row r="3452" spans="1:32">
      <c r="A3452" s="15">
        <v>3450</v>
      </c>
      <c r="B3452" s="16">
        <v>0</v>
      </c>
      <c r="C3452" s="20">
        <v>0.02</v>
      </c>
      <c r="D3452" s="20">
        <v>0.99835916395484214</v>
      </c>
      <c r="E3452" s="20">
        <v>1</v>
      </c>
      <c r="F3452" s="8" t="s">
        <v>436</v>
      </c>
      <c r="G3452" s="24">
        <v>1.0601256586533099</v>
      </c>
      <c r="H3452" s="24">
        <v>1.0662635156123141</v>
      </c>
      <c r="I3452" s="25">
        <v>1.0849110092222585</v>
      </c>
      <c r="X3452" s="15">
        <v>3451</v>
      </c>
      <c r="Y3452" s="39">
        <v>0.49665911410405494</v>
      </c>
      <c r="Z3452" s="39">
        <v>0.48922168845428021</v>
      </c>
      <c r="AA3452" s="39">
        <v>0.48609766501310309</v>
      </c>
      <c r="AB3452" s="39">
        <v>0.48892636212699653</v>
      </c>
      <c r="AC3452" s="39">
        <v>0.48955173111943667</v>
      </c>
      <c r="AD3452" s="39">
        <v>0.48270809140888321</v>
      </c>
      <c r="AE3452" s="39">
        <v>0.4781677312635052</v>
      </c>
      <c r="AF3452" s="40">
        <v>0.48664910317577337</v>
      </c>
    </row>
    <row r="3453" spans="1:32">
      <c r="A3453" s="15">
        <v>3451</v>
      </c>
      <c r="B3453" s="16">
        <v>0</v>
      </c>
      <c r="C3453" s="20">
        <v>0.94</v>
      </c>
      <c r="D3453" s="20">
        <v>0.17188516685452584</v>
      </c>
      <c r="E3453" s="20">
        <v>0.06</v>
      </c>
      <c r="F3453" s="8" t="s">
        <v>434</v>
      </c>
      <c r="G3453" s="24">
        <v>0.5236047881728445</v>
      </c>
      <c r="H3453" s="24">
        <v>0.52663632624252688</v>
      </c>
      <c r="I3453" s="25">
        <v>0.53584647681467001</v>
      </c>
      <c r="X3453" s="15">
        <v>3452</v>
      </c>
      <c r="Y3453" s="39">
        <v>0.49501483201087937</v>
      </c>
      <c r="Z3453" s="39">
        <v>0.4923842767172239</v>
      </c>
      <c r="AA3453" s="39">
        <v>0.48941143435787454</v>
      </c>
      <c r="AB3453" s="39">
        <v>0.49419625073355355</v>
      </c>
      <c r="AC3453" s="39">
        <v>0.48434330450737001</v>
      </c>
      <c r="AD3453" s="39">
        <v>0.48822083983439279</v>
      </c>
      <c r="AE3453" s="39">
        <v>0.48196248155778998</v>
      </c>
      <c r="AF3453" s="40">
        <v>0.48793883243126318</v>
      </c>
    </row>
    <row r="3454" spans="1:32">
      <c r="A3454" s="15">
        <v>3452</v>
      </c>
      <c r="B3454" s="16">
        <v>1</v>
      </c>
      <c r="C3454" s="20">
        <v>0.02</v>
      </c>
      <c r="D3454" s="20">
        <v>0.99756714174924133</v>
      </c>
      <c r="E3454" s="20">
        <v>1</v>
      </c>
      <c r="F3454" s="8" t="s">
        <v>436</v>
      </c>
      <c r="G3454" s="24">
        <v>1.0472033905027245</v>
      </c>
      <c r="H3454" s="24">
        <v>1.0532664308276376</v>
      </c>
      <c r="I3454" s="25">
        <v>1.0716866231636271</v>
      </c>
      <c r="X3454" s="15">
        <v>3453</v>
      </c>
      <c r="Y3454" s="39">
        <v>0.47048909636061792</v>
      </c>
      <c r="Z3454" s="39">
        <v>0.47959197843996404</v>
      </c>
      <c r="AA3454" s="39">
        <v>0.47700118081038989</v>
      </c>
      <c r="AB3454" s="39">
        <v>0.46985858841768108</v>
      </c>
      <c r="AC3454" s="39">
        <v>0.46296240475286771</v>
      </c>
      <c r="AD3454" s="39">
        <v>0.47297322277038367</v>
      </c>
      <c r="AE3454" s="39">
        <v>0.46853583558656886</v>
      </c>
      <c r="AF3454" s="40">
        <v>0.46419499326965952</v>
      </c>
    </row>
    <row r="3455" spans="1:32">
      <c r="A3455" s="15">
        <v>3453</v>
      </c>
      <c r="B3455" s="16">
        <v>1</v>
      </c>
      <c r="C3455" s="20">
        <v>0.02</v>
      </c>
      <c r="D3455" s="20">
        <v>0.99917029198757767</v>
      </c>
      <c r="E3455" s="20">
        <v>1</v>
      </c>
      <c r="F3455" s="8" t="s">
        <v>436</v>
      </c>
      <c r="G3455" s="24">
        <v>1.0609217235721735</v>
      </c>
      <c r="H3455" s="24">
        <v>1.0670641895438568</v>
      </c>
      <c r="I3455" s="25">
        <v>1.0857256858480726</v>
      </c>
      <c r="X3455" s="15">
        <v>3454</v>
      </c>
      <c r="Y3455" s="39">
        <v>0.49231238871798944</v>
      </c>
      <c r="Z3455" s="39">
        <v>0.49146600073380542</v>
      </c>
      <c r="AA3455" s="39">
        <v>0.47249300638984587</v>
      </c>
      <c r="AB3455" s="39">
        <v>0.48177074857415964</v>
      </c>
      <c r="AC3455" s="39">
        <v>0.48639398786329485</v>
      </c>
      <c r="AD3455" s="39">
        <v>0.48377208471372402</v>
      </c>
      <c r="AE3455" s="39">
        <v>0.46603460709094197</v>
      </c>
      <c r="AF3455" s="40">
        <v>0.47820617855690295</v>
      </c>
    </row>
    <row r="3456" spans="1:32">
      <c r="A3456" s="15">
        <v>3454</v>
      </c>
      <c r="B3456" s="16">
        <v>0</v>
      </c>
      <c r="C3456" s="20">
        <v>0.95</v>
      </c>
      <c r="D3456" s="20">
        <v>0.15570568692893463</v>
      </c>
      <c r="E3456" s="20">
        <v>0.05</v>
      </c>
      <c r="F3456" s="8" t="s">
        <v>434</v>
      </c>
      <c r="G3456" s="24">
        <v>0.59533755276162803</v>
      </c>
      <c r="H3456" s="24">
        <v>0.59878440522798226</v>
      </c>
      <c r="I3456" s="25">
        <v>0.60925632723106327</v>
      </c>
      <c r="X3456" s="15">
        <v>3455</v>
      </c>
      <c r="Y3456" s="39">
        <v>0.4903964966137519</v>
      </c>
      <c r="Z3456" s="39">
        <v>0.5007982364114919</v>
      </c>
      <c r="AA3456" s="39">
        <v>0.47074962939551351</v>
      </c>
      <c r="AB3456" s="39">
        <v>0.48462775023779264</v>
      </c>
      <c r="AC3456" s="39">
        <v>0.4848525005655055</v>
      </c>
      <c r="AD3456" s="39">
        <v>0.49170231998136082</v>
      </c>
      <c r="AE3456" s="39">
        <v>0.46213443845741775</v>
      </c>
      <c r="AF3456" s="40">
        <v>0.47674440219377584</v>
      </c>
    </row>
    <row r="3457" spans="1:32">
      <c r="A3457" s="15">
        <v>3455</v>
      </c>
      <c r="B3457" s="16">
        <v>1</v>
      </c>
      <c r="C3457" s="20">
        <v>0.28000000000000003</v>
      </c>
      <c r="D3457" s="20">
        <v>0.80623315838422338</v>
      </c>
      <c r="E3457" s="20">
        <v>0.03</v>
      </c>
      <c r="F3457" s="8" t="s">
        <v>436</v>
      </c>
      <c r="G3457" s="24">
        <v>0.94348997209549967</v>
      </c>
      <c r="H3457" s="24">
        <v>0.948952538201421</v>
      </c>
      <c r="I3457" s="25">
        <v>0.96554842292705523</v>
      </c>
      <c r="X3457" s="15">
        <v>3456</v>
      </c>
      <c r="Y3457" s="39">
        <v>0.47784634808494131</v>
      </c>
      <c r="Z3457" s="39">
        <v>0.4880694370518206</v>
      </c>
      <c r="AA3457" s="39">
        <v>0.4838035047658234</v>
      </c>
      <c r="AB3457" s="39">
        <v>0.49956773917164943</v>
      </c>
      <c r="AC3457" s="39">
        <v>0.46918756794391164</v>
      </c>
      <c r="AD3457" s="39">
        <v>0.48294965913912941</v>
      </c>
      <c r="AE3457" s="39">
        <v>0.47797554639057294</v>
      </c>
      <c r="AF3457" s="40">
        <v>0.49505936590693717</v>
      </c>
    </row>
    <row r="3458" spans="1:32">
      <c r="A3458" s="15">
        <v>3456</v>
      </c>
      <c r="B3458" s="16">
        <v>0</v>
      </c>
      <c r="C3458" s="20">
        <v>0.25</v>
      </c>
      <c r="D3458" s="20">
        <v>0.67938726304928032</v>
      </c>
      <c r="E3458" s="20">
        <v>0.11</v>
      </c>
      <c r="F3458" s="8" t="s">
        <v>436</v>
      </c>
      <c r="G3458" s="24">
        <v>1.1817114303360718</v>
      </c>
      <c r="H3458" s="24">
        <v>1.1885532378774881</v>
      </c>
      <c r="I3458" s="25">
        <v>1.2093394118240584</v>
      </c>
      <c r="X3458" s="15">
        <v>3457</v>
      </c>
      <c r="Y3458" s="39">
        <v>0.49025716850030876</v>
      </c>
      <c r="Z3458" s="39">
        <v>0.46631561568317831</v>
      </c>
      <c r="AA3458" s="39">
        <v>0.48284846870677317</v>
      </c>
      <c r="AB3458" s="39">
        <v>0.48650884319021709</v>
      </c>
      <c r="AC3458" s="39">
        <v>0.48387040651621249</v>
      </c>
      <c r="AD3458" s="39">
        <v>0.45789038174237384</v>
      </c>
      <c r="AE3458" s="39">
        <v>0.47640291274332497</v>
      </c>
      <c r="AF3458" s="40">
        <v>0.48128135655320969</v>
      </c>
    </row>
    <row r="3459" spans="1:32">
      <c r="A3459" s="15">
        <v>3457</v>
      </c>
      <c r="B3459" s="16">
        <v>0</v>
      </c>
      <c r="C3459" s="20">
        <v>0.09</v>
      </c>
      <c r="D3459" s="20">
        <v>0.89969788149631957</v>
      </c>
      <c r="E3459" s="20">
        <v>0.2</v>
      </c>
      <c r="F3459" s="8" t="s">
        <v>436</v>
      </c>
      <c r="G3459" s="24">
        <v>1.1244002330860954</v>
      </c>
      <c r="H3459" s="24">
        <v>1.1309102234245243</v>
      </c>
      <c r="I3459" s="25">
        <v>1.1506882997217509</v>
      </c>
      <c r="X3459" s="15">
        <v>3458</v>
      </c>
      <c r="Y3459" s="39">
        <v>0.49123295018680729</v>
      </c>
      <c r="Z3459" s="39">
        <v>0.4832798830362377</v>
      </c>
      <c r="AA3459" s="39">
        <v>0.47643980441413875</v>
      </c>
      <c r="AB3459" s="39">
        <v>0.49452479746354816</v>
      </c>
      <c r="AC3459" s="39">
        <v>0.48569140233785929</v>
      </c>
      <c r="AD3459" s="39">
        <v>0.47602916260901468</v>
      </c>
      <c r="AE3459" s="39">
        <v>0.47094173883700163</v>
      </c>
      <c r="AF3459" s="40">
        <v>0.49126971682149589</v>
      </c>
    </row>
    <row r="3460" spans="1:32">
      <c r="A3460" s="15">
        <v>3458</v>
      </c>
      <c r="B3460" s="16">
        <v>1</v>
      </c>
      <c r="C3460" s="20">
        <v>7.0000000000000007E-2</v>
      </c>
      <c r="D3460" s="20">
        <v>0.96227196339603105</v>
      </c>
      <c r="E3460" s="20">
        <v>0.52</v>
      </c>
      <c r="F3460" s="8" t="s">
        <v>436</v>
      </c>
      <c r="G3460" s="24">
        <v>1.3044087510781475</v>
      </c>
      <c r="H3460" s="24">
        <v>1.3119609447872984</v>
      </c>
      <c r="I3460" s="25">
        <v>1.3349053510960602</v>
      </c>
      <c r="X3460" s="15">
        <v>3459</v>
      </c>
      <c r="Y3460" s="39">
        <v>0.48944435158520438</v>
      </c>
      <c r="Z3460" s="39">
        <v>0.4987775594591643</v>
      </c>
      <c r="AA3460" s="39">
        <v>0.49343641528013144</v>
      </c>
      <c r="AB3460" s="39">
        <v>0.48587607668323485</v>
      </c>
      <c r="AC3460" s="39">
        <v>0.48234540688299082</v>
      </c>
      <c r="AD3460" s="39">
        <v>0.49215999118902037</v>
      </c>
      <c r="AE3460" s="39">
        <v>0.48390314648073046</v>
      </c>
      <c r="AF3460" s="40">
        <v>0.48172360284250909</v>
      </c>
    </row>
    <row r="3461" spans="1:32">
      <c r="A3461" s="15">
        <v>3459</v>
      </c>
      <c r="B3461" s="16">
        <v>0</v>
      </c>
      <c r="C3461" s="20">
        <v>0.02</v>
      </c>
      <c r="D3461" s="20">
        <v>0.99679477127711513</v>
      </c>
      <c r="E3461" s="20">
        <v>1</v>
      </c>
      <c r="F3461" s="8" t="s">
        <v>436</v>
      </c>
      <c r="G3461" s="24">
        <v>1.059798458617023</v>
      </c>
      <c r="H3461" s="24">
        <v>1.0659344211713373</v>
      </c>
      <c r="I3461" s="25">
        <v>1.08457615936867</v>
      </c>
      <c r="X3461" s="15">
        <v>3460</v>
      </c>
      <c r="Y3461" s="39">
        <v>0.47629145855187749</v>
      </c>
      <c r="Z3461" s="39">
        <v>0.48133972425823013</v>
      </c>
      <c r="AA3461" s="39">
        <v>0.48950470686186676</v>
      </c>
      <c r="AB3461" s="39">
        <v>0.48342812407229852</v>
      </c>
      <c r="AC3461" s="39">
        <v>0.46685442488070023</v>
      </c>
      <c r="AD3461" s="39">
        <v>0.47684792596214082</v>
      </c>
      <c r="AE3461" s="39">
        <v>0.48480633934055739</v>
      </c>
      <c r="AF3461" s="40">
        <v>0.47826588541723414</v>
      </c>
    </row>
    <row r="3462" spans="1:32">
      <c r="A3462" s="15">
        <v>3460</v>
      </c>
      <c r="B3462" s="16">
        <v>0</v>
      </c>
      <c r="C3462" s="20">
        <v>0.89</v>
      </c>
      <c r="D3462" s="20">
        <v>0.24559627500636821</v>
      </c>
      <c r="E3462" s="20">
        <v>0.11</v>
      </c>
      <c r="F3462" s="8" t="s">
        <v>434</v>
      </c>
      <c r="G3462" s="24">
        <v>0.77136209158901314</v>
      </c>
      <c r="H3462" s="24">
        <v>0.77582808120366509</v>
      </c>
      <c r="I3462" s="25">
        <v>0.78939625546343306</v>
      </c>
      <c r="X3462" s="15">
        <v>3461</v>
      </c>
      <c r="Y3462" s="39">
        <v>0.48449396483977469</v>
      </c>
      <c r="Z3462" s="39">
        <v>0.47230716274974099</v>
      </c>
      <c r="AA3462" s="39">
        <v>0.50592840658935445</v>
      </c>
      <c r="AB3462" s="39">
        <v>0.49434635491459206</v>
      </c>
      <c r="AC3462" s="39">
        <v>0.47714276693762347</v>
      </c>
      <c r="AD3462" s="39">
        <v>0.46747386546044889</v>
      </c>
      <c r="AE3462" s="39">
        <v>0.49705379045987558</v>
      </c>
      <c r="AF3462" s="40">
        <v>0.49000844602248839</v>
      </c>
    </row>
    <row r="3463" spans="1:32">
      <c r="A3463" s="15">
        <v>3461</v>
      </c>
      <c r="B3463" s="16">
        <v>1</v>
      </c>
      <c r="C3463" s="20">
        <v>0.16</v>
      </c>
      <c r="D3463" s="20">
        <v>0.88781060022779168</v>
      </c>
      <c r="E3463" s="20">
        <v>0.52</v>
      </c>
      <c r="F3463" s="8" t="s">
        <v>436</v>
      </c>
      <c r="G3463" s="24">
        <v>1.3372881050939123</v>
      </c>
      <c r="H3463" s="24">
        <v>1.345030661870126</v>
      </c>
      <c r="I3463" s="25">
        <v>1.3685534123958243</v>
      </c>
      <c r="X3463" s="15">
        <v>3462</v>
      </c>
      <c r="Y3463" s="39">
        <v>0.47943748092686911</v>
      </c>
      <c r="Z3463" s="39">
        <v>0.48697382181955873</v>
      </c>
      <c r="AA3463" s="39">
        <v>0.48918041203701734</v>
      </c>
      <c r="AB3463" s="39">
        <v>0.47447822742538315</v>
      </c>
      <c r="AC3463" s="39">
        <v>0.47409610249660333</v>
      </c>
      <c r="AD3463" s="39">
        <v>0.48275499266307531</v>
      </c>
      <c r="AE3463" s="39">
        <v>0.48344226525046524</v>
      </c>
      <c r="AF3463" s="40">
        <v>0.46968807016426894</v>
      </c>
    </row>
    <row r="3464" spans="1:32">
      <c r="A3464" s="15">
        <v>3462</v>
      </c>
      <c r="B3464" s="16">
        <v>1</v>
      </c>
      <c r="C3464" s="20">
        <v>0.14000000000000001</v>
      </c>
      <c r="D3464" s="20">
        <v>0.90623099853084155</v>
      </c>
      <c r="E3464" s="20">
        <v>0.1</v>
      </c>
      <c r="F3464" s="8" t="s">
        <v>436</v>
      </c>
      <c r="G3464" s="24">
        <v>1.0300083096417267</v>
      </c>
      <c r="H3464" s="24">
        <v>1.035971794837621</v>
      </c>
      <c r="I3464" s="25">
        <v>1.0540895275945403</v>
      </c>
      <c r="X3464" s="15">
        <v>3463</v>
      </c>
      <c r="Y3464" s="39">
        <v>0.49776628187747413</v>
      </c>
      <c r="Z3464" s="39">
        <v>0.49627898656134706</v>
      </c>
      <c r="AA3464" s="39">
        <v>0.47662219419849017</v>
      </c>
      <c r="AB3464" s="39">
        <v>0.49430435875448397</v>
      </c>
      <c r="AC3464" s="39">
        <v>0.48962709702706247</v>
      </c>
      <c r="AD3464" s="39">
        <v>0.49109194295190811</v>
      </c>
      <c r="AE3464" s="39">
        <v>0.46885305398637722</v>
      </c>
      <c r="AF3464" s="40">
        <v>0.48991228551936306</v>
      </c>
    </row>
    <row r="3465" spans="1:32">
      <c r="A3465" s="15">
        <v>3463</v>
      </c>
      <c r="B3465" s="16">
        <v>0</v>
      </c>
      <c r="C3465" s="20">
        <v>0.03</v>
      </c>
      <c r="D3465" s="20">
        <v>0.99721793853459939</v>
      </c>
      <c r="E3465" s="20">
        <v>1</v>
      </c>
      <c r="F3465" s="8" t="s">
        <v>436</v>
      </c>
      <c r="G3465" s="24">
        <v>1.6201589879844072</v>
      </c>
      <c r="H3465" s="24">
        <v>1.6295392949677565</v>
      </c>
      <c r="I3465" s="25">
        <v>1.6578926537592125</v>
      </c>
      <c r="X3465" s="15">
        <v>3464</v>
      </c>
      <c r="Y3465" s="39">
        <v>0.48138149956626741</v>
      </c>
      <c r="Z3465" s="39">
        <v>0.48425341322074106</v>
      </c>
      <c r="AA3465" s="39">
        <v>0.48005549710721906</v>
      </c>
      <c r="AB3465" s="39">
        <v>0.48608245481135393</v>
      </c>
      <c r="AC3465" s="39">
        <v>0.47361959334066206</v>
      </c>
      <c r="AD3465" s="39">
        <v>0.47567784478924097</v>
      </c>
      <c r="AE3465" s="39">
        <v>0.47509002166133774</v>
      </c>
      <c r="AF3465" s="40">
        <v>0.48343631295707673</v>
      </c>
    </row>
    <row r="3466" spans="1:32">
      <c r="A3466" s="15">
        <v>3464</v>
      </c>
      <c r="B3466" s="16">
        <v>1</v>
      </c>
      <c r="C3466" s="20">
        <v>0.31</v>
      </c>
      <c r="D3466" s="20">
        <v>0.79956304048925331</v>
      </c>
      <c r="E3466" s="20">
        <v>0.11</v>
      </c>
      <c r="F3466" s="8" t="s">
        <v>436</v>
      </c>
      <c r="G3466" s="24">
        <v>1.3741706552415265</v>
      </c>
      <c r="H3466" s="24">
        <v>1.3821267525685623</v>
      </c>
      <c r="I3466" s="25">
        <v>1.4062982630903818</v>
      </c>
      <c r="X3466" s="15">
        <v>3465</v>
      </c>
      <c r="Y3466" s="39">
        <v>0.48090593867924164</v>
      </c>
      <c r="Z3466" s="39">
        <v>0.49937912425868869</v>
      </c>
      <c r="AA3466" s="39">
        <v>0.49235975470486354</v>
      </c>
      <c r="AB3466" s="39">
        <v>0.4969093040613381</v>
      </c>
      <c r="AC3466" s="39">
        <v>0.47500428717755899</v>
      </c>
      <c r="AD3466" s="39">
        <v>0.49201658035865359</v>
      </c>
      <c r="AE3466" s="39">
        <v>0.48503765716723168</v>
      </c>
      <c r="AF3466" s="40">
        <v>0.49274316206104252</v>
      </c>
    </row>
    <row r="3467" spans="1:32">
      <c r="A3467" s="15">
        <v>3465</v>
      </c>
      <c r="B3467" s="16">
        <v>1</v>
      </c>
      <c r="C3467" s="20">
        <v>0.02</v>
      </c>
      <c r="D3467" s="20">
        <v>0.99835916395484214</v>
      </c>
      <c r="E3467" s="20">
        <v>1</v>
      </c>
      <c r="F3467" s="8" t="s">
        <v>436</v>
      </c>
      <c r="G3467" s="24">
        <v>1.0570498572083848</v>
      </c>
      <c r="H3467" s="24">
        <v>1.0631699060621431</v>
      </c>
      <c r="I3467" s="25">
        <v>1.0817632966633342</v>
      </c>
      <c r="X3467" s="15">
        <v>3466</v>
      </c>
      <c r="Y3467" s="39">
        <v>0.46804459206311999</v>
      </c>
      <c r="Z3467" s="39">
        <v>0.46767155862836646</v>
      </c>
      <c r="AA3467" s="39">
        <v>0.48659376434213431</v>
      </c>
      <c r="AB3467" s="39">
        <v>0.48298556820159572</v>
      </c>
      <c r="AC3467" s="39">
        <v>0.45997831187991683</v>
      </c>
      <c r="AD3467" s="39">
        <v>0.46158283403800321</v>
      </c>
      <c r="AE3467" s="39">
        <v>0.478533387403491</v>
      </c>
      <c r="AF3467" s="40">
        <v>0.47959279588356929</v>
      </c>
    </row>
    <row r="3468" spans="1:32">
      <c r="A3468" s="15">
        <v>3466</v>
      </c>
      <c r="B3468" s="16">
        <v>1</v>
      </c>
      <c r="C3468" s="20">
        <v>0.02</v>
      </c>
      <c r="D3468" s="20">
        <v>0.99835916395484214</v>
      </c>
      <c r="E3468" s="20">
        <v>1</v>
      </c>
      <c r="F3468" s="8" t="s">
        <v>436</v>
      </c>
      <c r="G3468" s="24">
        <v>1.0441318392425263</v>
      </c>
      <c r="H3468" s="24">
        <v>1.0501770960696781</v>
      </c>
      <c r="I3468" s="25">
        <v>1.0685432601571956</v>
      </c>
      <c r="X3468" s="15">
        <v>3467</v>
      </c>
      <c r="Y3468" s="39">
        <v>0.49773388661790813</v>
      </c>
      <c r="Z3468" s="39">
        <v>0.47773257984366357</v>
      </c>
      <c r="AA3468" s="39">
        <v>0.48857066820198669</v>
      </c>
      <c r="AB3468" s="39">
        <v>0.49267775316292101</v>
      </c>
      <c r="AC3468" s="39">
        <v>0.49013009967895266</v>
      </c>
      <c r="AD3468" s="39">
        <v>0.4726931991836123</v>
      </c>
      <c r="AE3468" s="39">
        <v>0.48240676986735115</v>
      </c>
      <c r="AF3468" s="40">
        <v>0.49046255760250057</v>
      </c>
    </row>
    <row r="3469" spans="1:32">
      <c r="A3469" s="15">
        <v>3467</v>
      </c>
      <c r="B3469" s="16">
        <v>0</v>
      </c>
      <c r="C3469" s="20">
        <v>0.16</v>
      </c>
      <c r="D3469" s="20">
        <v>0.83248878189586939</v>
      </c>
      <c r="E3469" s="20">
        <v>0.08</v>
      </c>
      <c r="F3469" s="8" t="s">
        <v>436</v>
      </c>
      <c r="G3469" s="24">
        <v>0.86012114217860314</v>
      </c>
      <c r="H3469" s="24">
        <v>0.86510102403979117</v>
      </c>
      <c r="I3469" s="25">
        <v>0.88023046022656193</v>
      </c>
      <c r="X3469" s="15">
        <v>3468</v>
      </c>
      <c r="Y3469" s="39">
        <v>0.49468188961690968</v>
      </c>
      <c r="Z3469" s="39">
        <v>0.4747992753452695</v>
      </c>
      <c r="AA3469" s="39">
        <v>0.50312819676159903</v>
      </c>
      <c r="AB3469" s="39">
        <v>0.48056618437630588</v>
      </c>
      <c r="AC3469" s="39">
        <v>0.48744786149710168</v>
      </c>
      <c r="AD3469" s="39">
        <v>0.46875766626763538</v>
      </c>
      <c r="AE3469" s="39">
        <v>0.49505188950893914</v>
      </c>
      <c r="AF3469" s="40">
        <v>0.4740318554828693</v>
      </c>
    </row>
    <row r="3470" spans="1:32">
      <c r="A3470" s="15">
        <v>3468</v>
      </c>
      <c r="B3470" s="16">
        <v>1</v>
      </c>
      <c r="C3470" s="20">
        <v>0.02</v>
      </c>
      <c r="D3470" s="20">
        <v>0.99917029198757767</v>
      </c>
      <c r="E3470" s="20">
        <v>1</v>
      </c>
      <c r="F3470" s="8" t="s">
        <v>436</v>
      </c>
      <c r="G3470" s="24">
        <v>0.99317657258810355</v>
      </c>
      <c r="H3470" s="24">
        <v>0.99892681142801965</v>
      </c>
      <c r="I3470" s="25">
        <v>1.016396677985546</v>
      </c>
      <c r="X3470" s="15">
        <v>3469</v>
      </c>
      <c r="Y3470" s="39">
        <v>0.49714435420063124</v>
      </c>
      <c r="Z3470" s="39">
        <v>0.4937089987736677</v>
      </c>
      <c r="AA3470" s="39">
        <v>0.47564325796201218</v>
      </c>
      <c r="AB3470" s="39">
        <v>0.49691807780216452</v>
      </c>
      <c r="AC3470" s="39">
        <v>0.48785551669146815</v>
      </c>
      <c r="AD3470" s="39">
        <v>0.48729769023815922</v>
      </c>
      <c r="AE3470" s="39">
        <v>0.46814238020821441</v>
      </c>
      <c r="AF3470" s="40">
        <v>0.49008250560947575</v>
      </c>
    </row>
    <row r="3471" spans="1:32">
      <c r="A3471" s="15">
        <v>3469</v>
      </c>
      <c r="B3471" s="16">
        <v>0</v>
      </c>
      <c r="C3471" s="20">
        <v>0.03</v>
      </c>
      <c r="D3471" s="20">
        <v>0.9956483904099791</v>
      </c>
      <c r="E3471" s="20">
        <v>1</v>
      </c>
      <c r="F3471" s="8" t="s">
        <v>436</v>
      </c>
      <c r="G3471" s="24">
        <v>1.0308319997699855</v>
      </c>
      <c r="H3471" s="24">
        <v>1.0368002539214698</v>
      </c>
      <c r="I3471" s="25">
        <v>1.0549324752970521</v>
      </c>
      <c r="X3471" s="15">
        <v>3470</v>
      </c>
      <c r="Y3471" s="39">
        <v>0.50157743092157625</v>
      </c>
      <c r="Z3471" s="39">
        <v>0.48542438646249109</v>
      </c>
      <c r="AA3471" s="39">
        <v>0.49972120238467627</v>
      </c>
      <c r="AB3471" s="39">
        <v>0.48849530064949537</v>
      </c>
      <c r="AC3471" s="39">
        <v>0.49358692033957957</v>
      </c>
      <c r="AD3471" s="39">
        <v>0.48012678412730164</v>
      </c>
      <c r="AE3471" s="39">
        <v>0.49106870263334707</v>
      </c>
      <c r="AF3471" s="40">
        <v>0.48295243949018851</v>
      </c>
    </row>
    <row r="3472" spans="1:32">
      <c r="A3472" s="15">
        <v>3470</v>
      </c>
      <c r="B3472" s="16">
        <v>0</v>
      </c>
      <c r="C3472" s="20">
        <v>0.1</v>
      </c>
      <c r="D3472" s="20">
        <v>0.91068772644954199</v>
      </c>
      <c r="E3472" s="20">
        <v>0.14000000000000001</v>
      </c>
      <c r="F3472" s="8" t="s">
        <v>436</v>
      </c>
      <c r="G3472" s="24">
        <v>0.76406725288666932</v>
      </c>
      <c r="H3472" s="24">
        <v>0.76849100724729402</v>
      </c>
      <c r="I3472" s="25">
        <v>0.7819308660974903</v>
      </c>
      <c r="X3472" s="15">
        <v>3471</v>
      </c>
      <c r="Y3472" s="39">
        <v>0.49518900011144201</v>
      </c>
      <c r="Z3472" s="39">
        <v>0.47394797149991219</v>
      </c>
      <c r="AA3472" s="39">
        <v>0.501025703525671</v>
      </c>
      <c r="AB3472" s="39">
        <v>0.48766723114972582</v>
      </c>
      <c r="AC3472" s="39">
        <v>0.48983743411264119</v>
      </c>
      <c r="AD3472" s="39">
        <v>0.46795442175227908</v>
      </c>
      <c r="AE3472" s="39">
        <v>0.49221278026312687</v>
      </c>
      <c r="AF3472" s="40">
        <v>0.48328827737106206</v>
      </c>
    </row>
    <row r="3473" spans="1:32">
      <c r="A3473" s="15">
        <v>3471</v>
      </c>
      <c r="B3473" s="16">
        <v>0</v>
      </c>
      <c r="C3473" s="20">
        <v>0.91</v>
      </c>
      <c r="D3473" s="20">
        <v>0.21727233298780477</v>
      </c>
      <c r="E3473" s="20">
        <v>0.09</v>
      </c>
      <c r="F3473" s="8" t="s">
        <v>434</v>
      </c>
      <c r="G3473" s="24">
        <v>1.7432461363926324</v>
      </c>
      <c r="H3473" s="24">
        <v>1.7533390865463971</v>
      </c>
      <c r="I3473" s="25">
        <v>1.6578926537592125</v>
      </c>
      <c r="X3473" s="15">
        <v>3472</v>
      </c>
      <c r="Y3473" s="39">
        <v>0.47897413004271727</v>
      </c>
      <c r="Z3473" s="39">
        <v>0.48931143335435767</v>
      </c>
      <c r="AA3473" s="39">
        <v>0.47442374378863489</v>
      </c>
      <c r="AB3473" s="39">
        <v>0.48201350418168171</v>
      </c>
      <c r="AC3473" s="39">
        <v>0.47170480999811065</v>
      </c>
      <c r="AD3473" s="39">
        <v>0.48261384384941419</v>
      </c>
      <c r="AE3473" s="39">
        <v>0.46749861580572594</v>
      </c>
      <c r="AF3473" s="40">
        <v>0.4754681861380225</v>
      </c>
    </row>
    <row r="3474" spans="1:32">
      <c r="A3474" s="15">
        <v>3472</v>
      </c>
      <c r="B3474" s="16">
        <v>0</v>
      </c>
      <c r="C3474" s="20">
        <v>0.02</v>
      </c>
      <c r="D3474" s="20">
        <v>0.99917029198757767</v>
      </c>
      <c r="E3474" s="20">
        <v>1</v>
      </c>
      <c r="F3474" s="8" t="s">
        <v>436</v>
      </c>
      <c r="G3474" s="24">
        <v>1.133266612972301</v>
      </c>
      <c r="H3474" s="24">
        <v>1.1398279373870646</v>
      </c>
      <c r="I3474" s="25">
        <v>1.1597619723302515</v>
      </c>
      <c r="X3474" s="15">
        <v>3473</v>
      </c>
      <c r="Y3474" s="39">
        <v>0.48110416781696513</v>
      </c>
      <c r="Z3474" s="39">
        <v>0.48619596547936711</v>
      </c>
      <c r="AA3474" s="39">
        <v>0.50034153983448815</v>
      </c>
      <c r="AB3474" s="39">
        <v>0.49631840279736805</v>
      </c>
      <c r="AC3474" s="39">
        <v>0.47365706546439207</v>
      </c>
      <c r="AD3474" s="39">
        <v>0.47780096215472861</v>
      </c>
      <c r="AE3474" s="39">
        <v>0.49406946355974118</v>
      </c>
      <c r="AF3474" s="40">
        <v>0.49206219025088122</v>
      </c>
    </row>
    <row r="3475" spans="1:32">
      <c r="A3475" s="15">
        <v>3473</v>
      </c>
      <c r="B3475" s="16">
        <v>0</v>
      </c>
      <c r="C3475" s="20">
        <v>0.92</v>
      </c>
      <c r="D3475" s="20">
        <v>0.20258497911151899</v>
      </c>
      <c r="E3475" s="20">
        <v>0.08</v>
      </c>
      <c r="F3475" s="8" t="s">
        <v>434</v>
      </c>
      <c r="G3475" s="24">
        <v>1.0087288886207606</v>
      </c>
      <c r="H3475" s="24">
        <v>1.0145691714006668</v>
      </c>
      <c r="I3475" s="25">
        <v>1.0323126014848105</v>
      </c>
      <c r="X3475" s="15">
        <v>3474</v>
      </c>
      <c r="Y3475" s="39">
        <v>0.48501963723900932</v>
      </c>
      <c r="Z3475" s="39">
        <v>0.48485794942415272</v>
      </c>
      <c r="AA3475" s="39">
        <v>0.47361982610882652</v>
      </c>
      <c r="AB3475" s="39">
        <v>0.49276162737359197</v>
      </c>
      <c r="AC3475" s="39">
        <v>0.47650154103097897</v>
      </c>
      <c r="AD3475" s="39">
        <v>0.47610438586913345</v>
      </c>
      <c r="AE3475" s="39">
        <v>0.46688014305112263</v>
      </c>
      <c r="AF3475" s="40">
        <v>0.48892217219838707</v>
      </c>
    </row>
    <row r="3476" spans="1:32">
      <c r="A3476" s="15">
        <v>3474</v>
      </c>
      <c r="B3476" s="16">
        <v>0</v>
      </c>
      <c r="C3476" s="20">
        <v>0.02</v>
      </c>
      <c r="D3476" s="20">
        <v>0.99917029198757767</v>
      </c>
      <c r="E3476" s="20">
        <v>1</v>
      </c>
      <c r="F3476" s="8" t="s">
        <v>436</v>
      </c>
      <c r="G3476" s="24">
        <v>1.1045826307274231</v>
      </c>
      <c r="H3476" s="24">
        <v>1.1109778822067788</v>
      </c>
      <c r="I3476" s="25">
        <v>1.1304073690605454</v>
      </c>
      <c r="X3476" s="15">
        <v>3475</v>
      </c>
      <c r="Y3476" s="39">
        <v>0.49757290319538094</v>
      </c>
      <c r="Z3476" s="39">
        <v>0.49560190155926126</v>
      </c>
      <c r="AA3476" s="39">
        <v>0.50440731728991683</v>
      </c>
      <c r="AB3476" s="39">
        <v>0.49142310464340033</v>
      </c>
      <c r="AC3476" s="39">
        <v>0.48826262455166886</v>
      </c>
      <c r="AD3476" s="39">
        <v>0.48851083820582092</v>
      </c>
      <c r="AE3476" s="39">
        <v>0.49633250014270891</v>
      </c>
      <c r="AF3476" s="40">
        <v>0.4848916551826149</v>
      </c>
    </row>
    <row r="3477" spans="1:32">
      <c r="A3477" s="15">
        <v>3475</v>
      </c>
      <c r="B3477" s="16">
        <v>1</v>
      </c>
      <c r="C3477" s="20">
        <v>0.54</v>
      </c>
      <c r="D3477" s="20">
        <v>0.47718249167126497</v>
      </c>
      <c r="E3477" s="20">
        <v>0.05</v>
      </c>
      <c r="F3477" s="8" t="s">
        <v>438</v>
      </c>
      <c r="G3477" s="24">
        <v>1.1745003282187796</v>
      </c>
      <c r="H3477" s="24">
        <v>1.1813003853196218</v>
      </c>
      <c r="I3477" s="25">
        <v>1.2019597167739315</v>
      </c>
      <c r="X3477" s="15">
        <v>3476</v>
      </c>
      <c r="Y3477" s="39">
        <v>0.47738869516833504</v>
      </c>
      <c r="Z3477" s="39">
        <v>0.49375482947335098</v>
      </c>
      <c r="AA3477" s="39">
        <v>0.48200868899401494</v>
      </c>
      <c r="AB3477" s="39">
        <v>0.4982129406889324</v>
      </c>
      <c r="AC3477" s="39">
        <v>0.47376642682953057</v>
      </c>
      <c r="AD3477" s="39">
        <v>0.48557799639260479</v>
      </c>
      <c r="AE3477" s="39">
        <v>0.47763570089668922</v>
      </c>
      <c r="AF3477" s="40">
        <v>0.49410100921568612</v>
      </c>
    </row>
    <row r="3478" spans="1:32">
      <c r="A3478" s="15">
        <v>3476</v>
      </c>
      <c r="B3478" s="16">
        <v>1</v>
      </c>
      <c r="C3478" s="20">
        <v>0.94</v>
      </c>
      <c r="D3478" s="20">
        <v>0.17188516685452584</v>
      </c>
      <c r="E3478" s="20">
        <v>0.06</v>
      </c>
      <c r="F3478" s="8" t="s">
        <v>434</v>
      </c>
      <c r="G3478" s="24">
        <v>1.2983984996450448</v>
      </c>
      <c r="H3478" s="24">
        <v>1.3059158955325576</v>
      </c>
      <c r="I3478" s="25">
        <v>1.3287545821803732</v>
      </c>
      <c r="X3478" s="15">
        <v>3477</v>
      </c>
      <c r="Y3478" s="39">
        <v>0.48342494901223126</v>
      </c>
      <c r="Z3478" s="39">
        <v>0.48539940332595299</v>
      </c>
      <c r="AA3478" s="39">
        <v>0.49981986563469633</v>
      </c>
      <c r="AB3478" s="39">
        <v>0.4902654575862414</v>
      </c>
      <c r="AC3478" s="39">
        <v>0.47543019994464686</v>
      </c>
      <c r="AD3478" s="39">
        <v>0.4787315608214544</v>
      </c>
      <c r="AE3478" s="39">
        <v>0.49095645221180639</v>
      </c>
      <c r="AF3478" s="40">
        <v>0.48637450593061221</v>
      </c>
    </row>
    <row r="3479" spans="1:32">
      <c r="A3479" s="15">
        <v>3477</v>
      </c>
      <c r="B3479" s="16">
        <v>0</v>
      </c>
      <c r="C3479" s="20">
        <v>0.02</v>
      </c>
      <c r="D3479" s="20">
        <v>0.99756714174924133</v>
      </c>
      <c r="E3479" s="20">
        <v>1</v>
      </c>
      <c r="F3479" s="8" t="s">
        <v>436</v>
      </c>
      <c r="G3479" s="24">
        <v>1.1618985712297427</v>
      </c>
      <c r="H3479" s="24">
        <v>1.1686256673743063</v>
      </c>
      <c r="I3479" s="25">
        <v>1.189063335310703</v>
      </c>
      <c r="X3479" s="15">
        <v>3478</v>
      </c>
      <c r="Y3479" s="39">
        <v>0.50088579922623855</v>
      </c>
      <c r="Z3479" s="39">
        <v>0.47898614201961981</v>
      </c>
      <c r="AA3479" s="39">
        <v>0.47006314413326594</v>
      </c>
      <c r="AB3479" s="39">
        <v>0.49091232447814037</v>
      </c>
      <c r="AC3479" s="39">
        <v>0.49334846426428869</v>
      </c>
      <c r="AD3479" s="39">
        <v>0.47056333676132567</v>
      </c>
      <c r="AE3479" s="39">
        <v>0.46263057158109616</v>
      </c>
      <c r="AF3479" s="40">
        <v>0.48458375024972145</v>
      </c>
    </row>
    <row r="3480" spans="1:32">
      <c r="A3480" s="15">
        <v>3478</v>
      </c>
      <c r="B3480" s="16">
        <v>1</v>
      </c>
      <c r="C3480" s="20">
        <v>0.46</v>
      </c>
      <c r="D3480" s="20">
        <v>0.47166239328149534</v>
      </c>
      <c r="E3480" s="20">
        <v>0.09</v>
      </c>
      <c r="F3480" s="8" t="s">
        <v>436</v>
      </c>
      <c r="G3480" s="24">
        <v>0.67129989756729036</v>
      </c>
      <c r="H3480" s="24">
        <v>0.67518655262014171</v>
      </c>
      <c r="I3480" s="25">
        <v>0.68699464390447507</v>
      </c>
      <c r="X3480" s="15">
        <v>3479</v>
      </c>
      <c r="Y3480" s="39">
        <v>0.48848081235713642</v>
      </c>
      <c r="Z3480" s="39">
        <v>0.50267030133731094</v>
      </c>
      <c r="AA3480" s="39">
        <v>0.49905358489937335</v>
      </c>
      <c r="AB3480" s="39">
        <v>0.50141961980516281</v>
      </c>
      <c r="AC3480" s="39">
        <v>0.48357566207219976</v>
      </c>
      <c r="AD3480" s="39">
        <v>0.49498292103977942</v>
      </c>
      <c r="AE3480" s="39">
        <v>0.49087883852034925</v>
      </c>
      <c r="AF3480" s="40">
        <v>0.49568951064632361</v>
      </c>
    </row>
    <row r="3481" spans="1:32">
      <c r="A3481" s="15">
        <v>3479</v>
      </c>
      <c r="B3481" s="16">
        <v>0</v>
      </c>
      <c r="C3481" s="20">
        <v>0.01</v>
      </c>
      <c r="D3481" s="20">
        <v>0.99999999999999978</v>
      </c>
      <c r="E3481" s="20">
        <v>1</v>
      </c>
      <c r="F3481" s="8" t="s">
        <v>436</v>
      </c>
      <c r="G3481" s="24">
        <v>1.0191452829603695</v>
      </c>
      <c r="H3481" s="24">
        <v>1.0250458740046435</v>
      </c>
      <c r="I3481" s="25">
        <v>1.0429725273183177</v>
      </c>
      <c r="X3481" s="15">
        <v>3480</v>
      </c>
      <c r="Y3481" s="39">
        <v>0.49941306766165033</v>
      </c>
      <c r="Z3481" s="39">
        <v>0.48569894540755065</v>
      </c>
      <c r="AA3481" s="39">
        <v>0.4904463549642642</v>
      </c>
      <c r="AB3481" s="39">
        <v>0.48903092007186794</v>
      </c>
      <c r="AC3481" s="39">
        <v>0.49306011452331727</v>
      </c>
      <c r="AD3481" s="39">
        <v>0.47729455498784684</v>
      </c>
      <c r="AE3481" s="39">
        <v>0.48517948185878229</v>
      </c>
      <c r="AF3481" s="40">
        <v>0.48606949336006539</v>
      </c>
    </row>
    <row r="3482" spans="1:32">
      <c r="A3482" s="15">
        <v>3480</v>
      </c>
      <c r="B3482" s="16">
        <v>0</v>
      </c>
      <c r="C3482" s="20">
        <v>0.9</v>
      </c>
      <c r="D3482" s="20">
        <v>0.23159538658365303</v>
      </c>
      <c r="E3482" s="20">
        <v>0.1</v>
      </c>
      <c r="F3482" s="8" t="s">
        <v>434</v>
      </c>
      <c r="G3482" s="24">
        <v>1.0317154301100508</v>
      </c>
      <c r="H3482" s="24">
        <v>1.0376887990977022</v>
      </c>
      <c r="I3482" s="25">
        <v>1.0558365599156956</v>
      </c>
      <c r="X3482" s="15">
        <v>3481</v>
      </c>
      <c r="Y3482" s="39">
        <v>0.4664985963971589</v>
      </c>
      <c r="Z3482" s="39">
        <v>0.49482092278021261</v>
      </c>
      <c r="AA3482" s="39">
        <v>0.47721683129438075</v>
      </c>
      <c r="AB3482" s="39">
        <v>0.48501101951916037</v>
      </c>
      <c r="AC3482" s="39">
        <v>0.4587925034062092</v>
      </c>
      <c r="AD3482" s="39">
        <v>0.48944297358107991</v>
      </c>
      <c r="AE3482" s="39">
        <v>0.46975322352800258</v>
      </c>
      <c r="AF3482" s="40">
        <v>0.47967235410377201</v>
      </c>
    </row>
    <row r="3483" spans="1:32">
      <c r="A3483" s="15">
        <v>3481</v>
      </c>
      <c r="B3483" s="16">
        <v>0</v>
      </c>
      <c r="C3483" s="20">
        <v>0.62</v>
      </c>
      <c r="D3483" s="20">
        <v>0.55856760849704512</v>
      </c>
      <c r="E3483" s="20">
        <v>0.38</v>
      </c>
      <c r="F3483" s="8" t="s">
        <v>438</v>
      </c>
      <c r="G3483" s="24">
        <v>1.3558839722756957</v>
      </c>
      <c r="H3483" s="24">
        <v>1.3637341943761649</v>
      </c>
      <c r="I3483" s="25">
        <v>1.3875840441580816</v>
      </c>
      <c r="X3483" s="15">
        <v>3482</v>
      </c>
      <c r="Y3483" s="39">
        <v>0.50014149447036171</v>
      </c>
      <c r="Z3483" s="39">
        <v>0.4897971741143568</v>
      </c>
      <c r="AA3483" s="39">
        <v>0.48316792701449385</v>
      </c>
      <c r="AB3483" s="39">
        <v>0.50031572728422458</v>
      </c>
      <c r="AC3483" s="39">
        <v>0.49130752813032535</v>
      </c>
      <c r="AD3483" s="39">
        <v>0.48293655802961349</v>
      </c>
      <c r="AE3483" s="39">
        <v>0.47655151003845053</v>
      </c>
      <c r="AF3483" s="40">
        <v>0.49429744254753599</v>
      </c>
    </row>
    <row r="3484" spans="1:32">
      <c r="A3484" s="15">
        <v>3482</v>
      </c>
      <c r="B3484" s="16">
        <v>0</v>
      </c>
      <c r="C3484" s="20">
        <v>0.93</v>
      </c>
      <c r="D3484" s="20">
        <v>0.18747949848141848</v>
      </c>
      <c r="E3484" s="20">
        <v>0.08</v>
      </c>
      <c r="F3484" s="8" t="s">
        <v>434</v>
      </c>
      <c r="G3484" s="24">
        <v>0.80876106127830172</v>
      </c>
      <c r="H3484" s="24">
        <v>0.81344358138110218</v>
      </c>
      <c r="I3484" s="25">
        <v>0.82766959939986884</v>
      </c>
      <c r="X3484" s="15">
        <v>3483</v>
      </c>
      <c r="Y3484" s="39">
        <v>0.48767330225745686</v>
      </c>
      <c r="Z3484" s="39">
        <v>0.47710481229553209</v>
      </c>
      <c r="AA3484" s="39">
        <v>0.47149236295593683</v>
      </c>
      <c r="AB3484" s="39">
        <v>0.48608626307834779</v>
      </c>
      <c r="AC3484" s="39">
        <v>0.48284563671812475</v>
      </c>
      <c r="AD3484" s="39">
        <v>0.4717739745154324</v>
      </c>
      <c r="AE3484" s="39">
        <v>0.46313010936256627</v>
      </c>
      <c r="AF3484" s="40">
        <v>0.48303377344187554</v>
      </c>
    </row>
    <row r="3485" spans="1:32">
      <c r="A3485" s="15">
        <v>3483</v>
      </c>
      <c r="B3485" s="16">
        <v>1</v>
      </c>
      <c r="C3485" s="20">
        <v>0.02</v>
      </c>
      <c r="D3485" s="20">
        <v>0.99835916395484214</v>
      </c>
      <c r="E3485" s="20">
        <v>1</v>
      </c>
      <c r="F3485" s="8" t="s">
        <v>436</v>
      </c>
      <c r="G3485" s="24">
        <v>0.92251094420625024</v>
      </c>
      <c r="H3485" s="24">
        <v>0.92785204709573865</v>
      </c>
      <c r="I3485" s="25">
        <v>0.94407891303070923</v>
      </c>
      <c r="X3485" s="15">
        <v>3484</v>
      </c>
      <c r="Y3485" s="39">
        <v>0.47883469400452378</v>
      </c>
      <c r="Z3485" s="39">
        <v>0.48671405799017531</v>
      </c>
      <c r="AA3485" s="39">
        <v>0.47643086895623021</v>
      </c>
      <c r="AB3485" s="39">
        <v>0.49018839674094378</v>
      </c>
      <c r="AC3485" s="39">
        <v>0.47077193662687805</v>
      </c>
      <c r="AD3485" s="39">
        <v>0.47877669832783065</v>
      </c>
      <c r="AE3485" s="39">
        <v>0.46587788856487999</v>
      </c>
      <c r="AF3485" s="40">
        <v>0.48609880614293255</v>
      </c>
    </row>
    <row r="3486" spans="1:32">
      <c r="A3486" s="15">
        <v>3484</v>
      </c>
      <c r="B3486" s="16">
        <v>1</v>
      </c>
      <c r="C3486" s="20">
        <v>0.02</v>
      </c>
      <c r="D3486" s="20">
        <v>0.99835916395484214</v>
      </c>
      <c r="E3486" s="20">
        <v>1</v>
      </c>
      <c r="F3486" s="8" t="s">
        <v>436</v>
      </c>
      <c r="G3486" s="24">
        <v>1.0509321083589973</v>
      </c>
      <c r="H3486" s="24">
        <v>1.0570167370085164</v>
      </c>
      <c r="I3486" s="25">
        <v>1.0755025170810453</v>
      </c>
      <c r="X3486" s="15">
        <v>3485</v>
      </c>
      <c r="Y3486" s="39">
        <v>0.48988670873083107</v>
      </c>
      <c r="Z3486" s="39">
        <v>0.48078578044839376</v>
      </c>
      <c r="AA3486" s="39">
        <v>0.47916982274545866</v>
      </c>
      <c r="AB3486" s="39">
        <v>0.49974614578543058</v>
      </c>
      <c r="AC3486" s="39">
        <v>0.48552089270779697</v>
      </c>
      <c r="AD3486" s="39">
        <v>0.47543046710912756</v>
      </c>
      <c r="AE3486" s="39">
        <v>0.46977945628604562</v>
      </c>
      <c r="AF3486" s="40">
        <v>0.49637979848509972</v>
      </c>
    </row>
    <row r="3487" spans="1:32">
      <c r="A3487" s="15">
        <v>3485</v>
      </c>
      <c r="B3487" s="16">
        <v>1</v>
      </c>
      <c r="C3487" s="20">
        <v>0.49</v>
      </c>
      <c r="D3487" s="20">
        <v>0.68736265415256403</v>
      </c>
      <c r="E3487" s="20">
        <v>0.08</v>
      </c>
      <c r="F3487" s="8" t="s">
        <v>436</v>
      </c>
      <c r="G3487" s="24">
        <v>0.89485052799789455</v>
      </c>
      <c r="H3487" s="24">
        <v>0.90003148413805412</v>
      </c>
      <c r="I3487" s="25">
        <v>0.91577180639748634</v>
      </c>
      <c r="X3487" s="15">
        <v>3486</v>
      </c>
      <c r="Y3487" s="39">
        <v>0.49222574695164717</v>
      </c>
      <c r="Z3487" s="39">
        <v>0.47788092924493231</v>
      </c>
      <c r="AA3487" s="39">
        <v>0.50066841054098654</v>
      </c>
      <c r="AB3487" s="39">
        <v>0.47728736374000647</v>
      </c>
      <c r="AC3487" s="39">
        <v>0.487151036194854</v>
      </c>
      <c r="AD3487" s="39">
        <v>0.47342535116740792</v>
      </c>
      <c r="AE3487" s="39">
        <v>0.49262231081952224</v>
      </c>
      <c r="AF3487" s="40">
        <v>0.4736684159179595</v>
      </c>
    </row>
    <row r="3488" spans="1:32">
      <c r="A3488" s="15">
        <v>3486</v>
      </c>
      <c r="B3488" s="16">
        <v>0</v>
      </c>
      <c r="C3488" s="20">
        <v>0.01</v>
      </c>
      <c r="D3488" s="20">
        <v>0.99999999999999978</v>
      </c>
      <c r="E3488" s="20">
        <v>1</v>
      </c>
      <c r="F3488" s="8" t="s">
        <v>436</v>
      </c>
      <c r="G3488" s="24">
        <v>1.0359989268171417</v>
      </c>
      <c r="H3488" s="24">
        <v>1.0419970961573342</v>
      </c>
      <c r="I3488" s="25">
        <v>1.0602202032107684</v>
      </c>
      <c r="X3488" s="15">
        <v>3487</v>
      </c>
      <c r="Y3488" s="39">
        <v>0.49036868533227873</v>
      </c>
      <c r="Z3488" s="39">
        <v>0.49015117163359878</v>
      </c>
      <c r="AA3488" s="39">
        <v>0.47392523178852819</v>
      </c>
      <c r="AB3488" s="39">
        <v>0.49462223108804387</v>
      </c>
      <c r="AC3488" s="39">
        <v>0.48502669157405937</v>
      </c>
      <c r="AD3488" s="39">
        <v>0.48214277537803607</v>
      </c>
      <c r="AE3488" s="39">
        <v>0.46765516120031364</v>
      </c>
      <c r="AF3488" s="40">
        <v>0.49176073779998436</v>
      </c>
    </row>
    <row r="3489" spans="1:32">
      <c r="A3489" s="15">
        <v>3487</v>
      </c>
      <c r="B3489" s="16">
        <v>0</v>
      </c>
      <c r="C3489" s="20">
        <v>0.1</v>
      </c>
      <c r="D3489" s="20">
        <v>0.90606702827589924</v>
      </c>
      <c r="E3489" s="20">
        <v>0.41</v>
      </c>
      <c r="F3489" s="8" t="s">
        <v>436</v>
      </c>
      <c r="G3489" s="24">
        <v>1.2004721795545572</v>
      </c>
      <c r="H3489" s="24">
        <v>1.2074226070451342</v>
      </c>
      <c r="I3489" s="25">
        <v>1.228538780504794</v>
      </c>
      <c r="X3489" s="15">
        <v>3488</v>
      </c>
      <c r="Y3489" s="39">
        <v>0.48170816109341313</v>
      </c>
      <c r="Z3489" s="39">
        <v>0.48384262418348217</v>
      </c>
      <c r="AA3489" s="39">
        <v>0.48371384582140642</v>
      </c>
      <c r="AB3489" s="39">
        <v>0.4821754291841257</v>
      </c>
      <c r="AC3489" s="39">
        <v>0.4758317853509445</v>
      </c>
      <c r="AD3489" s="39">
        <v>0.47610822559646071</v>
      </c>
      <c r="AE3489" s="39">
        <v>0.47459789024784577</v>
      </c>
      <c r="AF3489" s="40">
        <v>0.47745607086851827</v>
      </c>
    </row>
    <row r="3490" spans="1:32">
      <c r="A3490" s="15">
        <v>3488</v>
      </c>
      <c r="B3490" s="16">
        <v>0</v>
      </c>
      <c r="C3490" s="20">
        <v>0.56999999999999995</v>
      </c>
      <c r="D3490" s="20">
        <v>0.58743547957133146</v>
      </c>
      <c r="E3490" s="20">
        <v>0.17</v>
      </c>
      <c r="F3490" s="8" t="s">
        <v>438</v>
      </c>
      <c r="G3490" s="24">
        <v>1.1494944072584137</v>
      </c>
      <c r="H3490" s="24">
        <v>1.1561496864598342</v>
      </c>
      <c r="I3490" s="25">
        <v>1.1763691665177429</v>
      </c>
      <c r="X3490" s="15">
        <v>3489</v>
      </c>
      <c r="Y3490" s="39">
        <v>0.48736414728504951</v>
      </c>
      <c r="Z3490" s="39">
        <v>0.4954903458861763</v>
      </c>
      <c r="AA3490" s="39">
        <v>0.4737454252408077</v>
      </c>
      <c r="AB3490" s="39">
        <v>0.49008690863600463</v>
      </c>
      <c r="AC3490" s="39">
        <v>0.48191464408471724</v>
      </c>
      <c r="AD3490" s="39">
        <v>0.48954125976552665</v>
      </c>
      <c r="AE3490" s="39">
        <v>0.4691833266227074</v>
      </c>
      <c r="AF3490" s="40">
        <v>0.48764784942078271</v>
      </c>
    </row>
    <row r="3491" spans="1:32">
      <c r="A3491" s="15">
        <v>3489</v>
      </c>
      <c r="B3491" s="16">
        <v>0</v>
      </c>
      <c r="C3491" s="20">
        <v>0.02</v>
      </c>
      <c r="D3491" s="20">
        <v>0.99604261948721451</v>
      </c>
      <c r="E3491" s="20">
        <v>1</v>
      </c>
      <c r="F3491" s="8" t="s">
        <v>436</v>
      </c>
      <c r="G3491" s="24">
        <v>1.0629713607096456</v>
      </c>
      <c r="H3491" s="24">
        <v>1.0691256935571705</v>
      </c>
      <c r="I3491" s="25">
        <v>1.0878232427529579</v>
      </c>
      <c r="X3491" s="15">
        <v>3490</v>
      </c>
      <c r="Y3491" s="39">
        <v>0.47895449735346862</v>
      </c>
      <c r="Z3491" s="39">
        <v>0.49656053777643183</v>
      </c>
      <c r="AA3491" s="39">
        <v>0.49141740092028846</v>
      </c>
      <c r="AB3491" s="39">
        <v>0.49652271730949837</v>
      </c>
      <c r="AC3491" s="39">
        <v>0.47259821586190176</v>
      </c>
      <c r="AD3491" s="39">
        <v>0.49155462592040411</v>
      </c>
      <c r="AE3491" s="39">
        <v>0.4816842868653316</v>
      </c>
      <c r="AF3491" s="40">
        <v>0.4920748087400601</v>
      </c>
    </row>
    <row r="3492" spans="1:32">
      <c r="A3492" s="15">
        <v>3490</v>
      </c>
      <c r="B3492" s="16">
        <v>0</v>
      </c>
      <c r="C3492" s="20">
        <v>0.28999999999999998</v>
      </c>
      <c r="D3492" s="20">
        <v>0.71442587812751257</v>
      </c>
      <c r="E3492" s="20">
        <v>0.09</v>
      </c>
      <c r="F3492" s="8" t="s">
        <v>436</v>
      </c>
      <c r="G3492" s="24">
        <v>0.96193162651581166</v>
      </c>
      <c r="H3492" s="24">
        <v>0.96750096509346339</v>
      </c>
      <c r="I3492" s="25">
        <v>0.9844212364898216</v>
      </c>
      <c r="X3492" s="15">
        <v>3491</v>
      </c>
      <c r="Y3492" s="39">
        <v>0.47419486951987799</v>
      </c>
      <c r="Z3492" s="39">
        <v>0.48027167748971905</v>
      </c>
      <c r="AA3492" s="39">
        <v>0.48987232938389291</v>
      </c>
      <c r="AB3492" s="39">
        <v>0.4801147524569836</v>
      </c>
      <c r="AC3492" s="39">
        <v>0.46606692170318459</v>
      </c>
      <c r="AD3492" s="39">
        <v>0.47363131800683217</v>
      </c>
      <c r="AE3492" s="39">
        <v>0.48392920133516892</v>
      </c>
      <c r="AF3492" s="40">
        <v>0.47646849496450888</v>
      </c>
    </row>
    <row r="3493" spans="1:32">
      <c r="A3493" s="15">
        <v>3491</v>
      </c>
      <c r="B3493" s="16">
        <v>0</v>
      </c>
      <c r="C3493" s="20">
        <v>1</v>
      </c>
      <c r="D3493" s="20">
        <v>0</v>
      </c>
      <c r="E3493" s="20">
        <v>0</v>
      </c>
      <c r="F3493" s="8" t="s">
        <v>434</v>
      </c>
      <c r="G3493" s="24">
        <v>0.82889556939866105</v>
      </c>
      <c r="H3493" s="24">
        <v>0.83369466316400231</v>
      </c>
      <c r="I3493" s="25">
        <v>0.8482748449636841</v>
      </c>
      <c r="X3493" s="15">
        <v>3492</v>
      </c>
      <c r="Y3493" s="39">
        <v>0.47775592911772213</v>
      </c>
      <c r="Z3493" s="39">
        <v>0.49694013083288485</v>
      </c>
      <c r="AA3493" s="39">
        <v>0.4900831169017022</v>
      </c>
      <c r="AB3493" s="39">
        <v>0.49938292132650292</v>
      </c>
      <c r="AC3493" s="39">
        <v>0.47292063528111516</v>
      </c>
      <c r="AD3493" s="39">
        <v>0.48674917567833953</v>
      </c>
      <c r="AE3493" s="39">
        <v>0.48288921276450564</v>
      </c>
      <c r="AF3493" s="40">
        <v>0.4969450374377582</v>
      </c>
    </row>
    <row r="3494" spans="1:32">
      <c r="A3494" s="15">
        <v>3492</v>
      </c>
      <c r="B3494" s="16">
        <v>1</v>
      </c>
      <c r="C3494" s="20">
        <v>0.02</v>
      </c>
      <c r="D3494" s="20">
        <v>0.99835916395484214</v>
      </c>
      <c r="E3494" s="20">
        <v>1</v>
      </c>
      <c r="F3494" s="8" t="s">
        <v>436</v>
      </c>
      <c r="G3494" s="24">
        <v>1.096880916269894</v>
      </c>
      <c r="H3494" s="24">
        <v>1.103231576788458</v>
      </c>
      <c r="I3494" s="25">
        <v>1.1225255913329184</v>
      </c>
      <c r="X3494" s="15">
        <v>3493</v>
      </c>
      <c r="Y3494" s="39">
        <v>0.47863828603056402</v>
      </c>
      <c r="Z3494" s="39">
        <v>0.49632568650021547</v>
      </c>
      <c r="AA3494" s="39">
        <v>0.50309481351429108</v>
      </c>
      <c r="AB3494" s="39">
        <v>0.47654152159304686</v>
      </c>
      <c r="AC3494" s="39">
        <v>0.47151688821156046</v>
      </c>
      <c r="AD3494" s="39">
        <v>0.48928954208248815</v>
      </c>
      <c r="AE3494" s="39">
        <v>0.49543500403156521</v>
      </c>
      <c r="AF3494" s="40">
        <v>0.47115198549208492</v>
      </c>
    </row>
    <row r="3495" spans="1:32">
      <c r="A3495" s="15">
        <v>3493</v>
      </c>
      <c r="B3495" s="16">
        <v>1</v>
      </c>
      <c r="C3495" s="20">
        <v>0.09</v>
      </c>
      <c r="D3495" s="20">
        <v>0.92692267485308533</v>
      </c>
      <c r="E3495" s="20">
        <v>0.56999999999999995</v>
      </c>
      <c r="F3495" s="8" t="s">
        <v>436</v>
      </c>
      <c r="G3495" s="24">
        <v>0.91237365535447579</v>
      </c>
      <c r="H3495" s="24">
        <v>0.9176560659291273</v>
      </c>
      <c r="I3495" s="25">
        <v>0.93370461806936744</v>
      </c>
      <c r="X3495" s="15">
        <v>3494</v>
      </c>
      <c r="Y3495" s="39">
        <v>0.4801365507634287</v>
      </c>
      <c r="Z3495" s="39">
        <v>0.51045407556549738</v>
      </c>
      <c r="AA3495" s="39">
        <v>0.48698930353615266</v>
      </c>
      <c r="AB3495" s="39">
        <v>0.48983561374061085</v>
      </c>
      <c r="AC3495" s="39">
        <v>0.47250067233452869</v>
      </c>
      <c r="AD3495" s="39">
        <v>0.50372175011746734</v>
      </c>
      <c r="AE3495" s="39">
        <v>0.47853347871363777</v>
      </c>
      <c r="AF3495" s="40">
        <v>0.48511138967526263</v>
      </c>
    </row>
    <row r="3496" spans="1:32">
      <c r="A3496" s="15">
        <v>3494</v>
      </c>
      <c r="B3496" s="16">
        <v>0</v>
      </c>
      <c r="C3496" s="20">
        <v>0.02</v>
      </c>
      <c r="D3496" s="20">
        <v>0.99917029198757767</v>
      </c>
      <c r="E3496" s="20">
        <v>1</v>
      </c>
      <c r="F3496" s="8" t="s">
        <v>436</v>
      </c>
      <c r="G3496" s="24">
        <v>1.0959169526717392</v>
      </c>
      <c r="H3496" s="24">
        <v>1.1022620320871284</v>
      </c>
      <c r="I3496" s="25">
        <v>1.1215390906180351</v>
      </c>
      <c r="X3496" s="15">
        <v>3495</v>
      </c>
      <c r="Y3496" s="39">
        <v>0.48638345331231142</v>
      </c>
      <c r="Z3496" s="39">
        <v>0.48792904119661656</v>
      </c>
      <c r="AA3496" s="39">
        <v>0.48819047088566453</v>
      </c>
      <c r="AB3496" s="39">
        <v>0.49471940079183579</v>
      </c>
      <c r="AC3496" s="39">
        <v>0.47968319128577108</v>
      </c>
      <c r="AD3496" s="39">
        <v>0.48097969096758991</v>
      </c>
      <c r="AE3496" s="39">
        <v>0.48189610309566755</v>
      </c>
      <c r="AF3496" s="40">
        <v>0.48794262489346008</v>
      </c>
    </row>
    <row r="3497" spans="1:32">
      <c r="A3497" s="15">
        <v>3495</v>
      </c>
      <c r="B3497" s="16">
        <v>0</v>
      </c>
      <c r="C3497" s="20">
        <v>0.57999999999999996</v>
      </c>
      <c r="D3497" s="20">
        <v>0.45920346789389721</v>
      </c>
      <c r="E3497" s="20">
        <v>0.1</v>
      </c>
      <c r="F3497" s="8" t="s">
        <v>438</v>
      </c>
      <c r="G3497" s="24">
        <v>1.0693871010703013</v>
      </c>
      <c r="H3497" s="24">
        <v>1.0755785794168511</v>
      </c>
      <c r="I3497" s="25">
        <v>1.0943889807791736</v>
      </c>
      <c r="X3497" s="15">
        <v>3496</v>
      </c>
      <c r="Y3497" s="39">
        <v>0.48245135155717161</v>
      </c>
      <c r="Z3497" s="39">
        <v>0.4743775550737489</v>
      </c>
      <c r="AA3497" s="39">
        <v>0.48684116213734341</v>
      </c>
      <c r="AB3497" s="39">
        <v>0.48213277658612563</v>
      </c>
      <c r="AC3497" s="39">
        <v>0.47439915717743192</v>
      </c>
      <c r="AD3497" s="39">
        <v>0.46469422759786666</v>
      </c>
      <c r="AE3497" s="39">
        <v>0.47844959918969632</v>
      </c>
      <c r="AF3497" s="40">
        <v>0.47822202774607864</v>
      </c>
    </row>
    <row r="3498" spans="1:32">
      <c r="A3498" s="15">
        <v>3496</v>
      </c>
      <c r="B3498" s="16">
        <v>1</v>
      </c>
      <c r="C3498" s="20">
        <v>0.89</v>
      </c>
      <c r="D3498" s="20">
        <v>0.24559627500636821</v>
      </c>
      <c r="E3498" s="20">
        <v>0.11</v>
      </c>
      <c r="F3498" s="8" t="s">
        <v>434</v>
      </c>
      <c r="G3498" s="24">
        <v>1.2726532200755627</v>
      </c>
      <c r="H3498" s="24">
        <v>1.2800215573660334</v>
      </c>
      <c r="I3498" s="25">
        <v>1.3024073873809214</v>
      </c>
      <c r="X3498" s="15">
        <v>3497</v>
      </c>
      <c r="Y3498" s="39">
        <v>0.48437303386069008</v>
      </c>
      <c r="Z3498" s="39">
        <v>0.48663408632620092</v>
      </c>
      <c r="AA3498" s="39">
        <v>0.48634773558329952</v>
      </c>
      <c r="AB3498" s="39">
        <v>0.48206209331434163</v>
      </c>
      <c r="AC3498" s="39">
        <v>0.47644664347028848</v>
      </c>
      <c r="AD3498" s="39">
        <v>0.4798503064612083</v>
      </c>
      <c r="AE3498" s="39">
        <v>0.47831679568830565</v>
      </c>
      <c r="AF3498" s="40">
        <v>0.47700569725729469</v>
      </c>
    </row>
    <row r="3499" spans="1:32">
      <c r="A3499" s="15">
        <v>3497</v>
      </c>
      <c r="B3499" s="16">
        <v>1</v>
      </c>
      <c r="C3499" s="20">
        <v>0.94</v>
      </c>
      <c r="D3499" s="20">
        <v>0.17188516685452584</v>
      </c>
      <c r="E3499" s="20">
        <v>0.06</v>
      </c>
      <c r="F3499" s="8" t="s">
        <v>434</v>
      </c>
      <c r="G3499" s="24">
        <v>1.0324409767027065</v>
      </c>
      <c r="H3499" s="24">
        <v>1.0384185464199283</v>
      </c>
      <c r="I3499" s="25">
        <v>1.0565790695226001</v>
      </c>
      <c r="X3499" s="15">
        <v>3498</v>
      </c>
      <c r="Y3499" s="39">
        <v>0.48597405477527733</v>
      </c>
      <c r="Z3499" s="39">
        <v>0.47990029629920827</v>
      </c>
      <c r="AA3499" s="39">
        <v>0.47826508004294144</v>
      </c>
      <c r="AB3499" s="39">
        <v>0.49175569475568376</v>
      </c>
      <c r="AC3499" s="39">
        <v>0.47743380326052154</v>
      </c>
      <c r="AD3499" s="39">
        <v>0.47480322946281905</v>
      </c>
      <c r="AE3499" s="39">
        <v>0.47301325661510429</v>
      </c>
      <c r="AF3499" s="40">
        <v>0.48758842352416026</v>
      </c>
    </row>
    <row r="3500" spans="1:32">
      <c r="A3500" s="15">
        <v>3498</v>
      </c>
      <c r="B3500" s="16">
        <v>1</v>
      </c>
      <c r="C3500" s="20">
        <v>0.93</v>
      </c>
      <c r="D3500" s="20">
        <v>0.18747949848141848</v>
      </c>
      <c r="E3500" s="20">
        <v>7.0000000000000007E-2</v>
      </c>
      <c r="F3500" s="8" t="s">
        <v>434</v>
      </c>
      <c r="G3500" s="24">
        <v>2.0168436026214316</v>
      </c>
      <c r="H3500" s="24">
        <v>2.0285206122669659</v>
      </c>
      <c r="I3500" s="25">
        <v>1.6578926537592125</v>
      </c>
      <c r="X3500" s="15">
        <v>3499</v>
      </c>
      <c r="Y3500" s="39">
        <v>0.489305169394189</v>
      </c>
      <c r="Z3500" s="39">
        <v>0.50653646293041699</v>
      </c>
      <c r="AA3500" s="39">
        <v>0.48710226627981734</v>
      </c>
      <c r="AB3500" s="39">
        <v>0.49838743854202355</v>
      </c>
      <c r="AC3500" s="39">
        <v>0.47967457362792149</v>
      </c>
      <c r="AD3500" s="39">
        <v>0.49989113224339965</v>
      </c>
      <c r="AE3500" s="39">
        <v>0.48262029172761411</v>
      </c>
      <c r="AF3500" s="40">
        <v>0.49553693134241045</v>
      </c>
    </row>
    <row r="3501" spans="1:32">
      <c r="A3501" s="15">
        <v>3499</v>
      </c>
      <c r="B3501" s="16">
        <v>0</v>
      </c>
      <c r="C3501" s="20">
        <v>0.41</v>
      </c>
      <c r="D3501" s="20">
        <v>0.576009629900326</v>
      </c>
      <c r="E3501" s="20">
        <v>0.1</v>
      </c>
      <c r="F3501" s="8" t="s">
        <v>436</v>
      </c>
      <c r="G3501" s="24">
        <v>0.59878676008154041</v>
      </c>
      <c r="H3501" s="24">
        <v>0.60225358257784223</v>
      </c>
      <c r="I3501" s="25">
        <v>0.61278617575790351</v>
      </c>
      <c r="X3501" s="15">
        <v>3500</v>
      </c>
      <c r="Y3501" s="39">
        <v>0.50527796286603477</v>
      </c>
      <c r="Z3501" s="39">
        <v>0.49587798828329482</v>
      </c>
      <c r="AA3501" s="39">
        <v>0.47210406394140947</v>
      </c>
      <c r="AB3501" s="39">
        <v>0.49190419038145544</v>
      </c>
      <c r="AC3501" s="39">
        <v>0.49851728222778174</v>
      </c>
      <c r="AD3501" s="39">
        <v>0.48821954120185568</v>
      </c>
      <c r="AE3501" s="39">
        <v>0.46804064099458864</v>
      </c>
      <c r="AF3501" s="40">
        <v>0.48605931314165585</v>
      </c>
    </row>
    <row r="3502" spans="1:32">
      <c r="A3502" s="15">
        <v>3500</v>
      </c>
      <c r="B3502" s="16">
        <v>1</v>
      </c>
      <c r="C3502" s="20">
        <v>0.09</v>
      </c>
      <c r="D3502" s="20">
        <v>0.91320731587331638</v>
      </c>
      <c r="E3502" s="20">
        <v>0.24</v>
      </c>
      <c r="F3502" s="8" t="s">
        <v>436</v>
      </c>
      <c r="G3502" s="24">
        <v>1.3486113832287312</v>
      </c>
      <c r="H3502" s="24">
        <v>1.3564194988949985</v>
      </c>
      <c r="I3502" s="25">
        <v>1.3801414246363319</v>
      </c>
      <c r="X3502" s="15">
        <v>3501</v>
      </c>
      <c r="Y3502" s="39">
        <v>0.48576187210887622</v>
      </c>
      <c r="Z3502" s="39">
        <v>0.48194287205333308</v>
      </c>
      <c r="AA3502" s="39">
        <v>0.47905117562758937</v>
      </c>
      <c r="AB3502" s="39">
        <v>0.48434168911868625</v>
      </c>
      <c r="AC3502" s="39">
        <v>0.47962576160493642</v>
      </c>
      <c r="AD3502" s="39">
        <v>0.47721457172413184</v>
      </c>
      <c r="AE3502" s="39">
        <v>0.47130889563658701</v>
      </c>
      <c r="AF3502" s="40">
        <v>0.47771590200378505</v>
      </c>
    </row>
    <row r="3503" spans="1:32">
      <c r="A3503" s="15">
        <v>3501</v>
      </c>
      <c r="B3503" s="16">
        <v>1</v>
      </c>
      <c r="C3503" s="20">
        <v>0.89</v>
      </c>
      <c r="D3503" s="20">
        <v>0.24559627500636821</v>
      </c>
      <c r="E3503" s="20">
        <v>0.11</v>
      </c>
      <c r="F3503" s="8" t="s">
        <v>434</v>
      </c>
      <c r="G3503" s="24">
        <v>0.63850102859814262</v>
      </c>
      <c r="H3503" s="24">
        <v>0.64219778657180671</v>
      </c>
      <c r="I3503" s="25">
        <v>0.65342894936231177</v>
      </c>
      <c r="X3503" s="15">
        <v>3502</v>
      </c>
      <c r="Y3503" s="39">
        <v>0.49724906131215429</v>
      </c>
      <c r="Z3503" s="39">
        <v>0.49186700995456817</v>
      </c>
      <c r="AA3503" s="39">
        <v>0.4829543752757765</v>
      </c>
      <c r="AB3503" s="39">
        <v>0.48215268595323424</v>
      </c>
      <c r="AC3503" s="39">
        <v>0.49386476774915133</v>
      </c>
      <c r="AD3503" s="39">
        <v>0.48472930850123902</v>
      </c>
      <c r="AE3503" s="39">
        <v>0.47623621455897908</v>
      </c>
      <c r="AF3503" s="40">
        <v>0.47774005654863272</v>
      </c>
    </row>
    <row r="3504" spans="1:32">
      <c r="A3504" s="15">
        <v>3502</v>
      </c>
      <c r="B3504" s="16">
        <v>0</v>
      </c>
      <c r="C3504" s="20">
        <v>0.17</v>
      </c>
      <c r="D3504" s="20">
        <v>0.77813104558529111</v>
      </c>
      <c r="E3504" s="20">
        <v>0.1</v>
      </c>
      <c r="F3504" s="8" t="s">
        <v>436</v>
      </c>
      <c r="G3504" s="24">
        <v>1.0998097043969901</v>
      </c>
      <c r="H3504" s="24">
        <v>1.1061773218512161</v>
      </c>
      <c r="I3504" s="25">
        <v>1.1255228534563562</v>
      </c>
      <c r="X3504" s="15">
        <v>3503</v>
      </c>
      <c r="Y3504" s="39">
        <v>0.48151691585278905</v>
      </c>
      <c r="Z3504" s="39">
        <v>0.48665678357751185</v>
      </c>
      <c r="AA3504" s="39">
        <v>0.48120510149456169</v>
      </c>
      <c r="AB3504" s="39">
        <v>0.49310565685835583</v>
      </c>
      <c r="AC3504" s="39">
        <v>0.47675234233584612</v>
      </c>
      <c r="AD3504" s="39">
        <v>0.48061263693990369</v>
      </c>
      <c r="AE3504" s="39">
        <v>0.47469244661358506</v>
      </c>
      <c r="AF3504" s="40">
        <v>0.49073319101289048</v>
      </c>
    </row>
    <row r="3505" spans="1:32">
      <c r="A3505" s="15">
        <v>3503</v>
      </c>
      <c r="B3505" s="16">
        <v>0</v>
      </c>
      <c r="C3505" s="20">
        <v>0.03</v>
      </c>
      <c r="D3505" s="20">
        <v>0.99721793853459939</v>
      </c>
      <c r="E3505" s="20">
        <v>1</v>
      </c>
      <c r="F3505" s="8" t="s">
        <v>436</v>
      </c>
      <c r="G3505" s="24">
        <v>1.0234143937295423</v>
      </c>
      <c r="H3505" s="24">
        <v>1.0293397018354489</v>
      </c>
      <c r="I3505" s="25">
        <v>1.0473414483374999</v>
      </c>
      <c r="X3505" s="15">
        <v>3504</v>
      </c>
      <c r="Y3505" s="39">
        <v>0.50494108984206132</v>
      </c>
      <c r="Z3505" s="39">
        <v>0.48301646183362723</v>
      </c>
      <c r="AA3505" s="39">
        <v>0.47945579026823637</v>
      </c>
      <c r="AB3505" s="39">
        <v>0.47871804927811945</v>
      </c>
      <c r="AC3505" s="39">
        <v>0.49558161983244747</v>
      </c>
      <c r="AD3505" s="39">
        <v>0.47577850676598443</v>
      </c>
      <c r="AE3505" s="39">
        <v>0.47146606519060857</v>
      </c>
      <c r="AF3505" s="40">
        <v>0.47610600534402014</v>
      </c>
    </row>
    <row r="3506" spans="1:32">
      <c r="A3506" s="15">
        <v>3504</v>
      </c>
      <c r="B3506" s="16">
        <v>0</v>
      </c>
      <c r="C3506" s="20">
        <v>0.56999999999999995</v>
      </c>
      <c r="D3506" s="20">
        <v>0.4724279005590335</v>
      </c>
      <c r="E3506" s="20">
        <v>0.09</v>
      </c>
      <c r="F3506" s="8" t="s">
        <v>438</v>
      </c>
      <c r="G3506" s="24">
        <v>1.1606580933451831</v>
      </c>
      <c r="H3506" s="24">
        <v>1.167378007439436</v>
      </c>
      <c r="I3506" s="25">
        <v>1.1877938555064267</v>
      </c>
      <c r="X3506" s="15">
        <v>3505</v>
      </c>
      <c r="Y3506" s="39">
        <v>0.48054587826024414</v>
      </c>
      <c r="Z3506" s="39">
        <v>0.47994527187453079</v>
      </c>
      <c r="AA3506" s="39">
        <v>0.47657616563331229</v>
      </c>
      <c r="AB3506" s="39">
        <v>0.49375321108333686</v>
      </c>
      <c r="AC3506" s="39">
        <v>0.47405632540618325</v>
      </c>
      <c r="AD3506" s="39">
        <v>0.47369085249729614</v>
      </c>
      <c r="AE3506" s="39">
        <v>0.47198136495555598</v>
      </c>
      <c r="AF3506" s="40">
        <v>0.49000625223231575</v>
      </c>
    </row>
    <row r="3507" spans="1:32">
      <c r="A3507" s="15">
        <v>3505</v>
      </c>
      <c r="B3507" s="16">
        <v>1</v>
      </c>
      <c r="C3507" s="20">
        <v>0.89</v>
      </c>
      <c r="D3507" s="20">
        <v>0.24559627500636821</v>
      </c>
      <c r="E3507" s="20">
        <v>0.11</v>
      </c>
      <c r="F3507" s="8" t="s">
        <v>434</v>
      </c>
      <c r="G3507" s="24">
        <v>0.55957905326065982</v>
      </c>
      <c r="H3507" s="24">
        <v>0.56281887314251422</v>
      </c>
      <c r="I3507" s="25">
        <v>0.5726618070765841</v>
      </c>
      <c r="X3507" s="15">
        <v>3506</v>
      </c>
      <c r="Y3507" s="39">
        <v>0.48318884281314689</v>
      </c>
      <c r="Z3507" s="39">
        <v>0.48195871085156661</v>
      </c>
      <c r="AA3507" s="39">
        <v>0.48261560821451166</v>
      </c>
      <c r="AB3507" s="39">
        <v>0.48714721140556416</v>
      </c>
      <c r="AC3507" s="39">
        <v>0.47281079534284831</v>
      </c>
      <c r="AD3507" s="39">
        <v>0.47576925039780515</v>
      </c>
      <c r="AE3507" s="39">
        <v>0.47364949283791663</v>
      </c>
      <c r="AF3507" s="40">
        <v>0.48329794478881821</v>
      </c>
    </row>
    <row r="3508" spans="1:32">
      <c r="A3508" s="15">
        <v>3506</v>
      </c>
      <c r="B3508" s="16">
        <v>0</v>
      </c>
      <c r="C3508" s="20">
        <v>0.46</v>
      </c>
      <c r="D3508" s="20">
        <v>0.53903708057656963</v>
      </c>
      <c r="E3508" s="20">
        <v>0.21</v>
      </c>
      <c r="F3508" s="8" t="s">
        <v>436</v>
      </c>
      <c r="G3508" s="24">
        <v>0.75015800158200052</v>
      </c>
      <c r="H3508" s="24">
        <v>0.75450122492800631</v>
      </c>
      <c r="I3508" s="25">
        <v>0.7676964215792399</v>
      </c>
      <c r="X3508" s="15">
        <v>3507</v>
      </c>
      <c r="Y3508" s="39">
        <v>0.49419624432720716</v>
      </c>
      <c r="Z3508" s="39">
        <v>0.47817143535952128</v>
      </c>
      <c r="AA3508" s="39">
        <v>0.47624186686517195</v>
      </c>
      <c r="AB3508" s="39">
        <v>0.49632000482681204</v>
      </c>
      <c r="AC3508" s="39">
        <v>0.48923165740843155</v>
      </c>
      <c r="AD3508" s="39">
        <v>0.47061203975761817</v>
      </c>
      <c r="AE3508" s="39">
        <v>0.4694367697869104</v>
      </c>
      <c r="AF3508" s="40">
        <v>0.49284994800628951</v>
      </c>
    </row>
    <row r="3509" spans="1:32">
      <c r="A3509" s="15">
        <v>3507</v>
      </c>
      <c r="B3509" s="16">
        <v>0</v>
      </c>
      <c r="C3509" s="20">
        <v>0.17</v>
      </c>
      <c r="D3509" s="20">
        <v>0.86701197970605937</v>
      </c>
      <c r="E3509" s="20">
        <v>0.12</v>
      </c>
      <c r="F3509" s="8" t="s">
        <v>436</v>
      </c>
      <c r="G3509" s="24">
        <v>1.2307423423151274</v>
      </c>
      <c r="H3509" s="24">
        <v>1.2378680263214141</v>
      </c>
      <c r="I3509" s="25">
        <v>1.2595166486111182</v>
      </c>
      <c r="X3509" s="15">
        <v>3508</v>
      </c>
      <c r="Y3509" s="39">
        <v>0.50218706129049973</v>
      </c>
      <c r="Z3509" s="39">
        <v>0.49786651809662813</v>
      </c>
      <c r="AA3509" s="39">
        <v>0.49268584586413899</v>
      </c>
      <c r="AB3509" s="39">
        <v>0.49837237618254032</v>
      </c>
      <c r="AC3509" s="39">
        <v>0.49316929958525718</v>
      </c>
      <c r="AD3509" s="39">
        <v>0.49213140487340667</v>
      </c>
      <c r="AE3509" s="39">
        <v>0.48231911433426422</v>
      </c>
      <c r="AF3509" s="40">
        <v>0.49493847272479508</v>
      </c>
    </row>
    <row r="3510" spans="1:32">
      <c r="A3510" s="15">
        <v>3508</v>
      </c>
      <c r="B3510" s="16">
        <v>1</v>
      </c>
      <c r="C3510" s="20">
        <v>0.32</v>
      </c>
      <c r="D3510" s="20">
        <v>0.69276168970705909</v>
      </c>
      <c r="E3510" s="20">
        <v>0.25</v>
      </c>
      <c r="F3510" s="8" t="s">
        <v>436</v>
      </c>
      <c r="G3510" s="24">
        <v>0.97439643862923397</v>
      </c>
      <c r="H3510" s="24">
        <v>0.98003794528729071</v>
      </c>
      <c r="I3510" s="25">
        <v>0.99717747135627843</v>
      </c>
      <c r="X3510" s="15">
        <v>3509</v>
      </c>
      <c r="Y3510" s="39">
        <v>0.48155912991344052</v>
      </c>
      <c r="Z3510" s="39">
        <v>0.49174577382436813</v>
      </c>
      <c r="AA3510" s="39">
        <v>0.48261116392044801</v>
      </c>
      <c r="AB3510" s="39">
        <v>0.47823921801588376</v>
      </c>
      <c r="AC3510" s="39">
        <v>0.47490252023495888</v>
      </c>
      <c r="AD3510" s="39">
        <v>0.48187365464968301</v>
      </c>
      <c r="AE3510" s="39">
        <v>0.47739092364526331</v>
      </c>
      <c r="AF3510" s="40">
        <v>0.47582335217611804</v>
      </c>
    </row>
    <row r="3511" spans="1:32">
      <c r="A3511" s="15">
        <v>3509</v>
      </c>
      <c r="B3511" s="16">
        <v>1</v>
      </c>
      <c r="C3511" s="20">
        <v>0.28000000000000003</v>
      </c>
      <c r="D3511" s="20">
        <v>0.85358871924054502</v>
      </c>
      <c r="E3511" s="20">
        <v>0.02</v>
      </c>
      <c r="F3511" s="8" t="s">
        <v>436</v>
      </c>
      <c r="G3511" s="24">
        <v>1.224963309901512</v>
      </c>
      <c r="H3511" s="24">
        <v>1.2320555347852631</v>
      </c>
      <c r="I3511" s="25">
        <v>1.2536025045311154</v>
      </c>
      <c r="X3511" s="15">
        <v>3510</v>
      </c>
      <c r="Y3511" s="39">
        <v>0.47250360897210336</v>
      </c>
      <c r="Z3511" s="39">
        <v>0.47454941081423951</v>
      </c>
      <c r="AA3511" s="39">
        <v>0.48408689600597793</v>
      </c>
      <c r="AB3511" s="39">
        <v>0.48794400436789415</v>
      </c>
      <c r="AC3511" s="39">
        <v>0.46590361362936872</v>
      </c>
      <c r="AD3511" s="39">
        <v>0.47001937923723969</v>
      </c>
      <c r="AE3511" s="39">
        <v>0.47520563262750548</v>
      </c>
      <c r="AF3511" s="40">
        <v>0.48492704599343928</v>
      </c>
    </row>
    <row r="3512" spans="1:32">
      <c r="A3512" s="15">
        <v>3510</v>
      </c>
      <c r="B3512" s="16">
        <v>0</v>
      </c>
      <c r="C3512" s="20">
        <v>0.36</v>
      </c>
      <c r="D3512" s="20">
        <v>0.66660714348344807</v>
      </c>
      <c r="E3512" s="20">
        <v>0.09</v>
      </c>
      <c r="F3512" s="8" t="s">
        <v>436</v>
      </c>
      <c r="G3512" s="24">
        <v>1.5267511209025975</v>
      </c>
      <c r="H3512" s="24">
        <v>1.5355906201785641</v>
      </c>
      <c r="I3512" s="25">
        <v>1.5624460042913988</v>
      </c>
      <c r="X3512" s="15">
        <v>3511</v>
      </c>
      <c r="Y3512" s="39">
        <v>0.4848506854373783</v>
      </c>
      <c r="Z3512" s="39">
        <v>0.47610975462918614</v>
      </c>
      <c r="AA3512" s="39">
        <v>0.47974141944429755</v>
      </c>
      <c r="AB3512" s="39">
        <v>0.48296713333503211</v>
      </c>
      <c r="AC3512" s="39">
        <v>0.47741404695190176</v>
      </c>
      <c r="AD3512" s="39">
        <v>0.46944070037036101</v>
      </c>
      <c r="AE3512" s="39">
        <v>0.47368175838758275</v>
      </c>
      <c r="AF3512" s="40">
        <v>0.47768072962999031</v>
      </c>
    </row>
    <row r="3513" spans="1:32">
      <c r="A3513" s="15">
        <v>3511</v>
      </c>
      <c r="B3513" s="16">
        <v>1</v>
      </c>
      <c r="C3513" s="20">
        <v>0.5</v>
      </c>
      <c r="D3513" s="20">
        <v>0.47229416112213712</v>
      </c>
      <c r="E3513" s="20">
        <v>0.1</v>
      </c>
      <c r="F3513" s="8" t="s">
        <v>438</v>
      </c>
      <c r="G3513" s="24">
        <v>1.059593632254189</v>
      </c>
      <c r="H3513" s="24">
        <v>1.0657284089161458</v>
      </c>
      <c r="I3513" s="25">
        <v>1.0843665442403088</v>
      </c>
      <c r="X3513" s="15">
        <v>3512</v>
      </c>
      <c r="Y3513" s="39">
        <v>0.47648994680536333</v>
      </c>
      <c r="Z3513" s="39">
        <v>0.47177177811893301</v>
      </c>
      <c r="AA3513" s="39">
        <v>0.48812527307072123</v>
      </c>
      <c r="AB3513" s="39">
        <v>0.48371384123773092</v>
      </c>
      <c r="AC3513" s="39">
        <v>0.47010741719724192</v>
      </c>
      <c r="AD3513" s="39">
        <v>0.46381055821270545</v>
      </c>
      <c r="AE3513" s="39">
        <v>0.47973725837814962</v>
      </c>
      <c r="AF3513" s="40">
        <v>0.48099664866755415</v>
      </c>
    </row>
    <row r="3514" spans="1:32">
      <c r="A3514" s="15">
        <v>3512</v>
      </c>
      <c r="B3514" s="16">
        <v>0</v>
      </c>
      <c r="C3514" s="20">
        <v>0.93</v>
      </c>
      <c r="D3514" s="20">
        <v>0.18747949848141848</v>
      </c>
      <c r="E3514" s="20">
        <v>7.0000000000000007E-2</v>
      </c>
      <c r="F3514" s="8" t="s">
        <v>434</v>
      </c>
      <c r="G3514" s="24">
        <v>0.35133911470942147</v>
      </c>
      <c r="H3514" s="24">
        <v>0.35337327850178646</v>
      </c>
      <c r="I3514" s="25">
        <v>0.35955329484512255</v>
      </c>
      <c r="X3514" s="15">
        <v>3513</v>
      </c>
      <c r="Y3514" s="39">
        <v>0.47006166369364277</v>
      </c>
      <c r="Z3514" s="39">
        <v>0.47119701783320489</v>
      </c>
      <c r="AA3514" s="39">
        <v>0.48681200378845879</v>
      </c>
      <c r="AB3514" s="39">
        <v>0.4913011551257665</v>
      </c>
      <c r="AC3514" s="39">
        <v>0.46499431229850585</v>
      </c>
      <c r="AD3514" s="39">
        <v>0.46537759962742126</v>
      </c>
      <c r="AE3514" s="39">
        <v>0.4783789157353418</v>
      </c>
      <c r="AF3514" s="40">
        <v>0.48600830878423373</v>
      </c>
    </row>
    <row r="3515" spans="1:32">
      <c r="A3515" s="15">
        <v>3513</v>
      </c>
      <c r="B3515" s="16">
        <v>1</v>
      </c>
      <c r="C3515" s="20">
        <v>0.32</v>
      </c>
      <c r="D3515" s="20">
        <v>0.82854474286479496</v>
      </c>
      <c r="E3515" s="20">
        <v>0.04</v>
      </c>
      <c r="F3515" s="8" t="s">
        <v>436</v>
      </c>
      <c r="G3515" s="24">
        <v>0.94202971243387834</v>
      </c>
      <c r="H3515" s="24">
        <v>0.94748382400910058</v>
      </c>
      <c r="I3515" s="25">
        <v>0.96405402292806963</v>
      </c>
      <c r="X3515" s="15">
        <v>3514</v>
      </c>
      <c r="Y3515" s="39">
        <v>0.49181831277647853</v>
      </c>
      <c r="Z3515" s="39">
        <v>0.48680573783718362</v>
      </c>
      <c r="AA3515" s="39">
        <v>0.47866790055542568</v>
      </c>
      <c r="AB3515" s="39">
        <v>0.47954415444458853</v>
      </c>
      <c r="AC3515" s="39">
        <v>0.48334434427196454</v>
      </c>
      <c r="AD3515" s="39">
        <v>0.47925247042558772</v>
      </c>
      <c r="AE3515" s="39">
        <v>0.47327488356703418</v>
      </c>
      <c r="AF3515" s="40">
        <v>0.47581211923040334</v>
      </c>
    </row>
    <row r="3516" spans="1:32">
      <c r="A3516" s="15">
        <v>3514</v>
      </c>
      <c r="B3516" s="16">
        <v>1</v>
      </c>
      <c r="C3516" s="20">
        <v>0.02</v>
      </c>
      <c r="D3516" s="20">
        <v>0.99917029198757767</v>
      </c>
      <c r="E3516" s="20">
        <v>1</v>
      </c>
      <c r="F3516" s="8" t="s">
        <v>436</v>
      </c>
      <c r="G3516" s="24">
        <v>1.3844087911500622</v>
      </c>
      <c r="H3516" s="24">
        <v>1.3924241646706517</v>
      </c>
      <c r="I3516" s="25">
        <v>1.4167757628758262</v>
      </c>
      <c r="X3516" s="15">
        <v>3515</v>
      </c>
      <c r="Y3516" s="39">
        <v>0.49328434917572145</v>
      </c>
      <c r="Z3516" s="39">
        <v>0.48357969314053317</v>
      </c>
      <c r="AA3516" s="39">
        <v>0.48491684162642834</v>
      </c>
      <c r="AB3516" s="39">
        <v>0.50387548939344073</v>
      </c>
      <c r="AC3516" s="39">
        <v>0.48591291592716762</v>
      </c>
      <c r="AD3516" s="39">
        <v>0.47623765406631835</v>
      </c>
      <c r="AE3516" s="39">
        <v>0.47747842490161008</v>
      </c>
      <c r="AF3516" s="40">
        <v>0.50062780506249416</v>
      </c>
    </row>
    <row r="3517" spans="1:32">
      <c r="A3517" s="15">
        <v>3515</v>
      </c>
      <c r="B3517" s="16">
        <v>1</v>
      </c>
      <c r="C3517" s="20">
        <v>0.19</v>
      </c>
      <c r="D3517" s="20">
        <v>0.76912760636189215</v>
      </c>
      <c r="E3517" s="20">
        <v>0.11</v>
      </c>
      <c r="F3517" s="8" t="s">
        <v>436</v>
      </c>
      <c r="G3517" s="24">
        <v>1.0529089444315498</v>
      </c>
      <c r="H3517" s="24">
        <v>1.0590050184573276</v>
      </c>
      <c r="I3517" s="25">
        <v>1.0775255708587117</v>
      </c>
      <c r="X3517" s="15">
        <v>3516</v>
      </c>
      <c r="Y3517" s="39">
        <v>0.48947825242724874</v>
      </c>
      <c r="Z3517" s="39">
        <v>0.49161945231502713</v>
      </c>
      <c r="AA3517" s="39">
        <v>0.48473582119672171</v>
      </c>
      <c r="AB3517" s="39">
        <v>0.48032024170769388</v>
      </c>
      <c r="AC3517" s="39">
        <v>0.47987428645281149</v>
      </c>
      <c r="AD3517" s="39">
        <v>0.48459652644290302</v>
      </c>
      <c r="AE3517" s="39">
        <v>0.47825854257643291</v>
      </c>
      <c r="AF3517" s="40">
        <v>0.47329598859868627</v>
      </c>
    </row>
    <row r="3518" spans="1:32">
      <c r="A3518" s="15">
        <v>3516</v>
      </c>
      <c r="B3518" s="16">
        <v>1</v>
      </c>
      <c r="C3518" s="20">
        <v>0.17</v>
      </c>
      <c r="D3518" s="20">
        <v>0.81219162353687391</v>
      </c>
      <c r="E3518" s="20">
        <v>0.12</v>
      </c>
      <c r="F3518" s="8" t="s">
        <v>436</v>
      </c>
      <c r="G3518" s="24">
        <v>1.7434273718423492</v>
      </c>
      <c r="H3518" s="24">
        <v>1.7535213713031061</v>
      </c>
      <c r="I3518" s="25">
        <v>1.6578926537592125</v>
      </c>
      <c r="X3518" s="15">
        <v>3517</v>
      </c>
      <c r="Y3518" s="39">
        <v>0.47472718460804597</v>
      </c>
      <c r="Z3518" s="39">
        <v>0.48183909184685036</v>
      </c>
      <c r="AA3518" s="39">
        <v>0.49202675816865243</v>
      </c>
      <c r="AB3518" s="39">
        <v>0.48398895060549174</v>
      </c>
      <c r="AC3518" s="39">
        <v>0.46712913923927923</v>
      </c>
      <c r="AD3518" s="39">
        <v>0.47546739759652329</v>
      </c>
      <c r="AE3518" s="39">
        <v>0.4838946327532952</v>
      </c>
      <c r="AF3518" s="40">
        <v>0.47983229357827117</v>
      </c>
    </row>
    <row r="3519" spans="1:32">
      <c r="A3519" s="15">
        <v>3517</v>
      </c>
      <c r="B3519" s="16">
        <v>1</v>
      </c>
      <c r="C3519" s="20">
        <v>0.02</v>
      </c>
      <c r="D3519" s="20">
        <v>0.99531127541355291</v>
      </c>
      <c r="E3519" s="20">
        <v>1</v>
      </c>
      <c r="F3519" s="8" t="s">
        <v>436</v>
      </c>
      <c r="G3519" s="24">
        <v>1.0895136887056718</v>
      </c>
      <c r="H3519" s="24">
        <v>1.095821694857176</v>
      </c>
      <c r="I3519" s="25">
        <v>1.1149861206799547</v>
      </c>
      <c r="X3519" s="15">
        <v>3518</v>
      </c>
      <c r="Y3519" s="39">
        <v>0.48833451703694097</v>
      </c>
      <c r="Z3519" s="39">
        <v>0.48994317911583307</v>
      </c>
      <c r="AA3519" s="39">
        <v>0.48248574759799345</v>
      </c>
      <c r="AB3519" s="39">
        <v>0.48850161915154761</v>
      </c>
      <c r="AC3519" s="39">
        <v>0.48236868281801515</v>
      </c>
      <c r="AD3519" s="39">
        <v>0.48347297950293255</v>
      </c>
      <c r="AE3519" s="39">
        <v>0.47565384762329643</v>
      </c>
      <c r="AF3519" s="40">
        <v>0.48230814232160668</v>
      </c>
    </row>
    <row r="3520" spans="1:32">
      <c r="A3520" s="15">
        <v>3518</v>
      </c>
      <c r="B3520" s="16">
        <v>0</v>
      </c>
      <c r="C3520" s="20">
        <v>0.09</v>
      </c>
      <c r="D3520" s="20">
        <v>0.91417627598796669</v>
      </c>
      <c r="E3520" s="20">
        <v>0.13</v>
      </c>
      <c r="F3520" s="8" t="s">
        <v>436</v>
      </c>
      <c r="G3520" s="24">
        <v>1.1628605000184213</v>
      </c>
      <c r="H3520" s="24">
        <v>1.1695931654851321</v>
      </c>
      <c r="I3520" s="25">
        <v>1.1900477536430079</v>
      </c>
      <c r="X3520" s="15">
        <v>3519</v>
      </c>
      <c r="Y3520" s="39">
        <v>0.49189132923173673</v>
      </c>
      <c r="Z3520" s="39">
        <v>0.49578473504841031</v>
      </c>
      <c r="AA3520" s="39">
        <v>0.50078684693027342</v>
      </c>
      <c r="AB3520" s="39">
        <v>0.48464794157498609</v>
      </c>
      <c r="AC3520" s="39">
        <v>0.48490794395961406</v>
      </c>
      <c r="AD3520" s="39">
        <v>0.48731517238156613</v>
      </c>
      <c r="AE3520" s="39">
        <v>0.49359109199889045</v>
      </c>
      <c r="AF3520" s="40">
        <v>0.47961478242592093</v>
      </c>
    </row>
    <row r="3521" spans="1:32">
      <c r="A3521" s="15">
        <v>3519</v>
      </c>
      <c r="B3521" s="16">
        <v>0</v>
      </c>
      <c r="C3521" s="20">
        <v>0.18</v>
      </c>
      <c r="D3521" s="20">
        <v>0.85783689830864163</v>
      </c>
      <c r="E3521" s="20">
        <v>0.49</v>
      </c>
      <c r="F3521" s="8" t="s">
        <v>436</v>
      </c>
      <c r="G3521" s="24">
        <v>1.2580844402688978</v>
      </c>
      <c r="H3521" s="24">
        <v>1.2653684280430724</v>
      </c>
      <c r="I3521" s="25">
        <v>1.2874979948252652</v>
      </c>
      <c r="X3521" s="15">
        <v>3520</v>
      </c>
      <c r="Y3521" s="39">
        <v>0.4772354331417189</v>
      </c>
      <c r="Z3521" s="39">
        <v>0.47692160112369231</v>
      </c>
      <c r="AA3521" s="39">
        <v>0.47198508000613493</v>
      </c>
      <c r="AB3521" s="39">
        <v>0.50019795367476871</v>
      </c>
      <c r="AC3521" s="39">
        <v>0.47072051340023791</v>
      </c>
      <c r="AD3521" s="39">
        <v>0.47172930940416952</v>
      </c>
      <c r="AE3521" s="39">
        <v>0.46604604863944843</v>
      </c>
      <c r="AF3521" s="40">
        <v>0.4972859702158367</v>
      </c>
    </row>
    <row r="3522" spans="1:32">
      <c r="A3522" s="15">
        <v>3520</v>
      </c>
      <c r="B3522" s="16">
        <v>1</v>
      </c>
      <c r="C3522" s="20">
        <v>0.47</v>
      </c>
      <c r="D3522" s="20">
        <v>0.47147904543010166</v>
      </c>
      <c r="E3522" s="20">
        <v>0.09</v>
      </c>
      <c r="F3522" s="8" t="s">
        <v>436</v>
      </c>
      <c r="G3522" s="24">
        <v>1.403940859995507</v>
      </c>
      <c r="H3522" s="24">
        <v>1.4120693192090124</v>
      </c>
      <c r="I3522" s="25">
        <v>1.4367644843545881</v>
      </c>
      <c r="X3522" s="15">
        <v>3521</v>
      </c>
      <c r="Y3522" s="39">
        <v>0.49240444415261114</v>
      </c>
      <c r="Z3522" s="39">
        <v>0.48943229884777095</v>
      </c>
      <c r="AA3522" s="39">
        <v>0.4977319951080949</v>
      </c>
      <c r="AB3522" s="39">
        <v>0.49982671953496455</v>
      </c>
      <c r="AC3522" s="39">
        <v>0.48455491638641729</v>
      </c>
      <c r="AD3522" s="39">
        <v>0.48424931763037099</v>
      </c>
      <c r="AE3522" s="39">
        <v>0.49096908198088945</v>
      </c>
      <c r="AF3522" s="40">
        <v>0.49861929275169331</v>
      </c>
    </row>
    <row r="3523" spans="1:32">
      <c r="A3523" s="15">
        <v>3521</v>
      </c>
      <c r="B3523" s="16">
        <v>0</v>
      </c>
      <c r="C3523" s="20">
        <v>0.9</v>
      </c>
      <c r="D3523" s="20">
        <v>0.23159538658365303</v>
      </c>
      <c r="E3523" s="20">
        <v>0.1</v>
      </c>
      <c r="F3523" s="8" t="s">
        <v>434</v>
      </c>
      <c r="G3523" s="24">
        <v>1.2296923416716425</v>
      </c>
      <c r="H3523" s="24">
        <v>1.2368119464422236</v>
      </c>
      <c r="I3523" s="25">
        <v>1.2584420993362198</v>
      </c>
      <c r="X3523" s="15">
        <v>3522</v>
      </c>
      <c r="Y3523" s="39">
        <v>0.48602870381001723</v>
      </c>
      <c r="Z3523" s="39">
        <v>0.4804840311691701</v>
      </c>
      <c r="AA3523" s="39">
        <v>0.46981698835952806</v>
      </c>
      <c r="AB3523" s="39">
        <v>0.48690791360165342</v>
      </c>
      <c r="AC3523" s="39">
        <v>0.48089713648147586</v>
      </c>
      <c r="AD3523" s="39">
        <v>0.47377368312395435</v>
      </c>
      <c r="AE3523" s="39">
        <v>0.46358755443968741</v>
      </c>
      <c r="AF3523" s="40">
        <v>0.48259156262370717</v>
      </c>
    </row>
    <row r="3524" spans="1:32">
      <c r="A3524" s="15">
        <v>3522</v>
      </c>
      <c r="B3524" s="16">
        <v>0</v>
      </c>
      <c r="C3524" s="20">
        <v>0.89</v>
      </c>
      <c r="D3524" s="20">
        <v>0.24559627500636821</v>
      </c>
      <c r="E3524" s="20">
        <v>0.11</v>
      </c>
      <c r="F3524" s="8" t="s">
        <v>434</v>
      </c>
      <c r="G3524" s="24">
        <v>0.48381973034009179</v>
      </c>
      <c r="H3524" s="24">
        <v>0.48662092308034094</v>
      </c>
      <c r="I3524" s="25">
        <v>0.49513125886576342</v>
      </c>
      <c r="X3524" s="15">
        <v>3523</v>
      </c>
      <c r="Y3524" s="39">
        <v>0.4920622917106886</v>
      </c>
      <c r="Z3524" s="39">
        <v>0.48694299999969165</v>
      </c>
      <c r="AA3524" s="39">
        <v>0.47732528759330362</v>
      </c>
      <c r="AB3524" s="39">
        <v>0.50215128473193615</v>
      </c>
      <c r="AC3524" s="39">
        <v>0.48366825325284141</v>
      </c>
      <c r="AD3524" s="39">
        <v>0.47659923448406938</v>
      </c>
      <c r="AE3524" s="39">
        <v>0.47201959171336366</v>
      </c>
      <c r="AF3524" s="40">
        <v>0.49761884879165125</v>
      </c>
    </row>
    <row r="3525" spans="1:32">
      <c r="A3525" s="15">
        <v>3523</v>
      </c>
      <c r="B3525" s="16">
        <v>0</v>
      </c>
      <c r="C3525" s="20">
        <v>0.26</v>
      </c>
      <c r="D3525" s="20">
        <v>0.85086446361863377</v>
      </c>
      <c r="E3525" s="20">
        <v>0.44</v>
      </c>
      <c r="F3525" s="8" t="s">
        <v>436</v>
      </c>
      <c r="G3525" s="24">
        <v>0.72554192500844916</v>
      </c>
      <c r="H3525" s="24">
        <v>0.72974262755452235</v>
      </c>
      <c r="I3525" s="25">
        <v>0.74250483012919499</v>
      </c>
      <c r="X3525" s="15">
        <v>3524</v>
      </c>
      <c r="Y3525" s="39">
        <v>0.48550454205879473</v>
      </c>
      <c r="Z3525" s="39">
        <v>0.49084325273121776</v>
      </c>
      <c r="AA3525" s="39">
        <v>0.49011470944990593</v>
      </c>
      <c r="AB3525" s="39">
        <v>0.49488161961610355</v>
      </c>
      <c r="AC3525" s="39">
        <v>0.47912517777581376</v>
      </c>
      <c r="AD3525" s="39">
        <v>0.48268497068795252</v>
      </c>
      <c r="AE3525" s="39">
        <v>0.48242229948200815</v>
      </c>
      <c r="AF3525" s="40">
        <v>0.491771418276788</v>
      </c>
    </row>
    <row r="3526" spans="1:32">
      <c r="A3526" s="15">
        <v>3524</v>
      </c>
      <c r="B3526" s="16">
        <v>1</v>
      </c>
      <c r="C3526" s="20">
        <v>0.55000000000000004</v>
      </c>
      <c r="D3526" s="20">
        <v>0.46335222762643907</v>
      </c>
      <c r="E3526" s="20">
        <v>0.09</v>
      </c>
      <c r="F3526" s="8" t="s">
        <v>438</v>
      </c>
      <c r="G3526" s="24">
        <v>1.8203901507183478</v>
      </c>
      <c r="H3526" s="24">
        <v>1.8309297450235011</v>
      </c>
      <c r="I3526" s="25">
        <v>1.6578926537592125</v>
      </c>
      <c r="X3526" s="15">
        <v>3525</v>
      </c>
      <c r="Y3526" s="39">
        <v>0.4762991079398709</v>
      </c>
      <c r="Z3526" s="39">
        <v>0.49253897051159479</v>
      </c>
      <c r="AA3526" s="39">
        <v>0.47593225095238745</v>
      </c>
      <c r="AB3526" s="39">
        <v>0.48351316562255287</v>
      </c>
      <c r="AC3526" s="39">
        <v>0.46980378712683168</v>
      </c>
      <c r="AD3526" s="39">
        <v>0.48463759273459073</v>
      </c>
      <c r="AE3526" s="39">
        <v>0.46986103559518333</v>
      </c>
      <c r="AF3526" s="40">
        <v>0.4796705128613627</v>
      </c>
    </row>
    <row r="3527" spans="1:32">
      <c r="A3527" s="15">
        <v>3525</v>
      </c>
      <c r="B3527" s="16">
        <v>1</v>
      </c>
      <c r="C3527" s="20">
        <v>0.93</v>
      </c>
      <c r="D3527" s="20">
        <v>0.18747949848141848</v>
      </c>
      <c r="E3527" s="20">
        <v>7.0000000000000007E-2</v>
      </c>
      <c r="F3527" s="8" t="s">
        <v>434</v>
      </c>
      <c r="G3527" s="24">
        <v>1.4213062865424764</v>
      </c>
      <c r="H3527" s="24">
        <v>1.4295352871430402</v>
      </c>
      <c r="I3527" s="25">
        <v>1.4545359082295468</v>
      </c>
      <c r="X3527" s="15">
        <v>3526</v>
      </c>
      <c r="Y3527" s="39">
        <v>0.49674762391578819</v>
      </c>
      <c r="Z3527" s="39">
        <v>0.48229788833857085</v>
      </c>
      <c r="AA3527" s="39">
        <v>0.49653940321088696</v>
      </c>
      <c r="AB3527" s="39">
        <v>0.48843337532749498</v>
      </c>
      <c r="AC3527" s="39">
        <v>0.4904309352486656</v>
      </c>
      <c r="AD3527" s="39">
        <v>0.47616323385174442</v>
      </c>
      <c r="AE3527" s="39">
        <v>0.48741890080703387</v>
      </c>
      <c r="AF3527" s="40">
        <v>0.48501917016983731</v>
      </c>
    </row>
    <row r="3528" spans="1:32">
      <c r="A3528" s="15">
        <v>3526</v>
      </c>
      <c r="B3528" s="16">
        <v>1</v>
      </c>
      <c r="C3528" s="20">
        <v>0.02</v>
      </c>
      <c r="D3528" s="20">
        <v>0.99531127541355291</v>
      </c>
      <c r="E3528" s="20">
        <v>1</v>
      </c>
      <c r="F3528" s="8" t="s">
        <v>436</v>
      </c>
      <c r="G3528" s="24">
        <v>0.94419955290895641</v>
      </c>
      <c r="H3528" s="24">
        <v>0.94966622730666217</v>
      </c>
      <c r="I3528" s="25">
        <v>0.96627459348067624</v>
      </c>
      <c r="X3528" s="15">
        <v>3527</v>
      </c>
      <c r="Y3528" s="39">
        <v>0.47297217659823432</v>
      </c>
      <c r="Z3528" s="39">
        <v>0.49446269304662055</v>
      </c>
      <c r="AA3528" s="39">
        <v>0.5024098661892985</v>
      </c>
      <c r="AB3528" s="39">
        <v>0.48871741934094565</v>
      </c>
      <c r="AC3528" s="39">
        <v>0.46615106521022898</v>
      </c>
      <c r="AD3528" s="39">
        <v>0.48723089986046481</v>
      </c>
      <c r="AE3528" s="39">
        <v>0.49696416680455213</v>
      </c>
      <c r="AF3528" s="40">
        <v>0.48521573303694454</v>
      </c>
    </row>
    <row r="3529" spans="1:32">
      <c r="A3529" s="15">
        <v>3527</v>
      </c>
      <c r="B3529" s="16">
        <v>1</v>
      </c>
      <c r="C3529" s="20">
        <v>0.02</v>
      </c>
      <c r="D3529" s="20">
        <v>0.99604261948721451</v>
      </c>
      <c r="E3529" s="20">
        <v>1</v>
      </c>
      <c r="F3529" s="8" t="s">
        <v>436</v>
      </c>
      <c r="G3529" s="24">
        <v>1.0607825425791679</v>
      </c>
      <c r="H3529" s="24">
        <v>1.0669242027284287</v>
      </c>
      <c r="I3529" s="25">
        <v>1.0855832508543022</v>
      </c>
      <c r="X3529" s="15">
        <v>3528</v>
      </c>
      <c r="Y3529" s="39">
        <v>0.47535088808627035</v>
      </c>
      <c r="Z3529" s="39">
        <v>0.4929129440922993</v>
      </c>
      <c r="AA3529" s="39">
        <v>0.47336337573750881</v>
      </c>
      <c r="AB3529" s="39">
        <v>0.480410321806299</v>
      </c>
      <c r="AC3529" s="39">
        <v>0.46753874233092924</v>
      </c>
      <c r="AD3529" s="39">
        <v>0.48676766355106083</v>
      </c>
      <c r="AE3529" s="39">
        <v>0.46440168342796967</v>
      </c>
      <c r="AF3529" s="40">
        <v>0.47513702573559735</v>
      </c>
    </row>
    <row r="3530" spans="1:32">
      <c r="A3530" s="15">
        <v>3528</v>
      </c>
      <c r="B3530" s="16">
        <v>0</v>
      </c>
      <c r="C3530" s="20">
        <v>0.39</v>
      </c>
      <c r="D3530" s="20">
        <v>0.59326685206484664</v>
      </c>
      <c r="E3530" s="20">
        <v>7.0000000000000007E-2</v>
      </c>
      <c r="F3530" s="8" t="s">
        <v>436</v>
      </c>
      <c r="G3530" s="24">
        <v>0.83965424296254765</v>
      </c>
      <c r="H3530" s="24">
        <v>0.84451562670159608</v>
      </c>
      <c r="I3530" s="25">
        <v>0.85928505238467645</v>
      </c>
      <c r="X3530" s="15">
        <v>3529</v>
      </c>
      <c r="Y3530" s="39">
        <v>0.4899005751359356</v>
      </c>
      <c r="Z3530" s="39">
        <v>0.48854331450478872</v>
      </c>
      <c r="AA3530" s="39">
        <v>0.47861432907649065</v>
      </c>
      <c r="AB3530" s="39">
        <v>0.49812696221656327</v>
      </c>
      <c r="AC3530" s="39">
        <v>0.48084094345228129</v>
      </c>
      <c r="AD3530" s="39">
        <v>0.48189746500032082</v>
      </c>
      <c r="AE3530" s="39">
        <v>0.47177743617253315</v>
      </c>
      <c r="AF3530" s="40">
        <v>0.49857136788963596</v>
      </c>
    </row>
    <row r="3531" spans="1:32">
      <c r="A3531" s="15">
        <v>3529</v>
      </c>
      <c r="B3531" s="16">
        <v>1</v>
      </c>
      <c r="C3531" s="20">
        <v>0.89</v>
      </c>
      <c r="D3531" s="20">
        <v>0.24559627500636821</v>
      </c>
      <c r="E3531" s="20">
        <v>0.11</v>
      </c>
      <c r="F3531" s="8" t="s">
        <v>434</v>
      </c>
      <c r="G3531" s="24">
        <v>0.49959107529500735</v>
      </c>
      <c r="H3531" s="24">
        <v>0.50248358009679772</v>
      </c>
      <c r="I3531" s="25">
        <v>0.51127133210346387</v>
      </c>
      <c r="X3531" s="15">
        <v>3530</v>
      </c>
      <c r="Y3531" s="39">
        <v>0.49292635156849152</v>
      </c>
      <c r="Z3531" s="39">
        <v>0.49160146390364495</v>
      </c>
      <c r="AA3531" s="39">
        <v>0.48364012283124408</v>
      </c>
      <c r="AB3531" s="39">
        <v>0.48877232438246154</v>
      </c>
      <c r="AC3531" s="39">
        <v>0.48543825053781231</v>
      </c>
      <c r="AD3531" s="39">
        <v>0.48747661373111029</v>
      </c>
      <c r="AE3531" s="39">
        <v>0.4773879931476141</v>
      </c>
      <c r="AF3531" s="40">
        <v>0.48064739067344842</v>
      </c>
    </row>
    <row r="3532" spans="1:32">
      <c r="A3532" s="15">
        <v>3530</v>
      </c>
      <c r="B3532" s="16">
        <v>0</v>
      </c>
      <c r="C3532" s="20">
        <v>0.11</v>
      </c>
      <c r="D3532" s="20">
        <v>0.90323800318671932</v>
      </c>
      <c r="E3532" s="20">
        <v>0.08</v>
      </c>
      <c r="F3532" s="8" t="s">
        <v>436</v>
      </c>
      <c r="G3532" s="24">
        <v>0.91365990509722961</v>
      </c>
      <c r="H3532" s="24">
        <v>0.9189497627295673</v>
      </c>
      <c r="I3532" s="25">
        <v>0.93502093986115919</v>
      </c>
      <c r="X3532" s="15">
        <v>3531</v>
      </c>
      <c r="Y3532" s="39">
        <v>0.48639409598885142</v>
      </c>
      <c r="Z3532" s="39">
        <v>0.47916898576692463</v>
      </c>
      <c r="AA3532" s="39">
        <v>0.46381398970907201</v>
      </c>
      <c r="AB3532" s="39">
        <v>0.47897298898795015</v>
      </c>
      <c r="AC3532" s="39">
        <v>0.47992698799091532</v>
      </c>
      <c r="AD3532" s="39">
        <v>0.47412029938521838</v>
      </c>
      <c r="AE3532" s="39">
        <v>0.45396932230124643</v>
      </c>
      <c r="AF3532" s="40">
        <v>0.47480521158094346</v>
      </c>
    </row>
    <row r="3533" spans="1:32">
      <c r="A3533" s="15">
        <v>3531</v>
      </c>
      <c r="B3533" s="16">
        <v>0</v>
      </c>
      <c r="C3533" s="20">
        <v>0.34</v>
      </c>
      <c r="D3533" s="20">
        <v>0.65776919743408457</v>
      </c>
      <c r="E3533" s="20">
        <v>0.1</v>
      </c>
      <c r="F3533" s="8" t="s">
        <v>436</v>
      </c>
      <c r="G3533" s="24">
        <v>0.64506127309227967</v>
      </c>
      <c r="H3533" s="24">
        <v>0.64879601320701585</v>
      </c>
      <c r="I3533" s="25">
        <v>0.66014256997585319</v>
      </c>
      <c r="X3533" s="15">
        <v>3532</v>
      </c>
      <c r="Y3533" s="39">
        <v>0.47239222727175934</v>
      </c>
      <c r="Z3533" s="39">
        <v>0.49562403054260035</v>
      </c>
      <c r="AA3533" s="39">
        <v>0.46302289067729974</v>
      </c>
      <c r="AB3533" s="39">
        <v>0.49493798481060486</v>
      </c>
      <c r="AC3533" s="39">
        <v>0.46438319375462611</v>
      </c>
      <c r="AD3533" s="39">
        <v>0.48872969608292777</v>
      </c>
      <c r="AE3533" s="39">
        <v>0.45556876871533625</v>
      </c>
      <c r="AF3533" s="40">
        <v>0.48928123675647806</v>
      </c>
    </row>
    <row r="3534" spans="1:32">
      <c r="A3534" s="15">
        <v>3532</v>
      </c>
      <c r="B3534" s="16">
        <v>0</v>
      </c>
      <c r="C3534" s="20">
        <v>0.53</v>
      </c>
      <c r="D3534" s="20">
        <v>0.46650608298000573</v>
      </c>
      <c r="E3534" s="20">
        <v>0.09</v>
      </c>
      <c r="F3534" s="8" t="s">
        <v>438</v>
      </c>
      <c r="G3534" s="24">
        <v>1.1840685905393591</v>
      </c>
      <c r="H3534" s="24">
        <v>1.1909240454366705</v>
      </c>
      <c r="I3534" s="25">
        <v>1.21175168157168</v>
      </c>
      <c r="X3534" s="15">
        <v>3533</v>
      </c>
      <c r="Y3534" s="39">
        <v>0.50396485136046354</v>
      </c>
      <c r="Z3534" s="39">
        <v>0.49218882385430801</v>
      </c>
      <c r="AA3534" s="39">
        <v>0.48479669625534555</v>
      </c>
      <c r="AB3534" s="39">
        <v>0.48421254193638097</v>
      </c>
      <c r="AC3534" s="39">
        <v>0.49710718173245333</v>
      </c>
      <c r="AD3534" s="39">
        <v>0.48651072994216654</v>
      </c>
      <c r="AE3534" s="39">
        <v>0.47819851565798083</v>
      </c>
      <c r="AF3534" s="40">
        <v>0.48016660471068801</v>
      </c>
    </row>
    <row r="3535" spans="1:32">
      <c r="A3535" s="15">
        <v>3533</v>
      </c>
      <c r="B3535" s="16">
        <v>0</v>
      </c>
      <c r="C3535" s="20">
        <v>0.02</v>
      </c>
      <c r="D3535" s="20">
        <v>0.99835916395484214</v>
      </c>
      <c r="E3535" s="20">
        <v>1</v>
      </c>
      <c r="F3535" s="8" t="s">
        <v>436</v>
      </c>
      <c r="G3535" s="24">
        <v>1.0639387423471613</v>
      </c>
      <c r="H3535" s="24">
        <v>1.0700986760874363</v>
      </c>
      <c r="I3535" s="25">
        <v>1.0888132414197136</v>
      </c>
      <c r="X3535" s="15">
        <v>3534</v>
      </c>
      <c r="Y3535" s="39">
        <v>0.48045422635123769</v>
      </c>
      <c r="Z3535" s="39">
        <v>0.48567087033317324</v>
      </c>
      <c r="AA3535" s="39">
        <v>0.49415429399187383</v>
      </c>
      <c r="AB3535" s="39">
        <v>0.48078872613475498</v>
      </c>
      <c r="AC3535" s="39">
        <v>0.47502428439321676</v>
      </c>
      <c r="AD3535" s="39">
        <v>0.47940533097355997</v>
      </c>
      <c r="AE3535" s="39">
        <v>0.4848583739591249</v>
      </c>
      <c r="AF3535" s="40">
        <v>0.47542339444033016</v>
      </c>
    </row>
    <row r="3536" spans="1:32">
      <c r="A3536" s="15">
        <v>3534</v>
      </c>
      <c r="B3536" s="16">
        <v>0</v>
      </c>
      <c r="C3536" s="20">
        <v>0.1</v>
      </c>
      <c r="D3536" s="20">
        <v>0.95371590288269492</v>
      </c>
      <c r="E3536" s="20">
        <v>0.02</v>
      </c>
      <c r="F3536" s="8" t="s">
        <v>436</v>
      </c>
      <c r="G3536" s="24">
        <v>0.83820143689845494</v>
      </c>
      <c r="H3536" s="24">
        <v>0.84305440926123132</v>
      </c>
      <c r="I3536" s="25">
        <v>0.85779828024560634</v>
      </c>
      <c r="X3536" s="15">
        <v>3535</v>
      </c>
      <c r="Y3536" s="39">
        <v>0.49168899124638338</v>
      </c>
      <c r="Z3536" s="39">
        <v>0.4815428859858864</v>
      </c>
      <c r="AA3536" s="39">
        <v>0.48723584078046533</v>
      </c>
      <c r="AB3536" s="39">
        <v>0.50703368462562748</v>
      </c>
      <c r="AC3536" s="39">
        <v>0.48438959342604271</v>
      </c>
      <c r="AD3536" s="39">
        <v>0.47828075852654106</v>
      </c>
      <c r="AE3536" s="39">
        <v>0.47979706301337821</v>
      </c>
      <c r="AF3536" s="40">
        <v>0.50118074179010252</v>
      </c>
    </row>
    <row r="3537" spans="1:32">
      <c r="A3537" s="15">
        <v>3535</v>
      </c>
      <c r="B3537" s="16">
        <v>0</v>
      </c>
      <c r="C3537" s="20">
        <v>0.95</v>
      </c>
      <c r="D3537" s="20">
        <v>0.15570568692893463</v>
      </c>
      <c r="E3537" s="20">
        <v>0.05</v>
      </c>
      <c r="F3537" s="8" t="s">
        <v>434</v>
      </c>
      <c r="G3537" s="24">
        <v>1.173939788497008</v>
      </c>
      <c r="H3537" s="24">
        <v>1.180736600215943</v>
      </c>
      <c r="I3537" s="25">
        <v>1.2013860718382652</v>
      </c>
      <c r="X3537" s="15">
        <v>3536</v>
      </c>
      <c r="Y3537" s="39">
        <v>0.49460348567063428</v>
      </c>
      <c r="Z3537" s="39">
        <v>0.49095909867655163</v>
      </c>
      <c r="AA3537" s="39">
        <v>0.48848850126474397</v>
      </c>
      <c r="AB3537" s="39">
        <v>0.47893195218268519</v>
      </c>
      <c r="AC3537" s="39">
        <v>0.48584936840157344</v>
      </c>
      <c r="AD3537" s="39">
        <v>0.48261330842842343</v>
      </c>
      <c r="AE3537" s="39">
        <v>0.48073192269555531</v>
      </c>
      <c r="AF3537" s="40">
        <v>0.47361365276512751</v>
      </c>
    </row>
    <row r="3538" spans="1:32">
      <c r="A3538" s="15">
        <v>3536</v>
      </c>
      <c r="B3538" s="16">
        <v>0</v>
      </c>
      <c r="C3538" s="20">
        <v>0.18</v>
      </c>
      <c r="D3538" s="20">
        <v>0.80041259647514817</v>
      </c>
      <c r="E3538" s="20">
        <v>0.11</v>
      </c>
      <c r="F3538" s="8" t="s">
        <v>436</v>
      </c>
      <c r="G3538" s="24">
        <v>1.161107237112013</v>
      </c>
      <c r="H3538" s="24">
        <v>1.1678297516340286</v>
      </c>
      <c r="I3538" s="25">
        <v>1.1882535000904246</v>
      </c>
      <c r="X3538" s="15">
        <v>3537</v>
      </c>
      <c r="Y3538" s="39">
        <v>0.47829405501725863</v>
      </c>
      <c r="Z3538" s="39">
        <v>0.48621998235186675</v>
      </c>
      <c r="AA3538" s="39">
        <v>0.48587525007360588</v>
      </c>
      <c r="AB3538" s="39">
        <v>0.48112740961053252</v>
      </c>
      <c r="AC3538" s="39">
        <v>0.47080011260370441</v>
      </c>
      <c r="AD3538" s="39">
        <v>0.47877291745195799</v>
      </c>
      <c r="AE3538" s="39">
        <v>0.47902669101985296</v>
      </c>
      <c r="AF3538" s="40">
        <v>0.47824463421312324</v>
      </c>
    </row>
    <row r="3539" spans="1:32">
      <c r="A3539" s="15">
        <v>3537</v>
      </c>
      <c r="B3539" s="16">
        <v>0</v>
      </c>
      <c r="C3539" s="20">
        <v>0.49</v>
      </c>
      <c r="D3539" s="20">
        <v>0.69389447493858214</v>
      </c>
      <c r="E3539" s="20">
        <v>7.0000000000000007E-2</v>
      </c>
      <c r="F3539" s="8" t="s">
        <v>436</v>
      </c>
      <c r="G3539" s="24">
        <v>2.4959982039043522</v>
      </c>
      <c r="H3539" s="24">
        <v>2.3557193791407478</v>
      </c>
      <c r="I3539" s="25">
        <v>1.6578926537592125</v>
      </c>
      <c r="X3539" s="15">
        <v>3538</v>
      </c>
      <c r="Y3539" s="39">
        <v>0.47914555492743427</v>
      </c>
      <c r="Z3539" s="39">
        <v>0.49138018968264263</v>
      </c>
      <c r="AA3539" s="39">
        <v>0.4853304192901251</v>
      </c>
      <c r="AB3539" s="39">
        <v>0.47779748289820284</v>
      </c>
      <c r="AC3539" s="39">
        <v>0.47200690917624571</v>
      </c>
      <c r="AD3539" s="39">
        <v>0.48288328152715176</v>
      </c>
      <c r="AE3539" s="39">
        <v>0.47773783199246378</v>
      </c>
      <c r="AF3539" s="40">
        <v>0.47185239908304916</v>
      </c>
    </row>
    <row r="3540" spans="1:32">
      <c r="A3540" s="15">
        <v>3538</v>
      </c>
      <c r="B3540" s="16">
        <v>0</v>
      </c>
      <c r="C3540" s="20">
        <v>0.92</v>
      </c>
      <c r="D3540" s="20">
        <v>0.20258497911151899</v>
      </c>
      <c r="E3540" s="20">
        <v>0.08</v>
      </c>
      <c r="F3540" s="8" t="s">
        <v>434</v>
      </c>
      <c r="G3540" s="24">
        <v>0.62744676372348662</v>
      </c>
      <c r="H3540" s="24">
        <v>0.63107952032520598</v>
      </c>
      <c r="I3540" s="25">
        <v>0.64211623981370225</v>
      </c>
      <c r="X3540" s="15">
        <v>3539</v>
      </c>
      <c r="Y3540" s="39">
        <v>0.48466963374809691</v>
      </c>
      <c r="Z3540" s="39">
        <v>0.48463201537642087</v>
      </c>
      <c r="AA3540" s="39">
        <v>0.48213894060278001</v>
      </c>
      <c r="AB3540" s="39">
        <v>0.50321409477187429</v>
      </c>
      <c r="AC3540" s="39">
        <v>0.4792053355917088</v>
      </c>
      <c r="AD3540" s="39">
        <v>0.47605414949982811</v>
      </c>
      <c r="AE3540" s="39">
        <v>0.47581172611619826</v>
      </c>
      <c r="AF3540" s="40">
        <v>0.50034737115788119</v>
      </c>
    </row>
    <row r="3541" spans="1:32">
      <c r="A3541" s="15">
        <v>3539</v>
      </c>
      <c r="B3541" s="16">
        <v>1</v>
      </c>
      <c r="C3541" s="20">
        <v>0.21</v>
      </c>
      <c r="D3541" s="20">
        <v>0.77154939865926964</v>
      </c>
      <c r="E3541" s="20">
        <v>0.11</v>
      </c>
      <c r="F3541" s="8" t="s">
        <v>436</v>
      </c>
      <c r="G3541" s="24">
        <v>0.97169132703323891</v>
      </c>
      <c r="H3541" s="24">
        <v>0.9773171717856538</v>
      </c>
      <c r="I3541" s="25">
        <v>0.99440911523951581</v>
      </c>
      <c r="X3541" s="15">
        <v>3540</v>
      </c>
      <c r="Y3541" s="39">
        <v>0.4830031345416706</v>
      </c>
      <c r="Z3541" s="39">
        <v>0.47926969291683991</v>
      </c>
      <c r="AA3541" s="39">
        <v>0.49448461635479829</v>
      </c>
      <c r="AB3541" s="39">
        <v>0.47884486584988928</v>
      </c>
      <c r="AC3541" s="39">
        <v>0.47649352306522103</v>
      </c>
      <c r="AD3541" s="39">
        <v>0.47130935753795095</v>
      </c>
      <c r="AE3541" s="39">
        <v>0.48373640798884854</v>
      </c>
      <c r="AF3541" s="40">
        <v>0.47576333907925383</v>
      </c>
    </row>
    <row r="3542" spans="1:32">
      <c r="A3542" s="15">
        <v>3540</v>
      </c>
      <c r="B3542" s="16">
        <v>1</v>
      </c>
      <c r="C3542" s="20">
        <v>0.12</v>
      </c>
      <c r="D3542" s="20">
        <v>0.86073348504500302</v>
      </c>
      <c r="E3542" s="20">
        <v>0.46</v>
      </c>
      <c r="F3542" s="8" t="s">
        <v>436</v>
      </c>
      <c r="G3542" s="24">
        <v>0.79597288442726533</v>
      </c>
      <c r="H3542" s="24">
        <v>0.80058136425037119</v>
      </c>
      <c r="I3542" s="25">
        <v>0.814582439646378</v>
      </c>
      <c r="X3542" s="15">
        <v>3541</v>
      </c>
      <c r="Y3542" s="39">
        <v>0.48213273129110895</v>
      </c>
      <c r="Z3542" s="39">
        <v>0.48003525458461949</v>
      </c>
      <c r="AA3542" s="39">
        <v>0.47577494118871105</v>
      </c>
      <c r="AB3542" s="39">
        <v>0.47345753371855914</v>
      </c>
      <c r="AC3542" s="39">
        <v>0.47538414638193427</v>
      </c>
      <c r="AD3542" s="39">
        <v>0.47520128282718033</v>
      </c>
      <c r="AE3542" s="39">
        <v>0.47153575721897911</v>
      </c>
      <c r="AF3542" s="40">
        <v>0.46852189858131038</v>
      </c>
    </row>
    <row r="3543" spans="1:32">
      <c r="A3543" s="15">
        <v>3541</v>
      </c>
      <c r="B3543" s="16">
        <v>1</v>
      </c>
      <c r="C3543" s="20">
        <v>0.02</v>
      </c>
      <c r="D3543" s="20">
        <v>0.99835916395484214</v>
      </c>
      <c r="E3543" s="20">
        <v>1</v>
      </c>
      <c r="F3543" s="8" t="s">
        <v>436</v>
      </c>
      <c r="G3543" s="24">
        <v>0.99054738694761746</v>
      </c>
      <c r="H3543" s="24">
        <v>0.99628240347379349</v>
      </c>
      <c r="I3543" s="25">
        <v>1.0137060229453918</v>
      </c>
      <c r="X3543" s="15">
        <v>3542</v>
      </c>
      <c r="Y3543" s="39">
        <v>0.49177376901330222</v>
      </c>
      <c r="Z3543" s="39">
        <v>0.49336085135479102</v>
      </c>
      <c r="AA3543" s="39">
        <v>0.46777388332183351</v>
      </c>
      <c r="AB3543" s="39">
        <v>0.49020282575821988</v>
      </c>
      <c r="AC3543" s="39">
        <v>0.48291296838034176</v>
      </c>
      <c r="AD3543" s="39">
        <v>0.48360064525032687</v>
      </c>
      <c r="AE3543" s="39">
        <v>0.46159700956353117</v>
      </c>
      <c r="AF3543" s="40">
        <v>0.48327995474681867</v>
      </c>
    </row>
    <row r="3544" spans="1:32">
      <c r="A3544" s="15">
        <v>3542</v>
      </c>
      <c r="B3544" s="16">
        <v>0</v>
      </c>
      <c r="C3544" s="20">
        <v>0.33</v>
      </c>
      <c r="D3544" s="20">
        <v>0.59945364656746325</v>
      </c>
      <c r="E3544" s="20">
        <v>0.1</v>
      </c>
      <c r="F3544" s="8" t="s">
        <v>436</v>
      </c>
      <c r="G3544" s="24">
        <v>0.62306816562017686</v>
      </c>
      <c r="H3544" s="24">
        <v>0.62667557125654627</v>
      </c>
      <c r="I3544" s="25">
        <v>0.63763527168651357</v>
      </c>
      <c r="X3544" s="15">
        <v>3543</v>
      </c>
      <c r="Y3544" s="39">
        <v>0.49255231794427884</v>
      </c>
      <c r="Z3544" s="39">
        <v>0.47188160536894597</v>
      </c>
      <c r="AA3544" s="39">
        <v>0.46568148967194017</v>
      </c>
      <c r="AB3544" s="39">
        <v>0.4828776272778027</v>
      </c>
      <c r="AC3544" s="39">
        <v>0.48457355444833622</v>
      </c>
      <c r="AD3544" s="39">
        <v>0.4693522388708895</v>
      </c>
      <c r="AE3544" s="39">
        <v>0.45860313283328197</v>
      </c>
      <c r="AF3544" s="40">
        <v>0.47892458157578283</v>
      </c>
    </row>
    <row r="3545" spans="1:32">
      <c r="A3545" s="15">
        <v>3543</v>
      </c>
      <c r="B3545" s="16">
        <v>0</v>
      </c>
      <c r="C3545" s="20">
        <v>0.02</v>
      </c>
      <c r="D3545" s="20">
        <v>0.99835916395484214</v>
      </c>
      <c r="E3545" s="20">
        <v>1</v>
      </c>
      <c r="F3545" s="8" t="s">
        <v>436</v>
      </c>
      <c r="G3545" s="24">
        <v>1.1008236869137618</v>
      </c>
      <c r="H3545" s="24">
        <v>1.1071971750679335</v>
      </c>
      <c r="I3545" s="25">
        <v>1.1265605425138985</v>
      </c>
      <c r="X3545" s="15">
        <v>3544</v>
      </c>
      <c r="Y3545" s="39">
        <v>0.48355181135346581</v>
      </c>
      <c r="Z3545" s="39">
        <v>0.47496342121988677</v>
      </c>
      <c r="AA3545" s="39">
        <v>0.493280801702282</v>
      </c>
      <c r="AB3545" s="39">
        <v>0.50638985011333637</v>
      </c>
      <c r="AC3545" s="39">
        <v>0.47774208706824756</v>
      </c>
      <c r="AD3545" s="39">
        <v>0.46923064336312964</v>
      </c>
      <c r="AE3545" s="39">
        <v>0.4886681851618212</v>
      </c>
      <c r="AF3545" s="40">
        <v>0.50349367243572529</v>
      </c>
    </row>
    <row r="3546" spans="1:32">
      <c r="A3546" s="15">
        <v>3544</v>
      </c>
      <c r="B3546" s="16">
        <v>1</v>
      </c>
      <c r="C3546" s="20">
        <v>0.1</v>
      </c>
      <c r="D3546" s="20">
        <v>0.93698643288781636</v>
      </c>
      <c r="E3546" s="20">
        <v>7.0000000000000007E-2</v>
      </c>
      <c r="F3546" s="8" t="s">
        <v>436</v>
      </c>
      <c r="G3546" s="24">
        <v>0.7272423948855864</v>
      </c>
      <c r="H3546" s="24">
        <v>0.73145294271819117</v>
      </c>
      <c r="I3546" s="25">
        <v>0.74424505637077143</v>
      </c>
      <c r="X3546" s="15">
        <v>3545</v>
      </c>
      <c r="Y3546" s="39">
        <v>0.4805500912417302</v>
      </c>
      <c r="Z3546" s="39">
        <v>0.48620730885913332</v>
      </c>
      <c r="AA3546" s="39">
        <v>0.4816166130015192</v>
      </c>
      <c r="AB3546" s="39">
        <v>0.47159965685540201</v>
      </c>
      <c r="AC3546" s="39">
        <v>0.47675162337624089</v>
      </c>
      <c r="AD3546" s="39">
        <v>0.47718494388620564</v>
      </c>
      <c r="AE3546" s="39">
        <v>0.47724179766592034</v>
      </c>
      <c r="AF3546" s="40">
        <v>0.46822039966225448</v>
      </c>
    </row>
    <row r="3547" spans="1:32">
      <c r="A3547" s="15">
        <v>3545</v>
      </c>
      <c r="B3547" s="16">
        <v>1</v>
      </c>
      <c r="C3547" s="20">
        <v>0.25</v>
      </c>
      <c r="D3547" s="20">
        <v>0.84175840818093595</v>
      </c>
      <c r="E3547" s="20">
        <v>0.03</v>
      </c>
      <c r="F3547" s="8" t="s">
        <v>436</v>
      </c>
      <c r="G3547" s="24">
        <v>0.58272239620884825</v>
      </c>
      <c r="H3547" s="24">
        <v>0.58609621013887014</v>
      </c>
      <c r="I3547" s="25">
        <v>0.59634623292718703</v>
      </c>
      <c r="X3547" s="15">
        <v>3546</v>
      </c>
      <c r="Y3547" s="39">
        <v>0.48795801991183713</v>
      </c>
      <c r="Z3547" s="39">
        <v>0.48486545824898442</v>
      </c>
      <c r="AA3547" s="39">
        <v>0.48809483591567832</v>
      </c>
      <c r="AB3547" s="39">
        <v>0.47991592348181955</v>
      </c>
      <c r="AC3547" s="39">
        <v>0.48057655406631289</v>
      </c>
      <c r="AD3547" s="39">
        <v>0.47883822139666005</v>
      </c>
      <c r="AE3547" s="39">
        <v>0.48370705987766416</v>
      </c>
      <c r="AF3547" s="40">
        <v>0.47610719599309004</v>
      </c>
    </row>
    <row r="3548" spans="1:32">
      <c r="A3548" s="15">
        <v>3546</v>
      </c>
      <c r="B3548" s="16">
        <v>0</v>
      </c>
      <c r="C3548" s="20">
        <v>0.5</v>
      </c>
      <c r="D3548" s="20">
        <v>0.47229416112213712</v>
      </c>
      <c r="E3548" s="20">
        <v>0.1</v>
      </c>
      <c r="F3548" s="8" t="s">
        <v>438</v>
      </c>
      <c r="G3548" s="24">
        <v>0.57783115779735283</v>
      </c>
      <c r="H3548" s="24">
        <v>0.58117665270549546</v>
      </c>
      <c r="I3548" s="25">
        <v>0.59134063914870694</v>
      </c>
      <c r="X3548" s="15">
        <v>3547</v>
      </c>
      <c r="Y3548" s="39">
        <v>0.49623153191897768</v>
      </c>
      <c r="Z3548" s="39">
        <v>0.48845904804287921</v>
      </c>
      <c r="AA3548" s="39">
        <v>0.49839443712462062</v>
      </c>
      <c r="AB3548" s="39">
        <v>0.5005585448725447</v>
      </c>
      <c r="AC3548" s="39">
        <v>0.4903622264111227</v>
      </c>
      <c r="AD3548" s="39">
        <v>0.48033820804786032</v>
      </c>
      <c r="AE3548" s="39">
        <v>0.49031605828333613</v>
      </c>
      <c r="AF3548" s="40">
        <v>0.49731978142206268</v>
      </c>
    </row>
    <row r="3549" spans="1:32">
      <c r="A3549" s="15">
        <v>3547</v>
      </c>
      <c r="B3549" s="16">
        <v>0</v>
      </c>
      <c r="C3549" s="20">
        <v>0.36</v>
      </c>
      <c r="D3549" s="20">
        <v>0.78902728849123716</v>
      </c>
      <c r="E3549" s="20">
        <v>0.05</v>
      </c>
      <c r="F3549" s="8" t="s">
        <v>436</v>
      </c>
      <c r="G3549" s="24">
        <v>0.74658707120582457</v>
      </c>
      <c r="H3549" s="24">
        <v>0.75090961977645765</v>
      </c>
      <c r="I3549" s="25">
        <v>0.76404200415555368</v>
      </c>
      <c r="X3549" s="15">
        <v>3548</v>
      </c>
      <c r="Y3549" s="39">
        <v>0.48997517351380943</v>
      </c>
      <c r="Z3549" s="39">
        <v>0.50352417987446163</v>
      </c>
      <c r="AA3549" s="39">
        <v>0.47616701718883514</v>
      </c>
      <c r="AB3549" s="39">
        <v>0.48712462414717006</v>
      </c>
      <c r="AC3549" s="39">
        <v>0.48220606494804102</v>
      </c>
      <c r="AD3549" s="39">
        <v>0.49455347446821663</v>
      </c>
      <c r="AE3549" s="39">
        <v>0.4708726773816162</v>
      </c>
      <c r="AF3549" s="40">
        <v>0.48307445315093284</v>
      </c>
    </row>
    <row r="3550" spans="1:32">
      <c r="A3550" s="15">
        <v>3548</v>
      </c>
      <c r="B3550" s="16">
        <v>1</v>
      </c>
      <c r="C3550" s="20">
        <v>0.43</v>
      </c>
      <c r="D3550" s="20">
        <v>0.60047354963681177</v>
      </c>
      <c r="E3550" s="20">
        <v>0.06</v>
      </c>
      <c r="F3550" s="8" t="s">
        <v>436</v>
      </c>
      <c r="G3550" s="24">
        <v>0.92371303064122801</v>
      </c>
      <c r="H3550" s="24">
        <v>0.92906109330433384</v>
      </c>
      <c r="I3550" s="25">
        <v>0.94530910380733923</v>
      </c>
      <c r="X3550" s="15">
        <v>3549</v>
      </c>
      <c r="Y3550" s="39">
        <v>0.4924491285899249</v>
      </c>
      <c r="Z3550" s="39">
        <v>0.48597367233578137</v>
      </c>
      <c r="AA3550" s="39">
        <v>0.49212443017794855</v>
      </c>
      <c r="AB3550" s="39">
        <v>0.49026117311563061</v>
      </c>
      <c r="AC3550" s="39">
        <v>0.48515569624612309</v>
      </c>
      <c r="AD3550" s="39">
        <v>0.4815174519190053</v>
      </c>
      <c r="AE3550" s="39">
        <v>0.48567656430295492</v>
      </c>
      <c r="AF3550" s="40">
        <v>0.4855796495417124</v>
      </c>
    </row>
    <row r="3551" spans="1:32">
      <c r="A3551" s="15">
        <v>3549</v>
      </c>
      <c r="B3551" s="16">
        <v>0</v>
      </c>
      <c r="C3551" s="20">
        <v>0.94</v>
      </c>
      <c r="D3551" s="20">
        <v>0.17188516685452584</v>
      </c>
      <c r="E3551" s="20">
        <v>0.06</v>
      </c>
      <c r="F3551" s="8" t="s">
        <v>434</v>
      </c>
      <c r="G3551" s="24">
        <v>0.59529907935412174</v>
      </c>
      <c r="H3551" s="24">
        <v>0.59874570906926705</v>
      </c>
      <c r="I3551" s="25">
        <v>0.60921695432934619</v>
      </c>
      <c r="X3551" s="15">
        <v>3550</v>
      </c>
      <c r="Y3551" s="39">
        <v>0.48992887062845514</v>
      </c>
      <c r="Z3551" s="39">
        <v>0.49816182044824808</v>
      </c>
      <c r="AA3551" s="39">
        <v>0.48093889058094252</v>
      </c>
      <c r="AB3551" s="39">
        <v>0.47919756414746234</v>
      </c>
      <c r="AC3551" s="39">
        <v>0.48207805157679889</v>
      </c>
      <c r="AD3551" s="39">
        <v>0.49107754968176998</v>
      </c>
      <c r="AE3551" s="39">
        <v>0.47372900688349168</v>
      </c>
      <c r="AF3551" s="40">
        <v>0.47497779119839351</v>
      </c>
    </row>
    <row r="3552" spans="1:32">
      <c r="A3552" s="15">
        <v>3550</v>
      </c>
      <c r="B3552" s="16">
        <v>0</v>
      </c>
      <c r="C3552" s="20">
        <v>0.02</v>
      </c>
      <c r="D3552" s="20">
        <v>0.99835916395484214</v>
      </c>
      <c r="E3552" s="20">
        <v>1</v>
      </c>
      <c r="F3552" s="8" t="s">
        <v>436</v>
      </c>
      <c r="G3552" s="24">
        <v>1.0245419711594685</v>
      </c>
      <c r="H3552" s="24">
        <v>1.0304738076508724</v>
      </c>
      <c r="I3552" s="25">
        <v>1.048495388115763</v>
      </c>
      <c r="X3552" s="15">
        <v>3551</v>
      </c>
      <c r="Y3552" s="39">
        <v>0.49029904867214735</v>
      </c>
      <c r="Z3552" s="39">
        <v>0.47983504704783525</v>
      </c>
      <c r="AA3552" s="39">
        <v>0.46568548709301455</v>
      </c>
      <c r="AB3552" s="39">
        <v>0.48834646175644686</v>
      </c>
      <c r="AC3552" s="39">
        <v>0.48487840180190522</v>
      </c>
      <c r="AD3552" s="39">
        <v>0.47460326524602342</v>
      </c>
      <c r="AE3552" s="39">
        <v>0.45876364383016199</v>
      </c>
      <c r="AF3552" s="40">
        <v>0.48442594583240445</v>
      </c>
    </row>
    <row r="3553" spans="1:32">
      <c r="A3553" s="15">
        <v>3551</v>
      </c>
      <c r="B3553" s="16">
        <v>1</v>
      </c>
      <c r="C3553" s="20">
        <v>0.92</v>
      </c>
      <c r="D3553" s="20">
        <v>0.20258497911151899</v>
      </c>
      <c r="E3553" s="20">
        <v>0.08</v>
      </c>
      <c r="F3553" s="8" t="s">
        <v>434</v>
      </c>
      <c r="G3553" s="24">
        <v>0.66247259998835606</v>
      </c>
      <c r="H3553" s="24">
        <v>0.66630814724145571</v>
      </c>
      <c r="I3553" s="25">
        <v>0.67796096733331046</v>
      </c>
      <c r="X3553" s="15">
        <v>3552</v>
      </c>
      <c r="Y3553" s="39">
        <v>0.50642493433381108</v>
      </c>
      <c r="Z3553" s="39">
        <v>0.49985933524936732</v>
      </c>
      <c r="AA3553" s="39">
        <v>0.47753487457106036</v>
      </c>
      <c r="AB3553" s="39">
        <v>0.48017863761680246</v>
      </c>
      <c r="AC3553" s="39">
        <v>0.4998824752083767</v>
      </c>
      <c r="AD3553" s="39">
        <v>0.49113619569611272</v>
      </c>
      <c r="AE3553" s="39">
        <v>0.46969680576439082</v>
      </c>
      <c r="AF3553" s="40">
        <v>0.47940723876030483</v>
      </c>
    </row>
    <row r="3554" spans="1:32">
      <c r="A3554" s="15">
        <v>3552</v>
      </c>
      <c r="B3554" s="16">
        <v>0</v>
      </c>
      <c r="C3554" s="20">
        <v>0.02</v>
      </c>
      <c r="D3554" s="20">
        <v>0.99835916395484214</v>
      </c>
      <c r="E3554" s="20">
        <v>1</v>
      </c>
      <c r="F3554" s="8" t="s">
        <v>436</v>
      </c>
      <c r="G3554" s="24">
        <v>1.0499664009894829</v>
      </c>
      <c r="H3554" s="24">
        <v>1.0560454384398363</v>
      </c>
      <c r="I3554" s="25">
        <v>1.074514231826065</v>
      </c>
      <c r="X3554" s="15">
        <v>3553</v>
      </c>
      <c r="Y3554" s="39">
        <v>0.48905065541506887</v>
      </c>
      <c r="Z3554" s="39">
        <v>0.49210291378877002</v>
      </c>
      <c r="AA3554" s="39">
        <v>0.46596212631862899</v>
      </c>
      <c r="AB3554" s="39">
        <v>0.48544696655158015</v>
      </c>
      <c r="AC3554" s="39">
        <v>0.48515068268926687</v>
      </c>
      <c r="AD3554" s="39">
        <v>0.48624161321671266</v>
      </c>
      <c r="AE3554" s="39">
        <v>0.46078690742399625</v>
      </c>
      <c r="AF3554" s="40">
        <v>0.48201351152042493</v>
      </c>
    </row>
    <row r="3555" spans="1:32">
      <c r="A3555" s="15">
        <v>3553</v>
      </c>
      <c r="B3555" s="16">
        <v>0</v>
      </c>
      <c r="C3555" s="20">
        <v>0.57999999999999996</v>
      </c>
      <c r="D3555" s="20">
        <v>0.47699271888999828</v>
      </c>
      <c r="E3555" s="20">
        <v>7.0000000000000007E-2</v>
      </c>
      <c r="F3555" s="8" t="s">
        <v>438</v>
      </c>
      <c r="G3555" s="24">
        <v>0.90501762684758558</v>
      </c>
      <c r="H3555" s="24">
        <v>0.91025744789486074</v>
      </c>
      <c r="I3555" s="25">
        <v>0.9261766083036046</v>
      </c>
      <c r="X3555" s="15">
        <v>3554</v>
      </c>
      <c r="Y3555" s="39">
        <v>0.48047775235042706</v>
      </c>
      <c r="Z3555" s="39">
        <v>0.48960021582432289</v>
      </c>
      <c r="AA3555" s="39">
        <v>0.48887061259039521</v>
      </c>
      <c r="AB3555" s="39">
        <v>0.49780280842782992</v>
      </c>
      <c r="AC3555" s="39">
        <v>0.47395255190665297</v>
      </c>
      <c r="AD3555" s="39">
        <v>0.48417165406379159</v>
      </c>
      <c r="AE3555" s="39">
        <v>0.48223713931933737</v>
      </c>
      <c r="AF3555" s="40">
        <v>0.49260261915516301</v>
      </c>
    </row>
    <row r="3556" spans="1:32">
      <c r="A3556" s="15">
        <v>3554</v>
      </c>
      <c r="B3556" s="16">
        <v>1</v>
      </c>
      <c r="C3556" s="20">
        <v>0.95</v>
      </c>
      <c r="D3556" s="20">
        <v>0.15570568692893463</v>
      </c>
      <c r="E3556" s="20">
        <v>0.05</v>
      </c>
      <c r="F3556" s="8" t="s">
        <v>434</v>
      </c>
      <c r="G3556" s="24">
        <v>1.4128081142729456</v>
      </c>
      <c r="H3556" s="24">
        <v>1.4209879126252878</v>
      </c>
      <c r="I3556" s="25">
        <v>1.4458390517972695</v>
      </c>
      <c r="X3556" s="15">
        <v>3555</v>
      </c>
      <c r="Y3556" s="39">
        <v>0.49965398382682452</v>
      </c>
      <c r="Z3556" s="39">
        <v>0.48740121671604897</v>
      </c>
      <c r="AA3556" s="39">
        <v>0.49676895351397315</v>
      </c>
      <c r="AB3556" s="39">
        <v>0.48201416824980697</v>
      </c>
      <c r="AC3556" s="39">
        <v>0.49129243031621533</v>
      </c>
      <c r="AD3556" s="39">
        <v>0.48068565109783745</v>
      </c>
      <c r="AE3556" s="39">
        <v>0.49237346236966778</v>
      </c>
      <c r="AF3556" s="40">
        <v>0.479817865487633</v>
      </c>
    </row>
    <row r="3557" spans="1:32">
      <c r="A3557" s="15">
        <v>3555</v>
      </c>
      <c r="B3557" s="16">
        <v>1</v>
      </c>
      <c r="C3557" s="20">
        <v>0.36</v>
      </c>
      <c r="D3557" s="20">
        <v>0.60859810449339724</v>
      </c>
      <c r="E3557" s="20">
        <v>7.0000000000000007E-2</v>
      </c>
      <c r="F3557" s="8" t="s">
        <v>436</v>
      </c>
      <c r="G3557" s="24">
        <v>1.9333600937938524</v>
      </c>
      <c r="H3557" s="24">
        <v>1.9445537552330332</v>
      </c>
      <c r="I3557" s="25">
        <v>1.6578926537592125</v>
      </c>
      <c r="X3557" s="15">
        <v>3556</v>
      </c>
      <c r="Y3557" s="39">
        <v>0.48732001041637502</v>
      </c>
      <c r="Z3557" s="39">
        <v>0.48528838056002815</v>
      </c>
      <c r="AA3557" s="39">
        <v>0.47152191659078024</v>
      </c>
      <c r="AB3557" s="39">
        <v>0.50093134778412596</v>
      </c>
      <c r="AC3557" s="39">
        <v>0.481674809131659</v>
      </c>
      <c r="AD3557" s="39">
        <v>0.47781057204907285</v>
      </c>
      <c r="AE3557" s="39">
        <v>0.46365682726516699</v>
      </c>
      <c r="AF3557" s="40">
        <v>0.49737429929706095</v>
      </c>
    </row>
    <row r="3558" spans="1:32">
      <c r="A3558" s="15">
        <v>3556</v>
      </c>
      <c r="B3558" s="16">
        <v>1</v>
      </c>
      <c r="C3558" s="20">
        <v>0.54</v>
      </c>
      <c r="D3558" s="20">
        <v>0.47718249167126497</v>
      </c>
      <c r="E3558" s="20">
        <v>0.05</v>
      </c>
      <c r="F3558" s="8" t="s">
        <v>438</v>
      </c>
      <c r="G3558" s="24">
        <v>0.94105841029412174</v>
      </c>
      <c r="H3558" s="24">
        <v>0.94650689827788648</v>
      </c>
      <c r="I3558" s="25">
        <v>0.96306001209916303</v>
      </c>
      <c r="X3558" s="15">
        <v>3557</v>
      </c>
      <c r="Y3558" s="39">
        <v>0.49778702944232384</v>
      </c>
      <c r="Z3558" s="39">
        <v>0.49902271859766612</v>
      </c>
      <c r="AA3558" s="39">
        <v>0.49976393747900899</v>
      </c>
      <c r="AB3558" s="39">
        <v>0.49560648403033158</v>
      </c>
      <c r="AC3558" s="39">
        <v>0.4903955258898326</v>
      </c>
      <c r="AD3558" s="39">
        <v>0.49291289201752764</v>
      </c>
      <c r="AE3558" s="39">
        <v>0.49289945348091807</v>
      </c>
      <c r="AF3558" s="40">
        <v>0.4912496227463094</v>
      </c>
    </row>
    <row r="3559" spans="1:32">
      <c r="A3559" s="15">
        <v>3557</v>
      </c>
      <c r="B3559" s="16">
        <v>1</v>
      </c>
      <c r="C3559" s="20">
        <v>0.15</v>
      </c>
      <c r="D3559" s="20">
        <v>0.85471496469835462</v>
      </c>
      <c r="E3559" s="20">
        <v>0.12</v>
      </c>
      <c r="F3559" s="8" t="s">
        <v>436</v>
      </c>
      <c r="G3559" s="24">
        <v>0.92778946069887935</v>
      </c>
      <c r="H3559" s="24">
        <v>0.93316112485148128</v>
      </c>
      <c r="I3559" s="25">
        <v>0.94948083931036309</v>
      </c>
      <c r="X3559" s="15">
        <v>3558</v>
      </c>
      <c r="Y3559" s="39">
        <v>0.48924576467432135</v>
      </c>
      <c r="Z3559" s="39">
        <v>0.47282781595129481</v>
      </c>
      <c r="AA3559" s="39">
        <v>0.47301008723723242</v>
      </c>
      <c r="AB3559" s="39">
        <v>0.5008707006827896</v>
      </c>
      <c r="AC3559" s="39">
        <v>0.48319785722118908</v>
      </c>
      <c r="AD3559" s="39">
        <v>0.46558513073737323</v>
      </c>
      <c r="AE3559" s="39">
        <v>0.46874524964437869</v>
      </c>
      <c r="AF3559" s="40">
        <v>0.49548774396199852</v>
      </c>
    </row>
    <row r="3560" spans="1:32">
      <c r="A3560" s="15">
        <v>3558</v>
      </c>
      <c r="B3560" s="16">
        <v>0</v>
      </c>
      <c r="C3560" s="20">
        <v>0.02</v>
      </c>
      <c r="D3560" s="20">
        <v>0.99917029198757767</v>
      </c>
      <c r="E3560" s="20">
        <v>1</v>
      </c>
      <c r="F3560" s="8" t="s">
        <v>436</v>
      </c>
      <c r="G3560" s="24">
        <v>1.0689736909597154</v>
      </c>
      <c r="H3560" s="24">
        <v>1.0751627757672508</v>
      </c>
      <c r="I3560" s="25">
        <v>1.0939659052912469</v>
      </c>
      <c r="X3560" s="15">
        <v>3559</v>
      </c>
      <c r="Y3560" s="39">
        <v>0.49182643890313071</v>
      </c>
      <c r="Z3560" s="39">
        <v>0.47698155639394696</v>
      </c>
      <c r="AA3560" s="39">
        <v>0.47530294041522686</v>
      </c>
      <c r="AB3560" s="39">
        <v>0.48648657487948538</v>
      </c>
      <c r="AC3560" s="39">
        <v>0.48502920097520935</v>
      </c>
      <c r="AD3560" s="39">
        <v>0.46900071109162489</v>
      </c>
      <c r="AE3560" s="39">
        <v>0.47022314277497823</v>
      </c>
      <c r="AF3560" s="40">
        <v>0.48083388146747486</v>
      </c>
    </row>
    <row r="3561" spans="1:32">
      <c r="A3561" s="15">
        <v>3559</v>
      </c>
      <c r="B3561" s="16">
        <v>0</v>
      </c>
      <c r="C3561" s="20">
        <v>0.23</v>
      </c>
      <c r="D3561" s="20">
        <v>0.80907949338626428</v>
      </c>
      <c r="E3561" s="20">
        <v>0.1</v>
      </c>
      <c r="F3561" s="8" t="s">
        <v>436</v>
      </c>
      <c r="G3561" s="24">
        <v>1.2208764472492499</v>
      </c>
      <c r="H3561" s="24">
        <v>1.2279450102414451</v>
      </c>
      <c r="I3561" s="25">
        <v>1.2494200925232306</v>
      </c>
      <c r="X3561" s="15">
        <v>3560</v>
      </c>
      <c r="Y3561" s="39">
        <v>0.46704391830415981</v>
      </c>
      <c r="Z3561" s="39">
        <v>0.48987951903697324</v>
      </c>
      <c r="AA3561" s="39">
        <v>0.49170806994849747</v>
      </c>
      <c r="AB3561" s="39">
        <v>0.49910906732655813</v>
      </c>
      <c r="AC3561" s="39">
        <v>0.46090110204074486</v>
      </c>
      <c r="AD3561" s="39">
        <v>0.47882150373785098</v>
      </c>
      <c r="AE3561" s="39">
        <v>0.48386679058605414</v>
      </c>
      <c r="AF3561" s="40">
        <v>0.4952053912173191</v>
      </c>
    </row>
    <row r="3562" spans="1:32">
      <c r="A3562" s="15">
        <v>3560</v>
      </c>
      <c r="B3562" s="16">
        <v>1</v>
      </c>
      <c r="C3562" s="20">
        <v>0.02</v>
      </c>
      <c r="D3562" s="20">
        <v>0.99679477127711513</v>
      </c>
      <c r="E3562" s="20">
        <v>1</v>
      </c>
      <c r="F3562" s="8" t="s">
        <v>436</v>
      </c>
      <c r="G3562" s="24">
        <v>1.1365951222545767</v>
      </c>
      <c r="H3562" s="24">
        <v>1.143175717888459</v>
      </c>
      <c r="I3562" s="25">
        <v>1.1631683009434337</v>
      </c>
      <c r="X3562" s="15">
        <v>3561</v>
      </c>
      <c r="Y3562" s="39">
        <v>0.49132293057713394</v>
      </c>
      <c r="Z3562" s="39">
        <v>0.47647126322347721</v>
      </c>
      <c r="AA3562" s="39">
        <v>0.49421813928548708</v>
      </c>
      <c r="AB3562" s="39">
        <v>0.48612312751217385</v>
      </c>
      <c r="AC3562" s="39">
        <v>0.48547196169868262</v>
      </c>
      <c r="AD3562" s="39">
        <v>0.47167839354667374</v>
      </c>
      <c r="AE3562" s="39">
        <v>0.48666829628429548</v>
      </c>
      <c r="AF3562" s="40">
        <v>0.48245874259981075</v>
      </c>
    </row>
    <row r="3563" spans="1:32">
      <c r="A3563" s="15">
        <v>3561</v>
      </c>
      <c r="B3563" s="16">
        <v>0</v>
      </c>
      <c r="C3563" s="20">
        <v>0.06</v>
      </c>
      <c r="D3563" s="20">
        <v>0.93750394440454621</v>
      </c>
      <c r="E3563" s="20">
        <v>0.48</v>
      </c>
      <c r="F3563" s="8" t="s">
        <v>436</v>
      </c>
      <c r="G3563" s="24">
        <v>0.96730709203608978</v>
      </c>
      <c r="H3563" s="24">
        <v>0.9729075531869783</v>
      </c>
      <c r="I3563" s="25">
        <v>0.98992237842996922</v>
      </c>
      <c r="X3563" s="15">
        <v>3562</v>
      </c>
      <c r="Y3563" s="39">
        <v>0.48048964790454141</v>
      </c>
      <c r="Z3563" s="39">
        <v>0.48430116074523866</v>
      </c>
      <c r="AA3563" s="39">
        <v>0.47357572147875449</v>
      </c>
      <c r="AB3563" s="39">
        <v>0.49248160010018899</v>
      </c>
      <c r="AC3563" s="39">
        <v>0.4734971876024332</v>
      </c>
      <c r="AD3563" s="39">
        <v>0.47825603744644118</v>
      </c>
      <c r="AE3563" s="39">
        <v>0.46646826686422216</v>
      </c>
      <c r="AF3563" s="40">
        <v>0.48688163444157301</v>
      </c>
    </row>
    <row r="3564" spans="1:32">
      <c r="A3564" s="15">
        <v>3562</v>
      </c>
      <c r="B3564" s="16">
        <v>0</v>
      </c>
      <c r="C3564" s="20">
        <v>0.02</v>
      </c>
      <c r="D3564" s="20">
        <v>0.99756714174924133</v>
      </c>
      <c r="E3564" s="20">
        <v>1</v>
      </c>
      <c r="F3564" s="8" t="s">
        <v>436</v>
      </c>
      <c r="G3564" s="24">
        <v>1.0473230499796937</v>
      </c>
      <c r="H3564" s="24">
        <v>1.0533867831024346</v>
      </c>
      <c r="I3564" s="25">
        <v>1.0718090802354487</v>
      </c>
      <c r="X3564" s="15">
        <v>3563</v>
      </c>
      <c r="Y3564" s="39">
        <v>0.47567044822651566</v>
      </c>
      <c r="Z3564" s="39">
        <v>0.48214782573608705</v>
      </c>
      <c r="AA3564" s="39">
        <v>0.49637901412677254</v>
      </c>
      <c r="AB3564" s="39">
        <v>0.48893954488625613</v>
      </c>
      <c r="AC3564" s="39">
        <v>0.4696300727462196</v>
      </c>
      <c r="AD3564" s="39">
        <v>0.47759004679839462</v>
      </c>
      <c r="AE3564" s="39">
        <v>0.48980216051897835</v>
      </c>
      <c r="AF3564" s="40">
        <v>0.48465672326066567</v>
      </c>
    </row>
    <row r="3565" spans="1:32">
      <c r="A3565" s="15">
        <v>3563</v>
      </c>
      <c r="B3565" s="16">
        <v>0</v>
      </c>
      <c r="C3565" s="20">
        <v>0.02</v>
      </c>
      <c r="D3565" s="20">
        <v>0.99835916395484214</v>
      </c>
      <c r="E3565" s="20">
        <v>1</v>
      </c>
      <c r="F3565" s="8" t="s">
        <v>436</v>
      </c>
      <c r="G3565" s="24">
        <v>1.0738040236561515</v>
      </c>
      <c r="H3565" s="24">
        <v>1.0800210748570225</v>
      </c>
      <c r="I3565" s="25">
        <v>1.0989091694013022</v>
      </c>
      <c r="X3565" s="15">
        <v>3564</v>
      </c>
      <c r="Y3565" s="39">
        <v>0.48163317587887045</v>
      </c>
      <c r="Z3565" s="39">
        <v>0.47449325828722111</v>
      </c>
      <c r="AA3565" s="39">
        <v>0.49926842030002128</v>
      </c>
      <c r="AB3565" s="39">
        <v>0.48573839367439409</v>
      </c>
      <c r="AC3565" s="39">
        <v>0.47409405548065731</v>
      </c>
      <c r="AD3565" s="39">
        <v>0.46911025602652751</v>
      </c>
      <c r="AE3565" s="39">
        <v>0.49504600421942951</v>
      </c>
      <c r="AF3565" s="40">
        <v>0.47861830491899748</v>
      </c>
    </row>
    <row r="3566" spans="1:32">
      <c r="A3566" s="15">
        <v>3564</v>
      </c>
      <c r="B3566" s="16">
        <v>1</v>
      </c>
      <c r="C3566" s="20">
        <v>0.2</v>
      </c>
      <c r="D3566" s="20">
        <v>0.87663484390147417</v>
      </c>
      <c r="E3566" s="20">
        <v>0.09</v>
      </c>
      <c r="F3566" s="8" t="s">
        <v>436</v>
      </c>
      <c r="G3566" s="24">
        <v>1.1581228092128744</v>
      </c>
      <c r="H3566" s="24">
        <v>1.1648280446591504</v>
      </c>
      <c r="I3566" s="25">
        <v>1.1851992973574028</v>
      </c>
      <c r="X3566" s="15">
        <v>3565</v>
      </c>
      <c r="Y3566" s="39">
        <v>0.48103089727694587</v>
      </c>
      <c r="Z3566" s="39">
        <v>0.48409290954671652</v>
      </c>
      <c r="AA3566" s="39">
        <v>0.49477940705369716</v>
      </c>
      <c r="AB3566" s="39">
        <v>0.48663321475277338</v>
      </c>
      <c r="AC3566" s="39">
        <v>0.47438492659781245</v>
      </c>
      <c r="AD3566" s="39">
        <v>0.47644815001144397</v>
      </c>
      <c r="AE3566" s="39">
        <v>0.4887806389950124</v>
      </c>
      <c r="AF3566" s="40">
        <v>0.4856199275996903</v>
      </c>
    </row>
    <row r="3567" spans="1:32">
      <c r="A3567" s="15">
        <v>3565</v>
      </c>
      <c r="B3567" s="16">
        <v>1</v>
      </c>
      <c r="C3567" s="20">
        <v>0.46</v>
      </c>
      <c r="D3567" s="20">
        <v>0.47166239328149534</v>
      </c>
      <c r="E3567" s="20">
        <v>0.09</v>
      </c>
      <c r="F3567" s="8" t="s">
        <v>436</v>
      </c>
      <c r="G3567" s="24">
        <v>1.2672862616854614</v>
      </c>
      <c r="H3567" s="24">
        <v>1.2746235256568077</v>
      </c>
      <c r="I3567" s="25">
        <v>1.2969149514645459</v>
      </c>
      <c r="X3567" s="15">
        <v>3566</v>
      </c>
      <c r="Y3567" s="39">
        <v>0.48480773176825037</v>
      </c>
      <c r="Z3567" s="39">
        <v>0.48412777295112225</v>
      </c>
      <c r="AA3567" s="39">
        <v>0.47466514930597842</v>
      </c>
      <c r="AB3567" s="39">
        <v>0.49507673185782708</v>
      </c>
      <c r="AC3567" s="39">
        <v>0.47828398481717305</v>
      </c>
      <c r="AD3567" s="39">
        <v>0.47757589559432412</v>
      </c>
      <c r="AE3567" s="39">
        <v>0.4704233293102062</v>
      </c>
      <c r="AF3567" s="40">
        <v>0.49232886133552883</v>
      </c>
    </row>
    <row r="3568" spans="1:32">
      <c r="A3568" s="15">
        <v>3566</v>
      </c>
      <c r="B3568" s="16">
        <v>0</v>
      </c>
      <c r="C3568" s="20">
        <v>0.96</v>
      </c>
      <c r="D3568" s="20">
        <v>0.13880369068795359</v>
      </c>
      <c r="E3568" s="20">
        <v>0.04</v>
      </c>
      <c r="F3568" s="8" t="s">
        <v>434</v>
      </c>
      <c r="G3568" s="24">
        <v>0.65707377693415359</v>
      </c>
      <c r="H3568" s="24">
        <v>0.66087806637985735</v>
      </c>
      <c r="I3568" s="25">
        <v>0.67243592176862932</v>
      </c>
      <c r="X3568" s="15">
        <v>3567</v>
      </c>
      <c r="Y3568" s="39">
        <v>0.48191463940842721</v>
      </c>
      <c r="Z3568" s="39">
        <v>0.49241308483991791</v>
      </c>
      <c r="AA3568" s="39">
        <v>0.48791538058588446</v>
      </c>
      <c r="AB3568" s="39">
        <v>0.4803402249218981</v>
      </c>
      <c r="AC3568" s="39">
        <v>0.47874315862641087</v>
      </c>
      <c r="AD3568" s="39">
        <v>0.48761049918516547</v>
      </c>
      <c r="AE3568" s="39">
        <v>0.48463186200686625</v>
      </c>
      <c r="AF3568" s="40">
        <v>0.47782407119275738</v>
      </c>
    </row>
    <row r="3569" spans="1:32">
      <c r="A3569" s="15">
        <v>3567</v>
      </c>
      <c r="B3569" s="16">
        <v>1</v>
      </c>
      <c r="C3569" s="20">
        <v>0.02</v>
      </c>
      <c r="D3569" s="20">
        <v>0.99917029198757767</v>
      </c>
      <c r="E3569" s="20">
        <v>1</v>
      </c>
      <c r="F3569" s="8" t="s">
        <v>436</v>
      </c>
      <c r="G3569" s="24">
        <v>1.1155647358050476</v>
      </c>
      <c r="H3569" s="24">
        <v>1.1220235708695425</v>
      </c>
      <c r="I3569" s="25">
        <v>1.1416462317424332</v>
      </c>
      <c r="X3569" s="15">
        <v>3568</v>
      </c>
      <c r="Y3569" s="39">
        <v>0.48248766163775253</v>
      </c>
      <c r="Z3569" s="39">
        <v>0.48321992293835403</v>
      </c>
      <c r="AA3569" s="39">
        <v>0.49187449359530544</v>
      </c>
      <c r="AB3569" s="39">
        <v>0.48037981707677063</v>
      </c>
      <c r="AC3569" s="39">
        <v>0.47512849122257494</v>
      </c>
      <c r="AD3569" s="39">
        <v>0.47601663129294819</v>
      </c>
      <c r="AE3569" s="39">
        <v>0.4848889741796249</v>
      </c>
      <c r="AF3569" s="40">
        <v>0.47740492261476369</v>
      </c>
    </row>
    <row r="3570" spans="1:32">
      <c r="A3570" s="15">
        <v>3568</v>
      </c>
      <c r="B3570" s="16">
        <v>0</v>
      </c>
      <c r="C3570" s="20">
        <v>0.02</v>
      </c>
      <c r="D3570" s="20">
        <v>0.99756714174924133</v>
      </c>
      <c r="E3570" s="20">
        <v>1</v>
      </c>
      <c r="F3570" s="8" t="s">
        <v>436</v>
      </c>
      <c r="G3570" s="24">
        <v>0.98502147079068259</v>
      </c>
      <c r="H3570" s="24">
        <v>0.99072449367283921</v>
      </c>
      <c r="I3570" s="25">
        <v>1.0080509128876713</v>
      </c>
      <c r="X3570" s="15">
        <v>3569</v>
      </c>
      <c r="Y3570" s="39">
        <v>0.48487112195017834</v>
      </c>
      <c r="Z3570" s="39">
        <v>0.477718932331062</v>
      </c>
      <c r="AA3570" s="39">
        <v>0.48814227371114616</v>
      </c>
      <c r="AB3570" s="39">
        <v>0.48001956472993157</v>
      </c>
      <c r="AC3570" s="39">
        <v>0.47538035598351147</v>
      </c>
      <c r="AD3570" s="39">
        <v>0.47207158771365038</v>
      </c>
      <c r="AE3570" s="39">
        <v>0.48024460743501562</v>
      </c>
      <c r="AF3570" s="40">
        <v>0.47601168462605686</v>
      </c>
    </row>
    <row r="3571" spans="1:32">
      <c r="A3571" s="15">
        <v>3569</v>
      </c>
      <c r="B3571" s="16">
        <v>1</v>
      </c>
      <c r="C3571" s="20">
        <v>0.12</v>
      </c>
      <c r="D3571" s="20">
        <v>0.92415767357300693</v>
      </c>
      <c r="E3571" s="20">
        <v>0.08</v>
      </c>
      <c r="F3571" s="8" t="s">
        <v>436</v>
      </c>
      <c r="G3571" s="24">
        <v>0.86137346004382598</v>
      </c>
      <c r="H3571" s="24">
        <v>0.86636059250579067</v>
      </c>
      <c r="I3571" s="25">
        <v>0.88151205682592337</v>
      </c>
      <c r="X3571" s="15">
        <v>3570</v>
      </c>
      <c r="Y3571" s="39">
        <v>0.48818269703707906</v>
      </c>
      <c r="Z3571" s="39">
        <v>0.49084755290051546</v>
      </c>
      <c r="AA3571" s="39">
        <v>0.48441374018910399</v>
      </c>
      <c r="AB3571" s="39">
        <v>0.50064524149130341</v>
      </c>
      <c r="AC3571" s="39">
        <v>0.47929959134147426</v>
      </c>
      <c r="AD3571" s="39">
        <v>0.48183023076362747</v>
      </c>
      <c r="AE3571" s="39">
        <v>0.47854816605388101</v>
      </c>
      <c r="AF3571" s="40">
        <v>0.49198100078971263</v>
      </c>
    </row>
    <row r="3572" spans="1:32">
      <c r="A3572" s="15">
        <v>3570</v>
      </c>
      <c r="B3572" s="16">
        <v>0</v>
      </c>
      <c r="C3572" s="20">
        <v>0.92</v>
      </c>
      <c r="D3572" s="20">
        <v>0.20258497911151899</v>
      </c>
      <c r="E3572" s="20">
        <v>0.08</v>
      </c>
      <c r="F3572" s="8" t="s">
        <v>434</v>
      </c>
      <c r="G3572" s="24">
        <v>0.55091438005342619</v>
      </c>
      <c r="H3572" s="24">
        <v>0.55410403368913008</v>
      </c>
      <c r="I3572" s="25">
        <v>0.56379455697551362</v>
      </c>
      <c r="X3572" s="15">
        <v>3571</v>
      </c>
      <c r="Y3572" s="39">
        <v>0.4742676475126007</v>
      </c>
      <c r="Z3572" s="39">
        <v>0.48715484905152212</v>
      </c>
      <c r="AA3572" s="39">
        <v>0.49033807184439487</v>
      </c>
      <c r="AB3572" s="39">
        <v>0.48771583169159471</v>
      </c>
      <c r="AC3572" s="39">
        <v>0.46940634664031528</v>
      </c>
      <c r="AD3572" s="39">
        <v>0.47776703155628769</v>
      </c>
      <c r="AE3572" s="39">
        <v>0.48305985476449104</v>
      </c>
      <c r="AF3572" s="40">
        <v>0.48426952331260764</v>
      </c>
    </row>
    <row r="3573" spans="1:32">
      <c r="A3573" s="15">
        <v>3571</v>
      </c>
      <c r="B3573" s="16">
        <v>0</v>
      </c>
      <c r="C3573" s="20">
        <v>0.94</v>
      </c>
      <c r="D3573" s="20">
        <v>0.17188516685452584</v>
      </c>
      <c r="E3573" s="20">
        <v>0.06</v>
      </c>
      <c r="F3573" s="8" t="s">
        <v>434</v>
      </c>
      <c r="G3573" s="24">
        <v>0.78192682830533577</v>
      </c>
      <c r="H3573" s="24">
        <v>0.78645398504885122</v>
      </c>
      <c r="I3573" s="25">
        <v>0.80020799186422265</v>
      </c>
      <c r="X3573" s="15">
        <v>3572</v>
      </c>
      <c r="Y3573" s="39">
        <v>0.47464850227125044</v>
      </c>
      <c r="Z3573" s="39">
        <v>0.49136026679400668</v>
      </c>
      <c r="AA3573" s="39">
        <v>0.48926489526711531</v>
      </c>
      <c r="AB3573" s="39">
        <v>0.48808167701666649</v>
      </c>
      <c r="AC3573" s="39">
        <v>0.47151404816927162</v>
      </c>
      <c r="AD3573" s="39">
        <v>0.48486771859829431</v>
      </c>
      <c r="AE3573" s="39">
        <v>0.48116383653003819</v>
      </c>
      <c r="AF3573" s="40">
        <v>0.48309659629696244</v>
      </c>
    </row>
    <row r="3574" spans="1:32">
      <c r="A3574" s="15">
        <v>3572</v>
      </c>
      <c r="B3574" s="16">
        <v>0</v>
      </c>
      <c r="C3574" s="20">
        <v>0.95</v>
      </c>
      <c r="D3574" s="20">
        <v>0.15570568692893463</v>
      </c>
      <c r="E3574" s="20">
        <v>0.05</v>
      </c>
      <c r="F3574" s="8" t="s">
        <v>434</v>
      </c>
      <c r="G3574" s="24">
        <v>0.72087183679693156</v>
      </c>
      <c r="H3574" s="24">
        <v>0.72504550072433327</v>
      </c>
      <c r="I3574" s="25">
        <v>0.73772555696156805</v>
      </c>
      <c r="X3574" s="15">
        <v>3573</v>
      </c>
      <c r="Y3574" s="39">
        <v>0.48740017538436781</v>
      </c>
      <c r="Z3574" s="39">
        <v>0.50394174598217434</v>
      </c>
      <c r="AA3574" s="39">
        <v>0.48723771323484999</v>
      </c>
      <c r="AB3574" s="39">
        <v>0.48515980545706283</v>
      </c>
      <c r="AC3574" s="39">
        <v>0.47945339237800522</v>
      </c>
      <c r="AD3574" s="39">
        <v>0.49463972618396085</v>
      </c>
      <c r="AE3574" s="39">
        <v>0.48111851520265081</v>
      </c>
      <c r="AF3574" s="40">
        <v>0.4791734915691151</v>
      </c>
    </row>
    <row r="3575" spans="1:32">
      <c r="A3575" s="15">
        <v>3573</v>
      </c>
      <c r="B3575" s="16">
        <v>0</v>
      </c>
      <c r="C3575" s="20">
        <v>0.94</v>
      </c>
      <c r="D3575" s="20">
        <v>0.17188516685452584</v>
      </c>
      <c r="E3575" s="20">
        <v>0.06</v>
      </c>
      <c r="F3575" s="8" t="s">
        <v>434</v>
      </c>
      <c r="G3575" s="24">
        <v>0.75449118494472867</v>
      </c>
      <c r="H3575" s="24">
        <v>0.75885949631632887</v>
      </c>
      <c r="I3575" s="25">
        <v>0.77213091318580507</v>
      </c>
      <c r="X3575" s="15">
        <v>3574</v>
      </c>
      <c r="Y3575" s="39">
        <v>0.48412163643363126</v>
      </c>
      <c r="Z3575" s="39">
        <v>0.49346301973807033</v>
      </c>
      <c r="AA3575" s="39">
        <v>0.48315926707008522</v>
      </c>
      <c r="AB3575" s="39">
        <v>0.47892744472249932</v>
      </c>
      <c r="AC3575" s="39">
        <v>0.47194052011791848</v>
      </c>
      <c r="AD3575" s="39">
        <v>0.48657230105962801</v>
      </c>
      <c r="AE3575" s="39">
        <v>0.47724235602887727</v>
      </c>
      <c r="AF3575" s="40">
        <v>0.47410491717354042</v>
      </c>
    </row>
    <row r="3576" spans="1:32">
      <c r="A3576" s="15">
        <v>3574</v>
      </c>
      <c r="B3576" s="16">
        <v>0</v>
      </c>
      <c r="C3576" s="20">
        <v>0.38</v>
      </c>
      <c r="D3576" s="20">
        <v>0.74671577701491476</v>
      </c>
      <c r="E3576" s="20">
        <v>0.1</v>
      </c>
      <c r="F3576" s="8" t="s">
        <v>436</v>
      </c>
      <c r="G3576" s="24">
        <v>0.87826353859943707</v>
      </c>
      <c r="H3576" s="24">
        <v>0.88334846030492631</v>
      </c>
      <c r="I3576" s="25">
        <v>0.89879701924716005</v>
      </c>
      <c r="X3576" s="15">
        <v>3575</v>
      </c>
      <c r="Y3576" s="39">
        <v>0.48966462838478364</v>
      </c>
      <c r="Z3576" s="39">
        <v>0.48972651071045892</v>
      </c>
      <c r="AA3576" s="39">
        <v>0.4850201844447351</v>
      </c>
      <c r="AB3576" s="39">
        <v>0.50381939315929214</v>
      </c>
      <c r="AC3576" s="39">
        <v>0.48233336859763704</v>
      </c>
      <c r="AD3576" s="39">
        <v>0.4828892662577946</v>
      </c>
      <c r="AE3576" s="39">
        <v>0.47800508854215995</v>
      </c>
      <c r="AF3576" s="40">
        <v>0.49983520546048443</v>
      </c>
    </row>
    <row r="3577" spans="1:32">
      <c r="A3577" s="15">
        <v>3575</v>
      </c>
      <c r="B3577" s="16">
        <v>0</v>
      </c>
      <c r="C3577" s="20">
        <v>0.53</v>
      </c>
      <c r="D3577" s="20">
        <v>0.63264264817137372</v>
      </c>
      <c r="E3577" s="20">
        <v>0.03</v>
      </c>
      <c r="F3577" s="8" t="s">
        <v>438</v>
      </c>
      <c r="G3577" s="24">
        <v>1.2169413667413813</v>
      </c>
      <c r="H3577" s="24">
        <v>1.223987146621893</v>
      </c>
      <c r="I3577" s="25">
        <v>1.2453930112708196</v>
      </c>
      <c r="X3577" s="15">
        <v>3576</v>
      </c>
      <c r="Y3577" s="39">
        <v>0.47010019224119959</v>
      </c>
      <c r="Z3577" s="39">
        <v>0.50650004332870113</v>
      </c>
      <c r="AA3577" s="39">
        <v>0.48646545768931804</v>
      </c>
      <c r="AB3577" s="39">
        <v>0.48946645022194585</v>
      </c>
      <c r="AC3577" s="39">
        <v>0.46321248803077159</v>
      </c>
      <c r="AD3577" s="39">
        <v>0.49970337639661178</v>
      </c>
      <c r="AE3577" s="39">
        <v>0.48141514701646859</v>
      </c>
      <c r="AF3577" s="40">
        <v>0.48692390821518916</v>
      </c>
    </row>
    <row r="3578" spans="1:32">
      <c r="A3578" s="15">
        <v>3576</v>
      </c>
      <c r="B3578" s="16">
        <v>0</v>
      </c>
      <c r="C3578" s="20">
        <v>0.02</v>
      </c>
      <c r="D3578" s="20">
        <v>0.99679477127711513</v>
      </c>
      <c r="E3578" s="20">
        <v>1</v>
      </c>
      <c r="F3578" s="8" t="s">
        <v>436</v>
      </c>
      <c r="G3578" s="24">
        <v>1.0029757352452431</v>
      </c>
      <c r="H3578" s="24">
        <v>1.0087827087356382</v>
      </c>
      <c r="I3578" s="25">
        <v>1.026424941485361</v>
      </c>
      <c r="X3578" s="15">
        <v>3577</v>
      </c>
      <c r="Y3578" s="39">
        <v>0.49378652737625106</v>
      </c>
      <c r="Z3578" s="39">
        <v>0.49700740997753723</v>
      </c>
      <c r="AA3578" s="39">
        <v>0.48938284455769088</v>
      </c>
      <c r="AB3578" s="39">
        <v>0.49329616638616985</v>
      </c>
      <c r="AC3578" s="39">
        <v>0.48652403483192647</v>
      </c>
      <c r="AD3578" s="39">
        <v>0.48909603781573185</v>
      </c>
      <c r="AE3578" s="39">
        <v>0.48177189496593881</v>
      </c>
      <c r="AF3578" s="40">
        <v>0.48935128467218569</v>
      </c>
    </row>
    <row r="3579" spans="1:32">
      <c r="A3579" s="15">
        <v>3577</v>
      </c>
      <c r="B3579" s="16">
        <v>1</v>
      </c>
      <c r="C3579" s="20">
        <v>0.93</v>
      </c>
      <c r="D3579" s="20">
        <v>0.18747949848141848</v>
      </c>
      <c r="E3579" s="20">
        <v>7.0000000000000007E-2</v>
      </c>
      <c r="F3579" s="8" t="s">
        <v>434</v>
      </c>
      <c r="G3579" s="24">
        <v>0.37126237465376161</v>
      </c>
      <c r="H3579" s="24">
        <v>0.37341188903565081</v>
      </c>
      <c r="I3579" s="25">
        <v>0.37994235332774545</v>
      </c>
      <c r="X3579" s="15">
        <v>3578</v>
      </c>
      <c r="Y3579" s="39">
        <v>0.49513267097402891</v>
      </c>
      <c r="Z3579" s="39">
        <v>0.494913962011377</v>
      </c>
      <c r="AA3579" s="39">
        <v>0.48414282463430541</v>
      </c>
      <c r="AB3579" s="39">
        <v>0.48846307878982026</v>
      </c>
      <c r="AC3579" s="39">
        <v>0.48522485648058589</v>
      </c>
      <c r="AD3579" s="39">
        <v>0.48685654506003639</v>
      </c>
      <c r="AE3579" s="39">
        <v>0.47726116297204257</v>
      </c>
      <c r="AF3579" s="40">
        <v>0.48471069309033782</v>
      </c>
    </row>
    <row r="3580" spans="1:32">
      <c r="A3580" s="15">
        <v>3578</v>
      </c>
      <c r="B3580" s="16">
        <v>1</v>
      </c>
      <c r="C3580" s="20">
        <v>0.9</v>
      </c>
      <c r="D3580" s="20">
        <v>0.23159538658365303</v>
      </c>
      <c r="E3580" s="20">
        <v>0.1</v>
      </c>
      <c r="F3580" s="8" t="s">
        <v>434</v>
      </c>
      <c r="G3580" s="24">
        <v>0.39716184082052353</v>
      </c>
      <c r="H3580" s="24">
        <v>0.39946130650049572</v>
      </c>
      <c r="I3580" s="25">
        <v>0.40644733955078755</v>
      </c>
      <c r="X3580" s="15">
        <v>3579</v>
      </c>
      <c r="Y3580" s="39">
        <v>0.48423892101015403</v>
      </c>
      <c r="Z3580" s="39">
        <v>0.48062980927570853</v>
      </c>
      <c r="AA3580" s="39">
        <v>0.48431638808171751</v>
      </c>
      <c r="AB3580" s="39">
        <v>0.47827580427555649</v>
      </c>
      <c r="AC3580" s="39">
        <v>0.47839638557753306</v>
      </c>
      <c r="AD3580" s="39">
        <v>0.47170246932242099</v>
      </c>
      <c r="AE3580" s="39">
        <v>0.47742484770389565</v>
      </c>
      <c r="AF3580" s="40">
        <v>0.47411551961493842</v>
      </c>
    </row>
    <row r="3581" spans="1:32">
      <c r="A3581" s="15">
        <v>3579</v>
      </c>
      <c r="B3581" s="16">
        <v>1</v>
      </c>
      <c r="C3581" s="20">
        <v>0.93</v>
      </c>
      <c r="D3581" s="20">
        <v>0.18747949848141848</v>
      </c>
      <c r="E3581" s="20">
        <v>7.0000000000000007E-2</v>
      </c>
      <c r="F3581" s="8" t="s">
        <v>434</v>
      </c>
      <c r="G3581" s="24">
        <v>0.83226625280292577</v>
      </c>
      <c r="H3581" s="24">
        <v>0.83708486196478682</v>
      </c>
      <c r="I3581" s="25">
        <v>0.85172433371441858</v>
      </c>
      <c r="X3581" s="15">
        <v>3580</v>
      </c>
      <c r="Y3581" s="39">
        <v>0.4929074834798875</v>
      </c>
      <c r="Z3581" s="39">
        <v>0.49298456945408392</v>
      </c>
      <c r="AA3581" s="39">
        <v>0.48112535316046917</v>
      </c>
      <c r="AB3581" s="39">
        <v>0.48291495178043481</v>
      </c>
      <c r="AC3581" s="39">
        <v>0.48714565718880859</v>
      </c>
      <c r="AD3581" s="39">
        <v>0.48403927763879212</v>
      </c>
      <c r="AE3581" s="39">
        <v>0.47329107012135985</v>
      </c>
      <c r="AF3581" s="40">
        <v>0.47837161543793888</v>
      </c>
    </row>
    <row r="3582" spans="1:32">
      <c r="A3582" s="15">
        <v>3580</v>
      </c>
      <c r="B3582" s="16">
        <v>0</v>
      </c>
      <c r="C3582" s="20">
        <v>0.12</v>
      </c>
      <c r="D3582" s="20">
        <v>0.89806581428130461</v>
      </c>
      <c r="E3582" s="20">
        <v>0.08</v>
      </c>
      <c r="F3582" s="8" t="s">
        <v>436</v>
      </c>
      <c r="G3582" s="24">
        <v>1.1001106497031492</v>
      </c>
      <c r="H3582" s="24">
        <v>1.1064800095538794</v>
      </c>
      <c r="I3582" s="25">
        <v>1.1258308347538191</v>
      </c>
      <c r="X3582" s="15">
        <v>3581</v>
      </c>
      <c r="Y3582" s="39">
        <v>0.48443524585111508</v>
      </c>
      <c r="Z3582" s="39">
        <v>0.47418227786830913</v>
      </c>
      <c r="AA3582" s="39">
        <v>0.4865134179011229</v>
      </c>
      <c r="AB3582" s="39">
        <v>0.4897542235618238</v>
      </c>
      <c r="AC3582" s="39">
        <v>0.47725173715971886</v>
      </c>
      <c r="AD3582" s="39">
        <v>0.46862530922439688</v>
      </c>
      <c r="AE3582" s="39">
        <v>0.47778749530831144</v>
      </c>
      <c r="AF3582" s="40">
        <v>0.48352882059522789</v>
      </c>
    </row>
    <row r="3583" spans="1:32">
      <c r="A3583" s="15">
        <v>3581</v>
      </c>
      <c r="B3583" s="16">
        <v>0</v>
      </c>
      <c r="C3583" s="20">
        <v>0.27</v>
      </c>
      <c r="D3583" s="20">
        <v>0.7688157852388029</v>
      </c>
      <c r="E3583" s="20">
        <v>0.12</v>
      </c>
      <c r="F3583" s="8" t="s">
        <v>436</v>
      </c>
      <c r="G3583" s="24">
        <v>0.91546218417083469</v>
      </c>
      <c r="H3583" s="24">
        <v>0.92076247653896404</v>
      </c>
      <c r="I3583" s="25">
        <v>0.93686535556101969</v>
      </c>
      <c r="X3583" s="15">
        <v>3582</v>
      </c>
      <c r="Y3583" s="39">
        <v>0.4784760078927951</v>
      </c>
      <c r="Z3583" s="39">
        <v>0.49150538986889603</v>
      </c>
      <c r="AA3583" s="39">
        <v>0.49057977366989963</v>
      </c>
      <c r="AB3583" s="39">
        <v>0.47964334040360629</v>
      </c>
      <c r="AC3583" s="39">
        <v>0.47193882210351729</v>
      </c>
      <c r="AD3583" s="39">
        <v>0.48093433152824583</v>
      </c>
      <c r="AE3583" s="39">
        <v>0.48352732024650436</v>
      </c>
      <c r="AF3583" s="40">
        <v>0.47575672808703645</v>
      </c>
    </row>
    <row r="3584" spans="1:32">
      <c r="A3584" s="15">
        <v>3582</v>
      </c>
      <c r="B3584" s="16">
        <v>1</v>
      </c>
      <c r="C3584" s="20">
        <v>0.95</v>
      </c>
      <c r="D3584" s="20">
        <v>0.15570568692893463</v>
      </c>
      <c r="E3584" s="20">
        <v>0.05</v>
      </c>
      <c r="F3584" s="8" t="s">
        <v>434</v>
      </c>
      <c r="G3584" s="24">
        <v>0.60998256649648253</v>
      </c>
      <c r="H3584" s="24">
        <v>0.61351420985411786</v>
      </c>
      <c r="I3584" s="25">
        <v>0.62424373603629701</v>
      </c>
      <c r="X3584" s="15">
        <v>3583</v>
      </c>
      <c r="Y3584" s="39">
        <v>0.4823742225080388</v>
      </c>
      <c r="Z3584" s="39">
        <v>0.48582610151646127</v>
      </c>
      <c r="AA3584" s="39">
        <v>0.4883010219593909</v>
      </c>
      <c r="AB3584" s="39">
        <v>0.48709476900085541</v>
      </c>
      <c r="AC3584" s="39">
        <v>0.47517814450821177</v>
      </c>
      <c r="AD3584" s="39">
        <v>0.48258881603924253</v>
      </c>
      <c r="AE3584" s="39">
        <v>0.48059303450428298</v>
      </c>
      <c r="AF3584" s="40">
        <v>0.48593996096767172</v>
      </c>
    </row>
    <row r="3585" spans="1:32">
      <c r="A3585" s="15">
        <v>3583</v>
      </c>
      <c r="B3585" s="16">
        <v>0</v>
      </c>
      <c r="C3585" s="20">
        <v>0.28000000000000003</v>
      </c>
      <c r="D3585" s="20">
        <v>0.73678478122796309</v>
      </c>
      <c r="E3585" s="20">
        <v>0.47</v>
      </c>
      <c r="F3585" s="8" t="s">
        <v>436</v>
      </c>
      <c r="G3585" s="24">
        <v>1.0612691043087636</v>
      </c>
      <c r="H3585" s="24">
        <v>1.0674135815262404</v>
      </c>
      <c r="I3585" s="25">
        <v>1.0860811882193644</v>
      </c>
      <c r="X3585" s="15">
        <v>3584</v>
      </c>
      <c r="Y3585" s="39">
        <v>0.48456464038358099</v>
      </c>
      <c r="Z3585" s="39">
        <v>0.48821089220019198</v>
      </c>
      <c r="AA3585" s="39">
        <v>0.47470537678729385</v>
      </c>
      <c r="AB3585" s="39">
        <v>0.49316239602879919</v>
      </c>
      <c r="AC3585" s="39">
        <v>0.47959811222765386</v>
      </c>
      <c r="AD3585" s="39">
        <v>0.48112806259441615</v>
      </c>
      <c r="AE3585" s="39">
        <v>0.46868580962428652</v>
      </c>
      <c r="AF3585" s="40">
        <v>0.48954321629069519</v>
      </c>
    </row>
    <row r="3586" spans="1:32">
      <c r="A3586" s="15">
        <v>3584</v>
      </c>
      <c r="B3586" s="16">
        <v>0</v>
      </c>
      <c r="C3586" s="20">
        <v>0.11</v>
      </c>
      <c r="D3586" s="20">
        <v>0.91839347686871853</v>
      </c>
      <c r="E3586" s="20">
        <v>7.0000000000000007E-2</v>
      </c>
      <c r="F3586" s="8" t="s">
        <v>436</v>
      </c>
      <c r="G3586" s="24">
        <v>1.1708179572518891</v>
      </c>
      <c r="H3586" s="24">
        <v>1.1775966943647844</v>
      </c>
      <c r="I3586" s="25">
        <v>1.198191253319236</v>
      </c>
      <c r="X3586" s="15">
        <v>3585</v>
      </c>
      <c r="Y3586" s="39">
        <v>0.48029550379497371</v>
      </c>
      <c r="Z3586" s="39">
        <v>0.49978129388847198</v>
      </c>
      <c r="AA3586" s="39">
        <v>0.49842215767428322</v>
      </c>
      <c r="AB3586" s="39">
        <v>0.48124111004909176</v>
      </c>
      <c r="AC3586" s="39">
        <v>0.47386588608252372</v>
      </c>
      <c r="AD3586" s="39">
        <v>0.49178914568800275</v>
      </c>
      <c r="AE3586" s="39">
        <v>0.49198198008986721</v>
      </c>
      <c r="AF3586" s="40">
        <v>0.477549083270916</v>
      </c>
    </row>
    <row r="3587" spans="1:32">
      <c r="A3587" s="15">
        <v>3585</v>
      </c>
      <c r="B3587" s="16">
        <v>0</v>
      </c>
      <c r="C3587" s="20">
        <v>0.97</v>
      </c>
      <c r="D3587" s="20">
        <v>0.12097036642660543</v>
      </c>
      <c r="E3587" s="20">
        <v>0.03</v>
      </c>
      <c r="F3587" s="8" t="s">
        <v>434</v>
      </c>
      <c r="G3587" s="24">
        <v>0.57668346051917152</v>
      </c>
      <c r="H3587" s="24">
        <v>0.58002231055303133</v>
      </c>
      <c r="I3587" s="25">
        <v>0.59016610912748746</v>
      </c>
      <c r="X3587" s="15">
        <v>3586</v>
      </c>
      <c r="Y3587" s="39">
        <v>0.4892065151709753</v>
      </c>
      <c r="Z3587" s="39">
        <v>0.48596968607987545</v>
      </c>
      <c r="AA3587" s="39">
        <v>0.48371341536770596</v>
      </c>
      <c r="AB3587" s="39">
        <v>0.50048915191286236</v>
      </c>
      <c r="AC3587" s="39">
        <v>0.48283522891484193</v>
      </c>
      <c r="AD3587" s="39">
        <v>0.47547466780748404</v>
      </c>
      <c r="AE3587" s="39">
        <v>0.47664958998475937</v>
      </c>
      <c r="AF3587" s="40">
        <v>0.49543417634897086</v>
      </c>
    </row>
    <row r="3588" spans="1:32">
      <c r="A3588" s="15">
        <v>3586</v>
      </c>
      <c r="B3588" s="16">
        <v>1</v>
      </c>
      <c r="C3588" s="20">
        <v>0.25</v>
      </c>
      <c r="D3588" s="20">
        <v>0.78199890440271957</v>
      </c>
      <c r="E3588" s="20">
        <v>0.12</v>
      </c>
      <c r="F3588" s="8" t="s">
        <v>436</v>
      </c>
      <c r="G3588" s="24">
        <v>0.98556422952604728</v>
      </c>
      <c r="H3588" s="24">
        <v>0.99127039484273871</v>
      </c>
      <c r="I3588" s="25">
        <v>1.0086063611239651</v>
      </c>
      <c r="X3588" s="15">
        <v>3587</v>
      </c>
      <c r="Y3588" s="39">
        <v>0.50134284105472504</v>
      </c>
      <c r="Z3588" s="39">
        <v>0.48598799840642765</v>
      </c>
      <c r="AA3588" s="39">
        <v>0.48008298925317971</v>
      </c>
      <c r="AB3588" s="39">
        <v>0.48748157030795103</v>
      </c>
      <c r="AC3588" s="39">
        <v>0.49124798259623242</v>
      </c>
      <c r="AD3588" s="39">
        <v>0.47822294892516637</v>
      </c>
      <c r="AE3588" s="39">
        <v>0.47420969329569623</v>
      </c>
      <c r="AF3588" s="40">
        <v>0.48411893161634861</v>
      </c>
    </row>
    <row r="3589" spans="1:32">
      <c r="A3589" s="15">
        <v>3587</v>
      </c>
      <c r="B3589" s="16">
        <v>0</v>
      </c>
      <c r="C3589" s="20">
        <v>0.91</v>
      </c>
      <c r="D3589" s="20">
        <v>0.2213815995251022</v>
      </c>
      <c r="E3589" s="20">
        <v>0.09</v>
      </c>
      <c r="F3589" s="8" t="s">
        <v>434</v>
      </c>
      <c r="G3589" s="24">
        <v>0.36233142571554233</v>
      </c>
      <c r="H3589" s="24">
        <v>0.36442923218276735</v>
      </c>
      <c r="I3589" s="25">
        <v>0.37080260206638616</v>
      </c>
      <c r="X3589" s="15">
        <v>3588</v>
      </c>
      <c r="Y3589" s="39">
        <v>0.49038264381637908</v>
      </c>
      <c r="Z3589" s="39">
        <v>0.47182577155105815</v>
      </c>
      <c r="AA3589" s="39">
        <v>0.48720729659355477</v>
      </c>
      <c r="AB3589" s="39">
        <v>0.48687335427331679</v>
      </c>
      <c r="AC3589" s="39">
        <v>0.48404805517603883</v>
      </c>
      <c r="AD3589" s="39">
        <v>0.46592603418581291</v>
      </c>
      <c r="AE3589" s="39">
        <v>0.48205876132562248</v>
      </c>
      <c r="AF3589" s="40">
        <v>0.48113846879045685</v>
      </c>
    </row>
    <row r="3590" spans="1:32">
      <c r="A3590" s="15">
        <v>3588</v>
      </c>
      <c r="B3590" s="16">
        <v>0</v>
      </c>
      <c r="C3590" s="20">
        <v>0.36</v>
      </c>
      <c r="D3590" s="20">
        <v>0.60859810449339724</v>
      </c>
      <c r="E3590" s="20">
        <v>7.0000000000000007E-2</v>
      </c>
      <c r="F3590" s="8" t="s">
        <v>436</v>
      </c>
      <c r="G3590" s="24">
        <v>0.69802177214092243</v>
      </c>
      <c r="H3590" s="24">
        <v>0.70206314002660697</v>
      </c>
      <c r="I3590" s="25">
        <v>0.71434126614246263</v>
      </c>
      <c r="X3590" s="15">
        <v>3589</v>
      </c>
      <c r="Y3590" s="39">
        <v>0.48748297330233753</v>
      </c>
      <c r="Z3590" s="39">
        <v>0.47327600591145619</v>
      </c>
      <c r="AA3590" s="39">
        <v>0.48010062876109011</v>
      </c>
      <c r="AB3590" s="39">
        <v>0.48974147756563557</v>
      </c>
      <c r="AC3590" s="39">
        <v>0.47830497431850466</v>
      </c>
      <c r="AD3590" s="39">
        <v>0.46729868235349659</v>
      </c>
      <c r="AE3590" s="39">
        <v>0.47362901855628475</v>
      </c>
      <c r="AF3590" s="40">
        <v>0.48520894380193441</v>
      </c>
    </row>
    <row r="3591" spans="1:32">
      <c r="A3591" s="15">
        <v>3589</v>
      </c>
      <c r="B3591" s="16">
        <v>0</v>
      </c>
      <c r="C3591" s="20">
        <v>0.2</v>
      </c>
      <c r="D3591" s="20">
        <v>0.75026831165509711</v>
      </c>
      <c r="E3591" s="20">
        <v>0.08</v>
      </c>
      <c r="F3591" s="8" t="s">
        <v>436</v>
      </c>
      <c r="G3591" s="24">
        <v>1.1340078050033466</v>
      </c>
      <c r="H3591" s="24">
        <v>1.1405734207307754</v>
      </c>
      <c r="I3591" s="25">
        <v>1.1605204931601791</v>
      </c>
      <c r="X3591" s="15">
        <v>3590</v>
      </c>
      <c r="Y3591" s="39">
        <v>0.4935122780545243</v>
      </c>
      <c r="Z3591" s="39">
        <v>0.47152702997911511</v>
      </c>
      <c r="AA3591" s="39">
        <v>0.48128095913637231</v>
      </c>
      <c r="AB3591" s="39">
        <v>0.48057198707313986</v>
      </c>
      <c r="AC3591" s="39">
        <v>0.48581759070071134</v>
      </c>
      <c r="AD3591" s="39">
        <v>0.46994260417030298</v>
      </c>
      <c r="AE3591" s="39">
        <v>0.4750416295931319</v>
      </c>
      <c r="AF3591" s="40">
        <v>0.47444184339811862</v>
      </c>
    </row>
    <row r="3592" spans="1:32">
      <c r="A3592" s="15">
        <v>3590</v>
      </c>
      <c r="B3592" s="16">
        <v>0</v>
      </c>
      <c r="C3592" s="20">
        <v>0.89</v>
      </c>
      <c r="D3592" s="20">
        <v>0.24559627500636821</v>
      </c>
      <c r="E3592" s="20">
        <v>0.11</v>
      </c>
      <c r="F3592" s="8" t="s">
        <v>434</v>
      </c>
      <c r="G3592" s="24">
        <v>0.48830735206089237</v>
      </c>
      <c r="H3592" s="24">
        <v>0.49113452698540766</v>
      </c>
      <c r="I3592" s="25">
        <v>0.49972379954278678</v>
      </c>
      <c r="X3592" s="15">
        <v>3591</v>
      </c>
      <c r="Y3592" s="39">
        <v>0.48064856866735439</v>
      </c>
      <c r="Z3592" s="39">
        <v>0.49730090094296769</v>
      </c>
      <c r="AA3592" s="39">
        <v>0.48280840559164612</v>
      </c>
      <c r="AB3592" s="39">
        <v>0.49001889328690268</v>
      </c>
      <c r="AC3592" s="39">
        <v>0.47308514323816941</v>
      </c>
      <c r="AD3592" s="39">
        <v>0.48913008465822688</v>
      </c>
      <c r="AE3592" s="39">
        <v>0.47755655396688812</v>
      </c>
      <c r="AF3592" s="40">
        <v>0.48348465191920403</v>
      </c>
    </row>
    <row r="3593" spans="1:32">
      <c r="A3593" s="15">
        <v>3591</v>
      </c>
      <c r="B3593" s="16">
        <v>1</v>
      </c>
      <c r="C3593" s="20">
        <v>0.92</v>
      </c>
      <c r="D3593" s="20">
        <v>0.20258497911151899</v>
      </c>
      <c r="E3593" s="20">
        <v>0.08</v>
      </c>
      <c r="F3593" s="8" t="s">
        <v>434</v>
      </c>
      <c r="G3593" s="24">
        <v>0.78284929822722438</v>
      </c>
      <c r="H3593" s="24">
        <v>0.78738179583612056</v>
      </c>
      <c r="I3593" s="25">
        <v>0.8011520287958489</v>
      </c>
      <c r="X3593" s="15">
        <v>3592</v>
      </c>
      <c r="Y3593" s="39">
        <v>0.47666532098609377</v>
      </c>
      <c r="Z3593" s="39">
        <v>0.49230286288534369</v>
      </c>
      <c r="AA3593" s="39">
        <v>0.49222482138480889</v>
      </c>
      <c r="AB3593" s="39">
        <v>0.50174584903278463</v>
      </c>
      <c r="AC3593" s="39">
        <v>0.47131514828998061</v>
      </c>
      <c r="AD3593" s="39">
        <v>0.48383123523319954</v>
      </c>
      <c r="AE3593" s="39">
        <v>0.48563860068636472</v>
      </c>
      <c r="AF3593" s="40">
        <v>0.49387842210104566</v>
      </c>
    </row>
    <row r="3594" spans="1:32">
      <c r="A3594" s="15">
        <v>3592</v>
      </c>
      <c r="B3594" s="16">
        <v>0</v>
      </c>
      <c r="C3594" s="20">
        <v>0.91</v>
      </c>
      <c r="D3594" s="20">
        <v>0.21727233298780477</v>
      </c>
      <c r="E3594" s="20">
        <v>0.09</v>
      </c>
      <c r="F3594" s="8" t="s">
        <v>434</v>
      </c>
      <c r="G3594" s="24">
        <v>0.36445400541512574</v>
      </c>
      <c r="H3594" s="24">
        <v>0.36656410107700782</v>
      </c>
      <c r="I3594" s="25">
        <v>0.37297480690383439</v>
      </c>
      <c r="X3594" s="15">
        <v>3593</v>
      </c>
      <c r="Y3594" s="39">
        <v>0.47835635262125953</v>
      </c>
      <c r="Z3594" s="39">
        <v>0.49205507622535499</v>
      </c>
      <c r="AA3594" s="39">
        <v>0.48691416187569619</v>
      </c>
      <c r="AB3594" s="39">
        <v>0.49387987721372889</v>
      </c>
      <c r="AC3594" s="39">
        <v>0.4724083300373913</v>
      </c>
      <c r="AD3594" s="39">
        <v>0.48384069852208017</v>
      </c>
      <c r="AE3594" s="39">
        <v>0.48193514923584219</v>
      </c>
      <c r="AF3594" s="40">
        <v>0.49035239385085799</v>
      </c>
    </row>
    <row r="3595" spans="1:32">
      <c r="A3595" s="15">
        <v>3593</v>
      </c>
      <c r="B3595" s="16">
        <v>1</v>
      </c>
      <c r="C3595" s="20">
        <v>0.02</v>
      </c>
      <c r="D3595" s="20">
        <v>0.99756714174924133</v>
      </c>
      <c r="E3595" s="20">
        <v>1</v>
      </c>
      <c r="F3595" s="8" t="s">
        <v>436</v>
      </c>
      <c r="G3595" s="24">
        <v>1.1239614563202875</v>
      </c>
      <c r="H3595" s="24">
        <v>1.1304689062532431</v>
      </c>
      <c r="I3595" s="25">
        <v>1.1502392645154711</v>
      </c>
      <c r="X3595" s="15">
        <v>3594</v>
      </c>
      <c r="Y3595" s="39">
        <v>0.48542253215686898</v>
      </c>
      <c r="Z3595" s="39">
        <v>0.4904970968509042</v>
      </c>
      <c r="AA3595" s="39">
        <v>0.4914718408458838</v>
      </c>
      <c r="AB3595" s="39">
        <v>0.49791278776858072</v>
      </c>
      <c r="AC3595" s="39">
        <v>0.47596346035970971</v>
      </c>
      <c r="AD3595" s="39">
        <v>0.48717615631723249</v>
      </c>
      <c r="AE3595" s="39">
        <v>0.48227548358958983</v>
      </c>
      <c r="AF3595" s="40">
        <v>0.49328568924285854</v>
      </c>
    </row>
    <row r="3596" spans="1:32">
      <c r="A3596" s="15">
        <v>3594</v>
      </c>
      <c r="B3596" s="16">
        <v>1</v>
      </c>
      <c r="C3596" s="20">
        <v>0.47</v>
      </c>
      <c r="D3596" s="20">
        <v>0.57743063658557814</v>
      </c>
      <c r="E3596" s="20">
        <v>0.14000000000000001</v>
      </c>
      <c r="F3596" s="8" t="s">
        <v>436</v>
      </c>
      <c r="G3596" s="24">
        <v>1.1159839129842266</v>
      </c>
      <c r="H3596" s="24">
        <v>1.122445174977591</v>
      </c>
      <c r="I3596" s="25">
        <v>1.1420752091309099</v>
      </c>
      <c r="X3596" s="15">
        <v>3595</v>
      </c>
      <c r="Y3596" s="39">
        <v>0.48239839891710312</v>
      </c>
      <c r="Z3596" s="39">
        <v>0.47909968992318619</v>
      </c>
      <c r="AA3596" s="39">
        <v>0.49100953041753387</v>
      </c>
      <c r="AB3596" s="39">
        <v>0.47933235830587179</v>
      </c>
      <c r="AC3596" s="39">
        <v>0.47421864838547423</v>
      </c>
      <c r="AD3596" s="39">
        <v>0.46786178185190891</v>
      </c>
      <c r="AE3596" s="39">
        <v>0.48648724251703751</v>
      </c>
      <c r="AF3596" s="40">
        <v>0.47512951522242508</v>
      </c>
    </row>
    <row r="3597" spans="1:32">
      <c r="A3597" s="15">
        <v>3595</v>
      </c>
      <c r="B3597" s="16">
        <v>1</v>
      </c>
      <c r="C3597" s="20">
        <v>0.53</v>
      </c>
      <c r="D3597" s="20">
        <v>0.49127256365270627</v>
      </c>
      <c r="E3597" s="20">
        <v>0.15</v>
      </c>
      <c r="F3597" s="8" t="s">
        <v>438</v>
      </c>
      <c r="G3597" s="24">
        <v>1.1694643955748181</v>
      </c>
      <c r="H3597" s="24">
        <v>1.1762352959111093</v>
      </c>
      <c r="I3597" s="25">
        <v>1.1968060458646961</v>
      </c>
      <c r="X3597" s="15">
        <v>3596</v>
      </c>
      <c r="Y3597" s="39">
        <v>0.494628662610064</v>
      </c>
      <c r="Z3597" s="39">
        <v>0.48930639043786917</v>
      </c>
      <c r="AA3597" s="39">
        <v>0.48316366488764856</v>
      </c>
      <c r="AB3597" s="39">
        <v>0.49415226255976769</v>
      </c>
      <c r="AC3597" s="39">
        <v>0.48994813512462454</v>
      </c>
      <c r="AD3597" s="39">
        <v>0.48367241304515224</v>
      </c>
      <c r="AE3597" s="39">
        <v>0.47650422328287889</v>
      </c>
      <c r="AF3597" s="40">
        <v>0.48887824639277538</v>
      </c>
    </row>
    <row r="3598" spans="1:32">
      <c r="A3598" s="15">
        <v>3596</v>
      </c>
      <c r="B3598" s="16">
        <v>1</v>
      </c>
      <c r="C3598" s="20">
        <v>0.13</v>
      </c>
      <c r="D3598" s="20">
        <v>0.91079937743238415</v>
      </c>
      <c r="E3598" s="20">
        <v>0.42</v>
      </c>
      <c r="F3598" s="8" t="s">
        <v>436</v>
      </c>
      <c r="G3598" s="24">
        <v>1.2305130042378349</v>
      </c>
      <c r="H3598" s="24">
        <v>1.2376373604351945</v>
      </c>
      <c r="I3598" s="25">
        <v>1.2592819486933702</v>
      </c>
      <c r="X3598" s="15">
        <v>3597</v>
      </c>
      <c r="Y3598" s="39">
        <v>0.48564589807525221</v>
      </c>
      <c r="Z3598" s="39">
        <v>0.48798349794235057</v>
      </c>
      <c r="AA3598" s="39">
        <v>0.48273730179392588</v>
      </c>
      <c r="AB3598" s="39">
        <v>0.48699667364029586</v>
      </c>
      <c r="AC3598" s="39">
        <v>0.47942583020678825</v>
      </c>
      <c r="AD3598" s="39">
        <v>0.47925394494497831</v>
      </c>
      <c r="AE3598" s="39">
        <v>0.4777407666081987</v>
      </c>
      <c r="AF3598" s="40">
        <v>0.48269581037965081</v>
      </c>
    </row>
    <row r="3599" spans="1:32">
      <c r="A3599" s="15">
        <v>3597</v>
      </c>
      <c r="B3599" s="16">
        <v>0</v>
      </c>
      <c r="C3599" s="20">
        <v>0.94</v>
      </c>
      <c r="D3599" s="20">
        <v>0.17188516685452584</v>
      </c>
      <c r="E3599" s="20">
        <v>0.06</v>
      </c>
      <c r="F3599" s="8" t="s">
        <v>434</v>
      </c>
      <c r="G3599" s="24">
        <v>0.45330036839944721</v>
      </c>
      <c r="H3599" s="24">
        <v>0.45592486182434377</v>
      </c>
      <c r="I3599" s="25">
        <v>0.46389836539358287</v>
      </c>
      <c r="X3599" s="15">
        <v>3598</v>
      </c>
      <c r="Y3599" s="39">
        <v>0.48668977886197129</v>
      </c>
      <c r="Z3599" s="39">
        <v>0.47917229369578629</v>
      </c>
      <c r="AA3599" s="39">
        <v>0.48650302456445788</v>
      </c>
      <c r="AB3599" s="39">
        <v>0.49293909539077158</v>
      </c>
      <c r="AC3599" s="39">
        <v>0.47829417461017582</v>
      </c>
      <c r="AD3599" s="39">
        <v>0.47094600420057725</v>
      </c>
      <c r="AE3599" s="39">
        <v>0.48103720158234214</v>
      </c>
      <c r="AF3599" s="40">
        <v>0.48935968447057776</v>
      </c>
    </row>
    <row r="3600" spans="1:32">
      <c r="A3600" s="15">
        <v>3598</v>
      </c>
      <c r="B3600" s="16">
        <v>0</v>
      </c>
      <c r="C3600" s="20">
        <v>0.89</v>
      </c>
      <c r="D3600" s="20">
        <v>0.24559627500636821</v>
      </c>
      <c r="E3600" s="20">
        <v>0.11</v>
      </c>
      <c r="F3600" s="8" t="s">
        <v>434</v>
      </c>
      <c r="G3600" s="24">
        <v>0.69388951983579739</v>
      </c>
      <c r="H3600" s="24">
        <v>0.69790696303542199</v>
      </c>
      <c r="I3600" s="25">
        <v>0.71011240328821457</v>
      </c>
      <c r="X3600" s="15">
        <v>3599</v>
      </c>
      <c r="Y3600" s="39">
        <v>0.47704818230530138</v>
      </c>
      <c r="Z3600" s="39">
        <v>0.4863383809026724</v>
      </c>
      <c r="AA3600" s="39">
        <v>0.48568427151839927</v>
      </c>
      <c r="AB3600" s="39">
        <v>0.49967129633338675</v>
      </c>
      <c r="AC3600" s="39">
        <v>0.4729949021505247</v>
      </c>
      <c r="AD3600" s="39">
        <v>0.48218372670295351</v>
      </c>
      <c r="AE3600" s="39">
        <v>0.47888713933585375</v>
      </c>
      <c r="AF3600" s="40">
        <v>0.49625799644657992</v>
      </c>
    </row>
    <row r="3601" spans="1:32">
      <c r="A3601" s="15">
        <v>3599</v>
      </c>
      <c r="B3601" s="16">
        <v>1</v>
      </c>
      <c r="C3601" s="20">
        <v>0.02</v>
      </c>
      <c r="D3601" s="20">
        <v>0.99756714174924133</v>
      </c>
      <c r="E3601" s="20">
        <v>1</v>
      </c>
      <c r="F3601" s="8" t="s">
        <v>436</v>
      </c>
      <c r="G3601" s="24">
        <v>1.0972517475543173</v>
      </c>
      <c r="H3601" s="24">
        <v>1.1036045550913607</v>
      </c>
      <c r="I3601" s="25">
        <v>1.1229050925172837</v>
      </c>
      <c r="X3601" s="15">
        <v>3600</v>
      </c>
      <c r="Y3601" s="39">
        <v>0.48479139652006642</v>
      </c>
      <c r="Z3601" s="39">
        <v>0.48612390604245248</v>
      </c>
      <c r="AA3601" s="39">
        <v>0.49181554246644027</v>
      </c>
      <c r="AB3601" s="39">
        <v>0.49641902360179851</v>
      </c>
      <c r="AC3601" s="39">
        <v>0.47864278009579619</v>
      </c>
      <c r="AD3601" s="39">
        <v>0.47763671656689233</v>
      </c>
      <c r="AE3601" s="39">
        <v>0.48618075358251384</v>
      </c>
      <c r="AF3601" s="40">
        <v>0.49199747767513158</v>
      </c>
    </row>
    <row r="3602" spans="1:32">
      <c r="A3602" s="15">
        <v>3600</v>
      </c>
      <c r="B3602" s="16">
        <v>1</v>
      </c>
      <c r="C3602" s="20">
        <v>0.02</v>
      </c>
      <c r="D3602" s="20">
        <v>0.99679477127711513</v>
      </c>
      <c r="E3602" s="20">
        <v>1</v>
      </c>
      <c r="F3602" s="8" t="s">
        <v>436</v>
      </c>
      <c r="G3602" s="24">
        <v>0.96569210349696788</v>
      </c>
      <c r="H3602" s="24">
        <v>0.97128321427645214</v>
      </c>
      <c r="I3602" s="25">
        <v>0.9882696320488592</v>
      </c>
      <c r="X3602" s="15">
        <v>3601</v>
      </c>
      <c r="Y3602" s="39">
        <v>0.47808729612992634</v>
      </c>
      <c r="Z3602" s="39">
        <v>0.48292966601968984</v>
      </c>
      <c r="AA3602" s="39">
        <v>0.48691174935850784</v>
      </c>
      <c r="AB3602" s="39">
        <v>0.4866311952570867</v>
      </c>
      <c r="AC3602" s="39">
        <v>0.46955621960588251</v>
      </c>
      <c r="AD3602" s="39">
        <v>0.47986201796515926</v>
      </c>
      <c r="AE3602" s="39">
        <v>0.47915773175613857</v>
      </c>
      <c r="AF3602" s="40">
        <v>0.48069187707785271</v>
      </c>
    </row>
    <row r="3603" spans="1:32">
      <c r="A3603" s="15">
        <v>3601</v>
      </c>
      <c r="B3603" s="16">
        <v>1</v>
      </c>
      <c r="C3603" s="20">
        <v>0.26</v>
      </c>
      <c r="D3603" s="20">
        <v>0.72511911256023343</v>
      </c>
      <c r="E3603" s="20">
        <v>0.05</v>
      </c>
      <c r="F3603" s="8" t="s">
        <v>436</v>
      </c>
      <c r="G3603" s="24">
        <v>0.97626673334069136</v>
      </c>
      <c r="H3603" s="24">
        <v>0.98191906852772148</v>
      </c>
      <c r="I3603" s="25">
        <v>0.99909149287475374</v>
      </c>
      <c r="X3603" s="15">
        <v>3602</v>
      </c>
      <c r="Y3603" s="39">
        <v>0.46953891726829688</v>
      </c>
      <c r="Z3603" s="39">
        <v>0.4754444339772862</v>
      </c>
      <c r="AA3603" s="39">
        <v>0.50188508573300072</v>
      </c>
      <c r="AB3603" s="39">
        <v>0.48765547156602568</v>
      </c>
      <c r="AC3603" s="39">
        <v>0.46307562758624182</v>
      </c>
      <c r="AD3603" s="39">
        <v>0.46677715965649919</v>
      </c>
      <c r="AE3603" s="39">
        <v>0.49487845015780474</v>
      </c>
      <c r="AF3603" s="40">
        <v>0.48174381318123821</v>
      </c>
    </row>
    <row r="3604" spans="1:32">
      <c r="A3604" s="15">
        <v>3602</v>
      </c>
      <c r="B3604" s="16">
        <v>1</v>
      </c>
      <c r="C3604" s="20">
        <v>0.89</v>
      </c>
      <c r="D3604" s="20">
        <v>0.24559627500636821</v>
      </c>
      <c r="E3604" s="20">
        <v>0.11</v>
      </c>
      <c r="F3604" s="8" t="s">
        <v>434</v>
      </c>
      <c r="G3604" s="24">
        <v>2.6351185783997564</v>
      </c>
      <c r="H3604" s="24">
        <v>2.3557193791407478</v>
      </c>
      <c r="I3604" s="25">
        <v>1.6578926537592125</v>
      </c>
      <c r="X3604" s="15">
        <v>3603</v>
      </c>
      <c r="Y3604" s="39">
        <v>0.47913264822377033</v>
      </c>
      <c r="Z3604" s="39">
        <v>0.48236182083379947</v>
      </c>
      <c r="AA3604" s="39">
        <v>0.4798014460676337</v>
      </c>
      <c r="AB3604" s="39">
        <v>0.49403055708760163</v>
      </c>
      <c r="AC3604" s="39">
        <v>0.47240334882949042</v>
      </c>
      <c r="AD3604" s="39">
        <v>0.47536306516145671</v>
      </c>
      <c r="AE3604" s="39">
        <v>0.47232418570802764</v>
      </c>
      <c r="AF3604" s="40">
        <v>0.4901760745284901</v>
      </c>
    </row>
    <row r="3605" spans="1:32">
      <c r="A3605" s="15">
        <v>3603</v>
      </c>
      <c r="B3605" s="16">
        <v>1</v>
      </c>
      <c r="C3605" s="20">
        <v>0.5</v>
      </c>
      <c r="D3605" s="20">
        <v>0.46875029586487232</v>
      </c>
      <c r="E3605" s="20">
        <v>0.08</v>
      </c>
      <c r="F3605" s="8" t="s">
        <v>438</v>
      </c>
      <c r="G3605" s="24">
        <v>0.58176730448734915</v>
      </c>
      <c r="H3605" s="24">
        <v>0.58513558868009752</v>
      </c>
      <c r="I3605" s="25">
        <v>0.59536881151019416</v>
      </c>
      <c r="X3605" s="15">
        <v>3604</v>
      </c>
      <c r="Y3605" s="39">
        <v>0.48240961257085729</v>
      </c>
      <c r="Z3605" s="39">
        <v>0.47791651962196846</v>
      </c>
      <c r="AA3605" s="39">
        <v>0.48644012306981649</v>
      </c>
      <c r="AB3605" s="39">
        <v>0.48695524532386408</v>
      </c>
      <c r="AC3605" s="39">
        <v>0.47390629043579774</v>
      </c>
      <c r="AD3605" s="39">
        <v>0.47220120778857794</v>
      </c>
      <c r="AE3605" s="39">
        <v>0.47681205024624085</v>
      </c>
      <c r="AF3605" s="40">
        <v>0.48334717458301218</v>
      </c>
    </row>
    <row r="3606" spans="1:32">
      <c r="A3606" s="15">
        <v>3604</v>
      </c>
      <c r="B3606" s="16">
        <v>1</v>
      </c>
      <c r="C3606" s="20">
        <v>0.54</v>
      </c>
      <c r="D3606" s="20">
        <v>0.63662982680318769</v>
      </c>
      <c r="E3606" s="20">
        <v>0.46</v>
      </c>
      <c r="F3606" s="8" t="s">
        <v>438</v>
      </c>
      <c r="G3606" s="24">
        <v>0.54480516748732266</v>
      </c>
      <c r="H3606" s="24">
        <v>0.54795945034168858</v>
      </c>
      <c r="I3606" s="25">
        <v>0.55754251325169302</v>
      </c>
      <c r="X3606" s="15">
        <v>3605</v>
      </c>
      <c r="Y3606" s="39">
        <v>0.49299257742509889</v>
      </c>
      <c r="Z3606" s="39">
        <v>0.47733165718930665</v>
      </c>
      <c r="AA3606" s="39">
        <v>0.48511440436391912</v>
      </c>
      <c r="AB3606" s="39">
        <v>0.49094065219836508</v>
      </c>
      <c r="AC3606" s="39">
        <v>0.48723972350995942</v>
      </c>
      <c r="AD3606" s="39">
        <v>0.47364370581221549</v>
      </c>
      <c r="AE3606" s="39">
        <v>0.47869284949223634</v>
      </c>
      <c r="AF3606" s="40">
        <v>0.48405370200147219</v>
      </c>
    </row>
    <row r="3607" spans="1:32">
      <c r="A3607" s="15">
        <v>3605</v>
      </c>
      <c r="B3607" s="16">
        <v>0</v>
      </c>
      <c r="C3607" s="20">
        <v>0.02</v>
      </c>
      <c r="D3607" s="20">
        <v>0.99604261948721451</v>
      </c>
      <c r="E3607" s="20">
        <v>1</v>
      </c>
      <c r="F3607" s="8" t="s">
        <v>436</v>
      </c>
      <c r="G3607" s="24">
        <v>1.1636170561188257</v>
      </c>
      <c r="H3607" s="24">
        <v>1.1703541018522416</v>
      </c>
      <c r="I3607" s="25">
        <v>1.1908219977486223</v>
      </c>
      <c r="X3607" s="15">
        <v>3606</v>
      </c>
      <c r="Y3607" s="39">
        <v>0.48557792721565851</v>
      </c>
      <c r="Z3607" s="39">
        <v>0.49131518702574245</v>
      </c>
      <c r="AA3607" s="39">
        <v>0.48700392822624855</v>
      </c>
      <c r="AB3607" s="39">
        <v>0.4801575167215516</v>
      </c>
      <c r="AC3607" s="39">
        <v>0.47915768668072001</v>
      </c>
      <c r="AD3607" s="39">
        <v>0.48348526299110722</v>
      </c>
      <c r="AE3607" s="39">
        <v>0.48018135678223745</v>
      </c>
      <c r="AF3607" s="40">
        <v>0.47534449826098785</v>
      </c>
    </row>
    <row r="3608" spans="1:32">
      <c r="A3608" s="15">
        <v>3606</v>
      </c>
      <c r="B3608" s="16">
        <v>0</v>
      </c>
      <c r="C3608" s="20">
        <v>0.4</v>
      </c>
      <c r="D3608" s="20">
        <v>0.59205020030514022</v>
      </c>
      <c r="E3608" s="20">
        <v>0.1</v>
      </c>
      <c r="F3608" s="8" t="s">
        <v>436</v>
      </c>
      <c r="G3608" s="24">
        <v>0.93553467124211542</v>
      </c>
      <c r="H3608" s="24">
        <v>0.94095117818674268</v>
      </c>
      <c r="I3608" s="25">
        <v>0.95740713004628897</v>
      </c>
      <c r="X3608" s="15">
        <v>3607</v>
      </c>
      <c r="Y3608" s="39">
        <v>0.49084835983398395</v>
      </c>
      <c r="Z3608" s="39">
        <v>0.48986653466655516</v>
      </c>
      <c r="AA3608" s="39">
        <v>0.48714812701715765</v>
      </c>
      <c r="AB3608" s="39">
        <v>0.49315743455242134</v>
      </c>
      <c r="AC3608" s="39">
        <v>0.48294070473874917</v>
      </c>
      <c r="AD3608" s="39">
        <v>0.4832525367423488</v>
      </c>
      <c r="AE3608" s="39">
        <v>0.48201878537573017</v>
      </c>
      <c r="AF3608" s="40">
        <v>0.49139425057682312</v>
      </c>
    </row>
    <row r="3609" spans="1:32">
      <c r="A3609" s="15">
        <v>3607</v>
      </c>
      <c r="B3609" s="16">
        <v>0</v>
      </c>
      <c r="C3609" s="20">
        <v>0.95</v>
      </c>
      <c r="D3609" s="20">
        <v>0.15570568692893463</v>
      </c>
      <c r="E3609" s="20">
        <v>0.05</v>
      </c>
      <c r="F3609" s="8" t="s">
        <v>434</v>
      </c>
      <c r="G3609" s="24">
        <v>1.950695490038969</v>
      </c>
      <c r="H3609" s="24">
        <v>1.9619895189974261</v>
      </c>
      <c r="I3609" s="25">
        <v>1.6578926537592125</v>
      </c>
      <c r="X3609" s="15">
        <v>3608</v>
      </c>
      <c r="Y3609" s="39">
        <v>0.47888463551243254</v>
      </c>
      <c r="Z3609" s="39">
        <v>0.47692640850725543</v>
      </c>
      <c r="AA3609" s="39">
        <v>0.48650185233690546</v>
      </c>
      <c r="AB3609" s="39">
        <v>0.50863621729224795</v>
      </c>
      <c r="AC3609" s="39">
        <v>0.47561188725712267</v>
      </c>
      <c r="AD3609" s="39">
        <v>0.47384313419659768</v>
      </c>
      <c r="AE3609" s="39">
        <v>0.47752501726591617</v>
      </c>
      <c r="AF3609" s="40">
        <v>0.50576185748537972</v>
      </c>
    </row>
    <row r="3610" spans="1:32">
      <c r="A3610" s="15">
        <v>3608</v>
      </c>
      <c r="B3610" s="16">
        <v>1</v>
      </c>
      <c r="C3610" s="20">
        <v>0.02</v>
      </c>
      <c r="D3610" s="20">
        <v>0.99835916395484214</v>
      </c>
      <c r="E3610" s="20">
        <v>1</v>
      </c>
      <c r="F3610" s="8" t="s">
        <v>436</v>
      </c>
      <c r="G3610" s="24">
        <v>1.0773420651888881</v>
      </c>
      <c r="H3610" s="24">
        <v>1.0835796007471235</v>
      </c>
      <c r="I3610" s="25">
        <v>1.1025299290524058</v>
      </c>
      <c r="X3610" s="15">
        <v>3609</v>
      </c>
      <c r="Y3610" s="39">
        <v>0.47528070695692387</v>
      </c>
      <c r="Z3610" s="39">
        <v>0.47880279349407501</v>
      </c>
      <c r="AA3610" s="39">
        <v>0.49365915222568008</v>
      </c>
      <c r="AB3610" s="39">
        <v>0.47920297875800144</v>
      </c>
      <c r="AC3610" s="39">
        <v>0.46521804153934465</v>
      </c>
      <c r="AD3610" s="39">
        <v>0.47136056473685428</v>
      </c>
      <c r="AE3610" s="39">
        <v>0.48441276112080622</v>
      </c>
      <c r="AF3610" s="40">
        <v>0.47440062780616565</v>
      </c>
    </row>
    <row r="3611" spans="1:32">
      <c r="A3611" s="15">
        <v>3609</v>
      </c>
      <c r="B3611" s="16">
        <v>1</v>
      </c>
      <c r="C3611" s="20">
        <v>0.94</v>
      </c>
      <c r="D3611" s="20">
        <v>0.17188516685452584</v>
      </c>
      <c r="E3611" s="20">
        <v>0.06</v>
      </c>
      <c r="F3611" s="8" t="s">
        <v>434</v>
      </c>
      <c r="G3611" s="24">
        <v>1.1631559231721709</v>
      </c>
      <c r="H3611" s="24">
        <v>1.1698902990635331</v>
      </c>
      <c r="I3611" s="25">
        <v>1.1903500836821554</v>
      </c>
      <c r="X3611" s="15">
        <v>3610</v>
      </c>
      <c r="Y3611" s="39">
        <v>0.4859963308614117</v>
      </c>
      <c r="Z3611" s="39">
        <v>0.48669542883168609</v>
      </c>
      <c r="AA3611" s="39">
        <v>0.47881774320487247</v>
      </c>
      <c r="AB3611" s="39">
        <v>0.48883008860920241</v>
      </c>
      <c r="AC3611" s="39">
        <v>0.47957834122780296</v>
      </c>
      <c r="AD3611" s="39">
        <v>0.47964237190832437</v>
      </c>
      <c r="AE3611" s="39">
        <v>0.47375736837377819</v>
      </c>
      <c r="AF3611" s="40">
        <v>0.48494460907519249</v>
      </c>
    </row>
    <row r="3612" spans="1:32">
      <c r="A3612" s="15">
        <v>3610</v>
      </c>
      <c r="B3612" s="16">
        <v>0</v>
      </c>
      <c r="C3612" s="20">
        <v>0.06</v>
      </c>
      <c r="D3612" s="20">
        <v>0.93753367815965605</v>
      </c>
      <c r="E3612" s="20">
        <v>0.41</v>
      </c>
      <c r="F3612" s="8" t="s">
        <v>436</v>
      </c>
      <c r="G3612" s="24">
        <v>1.1260166450779552</v>
      </c>
      <c r="H3612" s="24">
        <v>1.1325359940292163</v>
      </c>
      <c r="I3612" s="25">
        <v>1.1523425028354037</v>
      </c>
      <c r="X3612" s="15">
        <v>3611</v>
      </c>
      <c r="Y3612" s="39">
        <v>0.47449979818195592</v>
      </c>
      <c r="Z3612" s="39">
        <v>0.4936310490316923</v>
      </c>
      <c r="AA3612" s="39">
        <v>0.47479100187715273</v>
      </c>
      <c r="AB3612" s="39">
        <v>0.47927534216203205</v>
      </c>
      <c r="AC3612" s="39">
        <v>0.4687555350353898</v>
      </c>
      <c r="AD3612" s="39">
        <v>0.4850802625255074</v>
      </c>
      <c r="AE3612" s="39">
        <v>0.46789118137856361</v>
      </c>
      <c r="AF3612" s="40">
        <v>0.47578074427490619</v>
      </c>
    </row>
    <row r="3613" spans="1:32">
      <c r="A3613" s="15">
        <v>3611</v>
      </c>
      <c r="B3613" s="16">
        <v>1</v>
      </c>
      <c r="C3613" s="20">
        <v>0.89</v>
      </c>
      <c r="D3613" s="20">
        <v>0.24559627500636821</v>
      </c>
      <c r="E3613" s="20">
        <v>0.11</v>
      </c>
      <c r="F3613" s="8" t="s">
        <v>434</v>
      </c>
      <c r="G3613" s="24">
        <v>1.416306511173016</v>
      </c>
      <c r="H3613" s="24">
        <v>1.4245065643504189</v>
      </c>
      <c r="I3613" s="25">
        <v>1.4494192399386798</v>
      </c>
      <c r="X3613" s="15">
        <v>3612</v>
      </c>
      <c r="Y3613" s="39">
        <v>0.47865349631594534</v>
      </c>
      <c r="Z3613" s="39">
        <v>0.47349120854222726</v>
      </c>
      <c r="AA3613" s="39">
        <v>0.50663051613074683</v>
      </c>
      <c r="AB3613" s="39">
        <v>0.48957687725127591</v>
      </c>
      <c r="AC3613" s="39">
        <v>0.47433071325509996</v>
      </c>
      <c r="AD3613" s="39">
        <v>0.4657949794888076</v>
      </c>
      <c r="AE3613" s="39">
        <v>0.50066539511287067</v>
      </c>
      <c r="AF3613" s="40">
        <v>0.48507140080760036</v>
      </c>
    </row>
    <row r="3614" spans="1:32">
      <c r="A3614" s="15">
        <v>3612</v>
      </c>
      <c r="B3614" s="16">
        <v>1</v>
      </c>
      <c r="C3614" s="20">
        <v>0.22</v>
      </c>
      <c r="D3614" s="20">
        <v>0.78108835092830209</v>
      </c>
      <c r="E3614" s="20">
        <v>0.08</v>
      </c>
      <c r="F3614" s="8" t="s">
        <v>436</v>
      </c>
      <c r="G3614" s="24">
        <v>0.96064973437876922</v>
      </c>
      <c r="H3614" s="24">
        <v>0.96621165112815954</v>
      </c>
      <c r="I3614" s="25">
        <v>0.98310937418297062</v>
      </c>
      <c r="X3614" s="15">
        <v>3613</v>
      </c>
      <c r="Y3614" s="39">
        <v>0.47969046861562026</v>
      </c>
      <c r="Z3614" s="39">
        <v>0.48835277789101794</v>
      </c>
      <c r="AA3614" s="39">
        <v>0.49142084566719846</v>
      </c>
      <c r="AB3614" s="39">
        <v>0.49505797400222068</v>
      </c>
      <c r="AC3614" s="39">
        <v>0.4758299656895234</v>
      </c>
      <c r="AD3614" s="39">
        <v>0.48079696909873726</v>
      </c>
      <c r="AE3614" s="39">
        <v>0.482104624304662</v>
      </c>
      <c r="AF3614" s="40">
        <v>0.49171985858082623</v>
      </c>
    </row>
    <row r="3615" spans="1:32">
      <c r="A3615" s="15">
        <v>3613</v>
      </c>
      <c r="B3615" s="16">
        <v>1</v>
      </c>
      <c r="C3615" s="20">
        <v>0.91</v>
      </c>
      <c r="D3615" s="20">
        <v>0.21727233298780477</v>
      </c>
      <c r="E3615" s="20">
        <v>0.09</v>
      </c>
      <c r="F3615" s="8" t="s">
        <v>434</v>
      </c>
      <c r="G3615" s="24">
        <v>0.48795417251168577</v>
      </c>
      <c r="H3615" s="24">
        <v>0.49077930261676272</v>
      </c>
      <c r="I3615" s="25">
        <v>0.49936236278475832</v>
      </c>
      <c r="X3615" s="15">
        <v>3614</v>
      </c>
      <c r="Y3615" s="39">
        <v>0.48944567271182399</v>
      </c>
      <c r="Z3615" s="39">
        <v>0.48009604011027568</v>
      </c>
      <c r="AA3615" s="39">
        <v>0.47566387749744932</v>
      </c>
      <c r="AB3615" s="39">
        <v>0.48061523702156678</v>
      </c>
      <c r="AC3615" s="39">
        <v>0.48461582016562293</v>
      </c>
      <c r="AD3615" s="39">
        <v>0.47814775381040864</v>
      </c>
      <c r="AE3615" s="39">
        <v>0.46939187422073309</v>
      </c>
      <c r="AF3615" s="40">
        <v>0.47636838384974983</v>
      </c>
    </row>
    <row r="3616" spans="1:32">
      <c r="A3616" s="15">
        <v>3614</v>
      </c>
      <c r="B3616" s="16">
        <v>0</v>
      </c>
      <c r="C3616" s="20">
        <v>0.17</v>
      </c>
      <c r="D3616" s="20">
        <v>0.8633198962348434</v>
      </c>
      <c r="E3616" s="20">
        <v>0.1</v>
      </c>
      <c r="F3616" s="8" t="s">
        <v>436</v>
      </c>
      <c r="G3616" s="24">
        <v>0.96424135104018305</v>
      </c>
      <c r="H3616" s="24">
        <v>0.96982406233325735</v>
      </c>
      <c r="I3616" s="25">
        <v>0.98678496152968564</v>
      </c>
      <c r="X3616" s="15">
        <v>3615</v>
      </c>
      <c r="Y3616" s="39">
        <v>0.481190732723842</v>
      </c>
      <c r="Z3616" s="39">
        <v>0.46412059116947058</v>
      </c>
      <c r="AA3616" s="39">
        <v>0.48162877879661015</v>
      </c>
      <c r="AB3616" s="39">
        <v>0.49083809428156816</v>
      </c>
      <c r="AC3616" s="39">
        <v>0.47581557565647309</v>
      </c>
      <c r="AD3616" s="39">
        <v>0.45843349311306253</v>
      </c>
      <c r="AE3616" s="39">
        <v>0.47321363313800946</v>
      </c>
      <c r="AF3616" s="40">
        <v>0.489865632255718</v>
      </c>
    </row>
    <row r="3617" spans="1:32">
      <c r="A3617" s="15">
        <v>3615</v>
      </c>
      <c r="B3617" s="16">
        <v>1</v>
      </c>
      <c r="C3617" s="20">
        <v>0.31</v>
      </c>
      <c r="D3617" s="20">
        <v>0.78992891570503143</v>
      </c>
      <c r="E3617" s="20">
        <v>7.0000000000000007E-2</v>
      </c>
      <c r="F3617" s="8" t="s">
        <v>436</v>
      </c>
      <c r="G3617" s="24">
        <v>0.81655777983931477</v>
      </c>
      <c r="H3617" s="24">
        <v>0.82128544095241574</v>
      </c>
      <c r="I3617" s="25">
        <v>0.83564860239220828</v>
      </c>
      <c r="X3617" s="15">
        <v>3616</v>
      </c>
      <c r="Y3617" s="39">
        <v>0.47551489001113079</v>
      </c>
      <c r="Z3617" s="39">
        <v>0.49668453968049076</v>
      </c>
      <c r="AA3617" s="39">
        <v>0.48353437217360051</v>
      </c>
      <c r="AB3617" s="39">
        <v>0.50308467739228857</v>
      </c>
      <c r="AC3617" s="39">
        <v>0.47031573374174507</v>
      </c>
      <c r="AD3617" s="39">
        <v>0.48916024953942155</v>
      </c>
      <c r="AE3617" s="39">
        <v>0.47751253511057706</v>
      </c>
      <c r="AF3617" s="40">
        <v>0.50012529739551348</v>
      </c>
    </row>
    <row r="3618" spans="1:32">
      <c r="A3618" s="15">
        <v>3616</v>
      </c>
      <c r="B3618" s="16">
        <v>1</v>
      </c>
      <c r="C3618" s="20">
        <v>0.5</v>
      </c>
      <c r="D3618" s="20">
        <v>0.48365079625175234</v>
      </c>
      <c r="E3618" s="20">
        <v>0.1</v>
      </c>
      <c r="F3618" s="8" t="s">
        <v>438</v>
      </c>
      <c r="G3618" s="24">
        <v>1.2256232320268219</v>
      </c>
      <c r="H3618" s="24">
        <v>1.2327192776912286</v>
      </c>
      <c r="I3618" s="25">
        <v>1.2542778553946041</v>
      </c>
      <c r="X3618" s="15">
        <v>3617</v>
      </c>
      <c r="Y3618" s="39">
        <v>0.47674126078723061</v>
      </c>
      <c r="Z3618" s="39">
        <v>0.48592481880576982</v>
      </c>
      <c r="AA3618" s="39">
        <v>0.48445605523444757</v>
      </c>
      <c r="AB3618" s="39">
        <v>0.4795692941681991</v>
      </c>
      <c r="AC3618" s="39">
        <v>0.46903819749713976</v>
      </c>
      <c r="AD3618" s="39">
        <v>0.48015519972747334</v>
      </c>
      <c r="AE3618" s="39">
        <v>0.47598918029940401</v>
      </c>
      <c r="AF3618" s="40">
        <v>0.47446059679907776</v>
      </c>
    </row>
    <row r="3619" spans="1:32">
      <c r="A3619" s="15">
        <v>3617</v>
      </c>
      <c r="B3619" s="16">
        <v>1</v>
      </c>
      <c r="C3619" s="20">
        <v>0.13</v>
      </c>
      <c r="D3619" s="20">
        <v>0.86028315999071925</v>
      </c>
      <c r="E3619" s="20">
        <v>0.51</v>
      </c>
      <c r="F3619" s="8" t="s">
        <v>436</v>
      </c>
      <c r="G3619" s="24">
        <v>1.2632514934642392</v>
      </c>
      <c r="H3619" s="24">
        <v>1.2705653971574877</v>
      </c>
      <c r="I3619" s="25">
        <v>1.2927858518364652</v>
      </c>
      <c r="X3619" s="15">
        <v>3618</v>
      </c>
      <c r="Y3619" s="39">
        <v>0.47586622629672198</v>
      </c>
      <c r="Z3619" s="39">
        <v>0.48576943257568195</v>
      </c>
      <c r="AA3619" s="39">
        <v>0.47793541576947202</v>
      </c>
      <c r="AB3619" s="39">
        <v>0.48528222613314959</v>
      </c>
      <c r="AC3619" s="39">
        <v>0.47073650986415921</v>
      </c>
      <c r="AD3619" s="39">
        <v>0.47900627014658709</v>
      </c>
      <c r="AE3619" s="39">
        <v>0.47576071310443624</v>
      </c>
      <c r="AF3619" s="40">
        <v>0.48321276010606812</v>
      </c>
    </row>
    <row r="3620" spans="1:32">
      <c r="A3620" s="15">
        <v>3618</v>
      </c>
      <c r="B3620" s="16">
        <v>0</v>
      </c>
      <c r="C3620" s="20">
        <v>0.93</v>
      </c>
      <c r="D3620" s="20">
        <v>0.18747949848141848</v>
      </c>
      <c r="E3620" s="20">
        <v>7.0000000000000007E-2</v>
      </c>
      <c r="F3620" s="8" t="s">
        <v>434</v>
      </c>
      <c r="G3620" s="24">
        <v>1.170869293650074</v>
      </c>
      <c r="H3620" s="24">
        <v>1.1776483279876107</v>
      </c>
      <c r="I3620" s="25">
        <v>1.1982437899436542</v>
      </c>
      <c r="X3620" s="15">
        <v>3619</v>
      </c>
      <c r="Y3620" s="39">
        <v>0.49028113576569449</v>
      </c>
      <c r="Z3620" s="39">
        <v>0.4766802547768752</v>
      </c>
      <c r="AA3620" s="39">
        <v>0.48975829689402722</v>
      </c>
      <c r="AB3620" s="39">
        <v>0.48116936154593237</v>
      </c>
      <c r="AC3620" s="39">
        <v>0.48314215701479918</v>
      </c>
      <c r="AD3620" s="39">
        <v>0.471162858943109</v>
      </c>
      <c r="AE3620" s="39">
        <v>0.48067136715343101</v>
      </c>
      <c r="AF3620" s="40">
        <v>0.47618585413586351</v>
      </c>
    </row>
    <row r="3621" spans="1:32">
      <c r="A3621" s="15">
        <v>3619</v>
      </c>
      <c r="B3621" s="16">
        <v>1</v>
      </c>
      <c r="C3621" s="20">
        <v>0.96</v>
      </c>
      <c r="D3621" s="20">
        <v>0.13880369068795359</v>
      </c>
      <c r="E3621" s="20">
        <v>0.04</v>
      </c>
      <c r="F3621" s="8" t="s">
        <v>434</v>
      </c>
      <c r="G3621" s="24">
        <v>1.1462787252734146</v>
      </c>
      <c r="H3621" s="24">
        <v>1.1529153864969675</v>
      </c>
      <c r="I3621" s="25">
        <v>1.1730783030628247</v>
      </c>
      <c r="X3621" s="15">
        <v>3620</v>
      </c>
      <c r="Y3621" s="39">
        <v>0.48865917358129557</v>
      </c>
      <c r="Z3621" s="39">
        <v>0.49796098758825819</v>
      </c>
      <c r="AA3621" s="39">
        <v>0.4862679751547847</v>
      </c>
      <c r="AB3621" s="39">
        <v>0.47882342758397467</v>
      </c>
      <c r="AC3621" s="39">
        <v>0.48404602154558501</v>
      </c>
      <c r="AD3621" s="39">
        <v>0.49316829272404744</v>
      </c>
      <c r="AE3621" s="39">
        <v>0.47941437855132185</v>
      </c>
      <c r="AF3621" s="40">
        <v>0.47600551046651335</v>
      </c>
    </row>
    <row r="3622" spans="1:32">
      <c r="A3622" s="15">
        <v>3620</v>
      </c>
      <c r="B3622" s="16">
        <v>1</v>
      </c>
      <c r="C3622" s="20">
        <v>0.95</v>
      </c>
      <c r="D3622" s="20">
        <v>0.15570568692893463</v>
      </c>
      <c r="E3622" s="20">
        <v>0.05</v>
      </c>
      <c r="F3622" s="8" t="s">
        <v>434</v>
      </c>
      <c r="G3622" s="24">
        <v>1.0849211499665623</v>
      </c>
      <c r="H3622" s="24">
        <v>1.0912025664910452</v>
      </c>
      <c r="I3622" s="25">
        <v>1.1102862100630673</v>
      </c>
      <c r="X3622" s="15">
        <v>3621</v>
      </c>
      <c r="Y3622" s="39">
        <v>0.48338642234326834</v>
      </c>
      <c r="Z3622" s="39">
        <v>0.48867109613214393</v>
      </c>
      <c r="AA3622" s="39">
        <v>0.46955252116669821</v>
      </c>
      <c r="AB3622" s="39">
        <v>0.48401161939146925</v>
      </c>
      <c r="AC3622" s="39">
        <v>0.47727147880087023</v>
      </c>
      <c r="AD3622" s="39">
        <v>0.48016441816152389</v>
      </c>
      <c r="AE3622" s="39">
        <v>0.46159983087126721</v>
      </c>
      <c r="AF3622" s="40">
        <v>0.47792056258864668</v>
      </c>
    </row>
    <row r="3623" spans="1:32">
      <c r="A3623" s="15">
        <v>3621</v>
      </c>
      <c r="B3623" s="16">
        <v>1</v>
      </c>
      <c r="C3623" s="20">
        <v>0.91</v>
      </c>
      <c r="D3623" s="20">
        <v>0.21727233298780477</v>
      </c>
      <c r="E3623" s="20">
        <v>0.09</v>
      </c>
      <c r="F3623" s="8" t="s">
        <v>434</v>
      </c>
      <c r="G3623" s="24">
        <v>0.72683900883305763</v>
      </c>
      <c r="H3623" s="24">
        <v>0.7310472211633855</v>
      </c>
      <c r="I3623" s="25">
        <v>0.74383223929971676</v>
      </c>
      <c r="X3623" s="15">
        <v>3622</v>
      </c>
      <c r="Y3623" s="39">
        <v>0.49379010900512721</v>
      </c>
      <c r="Z3623" s="39">
        <v>0.48230515664863982</v>
      </c>
      <c r="AA3623" s="39">
        <v>0.45918393509840905</v>
      </c>
      <c r="AB3623" s="39">
        <v>0.49476725074207861</v>
      </c>
      <c r="AC3623" s="39">
        <v>0.48667927627363017</v>
      </c>
      <c r="AD3623" s="39">
        <v>0.47584149681987969</v>
      </c>
      <c r="AE3623" s="39">
        <v>0.45278075963205983</v>
      </c>
      <c r="AF3623" s="40">
        <v>0.48897729424017322</v>
      </c>
    </row>
    <row r="3624" spans="1:32">
      <c r="A3624" s="15">
        <v>3622</v>
      </c>
      <c r="B3624" s="16">
        <v>0</v>
      </c>
      <c r="C3624" s="20">
        <v>0.12</v>
      </c>
      <c r="D3624" s="20">
        <v>0.88429939412355441</v>
      </c>
      <c r="E3624" s="20">
        <v>0.11</v>
      </c>
      <c r="F3624" s="8" t="s">
        <v>436</v>
      </c>
      <c r="G3624" s="24">
        <v>1.3367270798899402</v>
      </c>
      <c r="H3624" s="24">
        <v>1.3444663884734287</v>
      </c>
      <c r="I3624" s="25">
        <v>1.3679792706275611</v>
      </c>
      <c r="X3624" s="15">
        <v>3623</v>
      </c>
      <c r="Y3624" s="39">
        <v>0.50309000177918894</v>
      </c>
      <c r="Z3624" s="39">
        <v>0.49091619769333628</v>
      </c>
      <c r="AA3624" s="39">
        <v>0.50471931703835327</v>
      </c>
      <c r="AB3624" s="39">
        <v>0.48318885137824141</v>
      </c>
      <c r="AC3624" s="39">
        <v>0.49445308396521376</v>
      </c>
      <c r="AD3624" s="39">
        <v>0.47933017311391207</v>
      </c>
      <c r="AE3624" s="39">
        <v>0.50123648801692888</v>
      </c>
      <c r="AF3624" s="40">
        <v>0.47872271142000777</v>
      </c>
    </row>
    <row r="3625" spans="1:32">
      <c r="A3625" s="15">
        <v>3623</v>
      </c>
      <c r="B3625" s="16">
        <v>0</v>
      </c>
      <c r="C3625" s="20">
        <v>0.05</v>
      </c>
      <c r="D3625" s="20">
        <v>0.96650925466726789</v>
      </c>
      <c r="E3625" s="20">
        <v>0.53</v>
      </c>
      <c r="F3625" s="8" t="s">
        <v>436</v>
      </c>
      <c r="G3625" s="24">
        <v>0.99646135252980172</v>
      </c>
      <c r="H3625" s="24">
        <v>1.0022306094071169</v>
      </c>
      <c r="I3625" s="25">
        <v>1.0197582548821451</v>
      </c>
      <c r="X3625" s="15">
        <v>3624</v>
      </c>
      <c r="Y3625" s="39">
        <v>0.49150062499790642</v>
      </c>
      <c r="Z3625" s="39">
        <v>0.4969368537484759</v>
      </c>
      <c r="AA3625" s="39">
        <v>0.48535602784840448</v>
      </c>
      <c r="AB3625" s="39">
        <v>0.49783093749587831</v>
      </c>
      <c r="AC3625" s="39">
        <v>0.48290410586292504</v>
      </c>
      <c r="AD3625" s="39">
        <v>0.49047419866999858</v>
      </c>
      <c r="AE3625" s="39">
        <v>0.47807316923344723</v>
      </c>
      <c r="AF3625" s="40">
        <v>0.49474422468216778</v>
      </c>
    </row>
    <row r="3626" spans="1:32">
      <c r="A3626" s="15">
        <v>3624</v>
      </c>
      <c r="B3626" s="16">
        <v>1</v>
      </c>
      <c r="C3626" s="20">
        <v>0.51</v>
      </c>
      <c r="D3626" s="20">
        <v>0.48044133734978306</v>
      </c>
      <c r="E3626" s="20">
        <v>0.05</v>
      </c>
      <c r="F3626" s="8" t="s">
        <v>438</v>
      </c>
      <c r="G3626" s="24">
        <v>0.7651157190484783</v>
      </c>
      <c r="H3626" s="24">
        <v>0.76954554376055151</v>
      </c>
      <c r="I3626" s="25">
        <v>0.78300384501509201</v>
      </c>
      <c r="X3626" s="15">
        <v>3625</v>
      </c>
      <c r="Y3626" s="39">
        <v>0.47916567298641111</v>
      </c>
      <c r="Z3626" s="39">
        <v>0.48658842129430591</v>
      </c>
      <c r="AA3626" s="39">
        <v>0.48657045786043535</v>
      </c>
      <c r="AB3626" s="39">
        <v>0.50039865831680763</v>
      </c>
      <c r="AC3626" s="39">
        <v>0.4713223647020891</v>
      </c>
      <c r="AD3626" s="39">
        <v>0.47969430387077494</v>
      </c>
      <c r="AE3626" s="39">
        <v>0.47763658755279093</v>
      </c>
      <c r="AF3626" s="40">
        <v>0.49888615006610509</v>
      </c>
    </row>
    <row r="3627" spans="1:32">
      <c r="A3627" s="15">
        <v>3625</v>
      </c>
      <c r="B3627" s="16">
        <v>0</v>
      </c>
      <c r="C3627" s="20">
        <v>0.88</v>
      </c>
      <c r="D3627" s="20">
        <v>0.25930874124763043</v>
      </c>
      <c r="E3627" s="20">
        <v>0.12</v>
      </c>
      <c r="F3627" s="8" t="s">
        <v>434</v>
      </c>
      <c r="G3627" s="24">
        <v>1.9390138362497931</v>
      </c>
      <c r="H3627" s="24">
        <v>1.9502402314146359</v>
      </c>
      <c r="I3627" s="25">
        <v>1.6578926537592125</v>
      </c>
      <c r="X3627" s="15">
        <v>3626</v>
      </c>
      <c r="Y3627" s="39">
        <v>0.49184441624712044</v>
      </c>
      <c r="Z3627" s="39">
        <v>0.50116284108241294</v>
      </c>
      <c r="AA3627" s="39">
        <v>0.49227047020126896</v>
      </c>
      <c r="AB3627" s="39">
        <v>0.49622419458421968</v>
      </c>
      <c r="AC3627" s="39">
        <v>0.4863612012656463</v>
      </c>
      <c r="AD3627" s="39">
        <v>0.49375402460865403</v>
      </c>
      <c r="AE3627" s="39">
        <v>0.48304879382186211</v>
      </c>
      <c r="AF3627" s="40">
        <v>0.49017222085189827</v>
      </c>
    </row>
    <row r="3628" spans="1:32">
      <c r="A3628" s="15">
        <v>3626</v>
      </c>
      <c r="B3628" s="16">
        <v>1</v>
      </c>
      <c r="C3628" s="20">
        <v>0.93</v>
      </c>
      <c r="D3628" s="20">
        <v>0.18747949848141848</v>
      </c>
      <c r="E3628" s="20">
        <v>7.0000000000000007E-2</v>
      </c>
      <c r="F3628" s="8" t="s">
        <v>434</v>
      </c>
      <c r="G3628" s="24">
        <v>0.44689377207076836</v>
      </c>
      <c r="H3628" s="24">
        <v>0.44948117293825107</v>
      </c>
      <c r="I3628" s="25">
        <v>0.4573419851834708</v>
      </c>
      <c r="X3628" s="15">
        <v>3627</v>
      </c>
      <c r="Y3628" s="39">
        <v>0.48888784361093973</v>
      </c>
      <c r="Z3628" s="39">
        <v>0.48318957351206299</v>
      </c>
      <c r="AA3628" s="39">
        <v>0.48446703173009958</v>
      </c>
      <c r="AB3628" s="39">
        <v>0.48569429325395785</v>
      </c>
      <c r="AC3628" s="39">
        <v>0.48078190174198088</v>
      </c>
      <c r="AD3628" s="39">
        <v>0.47634715600179994</v>
      </c>
      <c r="AE3628" s="39">
        <v>0.4771879665963073</v>
      </c>
      <c r="AF3628" s="40">
        <v>0.48081701633915552</v>
      </c>
    </row>
    <row r="3629" spans="1:32">
      <c r="A3629" s="15">
        <v>3627</v>
      </c>
      <c r="B3629" s="16">
        <v>1</v>
      </c>
      <c r="C3629" s="20">
        <v>0.96</v>
      </c>
      <c r="D3629" s="20">
        <v>0.13880369068795359</v>
      </c>
      <c r="E3629" s="20">
        <v>0.04</v>
      </c>
      <c r="F3629" s="8" t="s">
        <v>434</v>
      </c>
      <c r="G3629" s="24">
        <v>0.52446491008970197</v>
      </c>
      <c r="H3629" s="24">
        <v>0.52750142804573075</v>
      </c>
      <c r="I3629" s="25">
        <v>0.53672670806768719</v>
      </c>
      <c r="X3629" s="15">
        <v>3628</v>
      </c>
      <c r="Y3629" s="39">
        <v>0.47481812766294507</v>
      </c>
      <c r="Z3629" s="39">
        <v>0.48366767687387813</v>
      </c>
      <c r="AA3629" s="39">
        <v>0.48425682174661461</v>
      </c>
      <c r="AB3629" s="39">
        <v>0.49686565401439947</v>
      </c>
      <c r="AC3629" s="39">
        <v>0.46933772442919175</v>
      </c>
      <c r="AD3629" s="39">
        <v>0.47627920959138215</v>
      </c>
      <c r="AE3629" s="39">
        <v>0.4765726221715762</v>
      </c>
      <c r="AF3629" s="40">
        <v>0.49044135107178971</v>
      </c>
    </row>
    <row r="3630" spans="1:32">
      <c r="A3630" s="15">
        <v>3628</v>
      </c>
      <c r="B3630" s="16">
        <v>1</v>
      </c>
      <c r="C3630" s="20">
        <v>0.02</v>
      </c>
      <c r="D3630" s="20">
        <v>0.99679477127711513</v>
      </c>
      <c r="E3630" s="20">
        <v>1</v>
      </c>
      <c r="F3630" s="8" t="s">
        <v>436</v>
      </c>
      <c r="G3630" s="24">
        <v>1.0423077558450184</v>
      </c>
      <c r="H3630" s="24">
        <v>1.0483424516949089</v>
      </c>
      <c r="I3630" s="25">
        <v>1.0666765303563062</v>
      </c>
      <c r="X3630" s="15">
        <v>3629</v>
      </c>
      <c r="Y3630" s="39">
        <v>0.48767920679769655</v>
      </c>
      <c r="Z3630" s="39">
        <v>0.48308571084842999</v>
      </c>
      <c r="AA3630" s="39">
        <v>0.47848171676595852</v>
      </c>
      <c r="AB3630" s="39">
        <v>0.50242058774658915</v>
      </c>
      <c r="AC3630" s="39">
        <v>0.47936615231738661</v>
      </c>
      <c r="AD3630" s="39">
        <v>0.4758291400633049</v>
      </c>
      <c r="AE3630" s="39">
        <v>0.47128351444373623</v>
      </c>
      <c r="AF3630" s="40">
        <v>0.49573437545270932</v>
      </c>
    </row>
    <row r="3631" spans="1:32">
      <c r="A3631" s="15">
        <v>3629</v>
      </c>
      <c r="B3631" s="16">
        <v>1</v>
      </c>
      <c r="C3631" s="20">
        <v>0.3</v>
      </c>
      <c r="D3631" s="20">
        <v>0.81965549455305298</v>
      </c>
      <c r="E3631" s="20">
        <v>0.1</v>
      </c>
      <c r="F3631" s="8" t="s">
        <v>436</v>
      </c>
      <c r="G3631" s="24">
        <v>1.0760761247669599</v>
      </c>
      <c r="H3631" s="24">
        <v>1.0823063308532925</v>
      </c>
      <c r="I3631" s="25">
        <v>1.1012343914059404</v>
      </c>
      <c r="X3631" s="15">
        <v>3630</v>
      </c>
      <c r="Y3631" s="39">
        <v>0.48547922968060425</v>
      </c>
      <c r="Z3631" s="39">
        <v>0.50971634059652271</v>
      </c>
      <c r="AA3631" s="39">
        <v>0.48638982889877352</v>
      </c>
      <c r="AB3631" s="39">
        <v>0.48127168651147856</v>
      </c>
      <c r="AC3631" s="39">
        <v>0.47935817785605822</v>
      </c>
      <c r="AD3631" s="39">
        <v>0.50020564145160662</v>
      </c>
      <c r="AE3631" s="39">
        <v>0.47907773173248314</v>
      </c>
      <c r="AF3631" s="40">
        <v>0.47646611461137878</v>
      </c>
    </row>
    <row r="3632" spans="1:32">
      <c r="A3632" s="15">
        <v>3630</v>
      </c>
      <c r="B3632" s="16">
        <v>0</v>
      </c>
      <c r="C3632" s="20">
        <v>0.89</v>
      </c>
      <c r="D3632" s="20">
        <v>0.24559627500636821</v>
      </c>
      <c r="E3632" s="20">
        <v>0.11</v>
      </c>
      <c r="F3632" s="8" t="s">
        <v>434</v>
      </c>
      <c r="G3632" s="24">
        <v>0.49515226855679129</v>
      </c>
      <c r="H3632" s="24">
        <v>0.49801907380060434</v>
      </c>
      <c r="I3632" s="25">
        <v>0.50672874768548271</v>
      </c>
      <c r="X3632" s="15">
        <v>3631</v>
      </c>
      <c r="Y3632" s="39">
        <v>0.48123821741766609</v>
      </c>
      <c r="Z3632" s="39">
        <v>0.48702005252525421</v>
      </c>
      <c r="AA3632" s="39">
        <v>0.48889365381184696</v>
      </c>
      <c r="AB3632" s="39">
        <v>0.48702973439964387</v>
      </c>
      <c r="AC3632" s="39">
        <v>0.4722830020014373</v>
      </c>
      <c r="AD3632" s="39">
        <v>0.47559540339593143</v>
      </c>
      <c r="AE3632" s="39">
        <v>0.48409034873930418</v>
      </c>
      <c r="AF3632" s="40">
        <v>0.48347793744296058</v>
      </c>
    </row>
    <row r="3633" spans="1:32">
      <c r="A3633" s="15">
        <v>3631</v>
      </c>
      <c r="B3633" s="16">
        <v>1</v>
      </c>
      <c r="C3633" s="20">
        <v>0.62</v>
      </c>
      <c r="D3633" s="20">
        <v>0.55856760849704512</v>
      </c>
      <c r="E3633" s="20">
        <v>0.38</v>
      </c>
      <c r="F3633" s="8" t="s">
        <v>438</v>
      </c>
      <c r="G3633" s="24">
        <v>0.83616169596443901</v>
      </c>
      <c r="H3633" s="24">
        <v>0.84100285874786573</v>
      </c>
      <c r="I3633" s="25">
        <v>0.85571085091379839</v>
      </c>
      <c r="X3633" s="15">
        <v>3632</v>
      </c>
      <c r="Y3633" s="39">
        <v>0.49135797316199858</v>
      </c>
      <c r="Z3633" s="39">
        <v>0.48856204386648755</v>
      </c>
      <c r="AA3633" s="39">
        <v>0.49368771167203224</v>
      </c>
      <c r="AB3633" s="39">
        <v>0.49294481393507555</v>
      </c>
      <c r="AC3633" s="39">
        <v>0.48587826680684171</v>
      </c>
      <c r="AD3633" s="39">
        <v>0.48326511163142322</v>
      </c>
      <c r="AE3633" s="39">
        <v>0.48238313896639934</v>
      </c>
      <c r="AF3633" s="40">
        <v>0.48873872349204733</v>
      </c>
    </row>
    <row r="3634" spans="1:32">
      <c r="A3634" s="15">
        <v>3632</v>
      </c>
      <c r="B3634" s="16">
        <v>0</v>
      </c>
      <c r="C3634" s="20">
        <v>0.11</v>
      </c>
      <c r="D3634" s="20">
        <v>0.93191666504272519</v>
      </c>
      <c r="E3634" s="20">
        <v>0.03</v>
      </c>
      <c r="F3634" s="8" t="s">
        <v>436</v>
      </c>
      <c r="G3634" s="24">
        <v>1.083442989176377</v>
      </c>
      <c r="H3634" s="24">
        <v>1.0897158475271957</v>
      </c>
      <c r="I3634" s="25">
        <v>1.1087734904136723</v>
      </c>
      <c r="X3634" s="15">
        <v>3633</v>
      </c>
      <c r="Y3634" s="39">
        <v>0.49763887539685381</v>
      </c>
      <c r="Z3634" s="39">
        <v>0.48408888619037077</v>
      </c>
      <c r="AA3634" s="39">
        <v>0.49835760304428223</v>
      </c>
      <c r="AB3634" s="39">
        <v>0.49331144599329813</v>
      </c>
      <c r="AC3634" s="39">
        <v>0.49096963583106801</v>
      </c>
      <c r="AD3634" s="39">
        <v>0.47910589806792353</v>
      </c>
      <c r="AE3634" s="39">
        <v>0.49061713146974167</v>
      </c>
      <c r="AF3634" s="40">
        <v>0.48905340613177112</v>
      </c>
    </row>
    <row r="3635" spans="1:32">
      <c r="A3635" s="15">
        <v>3633</v>
      </c>
      <c r="B3635" s="16">
        <v>1</v>
      </c>
      <c r="C3635" s="20">
        <v>0.48</v>
      </c>
      <c r="D3635" s="20">
        <v>0.47736971875940776</v>
      </c>
      <c r="E3635" s="20">
        <v>0.11</v>
      </c>
      <c r="F3635" s="8" t="s">
        <v>436</v>
      </c>
      <c r="G3635" s="24">
        <v>0.58960543968778623</v>
      </c>
      <c r="H3635" s="24">
        <v>0.59301910468260544</v>
      </c>
      <c r="I3635" s="25">
        <v>0.60339019944785532</v>
      </c>
      <c r="X3635" s="15">
        <v>3634</v>
      </c>
      <c r="Y3635" s="39">
        <v>0.49380737836735206</v>
      </c>
      <c r="Z3635" s="39">
        <v>0.48646764495689609</v>
      </c>
      <c r="AA3635" s="39">
        <v>0.48474369330343886</v>
      </c>
      <c r="AB3635" s="39">
        <v>0.48462324773305593</v>
      </c>
      <c r="AC3635" s="39">
        <v>0.48629708993699278</v>
      </c>
      <c r="AD3635" s="39">
        <v>0.47945774115165518</v>
      </c>
      <c r="AE3635" s="39">
        <v>0.47743262890670518</v>
      </c>
      <c r="AF3635" s="40">
        <v>0.47949444204760133</v>
      </c>
    </row>
    <row r="3636" spans="1:32">
      <c r="A3636" s="15">
        <v>3634</v>
      </c>
      <c r="B3636" s="16">
        <v>0</v>
      </c>
      <c r="C3636" s="20">
        <v>0.37</v>
      </c>
      <c r="D3636" s="20">
        <v>0.74281493306641733</v>
      </c>
      <c r="E3636" s="20">
        <v>0.05</v>
      </c>
      <c r="F3636" s="8" t="s">
        <v>436</v>
      </c>
      <c r="G3636" s="24">
        <v>1.3067172166127663</v>
      </c>
      <c r="H3636" s="24">
        <v>1.3142827757481106</v>
      </c>
      <c r="I3636" s="25">
        <v>1.3372677877114512</v>
      </c>
      <c r="X3636" s="15">
        <v>3635</v>
      </c>
      <c r="Y3636" s="39">
        <v>0.48674465206125272</v>
      </c>
      <c r="Z3636" s="39">
        <v>0.48306906103108455</v>
      </c>
      <c r="AA3636" s="39">
        <v>0.47416029670341964</v>
      </c>
      <c r="AB3636" s="39">
        <v>0.50979009591628488</v>
      </c>
      <c r="AC3636" s="39">
        <v>0.4799675511759634</v>
      </c>
      <c r="AD3636" s="39">
        <v>0.47685301382183559</v>
      </c>
      <c r="AE3636" s="39">
        <v>0.46796954148973929</v>
      </c>
      <c r="AF3636" s="40">
        <v>0.50551642411315589</v>
      </c>
    </row>
    <row r="3637" spans="1:32">
      <c r="A3637" s="15">
        <v>3635</v>
      </c>
      <c r="B3637" s="16">
        <v>0</v>
      </c>
      <c r="C3637" s="20">
        <v>0.01</v>
      </c>
      <c r="D3637" s="20">
        <v>0.99999999999999978</v>
      </c>
      <c r="E3637" s="20">
        <v>1</v>
      </c>
      <c r="F3637" s="8" t="s">
        <v>436</v>
      </c>
      <c r="G3637" s="24">
        <v>1.0384124460486979</v>
      </c>
      <c r="H3637" s="24">
        <v>1.044424589049173</v>
      </c>
      <c r="I3637" s="25">
        <v>1.0626901496401484</v>
      </c>
      <c r="X3637" s="15">
        <v>3636</v>
      </c>
      <c r="Y3637" s="39">
        <v>0.4904028784957426</v>
      </c>
      <c r="Z3637" s="39">
        <v>0.48780983691179158</v>
      </c>
      <c r="AA3637" s="39">
        <v>0.48188712832589925</v>
      </c>
      <c r="AB3637" s="39">
        <v>0.49889300572826106</v>
      </c>
      <c r="AC3637" s="39">
        <v>0.48402937080692504</v>
      </c>
      <c r="AD3637" s="39">
        <v>0.48024614017827505</v>
      </c>
      <c r="AE3637" s="39">
        <v>0.47717133845850485</v>
      </c>
      <c r="AF3637" s="40">
        <v>0.49949484278661865</v>
      </c>
    </row>
    <row r="3638" spans="1:32">
      <c r="A3638" s="15">
        <v>3636</v>
      </c>
      <c r="B3638" s="16">
        <v>0</v>
      </c>
      <c r="C3638" s="20">
        <v>0.67</v>
      </c>
      <c r="D3638" s="20">
        <v>0.47697827332555165</v>
      </c>
      <c r="E3638" s="20">
        <v>0.03</v>
      </c>
      <c r="F3638" s="8" t="s">
        <v>438</v>
      </c>
      <c r="G3638" s="24">
        <v>0.75978795104312147</v>
      </c>
      <c r="H3638" s="24">
        <v>0.76418692933839416</v>
      </c>
      <c r="I3638" s="25">
        <v>0.77755151574033754</v>
      </c>
      <c r="X3638" s="15">
        <v>3637</v>
      </c>
      <c r="Y3638" s="39">
        <v>0.47618114587550225</v>
      </c>
      <c r="Z3638" s="39">
        <v>0.49306221138858997</v>
      </c>
      <c r="AA3638" s="39">
        <v>0.49102100815104199</v>
      </c>
      <c r="AB3638" s="39">
        <v>0.48062573923464369</v>
      </c>
      <c r="AC3638" s="39">
        <v>0.46763636679507031</v>
      </c>
      <c r="AD3638" s="39">
        <v>0.48512908368384522</v>
      </c>
      <c r="AE3638" s="39">
        <v>0.48254119173449067</v>
      </c>
      <c r="AF3638" s="40">
        <v>0.47641821219409325</v>
      </c>
    </row>
    <row r="3639" spans="1:32">
      <c r="A3639" s="15">
        <v>3637</v>
      </c>
      <c r="B3639" s="16">
        <v>0</v>
      </c>
      <c r="C3639" s="20">
        <v>0.93</v>
      </c>
      <c r="D3639" s="20">
        <v>0.18747949848141848</v>
      </c>
      <c r="E3639" s="20">
        <v>7.0000000000000007E-2</v>
      </c>
      <c r="F3639" s="8" t="s">
        <v>434</v>
      </c>
      <c r="G3639" s="24">
        <v>2.6312867256105306</v>
      </c>
      <c r="H3639" s="24">
        <v>2.3557193791407478</v>
      </c>
      <c r="I3639" s="25">
        <v>1.6578926537592125</v>
      </c>
      <c r="X3639" s="15">
        <v>3638</v>
      </c>
      <c r="Y3639" s="39">
        <v>0.47474337826209839</v>
      </c>
      <c r="Z3639" s="39">
        <v>0.49690060972337852</v>
      </c>
      <c r="AA3639" s="39">
        <v>0.48363271062024221</v>
      </c>
      <c r="AB3639" s="39">
        <v>0.48443230100934026</v>
      </c>
      <c r="AC3639" s="39">
        <v>0.46922270117315318</v>
      </c>
      <c r="AD3639" s="39">
        <v>0.49160975576265531</v>
      </c>
      <c r="AE3639" s="39">
        <v>0.47872848079502101</v>
      </c>
      <c r="AF3639" s="40">
        <v>0.47817361615344156</v>
      </c>
    </row>
    <row r="3640" spans="1:32">
      <c r="A3640" s="15">
        <v>3638</v>
      </c>
      <c r="B3640" s="16">
        <v>0</v>
      </c>
      <c r="C3640" s="20">
        <v>0.94</v>
      </c>
      <c r="D3640" s="20">
        <v>0.17188516685452584</v>
      </c>
      <c r="E3640" s="20">
        <v>0.06</v>
      </c>
      <c r="F3640" s="8" t="s">
        <v>434</v>
      </c>
      <c r="G3640" s="24">
        <v>0.68566353307857297</v>
      </c>
      <c r="H3640" s="24">
        <v>0.68963334991461478</v>
      </c>
      <c r="I3640" s="25">
        <v>0.7016940959660749</v>
      </c>
      <c r="X3640" s="15">
        <v>3639</v>
      </c>
      <c r="Y3640" s="39">
        <v>0.48126806519251603</v>
      </c>
      <c r="Z3640" s="39">
        <v>0.49831880298584746</v>
      </c>
      <c r="AA3640" s="39">
        <v>0.49264456226104725</v>
      </c>
      <c r="AB3640" s="39">
        <v>0.49430635217534497</v>
      </c>
      <c r="AC3640" s="39">
        <v>0.47445618039998466</v>
      </c>
      <c r="AD3640" s="39">
        <v>0.49245597901813859</v>
      </c>
      <c r="AE3640" s="39">
        <v>0.48212481272766616</v>
      </c>
      <c r="AF3640" s="40">
        <v>0.48934392760072953</v>
      </c>
    </row>
    <row r="3641" spans="1:32">
      <c r="A3641" s="15">
        <v>3639</v>
      </c>
      <c r="B3641" s="16">
        <v>0</v>
      </c>
      <c r="C3641" s="20">
        <v>0.03</v>
      </c>
      <c r="D3641" s="20">
        <v>0.99642335770206691</v>
      </c>
      <c r="E3641" s="20">
        <v>1</v>
      </c>
      <c r="F3641" s="8" t="s">
        <v>436</v>
      </c>
      <c r="G3641" s="24">
        <v>1.0992674409117098</v>
      </c>
      <c r="H3641" s="24">
        <v>1.1056319187987724</v>
      </c>
      <c r="I3641" s="25">
        <v>1.1249679120489129</v>
      </c>
      <c r="X3641" s="15">
        <v>3640</v>
      </c>
      <c r="Y3641" s="39">
        <v>0.48170971866372614</v>
      </c>
      <c r="Z3641" s="39">
        <v>0.48674766121281426</v>
      </c>
      <c r="AA3641" s="39">
        <v>0.47695189876899691</v>
      </c>
      <c r="AB3641" s="39">
        <v>0.48601225774157619</v>
      </c>
      <c r="AC3641" s="39">
        <v>0.47479859338829239</v>
      </c>
      <c r="AD3641" s="39">
        <v>0.48262502508131089</v>
      </c>
      <c r="AE3641" s="39">
        <v>0.4690114020161868</v>
      </c>
      <c r="AF3641" s="40">
        <v>0.47845565540850954</v>
      </c>
    </row>
    <row r="3642" spans="1:32">
      <c r="A3642" s="15">
        <v>3640</v>
      </c>
      <c r="B3642" s="16">
        <v>0</v>
      </c>
      <c r="C3642" s="20">
        <v>0.5</v>
      </c>
      <c r="D3642" s="20">
        <v>0.57073034969186764</v>
      </c>
      <c r="E3642" s="20">
        <v>0.08</v>
      </c>
      <c r="F3642" s="8" t="s">
        <v>438</v>
      </c>
      <c r="G3642" s="24">
        <v>0.86809493078441802</v>
      </c>
      <c r="H3642" s="24">
        <v>0.8731209788462676</v>
      </c>
      <c r="I3642" s="25">
        <v>0.88839067309665587</v>
      </c>
      <c r="X3642" s="15">
        <v>3641</v>
      </c>
      <c r="Y3642" s="39">
        <v>0.48413491654607527</v>
      </c>
      <c r="Z3642" s="39">
        <v>0.47901325837195979</v>
      </c>
      <c r="AA3642" s="39">
        <v>0.48680461148942128</v>
      </c>
      <c r="AB3642" s="39">
        <v>0.48724506492192438</v>
      </c>
      <c r="AC3642" s="39">
        <v>0.47750902956639674</v>
      </c>
      <c r="AD3642" s="39">
        <v>0.47365084741143931</v>
      </c>
      <c r="AE3642" s="39">
        <v>0.47987299950047024</v>
      </c>
      <c r="AF3642" s="40">
        <v>0.48324653084166375</v>
      </c>
    </row>
    <row r="3643" spans="1:32">
      <c r="A3643" s="15">
        <v>3641</v>
      </c>
      <c r="B3643" s="16">
        <v>1</v>
      </c>
      <c r="C3643" s="20">
        <v>0.92</v>
      </c>
      <c r="D3643" s="20">
        <v>0.20258497911151899</v>
      </c>
      <c r="E3643" s="20">
        <v>0.08</v>
      </c>
      <c r="F3643" s="8" t="s">
        <v>434</v>
      </c>
      <c r="G3643" s="24">
        <v>0.74015578023648121</v>
      </c>
      <c r="H3643" s="24">
        <v>0.7444410932740344</v>
      </c>
      <c r="I3643" s="25">
        <v>0.75746035195310091</v>
      </c>
      <c r="X3643" s="15">
        <v>3642</v>
      </c>
      <c r="Y3643" s="39">
        <v>0.49674957253795904</v>
      </c>
      <c r="Z3643" s="39">
        <v>0.48736810645898332</v>
      </c>
      <c r="AA3643" s="39">
        <v>0.47514557652669775</v>
      </c>
      <c r="AB3643" s="39">
        <v>0.49915921427388321</v>
      </c>
      <c r="AC3643" s="39">
        <v>0.48795742438163509</v>
      </c>
      <c r="AD3643" s="39">
        <v>0.47887589509102746</v>
      </c>
      <c r="AE3643" s="39">
        <v>0.46870236788021968</v>
      </c>
      <c r="AF3643" s="40">
        <v>0.49357010639008558</v>
      </c>
    </row>
    <row r="3644" spans="1:32">
      <c r="A3644" s="15">
        <v>3642</v>
      </c>
      <c r="B3644" s="16">
        <v>0</v>
      </c>
      <c r="C3644" s="20">
        <v>0.79</v>
      </c>
      <c r="D3644" s="20">
        <v>0.3731124369664075</v>
      </c>
      <c r="E3644" s="20">
        <v>0.21</v>
      </c>
      <c r="F3644" s="8" t="s">
        <v>438</v>
      </c>
      <c r="G3644" s="24">
        <v>1.6107477153973291</v>
      </c>
      <c r="H3644" s="24">
        <v>1.6200735335146934</v>
      </c>
      <c r="I3644" s="25">
        <v>1.6484064084761954</v>
      </c>
      <c r="X3644" s="15">
        <v>3643</v>
      </c>
      <c r="Y3644" s="39">
        <v>0.48678109855861423</v>
      </c>
      <c r="Z3644" s="39">
        <v>0.48295973504918677</v>
      </c>
      <c r="AA3644" s="39">
        <v>0.48115225436632963</v>
      </c>
      <c r="AB3644" s="39">
        <v>0.48705154107120802</v>
      </c>
      <c r="AC3644" s="39">
        <v>0.47972889516340217</v>
      </c>
      <c r="AD3644" s="39">
        <v>0.47656930551566579</v>
      </c>
      <c r="AE3644" s="39">
        <v>0.47367956089309204</v>
      </c>
      <c r="AF3644" s="40">
        <v>0.48302288695828932</v>
      </c>
    </row>
    <row r="3645" spans="1:32">
      <c r="A3645" s="15">
        <v>3643</v>
      </c>
      <c r="B3645" s="16">
        <v>1</v>
      </c>
      <c r="C3645" s="20">
        <v>0.05</v>
      </c>
      <c r="D3645" s="20">
        <v>0.97008226361128902</v>
      </c>
      <c r="E3645" s="20">
        <v>0.53</v>
      </c>
      <c r="F3645" s="8" t="s">
        <v>436</v>
      </c>
      <c r="G3645" s="24">
        <v>0.99263568070822428</v>
      </c>
      <c r="H3645" s="24">
        <v>0.99838278792222235</v>
      </c>
      <c r="I3645" s="25">
        <v>1.015843140251137</v>
      </c>
      <c r="X3645" s="15">
        <v>3644</v>
      </c>
      <c r="Y3645" s="39">
        <v>0.50141055857964634</v>
      </c>
      <c r="Z3645" s="39">
        <v>0.48083146154963807</v>
      </c>
      <c r="AA3645" s="39">
        <v>0.48769402408153828</v>
      </c>
      <c r="AB3645" s="39">
        <v>0.48199336896252526</v>
      </c>
      <c r="AC3645" s="39">
        <v>0.49299081653635263</v>
      </c>
      <c r="AD3645" s="39">
        <v>0.47498067608721045</v>
      </c>
      <c r="AE3645" s="39">
        <v>0.48079447810333092</v>
      </c>
      <c r="AF3645" s="40">
        <v>0.47772719832473365</v>
      </c>
    </row>
    <row r="3646" spans="1:32">
      <c r="A3646" s="15">
        <v>3644</v>
      </c>
      <c r="B3646" s="16">
        <v>1</v>
      </c>
      <c r="C3646" s="20">
        <v>0.15</v>
      </c>
      <c r="D3646" s="20">
        <v>0.88464640680147144</v>
      </c>
      <c r="E3646" s="20">
        <v>0.04</v>
      </c>
      <c r="F3646" s="8" t="s">
        <v>436</v>
      </c>
      <c r="G3646" s="24">
        <v>1.0016235883837428</v>
      </c>
      <c r="H3646" s="24">
        <v>1.0074227332889549</v>
      </c>
      <c r="I3646" s="25">
        <v>1.0250411819242629</v>
      </c>
      <c r="X3646" s="15">
        <v>3645</v>
      </c>
      <c r="Y3646" s="39">
        <v>0.49328924435132115</v>
      </c>
      <c r="Z3646" s="39">
        <v>0.467528414251282</v>
      </c>
      <c r="AA3646" s="39">
        <v>0.49050663154056562</v>
      </c>
      <c r="AB3646" s="39">
        <v>0.47550438419572294</v>
      </c>
      <c r="AC3646" s="39">
        <v>0.48579175811022035</v>
      </c>
      <c r="AD3646" s="39">
        <v>0.46108634636809953</v>
      </c>
      <c r="AE3646" s="39">
        <v>0.48422884551483703</v>
      </c>
      <c r="AF3646" s="40">
        <v>0.47034833311455176</v>
      </c>
    </row>
    <row r="3647" spans="1:32">
      <c r="A3647" s="15">
        <v>3645</v>
      </c>
      <c r="B3647" s="16">
        <v>1</v>
      </c>
      <c r="C3647" s="20">
        <v>0.17</v>
      </c>
      <c r="D3647" s="20">
        <v>0.81517101522083424</v>
      </c>
      <c r="E3647" s="20">
        <v>0.11</v>
      </c>
      <c r="F3647" s="8" t="s">
        <v>436</v>
      </c>
      <c r="G3647" s="24">
        <v>1.0830484898827597</v>
      </c>
      <c r="H3647" s="24">
        <v>1.0893190641833672</v>
      </c>
      <c r="I3647" s="25">
        <v>1.1083697678707054</v>
      </c>
      <c r="X3647" s="15">
        <v>3646</v>
      </c>
      <c r="Y3647" s="39">
        <v>0.47687732875933947</v>
      </c>
      <c r="Z3647" s="39">
        <v>0.47769448396574532</v>
      </c>
      <c r="AA3647" s="39">
        <v>0.48938667451516144</v>
      </c>
      <c r="AB3647" s="39">
        <v>0.48114819300064915</v>
      </c>
      <c r="AC3647" s="39">
        <v>0.47231015267030285</v>
      </c>
      <c r="AD3647" s="39">
        <v>0.46984303525691878</v>
      </c>
      <c r="AE3647" s="39">
        <v>0.48407524635428917</v>
      </c>
      <c r="AF3647" s="40">
        <v>0.4769071751848093</v>
      </c>
    </row>
    <row r="3648" spans="1:32">
      <c r="A3648" s="15">
        <v>3646</v>
      </c>
      <c r="B3648" s="16">
        <v>1</v>
      </c>
      <c r="C3648" s="20">
        <v>0.02</v>
      </c>
      <c r="D3648" s="20">
        <v>0.99835916395484214</v>
      </c>
      <c r="E3648" s="20">
        <v>1</v>
      </c>
      <c r="F3648" s="8" t="s">
        <v>436</v>
      </c>
      <c r="G3648" s="24">
        <v>1.0366682476748066</v>
      </c>
      <c r="H3648" s="24">
        <v>1.042670292211916</v>
      </c>
      <c r="I3648" s="25">
        <v>1.0609051725455405</v>
      </c>
      <c r="X3648" s="15">
        <v>3647</v>
      </c>
      <c r="Y3648" s="39">
        <v>0.48532811735295478</v>
      </c>
      <c r="Z3648" s="39">
        <v>0.47677590032106409</v>
      </c>
      <c r="AA3648" s="39">
        <v>0.47050295937675546</v>
      </c>
      <c r="AB3648" s="39">
        <v>0.49930715275627863</v>
      </c>
      <c r="AC3648" s="39">
        <v>0.47892393238534475</v>
      </c>
      <c r="AD3648" s="39">
        <v>0.47246546137840145</v>
      </c>
      <c r="AE3648" s="39">
        <v>0.46617798021454027</v>
      </c>
      <c r="AF3648" s="40">
        <v>0.49525354839630842</v>
      </c>
    </row>
    <row r="3649" spans="1:32">
      <c r="A3649" s="15">
        <v>3647</v>
      </c>
      <c r="B3649" s="16">
        <v>0</v>
      </c>
      <c r="C3649" s="20">
        <v>0.35</v>
      </c>
      <c r="D3649" s="20">
        <v>0.73494687261306568</v>
      </c>
      <c r="E3649" s="20">
        <v>0.08</v>
      </c>
      <c r="F3649" s="8" t="s">
        <v>436</v>
      </c>
      <c r="G3649" s="24">
        <v>0.72513739404946931</v>
      </c>
      <c r="H3649" s="24">
        <v>0.72933575446454946</v>
      </c>
      <c r="I3649" s="25">
        <v>0.74209084138419468</v>
      </c>
      <c r="X3649" s="15">
        <v>3648</v>
      </c>
      <c r="Y3649" s="39">
        <v>0.49625467358130798</v>
      </c>
      <c r="Z3649" s="39">
        <v>0.49685681624469141</v>
      </c>
      <c r="AA3649" s="39">
        <v>0.48284403002727933</v>
      </c>
      <c r="AB3649" s="39">
        <v>0.49017276477751032</v>
      </c>
      <c r="AC3649" s="39">
        <v>0.48694247007680147</v>
      </c>
      <c r="AD3649" s="39">
        <v>0.48874102115130613</v>
      </c>
      <c r="AE3649" s="39">
        <v>0.47236909490292678</v>
      </c>
      <c r="AF3649" s="40">
        <v>0.4885957534621766</v>
      </c>
    </row>
    <row r="3650" spans="1:32">
      <c r="A3650" s="15">
        <v>3648</v>
      </c>
      <c r="B3650" s="16">
        <v>0</v>
      </c>
      <c r="C3650" s="20">
        <v>0.93</v>
      </c>
      <c r="D3650" s="20">
        <v>0.18747949848141848</v>
      </c>
      <c r="E3650" s="20">
        <v>7.0000000000000007E-2</v>
      </c>
      <c r="F3650" s="8" t="s">
        <v>434</v>
      </c>
      <c r="G3650" s="24">
        <v>0.37814949219467003</v>
      </c>
      <c r="H3650" s="24">
        <v>0.38033888122913545</v>
      </c>
      <c r="I3650" s="25">
        <v>0.38699048916046452</v>
      </c>
      <c r="X3650" s="15">
        <v>3649</v>
      </c>
      <c r="Y3650" s="39">
        <v>0.48294662285579831</v>
      </c>
      <c r="Z3650" s="39">
        <v>0.48808069525489634</v>
      </c>
      <c r="AA3650" s="39">
        <v>0.4728106236876633</v>
      </c>
      <c r="AB3650" s="39">
        <v>0.49736472680670868</v>
      </c>
      <c r="AC3650" s="39">
        <v>0.47700587564031671</v>
      </c>
      <c r="AD3650" s="39">
        <v>0.48007272242848809</v>
      </c>
      <c r="AE3650" s="39">
        <v>0.46852525522220462</v>
      </c>
      <c r="AF3650" s="40">
        <v>0.49198960981253448</v>
      </c>
    </row>
    <row r="3651" spans="1:32">
      <c r="A3651" s="15">
        <v>3649</v>
      </c>
      <c r="B3651" s="16">
        <v>0</v>
      </c>
      <c r="C3651" s="20">
        <v>0.23</v>
      </c>
      <c r="D3651" s="20">
        <v>0.80668893539524855</v>
      </c>
      <c r="E3651" s="20">
        <v>0.47</v>
      </c>
      <c r="F3651" s="8" t="s">
        <v>436</v>
      </c>
      <c r="G3651" s="24">
        <v>0.79474189423793107</v>
      </c>
      <c r="H3651" s="24">
        <v>0.79934324694205972</v>
      </c>
      <c r="I3651" s="25">
        <v>0.81332266935617503</v>
      </c>
      <c r="X3651" s="15">
        <v>3650</v>
      </c>
      <c r="Y3651" s="39">
        <v>0.4851996983332369</v>
      </c>
      <c r="Z3651" s="39">
        <v>0.46887505181005135</v>
      </c>
      <c r="AA3651" s="39">
        <v>0.4756685803217221</v>
      </c>
      <c r="AB3651" s="39">
        <v>0.49097584294769386</v>
      </c>
      <c r="AC3651" s="39">
        <v>0.47359089051415149</v>
      </c>
      <c r="AD3651" s="39">
        <v>0.46280641389879135</v>
      </c>
      <c r="AE3651" s="39">
        <v>0.4669765505319034</v>
      </c>
      <c r="AF3651" s="40">
        <v>0.48567042122764148</v>
      </c>
    </row>
    <row r="3652" spans="1:32">
      <c r="A3652" s="15">
        <v>3650</v>
      </c>
      <c r="B3652" s="16">
        <v>0</v>
      </c>
      <c r="C3652" s="20">
        <v>0.02</v>
      </c>
      <c r="D3652" s="20">
        <v>0.99917029198757767</v>
      </c>
      <c r="E3652" s="20">
        <v>1</v>
      </c>
      <c r="F3652" s="8" t="s">
        <v>436</v>
      </c>
      <c r="G3652" s="24">
        <v>1.2186007550339344</v>
      </c>
      <c r="H3652" s="24">
        <v>1.2256561423490895</v>
      </c>
      <c r="I3652" s="25">
        <v>1.2470911954553741</v>
      </c>
      <c r="X3652" s="15">
        <v>3651</v>
      </c>
      <c r="Y3652" s="39">
        <v>0.47890021197074817</v>
      </c>
      <c r="Z3652" s="39">
        <v>0.48198686728124018</v>
      </c>
      <c r="AA3652" s="39">
        <v>0.48969876854897609</v>
      </c>
      <c r="AB3652" s="39">
        <v>0.48895481195180357</v>
      </c>
      <c r="AC3652" s="39">
        <v>0.47179602144640309</v>
      </c>
      <c r="AD3652" s="39">
        <v>0.47786500750179561</v>
      </c>
      <c r="AE3652" s="39">
        <v>0.48052956841596112</v>
      </c>
      <c r="AF3652" s="40">
        <v>0.48404670419416845</v>
      </c>
    </row>
    <row r="3653" spans="1:32">
      <c r="A3653" s="15">
        <v>3651</v>
      </c>
      <c r="B3653" s="16">
        <v>0</v>
      </c>
      <c r="C3653" s="20">
        <v>0.02</v>
      </c>
      <c r="D3653" s="20">
        <v>0.99917029198757767</v>
      </c>
      <c r="E3653" s="20">
        <v>1</v>
      </c>
      <c r="F3653" s="8" t="s">
        <v>436</v>
      </c>
      <c r="G3653" s="24">
        <v>1.235302562982785</v>
      </c>
      <c r="H3653" s="24">
        <v>1.2424546495027089</v>
      </c>
      <c r="I3653" s="25">
        <v>1.264183485571851</v>
      </c>
      <c r="X3653" s="15">
        <v>3652</v>
      </c>
      <c r="Y3653" s="39">
        <v>0.49043023903932981</v>
      </c>
      <c r="Z3653" s="39">
        <v>0.47887244711462612</v>
      </c>
      <c r="AA3653" s="39">
        <v>0.48996053948114238</v>
      </c>
      <c r="AB3653" s="39">
        <v>0.49331989216851457</v>
      </c>
      <c r="AC3653" s="39">
        <v>0.48386259390120129</v>
      </c>
      <c r="AD3653" s="39">
        <v>0.47114764958190497</v>
      </c>
      <c r="AE3653" s="39">
        <v>0.47995794444520956</v>
      </c>
      <c r="AF3653" s="40">
        <v>0.49109936511500341</v>
      </c>
    </row>
    <row r="3654" spans="1:32">
      <c r="A3654" s="15">
        <v>3652</v>
      </c>
      <c r="B3654" s="16">
        <v>1</v>
      </c>
      <c r="C3654" s="20">
        <v>0.93</v>
      </c>
      <c r="D3654" s="20">
        <v>0.18747949848141848</v>
      </c>
      <c r="E3654" s="20">
        <v>7.0000000000000007E-2</v>
      </c>
      <c r="F3654" s="8" t="s">
        <v>434</v>
      </c>
      <c r="G3654" s="24">
        <v>1.1736308448109238</v>
      </c>
      <c r="H3654" s="24">
        <v>1.1804258678247763</v>
      </c>
      <c r="I3654" s="25">
        <v>1.2010699051616769</v>
      </c>
      <c r="X3654" s="15">
        <v>3653</v>
      </c>
      <c r="Y3654" s="39">
        <v>0.48980861013526039</v>
      </c>
      <c r="Z3654" s="39">
        <v>0.49702952902033481</v>
      </c>
      <c r="AA3654" s="39">
        <v>0.48792625896190622</v>
      </c>
      <c r="AB3654" s="39">
        <v>0.48845689511723994</v>
      </c>
      <c r="AC3654" s="39">
        <v>0.48310710772049248</v>
      </c>
      <c r="AD3654" s="39">
        <v>0.48882714442112313</v>
      </c>
      <c r="AE3654" s="39">
        <v>0.48170356243552226</v>
      </c>
      <c r="AF3654" s="40">
        <v>0.48443046488430497</v>
      </c>
    </row>
    <row r="3655" spans="1:32">
      <c r="A3655" s="15">
        <v>3653</v>
      </c>
      <c r="B3655" s="16">
        <v>0</v>
      </c>
      <c r="C3655" s="20">
        <v>0.12</v>
      </c>
      <c r="D3655" s="20">
        <v>0.92217695077615136</v>
      </c>
      <c r="E3655" s="20">
        <v>7.0000000000000007E-2</v>
      </c>
      <c r="F3655" s="8" t="s">
        <v>436</v>
      </c>
      <c r="G3655" s="24">
        <v>0.93501247911321184</v>
      </c>
      <c r="H3655" s="24">
        <v>0.94042596269870604</v>
      </c>
      <c r="I3655" s="25">
        <v>0.95687272925620115</v>
      </c>
      <c r="X3655" s="15">
        <v>3654</v>
      </c>
      <c r="Y3655" s="39">
        <v>0.47236162304945589</v>
      </c>
      <c r="Z3655" s="39">
        <v>0.4911182454110396</v>
      </c>
      <c r="AA3655" s="39">
        <v>0.49156722131342545</v>
      </c>
      <c r="AB3655" s="39">
        <v>0.48242369825658254</v>
      </c>
      <c r="AC3655" s="39">
        <v>0.46546126899893403</v>
      </c>
      <c r="AD3655" s="39">
        <v>0.48282454115835038</v>
      </c>
      <c r="AE3655" s="39">
        <v>0.48237205018649149</v>
      </c>
      <c r="AF3655" s="40">
        <v>0.47732304310976148</v>
      </c>
    </row>
    <row r="3656" spans="1:32">
      <c r="A3656" s="15">
        <v>3654</v>
      </c>
      <c r="B3656" s="16">
        <v>1</v>
      </c>
      <c r="C3656" s="20">
        <v>0.02</v>
      </c>
      <c r="D3656" s="20">
        <v>0.99756714174924133</v>
      </c>
      <c r="E3656" s="20">
        <v>1</v>
      </c>
      <c r="F3656" s="8" t="s">
        <v>436</v>
      </c>
      <c r="G3656" s="24">
        <v>0.93438854690916373</v>
      </c>
      <c r="H3656" s="24">
        <v>0.93979841808645959</v>
      </c>
      <c r="I3656" s="25">
        <v>0.95623420974518392</v>
      </c>
      <c r="X3656" s="15">
        <v>3655</v>
      </c>
      <c r="Y3656" s="39">
        <v>0.47878555202211809</v>
      </c>
      <c r="Z3656" s="39">
        <v>0.47563957370760174</v>
      </c>
      <c r="AA3656" s="39">
        <v>0.49273497156877766</v>
      </c>
      <c r="AB3656" s="39">
        <v>0.47948580783599276</v>
      </c>
      <c r="AC3656" s="39">
        <v>0.4702177390159043</v>
      </c>
      <c r="AD3656" s="39">
        <v>0.46974314888941521</v>
      </c>
      <c r="AE3656" s="39">
        <v>0.48606449704793703</v>
      </c>
      <c r="AF3656" s="40">
        <v>0.47652845890842926</v>
      </c>
    </row>
    <row r="3657" spans="1:32">
      <c r="A3657" s="15">
        <v>3655</v>
      </c>
      <c r="B3657" s="16">
        <v>0</v>
      </c>
      <c r="C3657" s="20">
        <v>0.9</v>
      </c>
      <c r="D3657" s="20">
        <v>0.231595386583653</v>
      </c>
      <c r="E3657" s="20">
        <v>0.1</v>
      </c>
      <c r="F3657" s="8" t="s">
        <v>434</v>
      </c>
      <c r="G3657" s="24">
        <v>1.2061940670853235</v>
      </c>
      <c r="H3657" s="24">
        <v>1.2131776228441513</v>
      </c>
      <c r="I3657" s="25">
        <v>1.2343944436754655</v>
      </c>
      <c r="X3657" s="15">
        <v>3656</v>
      </c>
      <c r="Y3657" s="39">
        <v>0.48277384535100815</v>
      </c>
      <c r="Z3657" s="39">
        <v>0.49867327086507812</v>
      </c>
      <c r="AA3657" s="39">
        <v>0.48740179425982794</v>
      </c>
      <c r="AB3657" s="39">
        <v>0.50576356528952093</v>
      </c>
      <c r="AC3657" s="39">
        <v>0.47613535020292641</v>
      </c>
      <c r="AD3657" s="39">
        <v>0.49136249168630014</v>
      </c>
      <c r="AE3657" s="39">
        <v>0.48046049940869906</v>
      </c>
      <c r="AF3657" s="40">
        <v>0.50230191380550726</v>
      </c>
    </row>
    <row r="3658" spans="1:32">
      <c r="A3658" s="15">
        <v>3656</v>
      </c>
      <c r="B3658" s="16">
        <v>0</v>
      </c>
      <c r="C3658" s="20">
        <v>0.94</v>
      </c>
      <c r="D3658" s="20">
        <v>0.17188516685452584</v>
      </c>
      <c r="E3658" s="20">
        <v>0.06</v>
      </c>
      <c r="F3658" s="8" t="s">
        <v>434</v>
      </c>
      <c r="G3658" s="24">
        <v>1.0174157456184678</v>
      </c>
      <c r="H3658" s="24">
        <v>1.0233063230830088</v>
      </c>
      <c r="I3658" s="25">
        <v>1.0412025540252707</v>
      </c>
      <c r="X3658" s="15">
        <v>3657</v>
      </c>
      <c r="Y3658" s="39">
        <v>0.48105934578161302</v>
      </c>
      <c r="Z3658" s="39">
        <v>0.49018836487046219</v>
      </c>
      <c r="AA3658" s="39">
        <v>0.48897153037443447</v>
      </c>
      <c r="AB3658" s="39">
        <v>0.48420551366296799</v>
      </c>
      <c r="AC3658" s="39">
        <v>0.47457335077373886</v>
      </c>
      <c r="AD3658" s="39">
        <v>0.48143491315570758</v>
      </c>
      <c r="AE3658" s="39">
        <v>0.48243078154471436</v>
      </c>
      <c r="AF3658" s="40">
        <v>0.48205863686410033</v>
      </c>
    </row>
    <row r="3659" spans="1:32">
      <c r="A3659" s="15">
        <v>3657</v>
      </c>
      <c r="B3659" s="16">
        <v>1</v>
      </c>
      <c r="C3659" s="20">
        <v>0.95</v>
      </c>
      <c r="D3659" s="20">
        <v>0.15570568692893463</v>
      </c>
      <c r="E3659" s="20">
        <v>0.05</v>
      </c>
      <c r="F3659" s="8" t="s">
        <v>434</v>
      </c>
      <c r="G3659" s="24">
        <v>0.3718573751841025</v>
      </c>
      <c r="H3659" s="24">
        <v>0.37401033446718429</v>
      </c>
      <c r="I3659" s="25">
        <v>0.38055126475309475</v>
      </c>
      <c r="X3659" s="15">
        <v>3658</v>
      </c>
      <c r="Y3659" s="39">
        <v>0.48488985985756916</v>
      </c>
      <c r="Z3659" s="39">
        <v>0.48267376496868564</v>
      </c>
      <c r="AA3659" s="39">
        <v>0.48866580942198473</v>
      </c>
      <c r="AB3659" s="39">
        <v>0.48540025383650526</v>
      </c>
      <c r="AC3659" s="39">
        <v>0.47670011905233045</v>
      </c>
      <c r="AD3659" s="39">
        <v>0.47718638634425137</v>
      </c>
      <c r="AE3659" s="39">
        <v>0.48099544479281686</v>
      </c>
      <c r="AF3659" s="40">
        <v>0.48107586850141276</v>
      </c>
    </row>
    <row r="3660" spans="1:32">
      <c r="A3660" s="15">
        <v>3658</v>
      </c>
      <c r="B3660" s="16">
        <v>0</v>
      </c>
      <c r="C3660" s="20">
        <v>0.9</v>
      </c>
      <c r="D3660" s="20">
        <v>0.23516114159132792</v>
      </c>
      <c r="E3660" s="20">
        <v>0.1</v>
      </c>
      <c r="F3660" s="8" t="s">
        <v>434</v>
      </c>
      <c r="G3660" s="24">
        <v>1.2436332505216146</v>
      </c>
      <c r="H3660" s="24">
        <v>1.2508335695959212</v>
      </c>
      <c r="I3660" s="25">
        <v>1.2727089415416162</v>
      </c>
      <c r="X3660" s="15">
        <v>3659</v>
      </c>
      <c r="Y3660" s="39">
        <v>0.475476576162427</v>
      </c>
      <c r="Z3660" s="39">
        <v>0.4825104545155397</v>
      </c>
      <c r="AA3660" s="39">
        <v>0.48733261670195499</v>
      </c>
      <c r="AB3660" s="39">
        <v>0.48239848103279681</v>
      </c>
      <c r="AC3660" s="39">
        <v>0.46778099897571734</v>
      </c>
      <c r="AD3660" s="39">
        <v>0.47786451602116387</v>
      </c>
      <c r="AE3660" s="39">
        <v>0.47831540304299752</v>
      </c>
      <c r="AF3660" s="40">
        <v>0.47919507689997842</v>
      </c>
    </row>
    <row r="3661" spans="1:32">
      <c r="A3661" s="15">
        <v>3659</v>
      </c>
      <c r="B3661" s="16">
        <v>0</v>
      </c>
      <c r="C3661" s="20">
        <v>0.12</v>
      </c>
      <c r="D3661" s="20">
        <v>0.90970256154478968</v>
      </c>
      <c r="E3661" s="20">
        <v>7.0000000000000007E-2</v>
      </c>
      <c r="F3661" s="8" t="s">
        <v>436</v>
      </c>
      <c r="G3661" s="24">
        <v>1.0002158811684156</v>
      </c>
      <c r="H3661" s="24">
        <v>1.0060068758081784</v>
      </c>
      <c r="I3661" s="25">
        <v>1.0236005630285649</v>
      </c>
      <c r="X3661" s="15">
        <v>3660</v>
      </c>
      <c r="Y3661" s="39">
        <v>0.47650481587988192</v>
      </c>
      <c r="Z3661" s="39">
        <v>0.48511535938781297</v>
      </c>
      <c r="AA3661" s="39">
        <v>0.48253439085943184</v>
      </c>
      <c r="AB3661" s="39">
        <v>0.48599281024257129</v>
      </c>
      <c r="AC3661" s="39">
        <v>0.46885499583650697</v>
      </c>
      <c r="AD3661" s="39">
        <v>0.48059689412957945</v>
      </c>
      <c r="AE3661" s="39">
        <v>0.47519168653605853</v>
      </c>
      <c r="AF3661" s="40">
        <v>0.48005444690949872</v>
      </c>
    </row>
    <row r="3662" spans="1:32">
      <c r="A3662" s="15">
        <v>3660</v>
      </c>
      <c r="B3662" s="16">
        <v>1</v>
      </c>
      <c r="C3662" s="20">
        <v>0.23</v>
      </c>
      <c r="D3662" s="20">
        <v>0.82390565540741745</v>
      </c>
      <c r="E3662" s="20">
        <v>0.1</v>
      </c>
      <c r="F3662" s="8" t="s">
        <v>436</v>
      </c>
      <c r="G3662" s="24">
        <v>0.78541678791452874</v>
      </c>
      <c r="H3662" s="24">
        <v>0.78996415063334446</v>
      </c>
      <c r="I3662" s="25">
        <v>0.80377954545397745</v>
      </c>
      <c r="X3662" s="15">
        <v>3661</v>
      </c>
      <c r="Y3662" s="39">
        <v>0.48581394820406393</v>
      </c>
      <c r="Z3662" s="39">
        <v>0.47418810309849635</v>
      </c>
      <c r="AA3662" s="39">
        <v>0.49010500972713034</v>
      </c>
      <c r="AB3662" s="39">
        <v>0.48861612271470173</v>
      </c>
      <c r="AC3662" s="39">
        <v>0.47941878771871466</v>
      </c>
      <c r="AD3662" s="39">
        <v>0.46758661567860821</v>
      </c>
      <c r="AE3662" s="39">
        <v>0.48463695094870068</v>
      </c>
      <c r="AF3662" s="40">
        <v>0.48576816187654193</v>
      </c>
    </row>
    <row r="3663" spans="1:32">
      <c r="A3663" s="15">
        <v>3661</v>
      </c>
      <c r="B3663" s="16">
        <v>0</v>
      </c>
      <c r="C3663" s="20">
        <v>0.2</v>
      </c>
      <c r="D3663" s="20">
        <v>0.83386050201264539</v>
      </c>
      <c r="E3663" s="20">
        <v>0.06</v>
      </c>
      <c r="F3663" s="8" t="s">
        <v>436</v>
      </c>
      <c r="G3663" s="24">
        <v>1.0857189467392931</v>
      </c>
      <c r="H3663" s="24">
        <v>1.0920049823034468</v>
      </c>
      <c r="I3663" s="25">
        <v>1.1111026590328594</v>
      </c>
      <c r="X3663" s="15">
        <v>3662</v>
      </c>
      <c r="Y3663" s="39">
        <v>0.47079861443261539</v>
      </c>
      <c r="Z3663" s="39">
        <v>0.47828143582650795</v>
      </c>
      <c r="AA3663" s="39">
        <v>0.49982333915472843</v>
      </c>
      <c r="AB3663" s="39">
        <v>0.48223059061441792</v>
      </c>
      <c r="AC3663" s="39">
        <v>0.46340435746067199</v>
      </c>
      <c r="AD3663" s="39">
        <v>0.47162435343700082</v>
      </c>
      <c r="AE3663" s="39">
        <v>0.49355147168489444</v>
      </c>
      <c r="AF3663" s="40">
        <v>0.47798122286438083</v>
      </c>
    </row>
    <row r="3664" spans="1:32">
      <c r="A3664" s="15">
        <v>3662</v>
      </c>
      <c r="B3664" s="16">
        <v>1</v>
      </c>
      <c r="C3664" s="20">
        <v>0.95</v>
      </c>
      <c r="D3664" s="20">
        <v>0.15570568692893463</v>
      </c>
      <c r="E3664" s="20">
        <v>0.05</v>
      </c>
      <c r="F3664" s="8" t="s">
        <v>434</v>
      </c>
      <c r="G3664" s="24">
        <v>1.9204678062482587</v>
      </c>
      <c r="H3664" s="24">
        <v>1.9315868246333985</v>
      </c>
      <c r="I3664" s="25">
        <v>1.6578926537592125</v>
      </c>
      <c r="X3664" s="15">
        <v>3663</v>
      </c>
      <c r="Y3664" s="39">
        <v>0.48773907650568399</v>
      </c>
      <c r="Z3664" s="39">
        <v>0.48890775798277591</v>
      </c>
      <c r="AA3664" s="39">
        <v>0.47387382238383208</v>
      </c>
      <c r="AB3664" s="39">
        <v>0.49554643788825303</v>
      </c>
      <c r="AC3664" s="39">
        <v>0.48109106316984979</v>
      </c>
      <c r="AD3664" s="39">
        <v>0.4817767827050462</v>
      </c>
      <c r="AE3664" s="39">
        <v>0.46689388563800954</v>
      </c>
      <c r="AF3664" s="40">
        <v>0.49240325553508213</v>
      </c>
    </row>
    <row r="3665" spans="1:32">
      <c r="A3665" s="15">
        <v>3663</v>
      </c>
      <c r="B3665" s="16">
        <v>0</v>
      </c>
      <c r="C3665" s="20">
        <v>0.91</v>
      </c>
      <c r="D3665" s="20">
        <v>0.21727233298780477</v>
      </c>
      <c r="E3665" s="20">
        <v>0.09</v>
      </c>
      <c r="F3665" s="8" t="s">
        <v>434</v>
      </c>
      <c r="G3665" s="24">
        <v>1.730515170509958</v>
      </c>
      <c r="H3665" s="24">
        <v>1.7405344116209314</v>
      </c>
      <c r="I3665" s="25">
        <v>1.6578926537592125</v>
      </c>
      <c r="X3665" s="15">
        <v>3664</v>
      </c>
      <c r="Y3665" s="39">
        <v>0.496014570133819</v>
      </c>
      <c r="Z3665" s="39">
        <v>0.48155632157278538</v>
      </c>
      <c r="AA3665" s="39">
        <v>0.49811985821282484</v>
      </c>
      <c r="AB3665" s="39">
        <v>0.49204299048285888</v>
      </c>
      <c r="AC3665" s="39">
        <v>0.48700901748483327</v>
      </c>
      <c r="AD3665" s="39">
        <v>0.4754153845971143</v>
      </c>
      <c r="AE3665" s="39">
        <v>0.49441267805557892</v>
      </c>
      <c r="AF3665" s="40">
        <v>0.48877365526635808</v>
      </c>
    </row>
    <row r="3666" spans="1:32">
      <c r="A3666" s="17">
        <v>3664</v>
      </c>
      <c r="B3666" s="18">
        <v>1</v>
      </c>
      <c r="C3666" s="21">
        <v>0.2</v>
      </c>
      <c r="D3666" s="21">
        <v>0.81777617420573701</v>
      </c>
      <c r="E3666" s="21">
        <v>0.09</v>
      </c>
      <c r="F3666" s="11" t="s">
        <v>436</v>
      </c>
      <c r="G3666" s="26">
        <v>0.70504957678213842</v>
      </c>
      <c r="H3666" s="26">
        <v>0.70913163386279865</v>
      </c>
      <c r="I3666" s="27">
        <v>0.72153337828849262</v>
      </c>
      <c r="X3666" s="15">
        <v>3665</v>
      </c>
      <c r="Y3666" s="39">
        <v>0.49273323849134454</v>
      </c>
      <c r="Z3666" s="39">
        <v>0.49147976367342511</v>
      </c>
      <c r="AA3666" s="39">
        <v>0.48687656995422846</v>
      </c>
      <c r="AB3666" s="39">
        <v>0.50189759124228328</v>
      </c>
      <c r="AC3666" s="39">
        <v>0.48633458738976382</v>
      </c>
      <c r="AD3666" s="39">
        <v>0.4853374132775804</v>
      </c>
      <c r="AE3666" s="39">
        <v>0.48142458668044608</v>
      </c>
      <c r="AF3666" s="40">
        <v>0.50060390135271082</v>
      </c>
    </row>
    <row r="3667" spans="1:32">
      <c r="X3667" s="15">
        <v>3666</v>
      </c>
      <c r="Y3667" s="39">
        <v>0.50128094245748889</v>
      </c>
      <c r="Z3667" s="39">
        <v>0.47744153068418477</v>
      </c>
      <c r="AA3667" s="39">
        <v>0.48033171550242482</v>
      </c>
      <c r="AB3667" s="39">
        <v>0.47924181984006126</v>
      </c>
      <c r="AC3667" s="39">
        <v>0.49540155451026607</v>
      </c>
      <c r="AD3667" s="39">
        <v>0.47053978386918288</v>
      </c>
      <c r="AE3667" s="39">
        <v>0.47239506737320802</v>
      </c>
      <c r="AF3667" s="40">
        <v>0.47545907896227002</v>
      </c>
    </row>
    <row r="3668" spans="1:32">
      <c r="X3668" s="15">
        <v>3667</v>
      </c>
      <c r="Y3668" s="39">
        <v>0.49346980694142401</v>
      </c>
      <c r="Z3668" s="39">
        <v>0.47773367732036731</v>
      </c>
      <c r="AA3668" s="39">
        <v>0.49858945324295695</v>
      </c>
      <c r="AB3668" s="39">
        <v>0.48498688865901846</v>
      </c>
      <c r="AC3668" s="39">
        <v>0.4866867050390099</v>
      </c>
      <c r="AD3668" s="39">
        <v>0.46900216601227035</v>
      </c>
      <c r="AE3668" s="39">
        <v>0.4916897165471934</v>
      </c>
      <c r="AF3668" s="40">
        <v>0.48150803914484502</v>
      </c>
    </row>
    <row r="3669" spans="1:32">
      <c r="X3669" s="15">
        <v>3668</v>
      </c>
      <c r="Y3669" s="39">
        <v>0.48506562776473322</v>
      </c>
      <c r="Z3669" s="39">
        <v>0.49688487719721952</v>
      </c>
      <c r="AA3669" s="39">
        <v>0.49367485718708498</v>
      </c>
      <c r="AB3669" s="39">
        <v>0.49648509955601644</v>
      </c>
      <c r="AC3669" s="39">
        <v>0.47910562206751828</v>
      </c>
      <c r="AD3669" s="39">
        <v>0.49178604636072948</v>
      </c>
      <c r="AE3669" s="39">
        <v>0.48841479088577572</v>
      </c>
      <c r="AF3669" s="40">
        <v>0.48957518703672243</v>
      </c>
    </row>
    <row r="3670" spans="1:32">
      <c r="X3670" s="15">
        <v>3669</v>
      </c>
      <c r="Y3670" s="39">
        <v>0.49314692013653066</v>
      </c>
      <c r="Z3670" s="39">
        <v>0.49412557232846682</v>
      </c>
      <c r="AA3670" s="39">
        <v>0.4702815233069248</v>
      </c>
      <c r="AB3670" s="39">
        <v>0.48882414404321439</v>
      </c>
      <c r="AC3670" s="39">
        <v>0.486540100351877</v>
      </c>
      <c r="AD3670" s="39">
        <v>0.48557980977730797</v>
      </c>
      <c r="AE3670" s="39">
        <v>0.46498653265051654</v>
      </c>
      <c r="AF3670" s="40">
        <v>0.4865488304097802</v>
      </c>
    </row>
    <row r="3671" spans="1:32">
      <c r="X3671" s="15">
        <v>3670</v>
      </c>
      <c r="Y3671" s="39">
        <v>0.49439409717666855</v>
      </c>
      <c r="Z3671" s="39">
        <v>0.47463603224535694</v>
      </c>
      <c r="AA3671" s="39">
        <v>0.4715924471765825</v>
      </c>
      <c r="AB3671" s="39">
        <v>0.49854774382916373</v>
      </c>
      <c r="AC3671" s="39">
        <v>0.48528477364931222</v>
      </c>
      <c r="AD3671" s="39">
        <v>0.46705690329336785</v>
      </c>
      <c r="AE3671" s="39">
        <v>0.46621500395971854</v>
      </c>
      <c r="AF3671" s="40">
        <v>0.49385063873301027</v>
      </c>
    </row>
    <row r="3672" spans="1:32">
      <c r="X3672" s="15">
        <v>3671</v>
      </c>
      <c r="Y3672" s="39">
        <v>0.49101944533872149</v>
      </c>
      <c r="Z3672" s="39">
        <v>0.48583911269108798</v>
      </c>
      <c r="AA3672" s="39">
        <v>0.48364479508176939</v>
      </c>
      <c r="AB3672" s="39">
        <v>0.48129861642691996</v>
      </c>
      <c r="AC3672" s="39">
        <v>0.48310675034092532</v>
      </c>
      <c r="AD3672" s="39">
        <v>0.4797730729415095</v>
      </c>
      <c r="AE3672" s="39">
        <v>0.47645110907223154</v>
      </c>
      <c r="AF3672" s="40">
        <v>0.47397224963540568</v>
      </c>
    </row>
    <row r="3673" spans="1:32">
      <c r="X3673" s="15">
        <v>3672</v>
      </c>
      <c r="Y3673" s="39">
        <v>0.47141383192723924</v>
      </c>
      <c r="Z3673" s="39">
        <v>0.48090698243865571</v>
      </c>
      <c r="AA3673" s="39">
        <v>0.48644570923426356</v>
      </c>
      <c r="AB3673" s="39">
        <v>0.47717984282940035</v>
      </c>
      <c r="AC3673" s="39">
        <v>0.46459553181822549</v>
      </c>
      <c r="AD3673" s="39">
        <v>0.47614477946877359</v>
      </c>
      <c r="AE3673" s="39">
        <v>0.48126216838430658</v>
      </c>
      <c r="AF3673" s="40">
        <v>0.47470973491101626</v>
      </c>
    </row>
    <row r="3674" spans="1:32">
      <c r="X3674" s="15">
        <v>3673</v>
      </c>
      <c r="Y3674" s="39">
        <v>0.47678977894791369</v>
      </c>
      <c r="Z3674" s="39">
        <v>0.49960156922015397</v>
      </c>
      <c r="AA3674" s="39">
        <v>0.48676932000664802</v>
      </c>
      <c r="AB3674" s="39">
        <v>0.47324480049661966</v>
      </c>
      <c r="AC3674" s="39">
        <v>0.46787806766960566</v>
      </c>
      <c r="AD3674" s="39">
        <v>0.49209646545527247</v>
      </c>
      <c r="AE3674" s="39">
        <v>0.47658488837699825</v>
      </c>
      <c r="AF3674" s="40">
        <v>0.46817833619718724</v>
      </c>
    </row>
    <row r="3675" spans="1:32">
      <c r="X3675" s="15">
        <v>3674</v>
      </c>
      <c r="Y3675" s="39">
        <v>0.46939121778024046</v>
      </c>
      <c r="Z3675" s="39">
        <v>0.50265385662786344</v>
      </c>
      <c r="AA3675" s="39">
        <v>0.49113620658627549</v>
      </c>
      <c r="AB3675" s="39">
        <v>0.47254416947636457</v>
      </c>
      <c r="AC3675" s="39">
        <v>0.46547349340801897</v>
      </c>
      <c r="AD3675" s="39">
        <v>0.49573912470181675</v>
      </c>
      <c r="AE3675" s="39">
        <v>0.48252056741311261</v>
      </c>
      <c r="AF3675" s="40">
        <v>0.46666821591021018</v>
      </c>
    </row>
    <row r="3676" spans="1:32">
      <c r="X3676" s="15">
        <v>3675</v>
      </c>
      <c r="Y3676" s="39">
        <v>0.49436093586166829</v>
      </c>
      <c r="Z3676" s="39">
        <v>0.49117670650763523</v>
      </c>
      <c r="AA3676" s="39">
        <v>0.48255979072809835</v>
      </c>
      <c r="AB3676" s="39">
        <v>0.48541117612132517</v>
      </c>
      <c r="AC3676" s="39">
        <v>0.49104886771738787</v>
      </c>
      <c r="AD3676" s="39">
        <v>0.48500010500502361</v>
      </c>
      <c r="AE3676" s="39">
        <v>0.47496148591862442</v>
      </c>
      <c r="AF3676" s="40">
        <v>0.48041508990896731</v>
      </c>
    </row>
    <row r="3677" spans="1:32">
      <c r="X3677" s="15">
        <v>3676</v>
      </c>
      <c r="Y3677" s="39">
        <v>0.48100027946741025</v>
      </c>
      <c r="Z3677" s="39">
        <v>0.48604830384418457</v>
      </c>
      <c r="AA3677" s="39">
        <v>0.47982934564784935</v>
      </c>
      <c r="AB3677" s="39">
        <v>0.49234794762133743</v>
      </c>
      <c r="AC3677" s="39">
        <v>0.47639658996178397</v>
      </c>
      <c r="AD3677" s="39">
        <v>0.47952130282859068</v>
      </c>
      <c r="AE3677" s="39">
        <v>0.47142341762732765</v>
      </c>
      <c r="AF3677" s="40">
        <v>0.48886207384627223</v>
      </c>
    </row>
    <row r="3678" spans="1:32">
      <c r="X3678" s="15">
        <v>3677</v>
      </c>
      <c r="Y3678" s="39">
        <v>0.48549130563892545</v>
      </c>
      <c r="Z3678" s="39">
        <v>0.49168970390049888</v>
      </c>
      <c r="AA3678" s="39">
        <v>0.4754986903505049</v>
      </c>
      <c r="AB3678" s="39">
        <v>0.49133669594663093</v>
      </c>
      <c r="AC3678" s="39">
        <v>0.47943635312706179</v>
      </c>
      <c r="AD3678" s="39">
        <v>0.48291027122049918</v>
      </c>
      <c r="AE3678" s="39">
        <v>0.46787316052163658</v>
      </c>
      <c r="AF3678" s="40">
        <v>0.48815526921808794</v>
      </c>
    </row>
    <row r="3679" spans="1:32">
      <c r="X3679" s="15">
        <v>3678</v>
      </c>
      <c r="Y3679" s="39">
        <v>0.47389019312775138</v>
      </c>
      <c r="Z3679" s="39">
        <v>0.47766540486518327</v>
      </c>
      <c r="AA3679" s="39">
        <v>0.50227685214547901</v>
      </c>
      <c r="AB3679" s="39">
        <v>0.47728765504584969</v>
      </c>
      <c r="AC3679" s="39">
        <v>0.46693894057268515</v>
      </c>
      <c r="AD3679" s="39">
        <v>0.47124650849582134</v>
      </c>
      <c r="AE3679" s="39">
        <v>0.49548046046867233</v>
      </c>
      <c r="AF3679" s="40">
        <v>0.47428195628929581</v>
      </c>
    </row>
    <row r="3680" spans="1:32">
      <c r="X3680" s="15">
        <v>3679</v>
      </c>
      <c r="Y3680" s="39">
        <v>0.48209229492194072</v>
      </c>
      <c r="Z3680" s="39">
        <v>0.48776359083208037</v>
      </c>
      <c r="AA3680" s="39">
        <v>0.50726568845856712</v>
      </c>
      <c r="AB3680" s="39">
        <v>0.47566948398913972</v>
      </c>
      <c r="AC3680" s="39">
        <v>0.47631234946157835</v>
      </c>
      <c r="AD3680" s="39">
        <v>0.48260343871072126</v>
      </c>
      <c r="AE3680" s="39">
        <v>0.50150960060269711</v>
      </c>
      <c r="AF3680" s="40">
        <v>0.4718036117782573</v>
      </c>
    </row>
    <row r="3681" spans="24:32">
      <c r="X3681" s="15">
        <v>3680</v>
      </c>
      <c r="Y3681" s="39">
        <v>0.48790352332011017</v>
      </c>
      <c r="Z3681" s="39">
        <v>0.49937246791188622</v>
      </c>
      <c r="AA3681" s="39">
        <v>0.49269734781663482</v>
      </c>
      <c r="AB3681" s="39">
        <v>0.48830826501131247</v>
      </c>
      <c r="AC3681" s="39">
        <v>0.48318067887740984</v>
      </c>
      <c r="AD3681" s="39">
        <v>0.49154872234492275</v>
      </c>
      <c r="AE3681" s="39">
        <v>0.48329158327320049</v>
      </c>
      <c r="AF3681" s="40">
        <v>0.48609691156843182</v>
      </c>
    </row>
    <row r="3682" spans="24:32">
      <c r="X3682" s="15">
        <v>3681</v>
      </c>
      <c r="Y3682" s="39">
        <v>0.48089520547218856</v>
      </c>
      <c r="Z3682" s="39">
        <v>0.49519100563458218</v>
      </c>
      <c r="AA3682" s="39">
        <v>0.48397147662141005</v>
      </c>
      <c r="AB3682" s="39">
        <v>0.4857421697060299</v>
      </c>
      <c r="AC3682" s="39">
        <v>0.47453693283316167</v>
      </c>
      <c r="AD3682" s="39">
        <v>0.49125724551516414</v>
      </c>
      <c r="AE3682" s="39">
        <v>0.47649288672004103</v>
      </c>
      <c r="AF3682" s="40">
        <v>0.48716224345026743</v>
      </c>
    </row>
    <row r="3683" spans="24:32">
      <c r="X3683" s="15">
        <v>3682</v>
      </c>
      <c r="Y3683" s="39">
        <v>0.49303985226466085</v>
      </c>
      <c r="Z3683" s="39">
        <v>0.47570504892155685</v>
      </c>
      <c r="AA3683" s="39">
        <v>0.48827446919765249</v>
      </c>
      <c r="AB3683" s="39">
        <v>0.47936978725830232</v>
      </c>
      <c r="AC3683" s="39">
        <v>0.48673770892314916</v>
      </c>
      <c r="AD3683" s="39">
        <v>0.46858365162144811</v>
      </c>
      <c r="AE3683" s="39">
        <v>0.48146760888214718</v>
      </c>
      <c r="AF3683" s="40">
        <v>0.47623035654733864</v>
      </c>
    </row>
    <row r="3684" spans="24:32">
      <c r="X3684" s="15">
        <v>3683</v>
      </c>
      <c r="Y3684" s="39">
        <v>0.48590595220744887</v>
      </c>
      <c r="Z3684" s="39">
        <v>0.4873606070177241</v>
      </c>
      <c r="AA3684" s="39">
        <v>0.49893306611842109</v>
      </c>
      <c r="AB3684" s="39">
        <v>0.49433965138260444</v>
      </c>
      <c r="AC3684" s="39">
        <v>0.4795921327359739</v>
      </c>
      <c r="AD3684" s="39">
        <v>0.47977832409580168</v>
      </c>
      <c r="AE3684" s="39">
        <v>0.48928584743077275</v>
      </c>
      <c r="AF3684" s="40">
        <v>0.49138358306734015</v>
      </c>
    </row>
    <row r="3685" spans="24:32">
      <c r="X3685" s="15">
        <v>3684</v>
      </c>
      <c r="Y3685" s="39">
        <v>0.49869635960090686</v>
      </c>
      <c r="Z3685" s="39">
        <v>0.48472476467118092</v>
      </c>
      <c r="AA3685" s="39">
        <v>0.49320043135845343</v>
      </c>
      <c r="AB3685" s="39">
        <v>0.49677345642105364</v>
      </c>
      <c r="AC3685" s="39">
        <v>0.49078509721412111</v>
      </c>
      <c r="AD3685" s="39">
        <v>0.48064025953914519</v>
      </c>
      <c r="AE3685" s="39">
        <v>0.4873674613651568</v>
      </c>
      <c r="AF3685" s="40">
        <v>0.49485354014770372</v>
      </c>
    </row>
    <row r="3686" spans="24:32">
      <c r="X3686" s="15">
        <v>3685</v>
      </c>
      <c r="Y3686" s="39">
        <v>0.47846207836919979</v>
      </c>
      <c r="Z3686" s="39">
        <v>0.49180133843524521</v>
      </c>
      <c r="AA3686" s="39">
        <v>0.478799253440441</v>
      </c>
      <c r="AB3686" s="39">
        <v>0.48830989720153939</v>
      </c>
      <c r="AC3686" s="39">
        <v>0.47354615031096697</v>
      </c>
      <c r="AD3686" s="39">
        <v>0.48301262080067953</v>
      </c>
      <c r="AE3686" s="39">
        <v>0.47170185221658695</v>
      </c>
      <c r="AF3686" s="40">
        <v>0.48611703609137341</v>
      </c>
    </row>
    <row r="3687" spans="24:32">
      <c r="X3687" s="15">
        <v>3686</v>
      </c>
      <c r="Y3687" s="39">
        <v>0.483523250161769</v>
      </c>
      <c r="Z3687" s="39">
        <v>0.48604728015831827</v>
      </c>
      <c r="AA3687" s="39">
        <v>0.4921313767843859</v>
      </c>
      <c r="AB3687" s="39">
        <v>0.50472591482241302</v>
      </c>
      <c r="AC3687" s="39">
        <v>0.47650197997240185</v>
      </c>
      <c r="AD3687" s="39">
        <v>0.47660402220557557</v>
      </c>
      <c r="AE3687" s="39">
        <v>0.48736429886262717</v>
      </c>
      <c r="AF3687" s="40">
        <v>0.50159966155099478</v>
      </c>
    </row>
    <row r="3688" spans="24:32">
      <c r="X3688" s="15">
        <v>3687</v>
      </c>
      <c r="Y3688" s="39">
        <v>0.47874904037233079</v>
      </c>
      <c r="Z3688" s="39">
        <v>0.48192580226039644</v>
      </c>
      <c r="AA3688" s="39">
        <v>0.4748359218038975</v>
      </c>
      <c r="AB3688" s="39">
        <v>0.48320392569836279</v>
      </c>
      <c r="AC3688" s="39">
        <v>0.47408017650658157</v>
      </c>
      <c r="AD3688" s="39">
        <v>0.47509856574729581</v>
      </c>
      <c r="AE3688" s="39">
        <v>0.46705435137506635</v>
      </c>
      <c r="AF3688" s="40">
        <v>0.48202285092331015</v>
      </c>
    </row>
    <row r="3689" spans="24:32">
      <c r="X3689" s="15">
        <v>3688</v>
      </c>
      <c r="Y3689" s="39">
        <v>0.48540349315814313</v>
      </c>
      <c r="Z3689" s="39">
        <v>0.4781937119775167</v>
      </c>
      <c r="AA3689" s="39">
        <v>0.47444760585401907</v>
      </c>
      <c r="AB3689" s="39">
        <v>0.48540949836624725</v>
      </c>
      <c r="AC3689" s="39">
        <v>0.47850612853119079</v>
      </c>
      <c r="AD3689" s="39">
        <v>0.470792570904561</v>
      </c>
      <c r="AE3689" s="39">
        <v>0.4659013764693401</v>
      </c>
      <c r="AF3689" s="40">
        <v>0.48183147908147861</v>
      </c>
    </row>
    <row r="3690" spans="24:32">
      <c r="X3690" s="15">
        <v>3689</v>
      </c>
      <c r="Y3690" s="39">
        <v>0.47838632760205257</v>
      </c>
      <c r="Z3690" s="39">
        <v>0.48032344903886726</v>
      </c>
      <c r="AA3690" s="39">
        <v>0.48219349261989131</v>
      </c>
      <c r="AB3690" s="39">
        <v>0.49318298200354893</v>
      </c>
      <c r="AC3690" s="39">
        <v>0.47061297499859284</v>
      </c>
      <c r="AD3690" s="39">
        <v>0.47571399623016075</v>
      </c>
      <c r="AE3690" s="39">
        <v>0.47680754903107797</v>
      </c>
      <c r="AF3690" s="40">
        <v>0.48796558201539036</v>
      </c>
    </row>
    <row r="3691" spans="24:32">
      <c r="X3691" s="15">
        <v>3690</v>
      </c>
      <c r="Y3691" s="39">
        <v>0.47796830077172092</v>
      </c>
      <c r="Z3691" s="39">
        <v>0.4962419716657358</v>
      </c>
      <c r="AA3691" s="39">
        <v>0.47753163152827222</v>
      </c>
      <c r="AB3691" s="39">
        <v>0.48129445967261542</v>
      </c>
      <c r="AC3691" s="39">
        <v>0.47239003565887849</v>
      </c>
      <c r="AD3691" s="39">
        <v>0.48827426356142761</v>
      </c>
      <c r="AE3691" s="39">
        <v>0.47010850351667621</v>
      </c>
      <c r="AF3691" s="40">
        <v>0.47514882654229013</v>
      </c>
    </row>
    <row r="3692" spans="24:32">
      <c r="X3692" s="15">
        <v>3691</v>
      </c>
      <c r="Y3692" s="39">
        <v>0.48955360435525247</v>
      </c>
      <c r="Z3692" s="39">
        <v>0.4858138240874047</v>
      </c>
      <c r="AA3692" s="39">
        <v>0.47939455913342077</v>
      </c>
      <c r="AB3692" s="39">
        <v>0.48725026346287148</v>
      </c>
      <c r="AC3692" s="39">
        <v>0.48057154120183854</v>
      </c>
      <c r="AD3692" s="39">
        <v>0.47836773266443117</v>
      </c>
      <c r="AE3692" s="39">
        <v>0.47124168058499344</v>
      </c>
      <c r="AF3692" s="40">
        <v>0.48481297067973661</v>
      </c>
    </row>
    <row r="3693" spans="24:32">
      <c r="X3693" s="15">
        <v>3692</v>
      </c>
      <c r="Y3693" s="39">
        <v>0.48890174513337675</v>
      </c>
      <c r="Z3693" s="39">
        <v>0.48421353174573889</v>
      </c>
      <c r="AA3693" s="39">
        <v>0.49295805309424245</v>
      </c>
      <c r="AB3693" s="39">
        <v>0.4842140694128762</v>
      </c>
      <c r="AC3693" s="39">
        <v>0.47966542090642833</v>
      </c>
      <c r="AD3693" s="39">
        <v>0.47488418912519614</v>
      </c>
      <c r="AE3693" s="39">
        <v>0.48597374097205448</v>
      </c>
      <c r="AF3693" s="40">
        <v>0.4806226669806194</v>
      </c>
    </row>
    <row r="3694" spans="24:32">
      <c r="X3694" s="15">
        <v>3693</v>
      </c>
      <c r="Y3694" s="39">
        <v>0.48371609066582461</v>
      </c>
      <c r="Z3694" s="39">
        <v>0.48544495756394929</v>
      </c>
      <c r="AA3694" s="39">
        <v>0.48125976069972382</v>
      </c>
      <c r="AB3694" s="39">
        <v>0.48952535338193448</v>
      </c>
      <c r="AC3694" s="39">
        <v>0.47761279005553753</v>
      </c>
      <c r="AD3694" s="39">
        <v>0.47932984167494597</v>
      </c>
      <c r="AE3694" s="39">
        <v>0.47399086729863654</v>
      </c>
      <c r="AF3694" s="40">
        <v>0.48928985656276081</v>
      </c>
    </row>
    <row r="3695" spans="24:32">
      <c r="X3695" s="15">
        <v>3694</v>
      </c>
      <c r="Y3695" s="39">
        <v>0.49084952906873597</v>
      </c>
      <c r="Z3695" s="39">
        <v>0.48617398951876939</v>
      </c>
      <c r="AA3695" s="39">
        <v>0.47798658794141219</v>
      </c>
      <c r="AB3695" s="39">
        <v>0.50371781525954051</v>
      </c>
      <c r="AC3695" s="39">
        <v>0.48506699533741682</v>
      </c>
      <c r="AD3695" s="39">
        <v>0.47906242747946431</v>
      </c>
      <c r="AE3695" s="39">
        <v>0.47132053546945524</v>
      </c>
      <c r="AF3695" s="40">
        <v>0.5018638804379727</v>
      </c>
    </row>
    <row r="3696" spans="24:32">
      <c r="X3696" s="15">
        <v>3695</v>
      </c>
      <c r="Y3696" s="39">
        <v>0.48255884822073425</v>
      </c>
      <c r="Z3696" s="39">
        <v>0.49091835878673562</v>
      </c>
      <c r="AA3696" s="39">
        <v>0.50259468464815493</v>
      </c>
      <c r="AB3696" s="39">
        <v>0.4970214062311582</v>
      </c>
      <c r="AC3696" s="39">
        <v>0.47420506683889163</v>
      </c>
      <c r="AD3696" s="39">
        <v>0.48527579027320761</v>
      </c>
      <c r="AE3696" s="39">
        <v>0.4933286752313803</v>
      </c>
      <c r="AF3696" s="40">
        <v>0.49502407335500598</v>
      </c>
    </row>
    <row r="3697" spans="24:32">
      <c r="X3697" s="15">
        <v>3696</v>
      </c>
      <c r="Y3697" s="39">
        <v>0.47508147775537701</v>
      </c>
      <c r="Z3697" s="39">
        <v>0.48881278708779957</v>
      </c>
      <c r="AA3697" s="39">
        <v>0.47262424121863061</v>
      </c>
      <c r="AB3697" s="39">
        <v>0.50217932655770503</v>
      </c>
      <c r="AC3697" s="39">
        <v>0.46634770778555623</v>
      </c>
      <c r="AD3697" s="39">
        <v>0.48000724126028055</v>
      </c>
      <c r="AE3697" s="39">
        <v>0.46536653803669314</v>
      </c>
      <c r="AF3697" s="40">
        <v>0.49489688327842296</v>
      </c>
    </row>
    <row r="3698" spans="24:32">
      <c r="X3698" s="15">
        <v>3697</v>
      </c>
      <c r="Y3698" s="39">
        <v>0.47443076315832722</v>
      </c>
      <c r="Z3698" s="39">
        <v>0.47907592696612589</v>
      </c>
      <c r="AA3698" s="39">
        <v>0.5006073238332962</v>
      </c>
      <c r="AB3698" s="39">
        <v>0.49524650274922921</v>
      </c>
      <c r="AC3698" s="39">
        <v>0.46833722515702619</v>
      </c>
      <c r="AD3698" s="39">
        <v>0.4725904734907842</v>
      </c>
      <c r="AE3698" s="39">
        <v>0.49546218644387652</v>
      </c>
      <c r="AF3698" s="40">
        <v>0.4930966980080404</v>
      </c>
    </row>
    <row r="3699" spans="24:32">
      <c r="X3699" s="15">
        <v>3698</v>
      </c>
      <c r="Y3699" s="39">
        <v>0.48635720771175589</v>
      </c>
      <c r="Z3699" s="39">
        <v>0.4850191393964739</v>
      </c>
      <c r="AA3699" s="39">
        <v>0.49570706189912983</v>
      </c>
      <c r="AB3699" s="39">
        <v>0.4947433931354191</v>
      </c>
      <c r="AC3699" s="39">
        <v>0.48006278825365706</v>
      </c>
      <c r="AD3699" s="39">
        <v>0.47763574746753223</v>
      </c>
      <c r="AE3699" s="39">
        <v>0.488135959683132</v>
      </c>
      <c r="AF3699" s="40">
        <v>0.49074021121362382</v>
      </c>
    </row>
    <row r="3700" spans="24:32">
      <c r="X3700" s="15">
        <v>3699</v>
      </c>
      <c r="Y3700" s="39">
        <v>0.47754216061116778</v>
      </c>
      <c r="Z3700" s="39">
        <v>0.4836073322469604</v>
      </c>
      <c r="AA3700" s="39">
        <v>0.47798860365225759</v>
      </c>
      <c r="AB3700" s="39">
        <v>0.48609187610138127</v>
      </c>
      <c r="AC3700" s="39">
        <v>0.47171322243658176</v>
      </c>
      <c r="AD3700" s="39">
        <v>0.4782034700290192</v>
      </c>
      <c r="AE3700" s="39">
        <v>0.47138897268141366</v>
      </c>
      <c r="AF3700" s="40">
        <v>0.48201196550463898</v>
      </c>
    </row>
    <row r="3701" spans="24:32">
      <c r="X3701" s="15">
        <v>3700</v>
      </c>
      <c r="Y3701" s="39">
        <v>0.47583564519640459</v>
      </c>
      <c r="Z3701" s="39">
        <v>0.46616851861387648</v>
      </c>
      <c r="AA3701" s="39">
        <v>0.47699040340131538</v>
      </c>
      <c r="AB3701" s="39">
        <v>0.47510451609435872</v>
      </c>
      <c r="AC3701" s="39">
        <v>0.46935725452944277</v>
      </c>
      <c r="AD3701" s="39">
        <v>0.46151154591459936</v>
      </c>
      <c r="AE3701" s="39">
        <v>0.47125765450680274</v>
      </c>
      <c r="AF3701" s="40">
        <v>0.47442406222344397</v>
      </c>
    </row>
    <row r="3702" spans="24:32">
      <c r="X3702" s="15">
        <v>3701</v>
      </c>
      <c r="Y3702" s="39">
        <v>0.48296755757944559</v>
      </c>
      <c r="Z3702" s="39">
        <v>0.49079895619285713</v>
      </c>
      <c r="AA3702" s="39">
        <v>0.49750795427544892</v>
      </c>
      <c r="AB3702" s="39">
        <v>0.48460837882769092</v>
      </c>
      <c r="AC3702" s="39">
        <v>0.4765995387792209</v>
      </c>
      <c r="AD3702" s="39">
        <v>0.4840160524259618</v>
      </c>
      <c r="AE3702" s="39">
        <v>0.49154716976592766</v>
      </c>
      <c r="AF3702" s="40">
        <v>0.47984717163370832</v>
      </c>
    </row>
    <row r="3703" spans="24:32">
      <c r="X3703" s="15">
        <v>3702</v>
      </c>
      <c r="Y3703" s="39">
        <v>0.47282184341957434</v>
      </c>
      <c r="Z3703" s="39">
        <v>0.48808346276372672</v>
      </c>
      <c r="AA3703" s="39">
        <v>0.47807866650769371</v>
      </c>
      <c r="AB3703" s="39">
        <v>0.48118553053150293</v>
      </c>
      <c r="AC3703" s="39">
        <v>0.4636793890228525</v>
      </c>
      <c r="AD3703" s="39">
        <v>0.48022369691256012</v>
      </c>
      <c r="AE3703" s="39">
        <v>0.47045292736637062</v>
      </c>
      <c r="AF3703" s="40">
        <v>0.47954797841199748</v>
      </c>
    </row>
    <row r="3704" spans="24:32">
      <c r="X3704" s="15">
        <v>3703</v>
      </c>
      <c r="Y3704" s="39">
        <v>0.49405493779769821</v>
      </c>
      <c r="Z3704" s="39">
        <v>0.47684898495850137</v>
      </c>
      <c r="AA3704" s="39">
        <v>0.49090026276916204</v>
      </c>
      <c r="AB3704" s="39">
        <v>0.49001418134703206</v>
      </c>
      <c r="AC3704" s="39">
        <v>0.4857644049616236</v>
      </c>
      <c r="AD3704" s="39">
        <v>0.46565345805623198</v>
      </c>
      <c r="AE3704" s="39">
        <v>0.48439871682768582</v>
      </c>
      <c r="AF3704" s="40">
        <v>0.48427989679529898</v>
      </c>
    </row>
    <row r="3705" spans="24:32">
      <c r="X3705" s="15">
        <v>3704</v>
      </c>
      <c r="Y3705" s="39">
        <v>0.48090716551766499</v>
      </c>
      <c r="Z3705" s="39">
        <v>0.48334076779115126</v>
      </c>
      <c r="AA3705" s="39">
        <v>0.49617260176295419</v>
      </c>
      <c r="AB3705" s="39">
        <v>0.48660881918329135</v>
      </c>
      <c r="AC3705" s="39">
        <v>0.47330753383524304</v>
      </c>
      <c r="AD3705" s="39">
        <v>0.47701703129918716</v>
      </c>
      <c r="AE3705" s="39">
        <v>0.4875209976998679</v>
      </c>
      <c r="AF3705" s="40">
        <v>0.48272539644458801</v>
      </c>
    </row>
    <row r="3706" spans="24:32">
      <c r="X3706" s="15">
        <v>3705</v>
      </c>
      <c r="Y3706" s="39">
        <v>0.49596102538593201</v>
      </c>
      <c r="Z3706" s="39">
        <v>0.47377763311311033</v>
      </c>
      <c r="AA3706" s="39">
        <v>0.47440392089276834</v>
      </c>
      <c r="AB3706" s="39">
        <v>0.49255330539189129</v>
      </c>
      <c r="AC3706" s="39">
        <v>0.49133504671708511</v>
      </c>
      <c r="AD3706" s="39">
        <v>0.46817982476147485</v>
      </c>
      <c r="AE3706" s="39">
        <v>0.46479098623081994</v>
      </c>
      <c r="AF3706" s="40">
        <v>0.48963024925355186</v>
      </c>
    </row>
    <row r="3707" spans="24:32">
      <c r="X3707" s="15">
        <v>3706</v>
      </c>
      <c r="Y3707" s="39">
        <v>0.4923127704947175</v>
      </c>
      <c r="Z3707" s="39">
        <v>0.50187369081536004</v>
      </c>
      <c r="AA3707" s="39">
        <v>0.49105417375533844</v>
      </c>
      <c r="AB3707" s="39">
        <v>0.48927881375178028</v>
      </c>
      <c r="AC3707" s="39">
        <v>0.48553785509201608</v>
      </c>
      <c r="AD3707" s="39">
        <v>0.49650149470277094</v>
      </c>
      <c r="AE3707" s="39">
        <v>0.48633784271546671</v>
      </c>
      <c r="AF3707" s="40">
        <v>0.48547925194790487</v>
      </c>
    </row>
    <row r="3708" spans="24:32">
      <c r="X3708" s="15">
        <v>3707</v>
      </c>
      <c r="Y3708" s="39">
        <v>0.49082335526097209</v>
      </c>
      <c r="Z3708" s="39">
        <v>0.45965465678729778</v>
      </c>
      <c r="AA3708" s="39">
        <v>0.47637257510575748</v>
      </c>
      <c r="AB3708" s="39">
        <v>0.48424895538424606</v>
      </c>
      <c r="AC3708" s="39">
        <v>0.48395266905674983</v>
      </c>
      <c r="AD3708" s="39">
        <v>0.45599796904719708</v>
      </c>
      <c r="AE3708" s="39">
        <v>0.46881579833898196</v>
      </c>
      <c r="AF3708" s="40">
        <v>0.48220507947809815</v>
      </c>
    </row>
    <row r="3709" spans="24:32">
      <c r="X3709" s="15">
        <v>3708</v>
      </c>
      <c r="Y3709" s="39">
        <v>0.47868209229550562</v>
      </c>
      <c r="Z3709" s="39">
        <v>0.4926435680800571</v>
      </c>
      <c r="AA3709" s="39">
        <v>0.47415106329037521</v>
      </c>
      <c r="AB3709" s="39">
        <v>0.48218869040982976</v>
      </c>
      <c r="AC3709" s="39">
        <v>0.47356312532955291</v>
      </c>
      <c r="AD3709" s="39">
        <v>0.48686800983409101</v>
      </c>
      <c r="AE3709" s="39">
        <v>0.46592679961086192</v>
      </c>
      <c r="AF3709" s="40">
        <v>0.47783812633078521</v>
      </c>
    </row>
    <row r="3710" spans="24:32">
      <c r="X3710" s="15">
        <v>3709</v>
      </c>
      <c r="Y3710" s="39">
        <v>0.47814510434960866</v>
      </c>
      <c r="Z3710" s="39">
        <v>0.48932030345678507</v>
      </c>
      <c r="AA3710" s="39">
        <v>0.4750478550836798</v>
      </c>
      <c r="AB3710" s="39">
        <v>0.48003157904752314</v>
      </c>
      <c r="AC3710" s="39">
        <v>0.4721819154274417</v>
      </c>
      <c r="AD3710" s="39">
        <v>0.48149729173984751</v>
      </c>
      <c r="AE3710" s="39">
        <v>0.46845892897899449</v>
      </c>
      <c r="AF3710" s="40">
        <v>0.47642098196889238</v>
      </c>
    </row>
    <row r="3711" spans="24:32">
      <c r="X3711" s="15">
        <v>3710</v>
      </c>
      <c r="Y3711" s="39">
        <v>0.4709936853356097</v>
      </c>
      <c r="Z3711" s="39">
        <v>0.47740747026872288</v>
      </c>
      <c r="AA3711" s="39">
        <v>0.4990564252633865</v>
      </c>
      <c r="AB3711" s="39">
        <v>0.48012407019599418</v>
      </c>
      <c r="AC3711" s="39">
        <v>0.46372903461371645</v>
      </c>
      <c r="AD3711" s="39">
        <v>0.46855321609904288</v>
      </c>
      <c r="AE3711" s="39">
        <v>0.49252224850854115</v>
      </c>
      <c r="AF3711" s="40">
        <v>0.47451602925780734</v>
      </c>
    </row>
    <row r="3712" spans="24:32">
      <c r="X3712" s="15">
        <v>3711</v>
      </c>
      <c r="Y3712" s="39">
        <v>0.4745088877584438</v>
      </c>
      <c r="Z3712" s="39">
        <v>0.4793088475006142</v>
      </c>
      <c r="AA3712" s="39">
        <v>0.47753448561123701</v>
      </c>
      <c r="AB3712" s="39">
        <v>0.49228390851980242</v>
      </c>
      <c r="AC3712" s="39">
        <v>0.46988258019951112</v>
      </c>
      <c r="AD3712" s="39">
        <v>0.47123179855976122</v>
      </c>
      <c r="AE3712" s="39">
        <v>0.47316948118003183</v>
      </c>
      <c r="AF3712" s="40">
        <v>0.48830715064623764</v>
      </c>
    </row>
    <row r="3713" spans="24:32">
      <c r="X3713" s="15">
        <v>3712</v>
      </c>
      <c r="Y3713" s="39">
        <v>0.49643529990830498</v>
      </c>
      <c r="Z3713" s="39">
        <v>0.48512072641941606</v>
      </c>
      <c r="AA3713" s="39">
        <v>0.49264748476867715</v>
      </c>
      <c r="AB3713" s="39">
        <v>0.49247203240898835</v>
      </c>
      <c r="AC3713" s="39">
        <v>0.48844165306028475</v>
      </c>
      <c r="AD3713" s="39">
        <v>0.47868348603161792</v>
      </c>
      <c r="AE3713" s="39">
        <v>0.48373747674413775</v>
      </c>
      <c r="AF3713" s="40">
        <v>0.48806316901692781</v>
      </c>
    </row>
    <row r="3714" spans="24:32">
      <c r="X3714" s="15">
        <v>3713</v>
      </c>
      <c r="Y3714" s="39">
        <v>0.49086102245247648</v>
      </c>
      <c r="Z3714" s="39">
        <v>0.49049491170881071</v>
      </c>
      <c r="AA3714" s="39">
        <v>0.48040579587683446</v>
      </c>
      <c r="AB3714" s="39">
        <v>0.48736674952823955</v>
      </c>
      <c r="AC3714" s="39">
        <v>0.48540728206362821</v>
      </c>
      <c r="AD3714" s="39">
        <v>0.48426749179551171</v>
      </c>
      <c r="AE3714" s="39">
        <v>0.47332984825394236</v>
      </c>
      <c r="AF3714" s="40">
        <v>0.48367553292469168</v>
      </c>
    </row>
    <row r="3715" spans="24:32">
      <c r="X3715" s="15">
        <v>3714</v>
      </c>
      <c r="Y3715" s="39">
        <v>0.48110870764734465</v>
      </c>
      <c r="Z3715" s="39">
        <v>0.46951486406873888</v>
      </c>
      <c r="AA3715" s="39">
        <v>0.48043132899986624</v>
      </c>
      <c r="AB3715" s="39">
        <v>0.48144333648133297</v>
      </c>
      <c r="AC3715" s="39">
        <v>0.47621446368404108</v>
      </c>
      <c r="AD3715" s="39">
        <v>0.46161640735067599</v>
      </c>
      <c r="AE3715" s="39">
        <v>0.47302408048070288</v>
      </c>
      <c r="AF3715" s="40">
        <v>0.47809856395201783</v>
      </c>
    </row>
    <row r="3716" spans="24:32">
      <c r="X3716" s="15">
        <v>3715</v>
      </c>
      <c r="Y3716" s="39">
        <v>0.47897463542032104</v>
      </c>
      <c r="Z3716" s="39">
        <v>0.47702632586153437</v>
      </c>
      <c r="AA3716" s="39">
        <v>0.46627298651736349</v>
      </c>
      <c r="AB3716" s="39">
        <v>0.48963126061879608</v>
      </c>
      <c r="AC3716" s="39">
        <v>0.46862225099299093</v>
      </c>
      <c r="AD3716" s="39">
        <v>0.47238989031100098</v>
      </c>
      <c r="AE3716" s="39">
        <v>0.45955459540074922</v>
      </c>
      <c r="AF3716" s="40">
        <v>0.48591124215427206</v>
      </c>
    </row>
    <row r="3717" spans="24:32">
      <c r="X3717" s="15">
        <v>3716</v>
      </c>
      <c r="Y3717" s="39">
        <v>0.4858162240334819</v>
      </c>
      <c r="Z3717" s="39">
        <v>0.46997183810588716</v>
      </c>
      <c r="AA3717" s="39">
        <v>0.47916099463935463</v>
      </c>
      <c r="AB3717" s="39">
        <v>0.47127699667405976</v>
      </c>
      <c r="AC3717" s="39">
        <v>0.47861679126756596</v>
      </c>
      <c r="AD3717" s="39">
        <v>0.46578349121113061</v>
      </c>
      <c r="AE3717" s="39">
        <v>0.47056880003270107</v>
      </c>
      <c r="AF3717" s="40">
        <v>0.46424696604688404</v>
      </c>
    </row>
    <row r="3718" spans="24:32">
      <c r="X3718" s="15">
        <v>3717</v>
      </c>
      <c r="Y3718" s="39">
        <v>0.49391744631632439</v>
      </c>
      <c r="Z3718" s="39">
        <v>0.48526217788227988</v>
      </c>
      <c r="AA3718" s="39">
        <v>0.48864806716147524</v>
      </c>
      <c r="AB3718" s="39">
        <v>0.49305556258718686</v>
      </c>
      <c r="AC3718" s="39">
        <v>0.48518816312601432</v>
      </c>
      <c r="AD3718" s="39">
        <v>0.47891604782711805</v>
      </c>
      <c r="AE3718" s="39">
        <v>0.48344535947724127</v>
      </c>
      <c r="AF3718" s="40">
        <v>0.48634941076731908</v>
      </c>
    </row>
    <row r="3719" spans="24:32">
      <c r="X3719" s="15">
        <v>3718</v>
      </c>
      <c r="Y3719" s="39">
        <v>0.48805823196065368</v>
      </c>
      <c r="Z3719" s="39">
        <v>0.47695550652598906</v>
      </c>
      <c r="AA3719" s="39">
        <v>0.49629628219166261</v>
      </c>
      <c r="AB3719" s="39">
        <v>0.48254723795094495</v>
      </c>
      <c r="AC3719" s="39">
        <v>0.48122888974502132</v>
      </c>
      <c r="AD3719" s="39">
        <v>0.47307761613528554</v>
      </c>
      <c r="AE3719" s="39">
        <v>0.48676067316831079</v>
      </c>
      <c r="AF3719" s="40">
        <v>0.4774635014541283</v>
      </c>
    </row>
    <row r="3720" spans="24:32">
      <c r="X3720" s="15">
        <v>3719</v>
      </c>
      <c r="Y3720" s="39">
        <v>0.49518322076466037</v>
      </c>
      <c r="Z3720" s="39">
        <v>0.49160725036606095</v>
      </c>
      <c r="AA3720" s="39">
        <v>0.47421115707164113</v>
      </c>
      <c r="AB3720" s="39">
        <v>0.47821892771834351</v>
      </c>
      <c r="AC3720" s="39">
        <v>0.48927554895278003</v>
      </c>
      <c r="AD3720" s="39">
        <v>0.48260719853435446</v>
      </c>
      <c r="AE3720" s="39">
        <v>0.47092215222814809</v>
      </c>
      <c r="AF3720" s="40">
        <v>0.47180499044754221</v>
      </c>
    </row>
    <row r="3721" spans="24:32">
      <c r="X3721" s="15">
        <v>3720</v>
      </c>
      <c r="Y3721" s="39">
        <v>0.49138278223384602</v>
      </c>
      <c r="Z3721" s="39">
        <v>0.49789142539015396</v>
      </c>
      <c r="AA3721" s="39">
        <v>0.47558320093809897</v>
      </c>
      <c r="AB3721" s="39">
        <v>0.49704768566603535</v>
      </c>
      <c r="AC3721" s="39">
        <v>0.4853239670975884</v>
      </c>
      <c r="AD3721" s="39">
        <v>0.4917851125487902</v>
      </c>
      <c r="AE3721" s="39">
        <v>0.46668471957584068</v>
      </c>
      <c r="AF3721" s="40">
        <v>0.49275994098207249</v>
      </c>
    </row>
    <row r="3722" spans="24:32">
      <c r="X3722" s="15">
        <v>3721</v>
      </c>
      <c r="Y3722" s="39">
        <v>0.4861608423146731</v>
      </c>
      <c r="Z3722" s="39">
        <v>0.48119147947764296</v>
      </c>
      <c r="AA3722" s="39">
        <v>0.48431112239585278</v>
      </c>
      <c r="AB3722" s="39">
        <v>0.486827188808449</v>
      </c>
      <c r="AC3722" s="39">
        <v>0.47837922210657829</v>
      </c>
      <c r="AD3722" s="39">
        <v>0.47439438861943589</v>
      </c>
      <c r="AE3722" s="39">
        <v>0.47678705773546859</v>
      </c>
      <c r="AF3722" s="40">
        <v>0.48195078754618426</v>
      </c>
    </row>
    <row r="3723" spans="24:32">
      <c r="X3723" s="15">
        <v>3722</v>
      </c>
      <c r="Y3723" s="39">
        <v>0.47556550622568911</v>
      </c>
      <c r="Z3723" s="39">
        <v>0.4948259474317297</v>
      </c>
      <c r="AA3723" s="39">
        <v>0.48866320450559281</v>
      </c>
      <c r="AB3723" s="39">
        <v>0.48321047423545094</v>
      </c>
      <c r="AC3723" s="39">
        <v>0.46910355707015366</v>
      </c>
      <c r="AD3723" s="39">
        <v>0.48645743692047816</v>
      </c>
      <c r="AE3723" s="39">
        <v>0.4821419575964746</v>
      </c>
      <c r="AF3723" s="40">
        <v>0.48035194682050003</v>
      </c>
    </row>
    <row r="3724" spans="24:32">
      <c r="X3724" s="15">
        <v>3723</v>
      </c>
      <c r="Y3724" s="39">
        <v>0.49219208930261438</v>
      </c>
      <c r="Z3724" s="39">
        <v>0.47988236643415066</v>
      </c>
      <c r="AA3724" s="39">
        <v>0.49713098150260676</v>
      </c>
      <c r="AB3724" s="39">
        <v>0.49607922003185428</v>
      </c>
      <c r="AC3724" s="39">
        <v>0.48631388503163114</v>
      </c>
      <c r="AD3724" s="39">
        <v>0.47428439098803027</v>
      </c>
      <c r="AE3724" s="39">
        <v>0.4908349311461418</v>
      </c>
      <c r="AF3724" s="40">
        <v>0.49481279146155982</v>
      </c>
    </row>
    <row r="3725" spans="24:32">
      <c r="X3725" s="15">
        <v>3724</v>
      </c>
      <c r="Y3725" s="39">
        <v>0.48675118196810485</v>
      </c>
      <c r="Z3725" s="39">
        <v>0.4808283941942374</v>
      </c>
      <c r="AA3725" s="39">
        <v>0.49149132067848905</v>
      </c>
      <c r="AB3725" s="39">
        <v>0.48503025707494268</v>
      </c>
      <c r="AC3725" s="39">
        <v>0.4789815126640507</v>
      </c>
      <c r="AD3725" s="39">
        <v>0.47373927690522316</v>
      </c>
      <c r="AE3725" s="39">
        <v>0.48649422580721235</v>
      </c>
      <c r="AF3725" s="40">
        <v>0.48289204404934799</v>
      </c>
    </row>
    <row r="3726" spans="24:32">
      <c r="X3726" s="15">
        <v>3725</v>
      </c>
      <c r="Y3726" s="39">
        <v>0.494062563736543</v>
      </c>
      <c r="Z3726" s="39">
        <v>0.49038541758760973</v>
      </c>
      <c r="AA3726" s="39">
        <v>0.49863472573621265</v>
      </c>
      <c r="AB3726" s="39">
        <v>0.48357265294603763</v>
      </c>
      <c r="AC3726" s="39">
        <v>0.48588450229439073</v>
      </c>
      <c r="AD3726" s="39">
        <v>0.48096407436206101</v>
      </c>
      <c r="AE3726" s="39">
        <v>0.49287979830461887</v>
      </c>
      <c r="AF3726" s="40">
        <v>0.47984916031619956</v>
      </c>
    </row>
    <row r="3727" spans="24:32">
      <c r="X3727" s="15">
        <v>3726</v>
      </c>
      <c r="Y3727" s="39">
        <v>0.48838367463114357</v>
      </c>
      <c r="Z3727" s="39">
        <v>0.47646321800031205</v>
      </c>
      <c r="AA3727" s="39">
        <v>0.50826449857890499</v>
      </c>
      <c r="AB3727" s="39">
        <v>0.50071637182609441</v>
      </c>
      <c r="AC3727" s="39">
        <v>0.48151354165723281</v>
      </c>
      <c r="AD3727" s="39">
        <v>0.46772396367339852</v>
      </c>
      <c r="AE3727" s="39">
        <v>0.49984397231287991</v>
      </c>
      <c r="AF3727" s="40">
        <v>0.49696746812308779</v>
      </c>
    </row>
    <row r="3728" spans="24:32">
      <c r="X3728" s="15">
        <v>3727</v>
      </c>
      <c r="Y3728" s="39">
        <v>0.4837993957838469</v>
      </c>
      <c r="Z3728" s="39">
        <v>0.48220468103743946</v>
      </c>
      <c r="AA3728" s="39">
        <v>0.50333672366989113</v>
      </c>
      <c r="AB3728" s="39">
        <v>0.48350580354192679</v>
      </c>
      <c r="AC3728" s="39">
        <v>0.4751622070886346</v>
      </c>
      <c r="AD3728" s="39">
        <v>0.47691504912583593</v>
      </c>
      <c r="AE3728" s="39">
        <v>0.4956561002015602</v>
      </c>
      <c r="AF3728" s="40">
        <v>0.47776747446157253</v>
      </c>
    </row>
    <row r="3729" spans="24:32">
      <c r="X3729" s="15">
        <v>3728</v>
      </c>
      <c r="Y3729" s="39">
        <v>0.47893071343206928</v>
      </c>
      <c r="Z3729" s="39">
        <v>0.46957215591578572</v>
      </c>
      <c r="AA3729" s="39">
        <v>0.49345172587714836</v>
      </c>
      <c r="AB3729" s="39">
        <v>0.48326563043676168</v>
      </c>
      <c r="AC3729" s="39">
        <v>0.47214635978058839</v>
      </c>
      <c r="AD3729" s="39">
        <v>0.46519340543694032</v>
      </c>
      <c r="AE3729" s="39">
        <v>0.48777667578107237</v>
      </c>
      <c r="AF3729" s="40">
        <v>0.47808202305262765</v>
      </c>
    </row>
    <row r="3730" spans="24:32">
      <c r="X3730" s="15">
        <v>3729</v>
      </c>
      <c r="Y3730" s="39">
        <v>0.47465303976649176</v>
      </c>
      <c r="Z3730" s="39">
        <v>0.49441090486323008</v>
      </c>
      <c r="AA3730" s="39">
        <v>0.47319703241063843</v>
      </c>
      <c r="AB3730" s="39">
        <v>0.48057992851431841</v>
      </c>
      <c r="AC3730" s="39">
        <v>0.46964024241789687</v>
      </c>
      <c r="AD3730" s="39">
        <v>0.48837095937342601</v>
      </c>
      <c r="AE3730" s="39">
        <v>0.46782478403700434</v>
      </c>
      <c r="AF3730" s="40">
        <v>0.47671599369646223</v>
      </c>
    </row>
    <row r="3731" spans="24:32">
      <c r="X3731" s="15">
        <v>3730</v>
      </c>
      <c r="Y3731" s="39">
        <v>0.47510754715064574</v>
      </c>
      <c r="Z3731" s="39">
        <v>0.48957181988519055</v>
      </c>
      <c r="AA3731" s="39">
        <v>0.47702709590340953</v>
      </c>
      <c r="AB3731" s="39">
        <v>0.48591290243723989</v>
      </c>
      <c r="AC3731" s="39">
        <v>0.46556596736970485</v>
      </c>
      <c r="AD3731" s="39">
        <v>0.48343342871937356</v>
      </c>
      <c r="AE3731" s="39">
        <v>0.46747042495572411</v>
      </c>
      <c r="AF3731" s="40">
        <v>0.48272929523959202</v>
      </c>
    </row>
    <row r="3732" spans="24:32">
      <c r="X3732" s="15">
        <v>3731</v>
      </c>
      <c r="Y3732" s="39">
        <v>0.48952154249615626</v>
      </c>
      <c r="Z3732" s="39">
        <v>0.48478354724563105</v>
      </c>
      <c r="AA3732" s="39">
        <v>0.47072409328338688</v>
      </c>
      <c r="AB3732" s="39">
        <v>0.48956089141609116</v>
      </c>
      <c r="AC3732" s="39">
        <v>0.48185135852010741</v>
      </c>
      <c r="AD3732" s="39">
        <v>0.4784084798471428</v>
      </c>
      <c r="AE3732" s="39">
        <v>0.46478583707094739</v>
      </c>
      <c r="AF3732" s="40">
        <v>0.48767633809978383</v>
      </c>
    </row>
    <row r="3733" spans="24:32">
      <c r="X3733" s="15">
        <v>3732</v>
      </c>
      <c r="Y3733" s="39">
        <v>0.48407288040021346</v>
      </c>
      <c r="Z3733" s="39">
        <v>0.48323764720072104</v>
      </c>
      <c r="AA3733" s="39">
        <v>0.47810704248836361</v>
      </c>
      <c r="AB3733" s="39">
        <v>0.49970659689819824</v>
      </c>
      <c r="AC3733" s="39">
        <v>0.47798364094704326</v>
      </c>
      <c r="AD3733" s="39">
        <v>0.4749553102948203</v>
      </c>
      <c r="AE3733" s="39">
        <v>0.47064386177596235</v>
      </c>
      <c r="AF3733" s="40">
        <v>0.49577818759107789</v>
      </c>
    </row>
    <row r="3734" spans="24:32">
      <c r="X3734" s="15">
        <v>3733</v>
      </c>
      <c r="Y3734" s="39">
        <v>0.47800148015929211</v>
      </c>
      <c r="Z3734" s="39">
        <v>0.48641941895861779</v>
      </c>
      <c r="AA3734" s="39">
        <v>0.49411968920587279</v>
      </c>
      <c r="AB3734" s="39">
        <v>0.48030848496267087</v>
      </c>
      <c r="AC3734" s="39">
        <v>0.47057773745148362</v>
      </c>
      <c r="AD3734" s="39">
        <v>0.47888659132961481</v>
      </c>
      <c r="AE3734" s="39">
        <v>0.48815981402078834</v>
      </c>
      <c r="AF3734" s="40">
        <v>0.4790672465100092</v>
      </c>
    </row>
    <row r="3735" spans="24:32">
      <c r="X3735" s="15">
        <v>3734</v>
      </c>
      <c r="Y3735" s="39">
        <v>0.50336903246861242</v>
      </c>
      <c r="Z3735" s="39">
        <v>0.48785271789650425</v>
      </c>
      <c r="AA3735" s="39">
        <v>0.4860405539799974</v>
      </c>
      <c r="AB3735" s="39">
        <v>0.48007536555570757</v>
      </c>
      <c r="AC3735" s="39">
        <v>0.49694952229503558</v>
      </c>
      <c r="AD3735" s="39">
        <v>0.47786378624493658</v>
      </c>
      <c r="AE3735" s="39">
        <v>0.47827512014330958</v>
      </c>
      <c r="AF3735" s="40">
        <v>0.47507339546317251</v>
      </c>
    </row>
    <row r="3736" spans="24:32">
      <c r="X3736" s="15">
        <v>3735</v>
      </c>
      <c r="Y3736" s="39">
        <v>0.48641058008618887</v>
      </c>
      <c r="Z3736" s="39">
        <v>0.50354241866247096</v>
      </c>
      <c r="AA3736" s="39">
        <v>0.48877812981277474</v>
      </c>
      <c r="AB3736" s="39">
        <v>0.48440447332545822</v>
      </c>
      <c r="AC3736" s="39">
        <v>0.48093942144529744</v>
      </c>
      <c r="AD3736" s="39">
        <v>0.49742020494728423</v>
      </c>
      <c r="AE3736" s="39">
        <v>0.48179173364355271</v>
      </c>
      <c r="AF3736" s="40">
        <v>0.47834849284772968</v>
      </c>
    </row>
    <row r="3737" spans="24:32">
      <c r="X3737" s="15">
        <v>3736</v>
      </c>
      <c r="Y3737" s="39">
        <v>0.48961417362979254</v>
      </c>
      <c r="Z3737" s="39">
        <v>0.48379033838540292</v>
      </c>
      <c r="AA3737" s="39">
        <v>0.48800627719166301</v>
      </c>
      <c r="AB3737" s="39">
        <v>0.4854866671018126</v>
      </c>
      <c r="AC3737" s="39">
        <v>0.48534203702488216</v>
      </c>
      <c r="AD3737" s="39">
        <v>0.47835127104719916</v>
      </c>
      <c r="AE3737" s="39">
        <v>0.48182977483864881</v>
      </c>
      <c r="AF3737" s="40">
        <v>0.4797731188274208</v>
      </c>
    </row>
    <row r="3738" spans="24:32">
      <c r="X3738" s="15">
        <v>3737</v>
      </c>
      <c r="Y3738" s="39">
        <v>0.48845619246422045</v>
      </c>
      <c r="Z3738" s="39">
        <v>0.4744543090485655</v>
      </c>
      <c r="AA3738" s="39">
        <v>0.47964439646761881</v>
      </c>
      <c r="AB3738" s="39">
        <v>0.48048317482918568</v>
      </c>
      <c r="AC3738" s="39">
        <v>0.48310564680425078</v>
      </c>
      <c r="AD3738" s="39">
        <v>0.47003659788453461</v>
      </c>
      <c r="AE3738" s="39">
        <v>0.47041869974915207</v>
      </c>
      <c r="AF3738" s="40">
        <v>0.47550312955936064</v>
      </c>
    </row>
    <row r="3739" spans="24:32">
      <c r="X3739" s="15">
        <v>3738</v>
      </c>
      <c r="Y3739" s="39">
        <v>0.4833513170985968</v>
      </c>
      <c r="Z3739" s="39">
        <v>0.48217466981875512</v>
      </c>
      <c r="AA3739" s="39">
        <v>0.47565589405250869</v>
      </c>
      <c r="AB3739" s="39">
        <v>0.50752093656997155</v>
      </c>
      <c r="AC3739" s="39">
        <v>0.47628382284681081</v>
      </c>
      <c r="AD3739" s="39">
        <v>0.47343037630772211</v>
      </c>
      <c r="AE3739" s="39">
        <v>0.46958836063369624</v>
      </c>
      <c r="AF3739" s="40">
        <v>0.50396953989755</v>
      </c>
    </row>
    <row r="3740" spans="24:32">
      <c r="X3740" s="15">
        <v>3739</v>
      </c>
      <c r="Y3740" s="39">
        <v>0.49344944276562092</v>
      </c>
      <c r="Z3740" s="39">
        <v>0.47795916047269121</v>
      </c>
      <c r="AA3740" s="39">
        <v>0.48320349496948345</v>
      </c>
      <c r="AB3740" s="39">
        <v>0.48430294332243146</v>
      </c>
      <c r="AC3740" s="39">
        <v>0.48687887569238958</v>
      </c>
      <c r="AD3740" s="39">
        <v>0.46761860325027704</v>
      </c>
      <c r="AE3740" s="39">
        <v>0.47520502687797994</v>
      </c>
      <c r="AF3740" s="40">
        <v>0.47890847426583572</v>
      </c>
    </row>
    <row r="3741" spans="24:32">
      <c r="X3741" s="15">
        <v>3740</v>
      </c>
      <c r="Y3741" s="39">
        <v>0.47700175538436312</v>
      </c>
      <c r="Z3741" s="39">
        <v>0.49221709775050332</v>
      </c>
      <c r="AA3741" s="39">
        <v>0.4971395547864445</v>
      </c>
      <c r="AB3741" s="39">
        <v>0.47989995604287516</v>
      </c>
      <c r="AC3741" s="39">
        <v>0.47135661369255982</v>
      </c>
      <c r="AD3741" s="39">
        <v>0.48422170619413596</v>
      </c>
      <c r="AE3741" s="39">
        <v>0.49024908566792202</v>
      </c>
      <c r="AF3741" s="40">
        <v>0.47487190665276519</v>
      </c>
    </row>
    <row r="3742" spans="24:32">
      <c r="X3742" s="15">
        <v>3741</v>
      </c>
      <c r="Y3742" s="39">
        <v>0.48679927486115809</v>
      </c>
      <c r="Z3742" s="39">
        <v>0.48168564793704888</v>
      </c>
      <c r="AA3742" s="39">
        <v>0.49440215904494256</v>
      </c>
      <c r="AB3742" s="39">
        <v>0.48455481428978858</v>
      </c>
      <c r="AC3742" s="39">
        <v>0.48129964583946794</v>
      </c>
      <c r="AD3742" s="39">
        <v>0.47222614687222264</v>
      </c>
      <c r="AE3742" s="39">
        <v>0.48740889624223982</v>
      </c>
      <c r="AF3742" s="40">
        <v>0.48015121313213649</v>
      </c>
    </row>
    <row r="3743" spans="24:32">
      <c r="X3743" s="15">
        <v>3742</v>
      </c>
      <c r="Y3743" s="39">
        <v>0.48581758936923347</v>
      </c>
      <c r="Z3743" s="39">
        <v>0.46425479015314158</v>
      </c>
      <c r="AA3743" s="39">
        <v>0.47576951577357013</v>
      </c>
      <c r="AB3743" s="39">
        <v>0.49227973788502305</v>
      </c>
      <c r="AC3743" s="39">
        <v>0.47912430502941383</v>
      </c>
      <c r="AD3743" s="39">
        <v>0.45664073764732016</v>
      </c>
      <c r="AE3743" s="39">
        <v>0.46910399615927612</v>
      </c>
      <c r="AF3743" s="40">
        <v>0.48744919696855943</v>
      </c>
    </row>
    <row r="3744" spans="24:32">
      <c r="X3744" s="15">
        <v>3743</v>
      </c>
      <c r="Y3744" s="39">
        <v>0.47661872945227851</v>
      </c>
      <c r="Z3744" s="39">
        <v>0.48171482049436964</v>
      </c>
      <c r="AA3744" s="39">
        <v>0.49333455768041501</v>
      </c>
      <c r="AB3744" s="39">
        <v>0.49404551121646606</v>
      </c>
      <c r="AC3744" s="39">
        <v>0.46973053467096398</v>
      </c>
      <c r="AD3744" s="39">
        <v>0.47705298508616156</v>
      </c>
      <c r="AE3744" s="39">
        <v>0.48775793923271882</v>
      </c>
      <c r="AF3744" s="40">
        <v>0.49275777107501628</v>
      </c>
    </row>
    <row r="3745" spans="24:32">
      <c r="X3745" s="15">
        <v>3744</v>
      </c>
      <c r="Y3745" s="39">
        <v>0.50053041165689194</v>
      </c>
      <c r="Z3745" s="39">
        <v>0.48008967830163563</v>
      </c>
      <c r="AA3745" s="39">
        <v>0.48086756366239913</v>
      </c>
      <c r="AB3745" s="39">
        <v>0.48780394285758893</v>
      </c>
      <c r="AC3745" s="39">
        <v>0.49359064891362203</v>
      </c>
      <c r="AD3745" s="39">
        <v>0.47550120680366059</v>
      </c>
      <c r="AE3745" s="39">
        <v>0.47159011185740607</v>
      </c>
      <c r="AF3745" s="40">
        <v>0.48475072475055025</v>
      </c>
    </row>
    <row r="3746" spans="24:32">
      <c r="X3746" s="15">
        <v>3745</v>
      </c>
      <c r="Y3746" s="39">
        <v>0.48568021584499016</v>
      </c>
      <c r="Z3746" s="39">
        <v>0.4833119840679122</v>
      </c>
      <c r="AA3746" s="39">
        <v>0.48260166960635997</v>
      </c>
      <c r="AB3746" s="39">
        <v>0.48148489757693314</v>
      </c>
      <c r="AC3746" s="39">
        <v>0.47623905711086895</v>
      </c>
      <c r="AD3746" s="39">
        <v>0.47845229810364209</v>
      </c>
      <c r="AE3746" s="39">
        <v>0.47415317796927314</v>
      </c>
      <c r="AF3746" s="40">
        <v>0.47492843639622589</v>
      </c>
    </row>
    <row r="3747" spans="24:32">
      <c r="X3747" s="15">
        <v>3746</v>
      </c>
      <c r="Y3747" s="39">
        <v>0.49739951050073056</v>
      </c>
      <c r="Z3747" s="39">
        <v>0.48987539736858832</v>
      </c>
      <c r="AA3747" s="39">
        <v>0.47842487282825208</v>
      </c>
      <c r="AB3747" s="39">
        <v>0.47341668796187508</v>
      </c>
      <c r="AC3747" s="39">
        <v>0.49002461382715717</v>
      </c>
      <c r="AD3747" s="39">
        <v>0.48029362091122429</v>
      </c>
      <c r="AE3747" s="39">
        <v>0.4748262563731393</v>
      </c>
      <c r="AF3747" s="40">
        <v>0.46864364666225611</v>
      </c>
    </row>
    <row r="3748" spans="24:32">
      <c r="X3748" s="15">
        <v>3747</v>
      </c>
      <c r="Y3748" s="39">
        <v>0.48095318298987821</v>
      </c>
      <c r="Z3748" s="39">
        <v>0.47490088786491064</v>
      </c>
      <c r="AA3748" s="39">
        <v>0.49130746753622839</v>
      </c>
      <c r="AB3748" s="39">
        <v>0.48682809341644656</v>
      </c>
      <c r="AC3748" s="39">
        <v>0.47674054680229255</v>
      </c>
      <c r="AD3748" s="39">
        <v>0.47004267063451283</v>
      </c>
      <c r="AE3748" s="39">
        <v>0.48599551414421466</v>
      </c>
      <c r="AF3748" s="40">
        <v>0.47976046447925319</v>
      </c>
    </row>
    <row r="3749" spans="24:32">
      <c r="X3749" s="15">
        <v>3748</v>
      </c>
      <c r="Y3749" s="39">
        <v>0.47938192308749827</v>
      </c>
      <c r="Z3749" s="39">
        <v>0.47441014957906846</v>
      </c>
      <c r="AA3749" s="39">
        <v>0.48414056860559529</v>
      </c>
      <c r="AB3749" s="39">
        <v>0.49134263831654051</v>
      </c>
      <c r="AC3749" s="39">
        <v>0.46971867547638668</v>
      </c>
      <c r="AD3749" s="39">
        <v>0.46767571163439708</v>
      </c>
      <c r="AE3749" s="39">
        <v>0.47784414326743391</v>
      </c>
      <c r="AF3749" s="40">
        <v>0.49069920539085443</v>
      </c>
    </row>
    <row r="3750" spans="24:32">
      <c r="X3750" s="15">
        <v>3749</v>
      </c>
      <c r="Y3750" s="39">
        <v>0.49684087148783518</v>
      </c>
      <c r="Z3750" s="39">
        <v>0.48744536724158533</v>
      </c>
      <c r="AA3750" s="39">
        <v>0.47508655398507099</v>
      </c>
      <c r="AB3750" s="39">
        <v>0.49852095536408736</v>
      </c>
      <c r="AC3750" s="39">
        <v>0.48741827008819461</v>
      </c>
      <c r="AD3750" s="39">
        <v>0.48127128220369936</v>
      </c>
      <c r="AE3750" s="39">
        <v>0.46568370417578897</v>
      </c>
      <c r="AF3750" s="40">
        <v>0.49531342808485346</v>
      </c>
    </row>
    <row r="3751" spans="24:32">
      <c r="X3751" s="15">
        <v>3750</v>
      </c>
      <c r="Y3751" s="39">
        <v>0.49040262297663928</v>
      </c>
      <c r="Z3751" s="39">
        <v>0.48642330510706649</v>
      </c>
      <c r="AA3751" s="39">
        <v>0.50474581986100608</v>
      </c>
      <c r="AB3751" s="39">
        <v>0.48862463208700813</v>
      </c>
      <c r="AC3751" s="39">
        <v>0.48169014623209533</v>
      </c>
      <c r="AD3751" s="39">
        <v>0.47833206031135012</v>
      </c>
      <c r="AE3751" s="39">
        <v>0.49888105097938434</v>
      </c>
      <c r="AF3751" s="40">
        <v>0.48514681302866741</v>
      </c>
    </row>
    <row r="3752" spans="24:32">
      <c r="X3752" s="15">
        <v>3751</v>
      </c>
      <c r="Y3752" s="39">
        <v>0.48951934109989109</v>
      </c>
      <c r="Z3752" s="39">
        <v>0.48305667126856455</v>
      </c>
      <c r="AA3752" s="39">
        <v>0.46571281364727057</v>
      </c>
      <c r="AB3752" s="39">
        <v>0.4847093422212897</v>
      </c>
      <c r="AC3752" s="39">
        <v>0.48178137801495091</v>
      </c>
      <c r="AD3752" s="39">
        <v>0.47635619396019607</v>
      </c>
      <c r="AE3752" s="39">
        <v>0.45839929382832328</v>
      </c>
      <c r="AF3752" s="40">
        <v>0.47916142145098956</v>
      </c>
    </row>
    <row r="3753" spans="24:32">
      <c r="X3753" s="15">
        <v>3752</v>
      </c>
      <c r="Y3753" s="39">
        <v>0.47892498015869639</v>
      </c>
      <c r="Z3753" s="39">
        <v>0.48139529136497367</v>
      </c>
      <c r="AA3753" s="39">
        <v>0.50183218626555604</v>
      </c>
      <c r="AB3753" s="39">
        <v>0.48984888834539492</v>
      </c>
      <c r="AC3753" s="39">
        <v>0.47217990588472342</v>
      </c>
      <c r="AD3753" s="39">
        <v>0.47568730389607594</v>
      </c>
      <c r="AE3753" s="39">
        <v>0.49389358543713185</v>
      </c>
      <c r="AF3753" s="40">
        <v>0.48732227048253318</v>
      </c>
    </row>
    <row r="3754" spans="24:32">
      <c r="X3754" s="15">
        <v>3753</v>
      </c>
      <c r="Y3754" s="39">
        <v>0.48391311724609437</v>
      </c>
      <c r="Z3754" s="39">
        <v>0.47864271582733625</v>
      </c>
      <c r="AA3754" s="39">
        <v>0.46442617684561704</v>
      </c>
      <c r="AB3754" s="39">
        <v>0.49899170708104928</v>
      </c>
      <c r="AC3754" s="39">
        <v>0.4739647211284847</v>
      </c>
      <c r="AD3754" s="39">
        <v>0.47278020976505863</v>
      </c>
      <c r="AE3754" s="39">
        <v>0.45662028443506303</v>
      </c>
      <c r="AF3754" s="40">
        <v>0.49804386817026058</v>
      </c>
    </row>
    <row r="3755" spans="24:32">
      <c r="X3755" s="15">
        <v>3754</v>
      </c>
      <c r="Y3755" s="39">
        <v>0.48417610554629692</v>
      </c>
      <c r="Z3755" s="39">
        <v>0.47704402750867331</v>
      </c>
      <c r="AA3755" s="39">
        <v>0.50723782945720353</v>
      </c>
      <c r="AB3755" s="39">
        <v>0.49595942193297976</v>
      </c>
      <c r="AC3755" s="39">
        <v>0.47689761183979917</v>
      </c>
      <c r="AD3755" s="39">
        <v>0.47008884129214518</v>
      </c>
      <c r="AE3755" s="39">
        <v>0.5020747875556193</v>
      </c>
      <c r="AF3755" s="40">
        <v>0.49522609653908639</v>
      </c>
    </row>
    <row r="3756" spans="24:32">
      <c r="X3756" s="15">
        <v>3755</v>
      </c>
      <c r="Y3756" s="39">
        <v>0.48742759545909048</v>
      </c>
      <c r="Z3756" s="39">
        <v>0.47952841476175462</v>
      </c>
      <c r="AA3756" s="39">
        <v>0.49883953945239023</v>
      </c>
      <c r="AB3756" s="39">
        <v>0.47467831465461968</v>
      </c>
      <c r="AC3756" s="39">
        <v>0.48088902226716129</v>
      </c>
      <c r="AD3756" s="39">
        <v>0.47200545673195199</v>
      </c>
      <c r="AE3756" s="39">
        <v>0.49139313878788671</v>
      </c>
      <c r="AF3756" s="40">
        <v>0.46979472910570219</v>
      </c>
    </row>
    <row r="3757" spans="24:32">
      <c r="X3757" s="15">
        <v>3756</v>
      </c>
      <c r="Y3757" s="39">
        <v>0.4932202146578627</v>
      </c>
      <c r="Z3757" s="39">
        <v>0.48464374535901039</v>
      </c>
      <c r="AA3757" s="39">
        <v>0.46481485121233101</v>
      </c>
      <c r="AB3757" s="39">
        <v>0.47689477614827924</v>
      </c>
      <c r="AC3757" s="39">
        <v>0.48226873389455838</v>
      </c>
      <c r="AD3757" s="39">
        <v>0.47786701992936931</v>
      </c>
      <c r="AE3757" s="39">
        <v>0.45798952061423204</v>
      </c>
      <c r="AF3757" s="40">
        <v>0.47258442898601816</v>
      </c>
    </row>
    <row r="3758" spans="24:32">
      <c r="X3758" s="15">
        <v>3757</v>
      </c>
      <c r="Y3758" s="39">
        <v>0.50027550622055106</v>
      </c>
      <c r="Z3758" s="39">
        <v>0.47677247546910023</v>
      </c>
      <c r="AA3758" s="39">
        <v>0.50553642843673718</v>
      </c>
      <c r="AB3758" s="39">
        <v>0.48515747996256781</v>
      </c>
      <c r="AC3758" s="39">
        <v>0.49246357580099903</v>
      </c>
      <c r="AD3758" s="39">
        <v>0.46832291922115937</v>
      </c>
      <c r="AE3758" s="39">
        <v>0.49945554118894875</v>
      </c>
      <c r="AF3758" s="40">
        <v>0.48313267909802737</v>
      </c>
    </row>
    <row r="3759" spans="24:32">
      <c r="X3759" s="15">
        <v>3758</v>
      </c>
      <c r="Y3759" s="39">
        <v>0.48743321606485629</v>
      </c>
      <c r="Z3759" s="39">
        <v>0.47565391685617847</v>
      </c>
      <c r="AA3759" s="39">
        <v>0.4688024455958098</v>
      </c>
      <c r="AB3759" s="39">
        <v>0.49502808874440152</v>
      </c>
      <c r="AC3759" s="39">
        <v>0.47875688081674328</v>
      </c>
      <c r="AD3759" s="39">
        <v>0.4712191658941276</v>
      </c>
      <c r="AE3759" s="39">
        <v>0.46096092543450157</v>
      </c>
      <c r="AF3759" s="40">
        <v>0.48816316514535185</v>
      </c>
    </row>
    <row r="3760" spans="24:32">
      <c r="X3760" s="15">
        <v>3759</v>
      </c>
      <c r="Y3760" s="39">
        <v>0.49478975137213616</v>
      </c>
      <c r="Z3760" s="39">
        <v>0.46513438052830924</v>
      </c>
      <c r="AA3760" s="39">
        <v>0.47186965804536818</v>
      </c>
      <c r="AB3760" s="39">
        <v>0.48795808847462491</v>
      </c>
      <c r="AC3760" s="39">
        <v>0.49114824283131087</v>
      </c>
      <c r="AD3760" s="39">
        <v>0.45856555611536104</v>
      </c>
      <c r="AE3760" s="39">
        <v>0.46626467281034695</v>
      </c>
      <c r="AF3760" s="40">
        <v>0.4823558837469108</v>
      </c>
    </row>
    <row r="3761" spans="24:32">
      <c r="X3761" s="15">
        <v>3760</v>
      </c>
      <c r="Y3761" s="39">
        <v>0.48163064402364986</v>
      </c>
      <c r="Z3761" s="39">
        <v>0.48199290783592852</v>
      </c>
      <c r="AA3761" s="39">
        <v>0.47650393361062376</v>
      </c>
      <c r="AB3761" s="39">
        <v>0.49564191347247327</v>
      </c>
      <c r="AC3761" s="39">
        <v>0.4753451133232075</v>
      </c>
      <c r="AD3761" s="39">
        <v>0.47589960515974872</v>
      </c>
      <c r="AE3761" s="39">
        <v>0.46610110865366372</v>
      </c>
      <c r="AF3761" s="40">
        <v>0.48899136363035806</v>
      </c>
    </row>
    <row r="3762" spans="24:32">
      <c r="X3762" s="15">
        <v>3761</v>
      </c>
      <c r="Y3762" s="39">
        <v>0.49305098851024282</v>
      </c>
      <c r="Z3762" s="39">
        <v>0.48052981126577526</v>
      </c>
      <c r="AA3762" s="39">
        <v>0.48662496922290677</v>
      </c>
      <c r="AB3762" s="39">
        <v>0.47847963568251239</v>
      </c>
      <c r="AC3762" s="39">
        <v>0.48525857196296485</v>
      </c>
      <c r="AD3762" s="39">
        <v>0.4744302258317929</v>
      </c>
      <c r="AE3762" s="39">
        <v>0.48300961466076953</v>
      </c>
      <c r="AF3762" s="40">
        <v>0.47532619942500837</v>
      </c>
    </row>
    <row r="3763" spans="24:32">
      <c r="X3763" s="15">
        <v>3762</v>
      </c>
      <c r="Y3763" s="39">
        <v>0.49667842810938784</v>
      </c>
      <c r="Z3763" s="39">
        <v>0.50953221789480052</v>
      </c>
      <c r="AA3763" s="39">
        <v>0.49410855994182046</v>
      </c>
      <c r="AB3763" s="39">
        <v>0.49216985249703071</v>
      </c>
      <c r="AC3763" s="39">
        <v>0.48953468693993518</v>
      </c>
      <c r="AD3763" s="39">
        <v>0.50010987851135724</v>
      </c>
      <c r="AE3763" s="39">
        <v>0.48928034959683453</v>
      </c>
      <c r="AF3763" s="40">
        <v>0.48572690443565258</v>
      </c>
    </row>
    <row r="3764" spans="24:32">
      <c r="X3764" s="15">
        <v>3763</v>
      </c>
      <c r="Y3764" s="39">
        <v>0.47728941835072025</v>
      </c>
      <c r="Z3764" s="39">
        <v>0.49276049422932994</v>
      </c>
      <c r="AA3764" s="39">
        <v>0.48478319073598691</v>
      </c>
      <c r="AB3764" s="39">
        <v>0.48873422389140847</v>
      </c>
      <c r="AC3764" s="39">
        <v>0.47333567139726745</v>
      </c>
      <c r="AD3764" s="39">
        <v>0.48408422315830207</v>
      </c>
      <c r="AE3764" s="39">
        <v>0.48057913520939644</v>
      </c>
      <c r="AF3764" s="40">
        <v>0.48320232374009525</v>
      </c>
    </row>
    <row r="3765" spans="24:32">
      <c r="X3765" s="15">
        <v>3764</v>
      </c>
      <c r="Y3765" s="39">
        <v>0.47845484428682972</v>
      </c>
      <c r="Z3765" s="39">
        <v>0.49075205792923637</v>
      </c>
      <c r="AA3765" s="39">
        <v>0.47710776685803569</v>
      </c>
      <c r="AB3765" s="39">
        <v>0.49873969287181519</v>
      </c>
      <c r="AC3765" s="39">
        <v>0.47390437780712907</v>
      </c>
      <c r="AD3765" s="39">
        <v>0.48517893437780124</v>
      </c>
      <c r="AE3765" s="39">
        <v>0.4701521888865498</v>
      </c>
      <c r="AF3765" s="40">
        <v>0.4919177782698872</v>
      </c>
    </row>
    <row r="3766" spans="24:32">
      <c r="X3766" s="15">
        <v>3765</v>
      </c>
      <c r="Y3766" s="39">
        <v>0.49433602577203445</v>
      </c>
      <c r="Z3766" s="39">
        <v>0.48653797226340928</v>
      </c>
      <c r="AA3766" s="39">
        <v>0.49456331864665443</v>
      </c>
      <c r="AB3766" s="39">
        <v>0.47994983121526208</v>
      </c>
      <c r="AC3766" s="39">
        <v>0.48698542803078937</v>
      </c>
      <c r="AD3766" s="39">
        <v>0.47799563171673076</v>
      </c>
      <c r="AE3766" s="39">
        <v>0.48761880334024643</v>
      </c>
      <c r="AF3766" s="40">
        <v>0.47807325285292135</v>
      </c>
    </row>
    <row r="3767" spans="24:32">
      <c r="X3767" s="15">
        <v>3766</v>
      </c>
      <c r="Y3767" s="39">
        <v>0.4891648768541999</v>
      </c>
      <c r="Z3767" s="39">
        <v>0.48469063724424033</v>
      </c>
      <c r="AA3767" s="39">
        <v>0.48301258754772447</v>
      </c>
      <c r="AB3767" s="39">
        <v>0.48854463485052263</v>
      </c>
      <c r="AC3767" s="39">
        <v>0.48134176477363155</v>
      </c>
      <c r="AD3767" s="39">
        <v>0.47507919451656566</v>
      </c>
      <c r="AE3767" s="39">
        <v>0.47601066934468417</v>
      </c>
      <c r="AF3767" s="40">
        <v>0.4872507622106983</v>
      </c>
    </row>
    <row r="3768" spans="24:32">
      <c r="X3768" s="15">
        <v>3767</v>
      </c>
      <c r="Y3768" s="39">
        <v>0.47686368810154073</v>
      </c>
      <c r="Z3768" s="39">
        <v>0.47833232746528898</v>
      </c>
      <c r="AA3768" s="39">
        <v>0.49106784877896575</v>
      </c>
      <c r="AB3768" s="39">
        <v>0.49288883248420673</v>
      </c>
      <c r="AC3768" s="39">
        <v>0.46910304949028758</v>
      </c>
      <c r="AD3768" s="39">
        <v>0.47154187334754383</v>
      </c>
      <c r="AE3768" s="39">
        <v>0.48235289791287139</v>
      </c>
      <c r="AF3768" s="40">
        <v>0.48909584923533111</v>
      </c>
    </row>
    <row r="3769" spans="24:32">
      <c r="X3769" s="15">
        <v>3768</v>
      </c>
      <c r="Y3769" s="39">
        <v>0.47865881346911915</v>
      </c>
      <c r="Z3769" s="39">
        <v>0.49228974850720963</v>
      </c>
      <c r="AA3769" s="39">
        <v>0.48400770591984732</v>
      </c>
      <c r="AB3769" s="39">
        <v>0.48899698143566056</v>
      </c>
      <c r="AC3769" s="39">
        <v>0.47355782433796073</v>
      </c>
      <c r="AD3769" s="39">
        <v>0.48531698721452554</v>
      </c>
      <c r="AE3769" s="39">
        <v>0.47972459621499769</v>
      </c>
      <c r="AF3769" s="40">
        <v>0.48191692095918554</v>
      </c>
    </row>
    <row r="3770" spans="24:32">
      <c r="X3770" s="15">
        <v>3769</v>
      </c>
      <c r="Y3770" s="39">
        <v>0.48852602233261672</v>
      </c>
      <c r="Z3770" s="39">
        <v>0.47275749090231983</v>
      </c>
      <c r="AA3770" s="39">
        <v>0.48174638631983435</v>
      </c>
      <c r="AB3770" s="39">
        <v>0.49537462202610988</v>
      </c>
      <c r="AC3770" s="39">
        <v>0.48243037074598227</v>
      </c>
      <c r="AD3770" s="39">
        <v>0.46374881254095324</v>
      </c>
      <c r="AE3770" s="39">
        <v>0.4739383092844035</v>
      </c>
      <c r="AF3770" s="40">
        <v>0.48897959268306956</v>
      </c>
    </row>
    <row r="3771" spans="24:32">
      <c r="X3771" s="15">
        <v>3770</v>
      </c>
      <c r="Y3771" s="39">
        <v>0.47505860892397855</v>
      </c>
      <c r="Z3771" s="39">
        <v>0.49363660700097683</v>
      </c>
      <c r="AA3771" s="39">
        <v>0.50249141095860406</v>
      </c>
      <c r="AB3771" s="39">
        <v>0.48899650698027064</v>
      </c>
      <c r="AC3771" s="39">
        <v>0.47015627137083421</v>
      </c>
      <c r="AD3771" s="39">
        <v>0.48531657708070269</v>
      </c>
      <c r="AE3771" s="39">
        <v>0.49556076731463311</v>
      </c>
      <c r="AF3771" s="40">
        <v>0.48165735579301144</v>
      </c>
    </row>
    <row r="3772" spans="24:32">
      <c r="X3772" s="15">
        <v>3771</v>
      </c>
      <c r="Y3772" s="39">
        <v>0.4857925171869063</v>
      </c>
      <c r="Z3772" s="39">
        <v>0.49922972305453411</v>
      </c>
      <c r="AA3772" s="39">
        <v>0.49663104295317856</v>
      </c>
      <c r="AB3772" s="39">
        <v>0.49962567248580642</v>
      </c>
      <c r="AC3772" s="39">
        <v>0.47751980275080697</v>
      </c>
      <c r="AD3772" s="39">
        <v>0.48995801181725757</v>
      </c>
      <c r="AE3772" s="39">
        <v>0.48953926738980347</v>
      </c>
      <c r="AF3772" s="40">
        <v>0.4946091140158555</v>
      </c>
    </row>
    <row r="3773" spans="24:32">
      <c r="X3773" s="15">
        <v>3772</v>
      </c>
      <c r="Y3773" s="39">
        <v>0.47993023211059394</v>
      </c>
      <c r="Z3773" s="39">
        <v>0.48289421942115279</v>
      </c>
      <c r="AA3773" s="39">
        <v>0.49671785168295418</v>
      </c>
      <c r="AB3773" s="39">
        <v>0.48211543591792733</v>
      </c>
      <c r="AC3773" s="39">
        <v>0.47447584488464983</v>
      </c>
      <c r="AD3773" s="39">
        <v>0.47547334200938768</v>
      </c>
      <c r="AE3773" s="39">
        <v>0.49021001543217296</v>
      </c>
      <c r="AF3773" s="40">
        <v>0.47963123831498961</v>
      </c>
    </row>
    <row r="3774" spans="24:32">
      <c r="X3774" s="15">
        <v>3773</v>
      </c>
      <c r="Y3774" s="39">
        <v>0.47490707409244881</v>
      </c>
      <c r="Z3774" s="39">
        <v>0.49226029763948154</v>
      </c>
      <c r="AA3774" s="39">
        <v>0.47028659407026685</v>
      </c>
      <c r="AB3774" s="39">
        <v>0.4833454603181937</v>
      </c>
      <c r="AC3774" s="39">
        <v>0.46962590658034881</v>
      </c>
      <c r="AD3774" s="39">
        <v>0.48441657588782472</v>
      </c>
      <c r="AE3774" s="39">
        <v>0.46477808614135108</v>
      </c>
      <c r="AF3774" s="40">
        <v>0.47939649030639547</v>
      </c>
    </row>
    <row r="3775" spans="24:32">
      <c r="X3775" s="15">
        <v>3774</v>
      </c>
      <c r="Y3775" s="39">
        <v>0.50577527657913779</v>
      </c>
      <c r="Z3775" s="39">
        <v>0.47345952461843027</v>
      </c>
      <c r="AA3775" s="39">
        <v>0.49510612160734407</v>
      </c>
      <c r="AB3775" s="39">
        <v>0.49109661745517841</v>
      </c>
      <c r="AC3775" s="39">
        <v>0.49820886514917762</v>
      </c>
      <c r="AD3775" s="39">
        <v>0.46775639416894582</v>
      </c>
      <c r="AE3775" s="39">
        <v>0.4885141965799093</v>
      </c>
      <c r="AF3775" s="40">
        <v>0.48596165470777269</v>
      </c>
    </row>
    <row r="3776" spans="24:32">
      <c r="X3776" s="15">
        <v>3775</v>
      </c>
      <c r="Y3776" s="39">
        <v>0.47457987489384323</v>
      </c>
      <c r="Z3776" s="39">
        <v>0.4828759013600008</v>
      </c>
      <c r="AA3776" s="39">
        <v>0.48554131224420777</v>
      </c>
      <c r="AB3776" s="39">
        <v>0.48041364447357165</v>
      </c>
      <c r="AC3776" s="39">
        <v>0.46871840237030687</v>
      </c>
      <c r="AD3776" s="39">
        <v>0.47647764390422254</v>
      </c>
      <c r="AE3776" s="39">
        <v>0.476732753254133</v>
      </c>
      <c r="AF3776" s="40">
        <v>0.47961623102265899</v>
      </c>
    </row>
    <row r="3777" spans="24:32">
      <c r="X3777" s="15">
        <v>3776</v>
      </c>
      <c r="Y3777" s="39">
        <v>0.48293854334225217</v>
      </c>
      <c r="Z3777" s="39">
        <v>0.48887456949263036</v>
      </c>
      <c r="AA3777" s="39">
        <v>0.49029516003258539</v>
      </c>
      <c r="AB3777" s="39">
        <v>0.48762928055231858</v>
      </c>
      <c r="AC3777" s="39">
        <v>0.47572297391989427</v>
      </c>
      <c r="AD3777" s="39">
        <v>0.48089544156660952</v>
      </c>
      <c r="AE3777" s="39">
        <v>0.48399489089624731</v>
      </c>
      <c r="AF3777" s="40">
        <v>0.48206894989329535</v>
      </c>
    </row>
    <row r="3778" spans="24:32">
      <c r="X3778" s="15">
        <v>3777</v>
      </c>
      <c r="Y3778" s="39">
        <v>0.49580991522266493</v>
      </c>
      <c r="Z3778" s="39">
        <v>0.48077010674098192</v>
      </c>
      <c r="AA3778" s="39">
        <v>0.48167834310246621</v>
      </c>
      <c r="AB3778" s="39">
        <v>0.4983502142389078</v>
      </c>
      <c r="AC3778" s="39">
        <v>0.49008742968564306</v>
      </c>
      <c r="AD3778" s="39">
        <v>0.47429418249370697</v>
      </c>
      <c r="AE3778" s="39">
        <v>0.47493506182456369</v>
      </c>
      <c r="AF3778" s="40">
        <v>0.49512644915797954</v>
      </c>
    </row>
    <row r="3779" spans="24:32">
      <c r="X3779" s="15">
        <v>3778</v>
      </c>
      <c r="Y3779" s="39">
        <v>0.49596977172862544</v>
      </c>
      <c r="Z3779" s="39">
        <v>0.47376598450023794</v>
      </c>
      <c r="AA3779" s="39">
        <v>0.48687050821542022</v>
      </c>
      <c r="AB3779" s="39">
        <v>0.50339609633440907</v>
      </c>
      <c r="AC3779" s="39">
        <v>0.48812318158776336</v>
      </c>
      <c r="AD3779" s="39">
        <v>0.46873870303115606</v>
      </c>
      <c r="AE3779" s="39">
        <v>0.47864664204725088</v>
      </c>
      <c r="AF3779" s="40">
        <v>0.49761570942920902</v>
      </c>
    </row>
    <row r="3780" spans="24:32">
      <c r="X3780" s="15">
        <v>3779</v>
      </c>
      <c r="Y3780" s="39">
        <v>0.48606596999661622</v>
      </c>
      <c r="Z3780" s="39">
        <v>0.50070448827101632</v>
      </c>
      <c r="AA3780" s="39">
        <v>0.49719125148650528</v>
      </c>
      <c r="AB3780" s="39">
        <v>0.49926420230745494</v>
      </c>
      <c r="AC3780" s="39">
        <v>0.4798384785851606</v>
      </c>
      <c r="AD3780" s="39">
        <v>0.49483115480750367</v>
      </c>
      <c r="AE3780" s="39">
        <v>0.49085587795320318</v>
      </c>
      <c r="AF3780" s="40">
        <v>0.49580416075347145</v>
      </c>
    </row>
    <row r="3781" spans="24:32">
      <c r="X3781" s="15">
        <v>3780</v>
      </c>
      <c r="Y3781" s="39">
        <v>0.47962362434093719</v>
      </c>
      <c r="Z3781" s="39">
        <v>0.48282142601113387</v>
      </c>
      <c r="AA3781" s="39">
        <v>0.49434059404091368</v>
      </c>
      <c r="AB3781" s="39">
        <v>0.4868971738595318</v>
      </c>
      <c r="AC3781" s="39">
        <v>0.47452345284913217</v>
      </c>
      <c r="AD3781" s="39">
        <v>0.47721653915522844</v>
      </c>
      <c r="AE3781" s="39">
        <v>0.48574112278307324</v>
      </c>
      <c r="AF3781" s="40">
        <v>0.48466189578936181</v>
      </c>
    </row>
    <row r="3782" spans="24:32">
      <c r="X3782" s="15">
        <v>3781</v>
      </c>
      <c r="Y3782" s="39">
        <v>0.49240140692962719</v>
      </c>
      <c r="Z3782" s="39">
        <v>0.4796202247902579</v>
      </c>
      <c r="AA3782" s="39">
        <v>0.49067025232414702</v>
      </c>
      <c r="AB3782" s="39">
        <v>0.48246096226083263</v>
      </c>
      <c r="AC3782" s="39">
        <v>0.48597944633984996</v>
      </c>
      <c r="AD3782" s="39">
        <v>0.47449657279994839</v>
      </c>
      <c r="AE3782" s="39">
        <v>0.48108209291526371</v>
      </c>
      <c r="AF3782" s="40">
        <v>0.47495901526002404</v>
      </c>
    </row>
    <row r="3783" spans="24:32">
      <c r="X3783" s="15">
        <v>3782</v>
      </c>
      <c r="Y3783" s="39">
        <v>0.48562172565419753</v>
      </c>
      <c r="Z3783" s="39">
        <v>0.49202798374329121</v>
      </c>
      <c r="AA3783" s="39">
        <v>0.47839592933958647</v>
      </c>
      <c r="AB3783" s="39">
        <v>0.49321063993465553</v>
      </c>
      <c r="AC3783" s="39">
        <v>0.47811273431186946</v>
      </c>
      <c r="AD3783" s="39">
        <v>0.48544541118647411</v>
      </c>
      <c r="AE3783" s="39">
        <v>0.47431925421862703</v>
      </c>
      <c r="AF3783" s="40">
        <v>0.49025860448997266</v>
      </c>
    </row>
    <row r="3784" spans="24:32">
      <c r="X3784" s="15">
        <v>3783</v>
      </c>
      <c r="Y3784" s="39">
        <v>0.46713708460494835</v>
      </c>
      <c r="Z3784" s="39">
        <v>0.48814470717812997</v>
      </c>
      <c r="AA3784" s="39">
        <v>0.48197774857597936</v>
      </c>
      <c r="AB3784" s="39">
        <v>0.49378523486061121</v>
      </c>
      <c r="AC3784" s="39">
        <v>0.46138493625567367</v>
      </c>
      <c r="AD3784" s="39">
        <v>0.47890430665758943</v>
      </c>
      <c r="AE3784" s="39">
        <v>0.47559111256362635</v>
      </c>
      <c r="AF3784" s="40">
        <v>0.48637250500430101</v>
      </c>
    </row>
    <row r="3785" spans="24:32">
      <c r="X3785" s="15">
        <v>3784</v>
      </c>
      <c r="Y3785" s="39">
        <v>0.48733383071108843</v>
      </c>
      <c r="Z3785" s="39">
        <v>0.495158189922211</v>
      </c>
      <c r="AA3785" s="39">
        <v>0.49459090524526078</v>
      </c>
      <c r="AB3785" s="39">
        <v>0.49336168982180906</v>
      </c>
      <c r="AC3785" s="39">
        <v>0.48065894096212081</v>
      </c>
      <c r="AD3785" s="39">
        <v>0.48733560441371182</v>
      </c>
      <c r="AE3785" s="39">
        <v>0.48960718225508204</v>
      </c>
      <c r="AF3785" s="40">
        <v>0.48744635025595423</v>
      </c>
    </row>
    <row r="3786" spans="24:32">
      <c r="X3786" s="15">
        <v>3785</v>
      </c>
      <c r="Y3786" s="39">
        <v>0.48828917218430773</v>
      </c>
      <c r="Z3786" s="39">
        <v>0.47810629537553168</v>
      </c>
      <c r="AA3786" s="39">
        <v>0.49973794622960299</v>
      </c>
      <c r="AB3786" s="39">
        <v>0.47322385981021453</v>
      </c>
      <c r="AC3786" s="39">
        <v>0.48028343991860323</v>
      </c>
      <c r="AD3786" s="39">
        <v>0.47097653647203536</v>
      </c>
      <c r="AE3786" s="39">
        <v>0.49106043892565937</v>
      </c>
      <c r="AF3786" s="40">
        <v>0.4682567229844698</v>
      </c>
    </row>
    <row r="3787" spans="24:32">
      <c r="X3787" s="15">
        <v>3786</v>
      </c>
      <c r="Y3787" s="39">
        <v>0.4821792326858006</v>
      </c>
      <c r="Z3787" s="39">
        <v>0.48744380612595778</v>
      </c>
      <c r="AA3787" s="39">
        <v>0.47656584854282247</v>
      </c>
      <c r="AB3787" s="39">
        <v>0.48545616520981566</v>
      </c>
      <c r="AC3787" s="39">
        <v>0.47442238232943995</v>
      </c>
      <c r="AD3787" s="39">
        <v>0.48214758069546609</v>
      </c>
      <c r="AE3787" s="39">
        <v>0.46925328834399538</v>
      </c>
      <c r="AF3787" s="40">
        <v>0.48227414778934125</v>
      </c>
    </row>
    <row r="3788" spans="24:32">
      <c r="X3788" s="15">
        <v>3787</v>
      </c>
      <c r="Y3788" s="39">
        <v>0.48230156846689931</v>
      </c>
      <c r="Z3788" s="39">
        <v>0.47987238952564432</v>
      </c>
      <c r="AA3788" s="39">
        <v>0.47332467864226119</v>
      </c>
      <c r="AB3788" s="39">
        <v>0.47785872628591519</v>
      </c>
      <c r="AC3788" s="39">
        <v>0.47586788009385322</v>
      </c>
      <c r="AD3788" s="39">
        <v>0.47249917927084217</v>
      </c>
      <c r="AE3788" s="39">
        <v>0.4668663000583832</v>
      </c>
      <c r="AF3788" s="40">
        <v>0.47127499249009819</v>
      </c>
    </row>
    <row r="3789" spans="24:32">
      <c r="X3789" s="15">
        <v>3788</v>
      </c>
      <c r="Y3789" s="39">
        <v>0.47908816574446889</v>
      </c>
      <c r="Z3789" s="39">
        <v>0.49810303331512967</v>
      </c>
      <c r="AA3789" s="39">
        <v>0.48593180606263503</v>
      </c>
      <c r="AB3789" s="39">
        <v>0.49116139651993601</v>
      </c>
      <c r="AC3789" s="39">
        <v>0.47355202077324499</v>
      </c>
      <c r="AD3789" s="39">
        <v>0.49153131950059187</v>
      </c>
      <c r="AE3789" s="39">
        <v>0.47803554401979398</v>
      </c>
      <c r="AF3789" s="40">
        <v>0.4861032911804351</v>
      </c>
    </row>
    <row r="3790" spans="24:32">
      <c r="X3790" s="15">
        <v>3789</v>
      </c>
      <c r="Y3790" s="39">
        <v>0.49534373741850818</v>
      </c>
      <c r="Z3790" s="39">
        <v>0.48459588728904723</v>
      </c>
      <c r="AA3790" s="39">
        <v>0.48261661688835439</v>
      </c>
      <c r="AB3790" s="39">
        <v>0.49825260935911259</v>
      </c>
      <c r="AC3790" s="39">
        <v>0.48969908141446633</v>
      </c>
      <c r="AD3790" s="39">
        <v>0.47476948371060146</v>
      </c>
      <c r="AE3790" s="39">
        <v>0.47705145367919649</v>
      </c>
      <c r="AF3790" s="40">
        <v>0.49341657685470697</v>
      </c>
    </row>
    <row r="3791" spans="24:32">
      <c r="X3791" s="15">
        <v>3790</v>
      </c>
      <c r="Y3791" s="39">
        <v>0.48427711274471519</v>
      </c>
      <c r="Z3791" s="39">
        <v>0.48120890950399314</v>
      </c>
      <c r="AA3791" s="39">
        <v>0.48546942408717636</v>
      </c>
      <c r="AB3791" s="39">
        <v>0.48068161294904543</v>
      </c>
      <c r="AC3791" s="39">
        <v>0.47700033429726169</v>
      </c>
      <c r="AD3791" s="39">
        <v>0.47450076943059277</v>
      </c>
      <c r="AE3791" s="39">
        <v>0.4784718296954153</v>
      </c>
      <c r="AF3791" s="40">
        <v>0.47749429706313778</v>
      </c>
    </row>
    <row r="3792" spans="24:32">
      <c r="X3792" s="15">
        <v>3791</v>
      </c>
      <c r="Y3792" s="39">
        <v>0.48543876079048587</v>
      </c>
      <c r="Z3792" s="39">
        <v>0.48005163792187</v>
      </c>
      <c r="AA3792" s="39">
        <v>0.48812900981857926</v>
      </c>
      <c r="AB3792" s="39">
        <v>0.48858138916230193</v>
      </c>
      <c r="AC3792" s="39">
        <v>0.48051932613967763</v>
      </c>
      <c r="AD3792" s="39">
        <v>0.47390733000880575</v>
      </c>
      <c r="AE3792" s="39">
        <v>0.48026568269055986</v>
      </c>
      <c r="AF3792" s="40">
        <v>0.48101955016885983</v>
      </c>
    </row>
    <row r="3793" spans="24:32">
      <c r="X3793" s="15">
        <v>3792</v>
      </c>
      <c r="Y3793" s="39">
        <v>0.47904857152097463</v>
      </c>
      <c r="Z3793" s="39">
        <v>0.47707362607596432</v>
      </c>
      <c r="AA3793" s="39">
        <v>0.49629168398854184</v>
      </c>
      <c r="AB3793" s="39">
        <v>0.49637552594466289</v>
      </c>
      <c r="AC3793" s="39">
        <v>0.47044002688039566</v>
      </c>
      <c r="AD3793" s="39">
        <v>0.47027380429230603</v>
      </c>
      <c r="AE3793" s="39">
        <v>0.49127885495261991</v>
      </c>
      <c r="AF3793" s="40">
        <v>0.49068135905676263</v>
      </c>
    </row>
    <row r="3794" spans="24:32">
      <c r="X3794" s="15">
        <v>3793</v>
      </c>
      <c r="Y3794" s="39">
        <v>0.47297727694670139</v>
      </c>
      <c r="Z3794" s="39">
        <v>0.49827745045232535</v>
      </c>
      <c r="AA3794" s="39">
        <v>0.48293100340266498</v>
      </c>
      <c r="AB3794" s="39">
        <v>0.49150667420015803</v>
      </c>
      <c r="AC3794" s="39">
        <v>0.46481598247843842</v>
      </c>
      <c r="AD3794" s="39">
        <v>0.48966804924866664</v>
      </c>
      <c r="AE3794" s="39">
        <v>0.4756973337163905</v>
      </c>
      <c r="AF3794" s="40">
        <v>0.48794692405691337</v>
      </c>
    </row>
    <row r="3795" spans="24:32">
      <c r="X3795" s="15">
        <v>3794</v>
      </c>
      <c r="Y3795" s="39">
        <v>0.48391273126889445</v>
      </c>
      <c r="Z3795" s="39">
        <v>0.48632734389165244</v>
      </c>
      <c r="AA3795" s="39">
        <v>0.48426943827327223</v>
      </c>
      <c r="AB3795" s="39">
        <v>0.48327662290512152</v>
      </c>
      <c r="AC3795" s="39">
        <v>0.47984209731586858</v>
      </c>
      <c r="AD3795" s="39">
        <v>0.47837178954388093</v>
      </c>
      <c r="AE3795" s="39">
        <v>0.47716218529806365</v>
      </c>
      <c r="AF3795" s="40">
        <v>0.47990611937707545</v>
      </c>
    </row>
    <row r="3796" spans="24:32">
      <c r="X3796" s="15">
        <v>3795</v>
      </c>
      <c r="Y3796" s="39">
        <v>0.49608229815810306</v>
      </c>
      <c r="Z3796" s="39">
        <v>0.48174215923884894</v>
      </c>
      <c r="AA3796" s="39">
        <v>0.48710041841806212</v>
      </c>
      <c r="AB3796" s="39">
        <v>0.49199728315984304</v>
      </c>
      <c r="AC3796" s="39">
        <v>0.48903862633600365</v>
      </c>
      <c r="AD3796" s="39">
        <v>0.47512689371186895</v>
      </c>
      <c r="AE3796" s="39">
        <v>0.48154191361568099</v>
      </c>
      <c r="AF3796" s="40">
        <v>0.48709322126094012</v>
      </c>
    </row>
    <row r="3797" spans="24:32">
      <c r="X3797" s="15">
        <v>3796</v>
      </c>
      <c r="Y3797" s="39">
        <v>0.49729988063244035</v>
      </c>
      <c r="Z3797" s="39">
        <v>0.48964516344383002</v>
      </c>
      <c r="AA3797" s="39">
        <v>0.49854807326570233</v>
      </c>
      <c r="AB3797" s="39">
        <v>0.50095814962000684</v>
      </c>
      <c r="AC3797" s="39">
        <v>0.49190701120086888</v>
      </c>
      <c r="AD3797" s="39">
        <v>0.47893024716546662</v>
      </c>
      <c r="AE3797" s="39">
        <v>0.4898543418083019</v>
      </c>
      <c r="AF3797" s="40">
        <v>0.49610126952322814</v>
      </c>
    </row>
    <row r="3798" spans="24:32">
      <c r="X3798" s="15">
        <v>3797</v>
      </c>
      <c r="Y3798" s="39">
        <v>0.47461958545733496</v>
      </c>
      <c r="Z3798" s="39">
        <v>0.49620656163101817</v>
      </c>
      <c r="AA3798" s="39">
        <v>0.47128849820069385</v>
      </c>
      <c r="AB3798" s="39">
        <v>0.48292861035375467</v>
      </c>
      <c r="AC3798" s="39">
        <v>0.46805327090620902</v>
      </c>
      <c r="AD3798" s="39">
        <v>0.49010800816910199</v>
      </c>
      <c r="AE3798" s="39">
        <v>0.46557004466230906</v>
      </c>
      <c r="AF3798" s="40">
        <v>0.47697792825037422</v>
      </c>
    </row>
    <row r="3799" spans="24:32">
      <c r="X3799" s="15">
        <v>3798</v>
      </c>
      <c r="Y3799" s="39">
        <v>0.4819985564567062</v>
      </c>
      <c r="Z3799" s="39">
        <v>0.48879269132021708</v>
      </c>
      <c r="AA3799" s="39">
        <v>0.47788509313781757</v>
      </c>
      <c r="AB3799" s="39">
        <v>0.48121994720350886</v>
      </c>
      <c r="AC3799" s="39">
        <v>0.47730247673668125</v>
      </c>
      <c r="AD3799" s="39">
        <v>0.48047599524567625</v>
      </c>
      <c r="AE3799" s="39">
        <v>0.46690260880118356</v>
      </c>
      <c r="AF3799" s="40">
        <v>0.47568485869875554</v>
      </c>
    </row>
    <row r="3800" spans="24:32">
      <c r="X3800" s="15">
        <v>3799</v>
      </c>
      <c r="Y3800" s="39">
        <v>0.47627501711537212</v>
      </c>
      <c r="Z3800" s="39">
        <v>0.48442645083420621</v>
      </c>
      <c r="AA3800" s="39">
        <v>0.46744396646987474</v>
      </c>
      <c r="AB3800" s="39">
        <v>0.48555522245912097</v>
      </c>
      <c r="AC3800" s="39">
        <v>0.47083801154187838</v>
      </c>
      <c r="AD3800" s="39">
        <v>0.4745433436151586</v>
      </c>
      <c r="AE3800" s="39">
        <v>0.46200685493001342</v>
      </c>
      <c r="AF3800" s="40">
        <v>0.48095308743189918</v>
      </c>
    </row>
    <row r="3801" spans="24:32">
      <c r="X3801" s="15">
        <v>3800</v>
      </c>
      <c r="Y3801" s="39">
        <v>0.49800649129974162</v>
      </c>
      <c r="Z3801" s="39">
        <v>0.48723299441729329</v>
      </c>
      <c r="AA3801" s="39">
        <v>0.49530398398626146</v>
      </c>
      <c r="AB3801" s="39">
        <v>0.48184652196732047</v>
      </c>
      <c r="AC3801" s="39">
        <v>0.48928414215054333</v>
      </c>
      <c r="AD3801" s="39">
        <v>0.4798562909495479</v>
      </c>
      <c r="AE3801" s="39">
        <v>0.48744648129165702</v>
      </c>
      <c r="AF3801" s="40">
        <v>0.48006329947158649</v>
      </c>
    </row>
    <row r="3802" spans="24:32">
      <c r="X3802" s="15">
        <v>3801</v>
      </c>
      <c r="Y3802" s="39">
        <v>0.4810552517734436</v>
      </c>
      <c r="Z3802" s="39">
        <v>0.47600980978357355</v>
      </c>
      <c r="AA3802" s="39">
        <v>0.48048682903905304</v>
      </c>
      <c r="AB3802" s="39">
        <v>0.48481290158819851</v>
      </c>
      <c r="AC3802" s="39">
        <v>0.47540271369190301</v>
      </c>
      <c r="AD3802" s="39">
        <v>0.46780995301946504</v>
      </c>
      <c r="AE3802" s="39">
        <v>0.47163399329550609</v>
      </c>
      <c r="AF3802" s="40">
        <v>0.47978514463198213</v>
      </c>
    </row>
    <row r="3803" spans="24:32">
      <c r="X3803" s="15">
        <v>3802</v>
      </c>
      <c r="Y3803" s="39">
        <v>0.48970111987837772</v>
      </c>
      <c r="Z3803" s="39">
        <v>0.48246196064936286</v>
      </c>
      <c r="AA3803" s="39">
        <v>0.47760636668675349</v>
      </c>
      <c r="AB3803" s="39">
        <v>0.47139734087311574</v>
      </c>
      <c r="AC3803" s="39">
        <v>0.48208000048754396</v>
      </c>
      <c r="AD3803" s="39">
        <v>0.47537653070241437</v>
      </c>
      <c r="AE3803" s="39">
        <v>0.47175639610241543</v>
      </c>
      <c r="AF3803" s="40">
        <v>0.46818089519020478</v>
      </c>
    </row>
    <row r="3804" spans="24:32">
      <c r="X3804" s="15">
        <v>3803</v>
      </c>
      <c r="Y3804" s="39">
        <v>0.46912507220476202</v>
      </c>
      <c r="Z3804" s="39">
        <v>0.49784324551639125</v>
      </c>
      <c r="AA3804" s="39">
        <v>0.48945467583181196</v>
      </c>
      <c r="AB3804" s="39">
        <v>0.4957487042578908</v>
      </c>
      <c r="AC3804" s="39">
        <v>0.46249251897569521</v>
      </c>
      <c r="AD3804" s="39">
        <v>0.49070123414478106</v>
      </c>
      <c r="AE3804" s="39">
        <v>0.48219344994592533</v>
      </c>
      <c r="AF3804" s="40">
        <v>0.48919944895893663</v>
      </c>
    </row>
    <row r="3805" spans="24:32">
      <c r="X3805" s="15">
        <v>3804</v>
      </c>
      <c r="Y3805" s="39">
        <v>0.48449337185968261</v>
      </c>
      <c r="Z3805" s="39">
        <v>0.47528511327577566</v>
      </c>
      <c r="AA3805" s="39">
        <v>0.47695971338689908</v>
      </c>
      <c r="AB3805" s="39">
        <v>0.47988572046743477</v>
      </c>
      <c r="AC3805" s="39">
        <v>0.47715449363126461</v>
      </c>
      <c r="AD3805" s="39">
        <v>0.46948277251660259</v>
      </c>
      <c r="AE3805" s="39">
        <v>0.46766290605948413</v>
      </c>
      <c r="AF3805" s="40">
        <v>0.47193833998607138</v>
      </c>
    </row>
    <row r="3806" spans="24:32">
      <c r="X3806" s="15">
        <v>3805</v>
      </c>
      <c r="Y3806" s="39">
        <v>0.48902203626306817</v>
      </c>
      <c r="Z3806" s="39">
        <v>0.47484422199955284</v>
      </c>
      <c r="AA3806" s="39">
        <v>0.4727530260270032</v>
      </c>
      <c r="AB3806" s="39">
        <v>0.48444136950192318</v>
      </c>
      <c r="AC3806" s="39">
        <v>0.48095915120245397</v>
      </c>
      <c r="AD3806" s="39">
        <v>0.47054249568008544</v>
      </c>
      <c r="AE3806" s="39">
        <v>0.46475579779319021</v>
      </c>
      <c r="AF3806" s="40">
        <v>0.47855291616245615</v>
      </c>
    </row>
    <row r="3807" spans="24:32">
      <c r="X3807" s="15">
        <v>3806</v>
      </c>
      <c r="Y3807" s="39">
        <v>0.4855623229920808</v>
      </c>
      <c r="Z3807" s="39">
        <v>0.48593367425564338</v>
      </c>
      <c r="AA3807" s="39">
        <v>0.49679222580481291</v>
      </c>
      <c r="AB3807" s="39">
        <v>0.47697573586588216</v>
      </c>
      <c r="AC3807" s="39">
        <v>0.4787104354234365</v>
      </c>
      <c r="AD3807" s="39">
        <v>0.4790422231340547</v>
      </c>
      <c r="AE3807" s="39">
        <v>0.48726708474085617</v>
      </c>
      <c r="AF3807" s="40">
        <v>0.47415661940663351</v>
      </c>
    </row>
    <row r="3808" spans="24:32">
      <c r="X3808" s="15">
        <v>3807</v>
      </c>
      <c r="Y3808" s="39">
        <v>0.49564665356462578</v>
      </c>
      <c r="Z3808" s="39">
        <v>0.46762828403062373</v>
      </c>
      <c r="AA3808" s="39">
        <v>0.48516884843276048</v>
      </c>
      <c r="AB3808" s="39">
        <v>0.49120486286181947</v>
      </c>
      <c r="AC3808" s="39">
        <v>0.48883977074202195</v>
      </c>
      <c r="AD3808" s="39">
        <v>0.45900591211464381</v>
      </c>
      <c r="AE3808" s="39">
        <v>0.47674020655583832</v>
      </c>
      <c r="AF3808" s="40">
        <v>0.48807216331091652</v>
      </c>
    </row>
    <row r="3809" spans="24:32">
      <c r="X3809" s="15">
        <v>3808</v>
      </c>
      <c r="Y3809" s="39">
        <v>0.47136543567899158</v>
      </c>
      <c r="Z3809" s="39">
        <v>0.48954044624651027</v>
      </c>
      <c r="AA3809" s="39">
        <v>0.48825712940832011</v>
      </c>
      <c r="AB3809" s="39">
        <v>0.48440270513419237</v>
      </c>
      <c r="AC3809" s="39">
        <v>0.46394831726708968</v>
      </c>
      <c r="AD3809" s="39">
        <v>0.48111443952124511</v>
      </c>
      <c r="AE3809" s="39">
        <v>0.48326223343099789</v>
      </c>
      <c r="AF3809" s="40">
        <v>0.47920010016213255</v>
      </c>
    </row>
    <row r="3810" spans="24:32">
      <c r="X3810" s="15">
        <v>3809</v>
      </c>
      <c r="Y3810" s="39">
        <v>0.47447391042294096</v>
      </c>
      <c r="Z3810" s="39">
        <v>0.48408129313991022</v>
      </c>
      <c r="AA3810" s="39">
        <v>0.48001028877437912</v>
      </c>
      <c r="AB3810" s="39">
        <v>0.49237280808905853</v>
      </c>
      <c r="AC3810" s="39">
        <v>0.46670621418429092</v>
      </c>
      <c r="AD3810" s="39">
        <v>0.47702494388663347</v>
      </c>
      <c r="AE3810" s="39">
        <v>0.47583468021605718</v>
      </c>
      <c r="AF3810" s="40">
        <v>0.4882084786366796</v>
      </c>
    </row>
    <row r="3811" spans="24:32">
      <c r="X3811" s="15">
        <v>3810</v>
      </c>
      <c r="Y3811" s="39">
        <v>0.49819435272238843</v>
      </c>
      <c r="Z3811" s="39">
        <v>0.47731955906269602</v>
      </c>
      <c r="AA3811" s="39">
        <v>0.48259805117623311</v>
      </c>
      <c r="AB3811" s="39">
        <v>0.48461743728437073</v>
      </c>
      <c r="AC3811" s="39">
        <v>0.48927510855407969</v>
      </c>
      <c r="AD3811" s="39">
        <v>0.46985473089268692</v>
      </c>
      <c r="AE3811" s="39">
        <v>0.47554153752387529</v>
      </c>
      <c r="AF3811" s="40">
        <v>0.48058568621231929</v>
      </c>
    </row>
    <row r="3812" spans="24:32">
      <c r="X3812" s="15">
        <v>3811</v>
      </c>
      <c r="Y3812" s="39">
        <v>0.48908657825907159</v>
      </c>
      <c r="Z3812" s="39">
        <v>0.49829894393928853</v>
      </c>
      <c r="AA3812" s="39">
        <v>0.48645823370504038</v>
      </c>
      <c r="AB3812" s="39">
        <v>0.49259367861991565</v>
      </c>
      <c r="AC3812" s="39">
        <v>0.48129002828181094</v>
      </c>
      <c r="AD3812" s="39">
        <v>0.49153199953027621</v>
      </c>
      <c r="AE3812" s="39">
        <v>0.47960061107661167</v>
      </c>
      <c r="AF3812" s="40">
        <v>0.48801309279464139</v>
      </c>
    </row>
    <row r="3813" spans="24:32">
      <c r="X3813" s="15">
        <v>3812</v>
      </c>
      <c r="Y3813" s="39">
        <v>0.50183918822796636</v>
      </c>
      <c r="Z3813" s="39">
        <v>0.48164121251638475</v>
      </c>
      <c r="AA3813" s="39">
        <v>0.48422600538108884</v>
      </c>
      <c r="AB3813" s="39">
        <v>0.48807227865200781</v>
      </c>
      <c r="AC3813" s="39">
        <v>0.49288582827001409</v>
      </c>
      <c r="AD3813" s="39">
        <v>0.47535065453957798</v>
      </c>
      <c r="AE3813" s="39">
        <v>0.47750352292300263</v>
      </c>
      <c r="AF3813" s="40">
        <v>0.48411915833355396</v>
      </c>
    </row>
    <row r="3814" spans="24:32">
      <c r="X3814" s="15">
        <v>3813</v>
      </c>
      <c r="Y3814" s="39">
        <v>0.48546234780609882</v>
      </c>
      <c r="Z3814" s="39">
        <v>0.48967857871403914</v>
      </c>
      <c r="AA3814" s="39">
        <v>0.48457384094872874</v>
      </c>
      <c r="AB3814" s="39">
        <v>0.47462294398666688</v>
      </c>
      <c r="AC3814" s="39">
        <v>0.47681711443162383</v>
      </c>
      <c r="AD3814" s="39">
        <v>0.48349581178975576</v>
      </c>
      <c r="AE3814" s="39">
        <v>0.47892645134152478</v>
      </c>
      <c r="AF3814" s="40">
        <v>0.47310948167049433</v>
      </c>
    </row>
    <row r="3815" spans="24:32">
      <c r="X3815" s="15">
        <v>3814</v>
      </c>
      <c r="Y3815" s="39">
        <v>0.50655212388695392</v>
      </c>
      <c r="Z3815" s="39">
        <v>0.49332574316572486</v>
      </c>
      <c r="AA3815" s="39">
        <v>0.48619589652163014</v>
      </c>
      <c r="AB3815" s="39">
        <v>0.49626913815842111</v>
      </c>
      <c r="AC3815" s="39">
        <v>0.4997884540794808</v>
      </c>
      <c r="AD3815" s="39">
        <v>0.4859668140836747</v>
      </c>
      <c r="AE3815" s="39">
        <v>0.48011769770322776</v>
      </c>
      <c r="AF3815" s="40">
        <v>0.49010912785566113</v>
      </c>
    </row>
    <row r="3816" spans="24:32">
      <c r="X3816" s="15">
        <v>3815</v>
      </c>
      <c r="Y3816" s="39">
        <v>0.49211207862619044</v>
      </c>
      <c r="Z3816" s="39">
        <v>0.49227050864421362</v>
      </c>
      <c r="AA3816" s="39">
        <v>0.49014001731458606</v>
      </c>
      <c r="AB3816" s="39">
        <v>0.48153106784625083</v>
      </c>
      <c r="AC3816" s="39">
        <v>0.48638499199058394</v>
      </c>
      <c r="AD3816" s="39">
        <v>0.48549554154532676</v>
      </c>
      <c r="AE3816" s="39">
        <v>0.48180173229966849</v>
      </c>
      <c r="AF3816" s="40">
        <v>0.47862759021654744</v>
      </c>
    </row>
    <row r="3817" spans="24:32">
      <c r="X3817" s="15">
        <v>3816</v>
      </c>
      <c r="Y3817" s="39">
        <v>0.49101441028385989</v>
      </c>
      <c r="Z3817" s="39">
        <v>0.4715055144912228</v>
      </c>
      <c r="AA3817" s="39">
        <v>0.4920149622559245</v>
      </c>
      <c r="AB3817" s="39">
        <v>0.48814354706654567</v>
      </c>
      <c r="AC3817" s="39">
        <v>0.48334285543721195</v>
      </c>
      <c r="AD3817" s="39">
        <v>0.46497938365018593</v>
      </c>
      <c r="AE3817" s="39">
        <v>0.48475834600386092</v>
      </c>
      <c r="AF3817" s="40">
        <v>0.48327815607934288</v>
      </c>
    </row>
    <row r="3818" spans="24:32">
      <c r="X3818" s="15">
        <v>3817</v>
      </c>
      <c r="Y3818" s="39">
        <v>0.48612646747089899</v>
      </c>
      <c r="Z3818" s="39">
        <v>0.4886477096084082</v>
      </c>
      <c r="AA3818" s="39">
        <v>0.48825803914345545</v>
      </c>
      <c r="AB3818" s="39">
        <v>0.48983495661141541</v>
      </c>
      <c r="AC3818" s="39">
        <v>0.47874811939836998</v>
      </c>
      <c r="AD3818" s="39">
        <v>0.48144634274106318</v>
      </c>
      <c r="AE3818" s="39">
        <v>0.48119605128720372</v>
      </c>
      <c r="AF3818" s="40">
        <v>0.4843473743697978</v>
      </c>
    </row>
    <row r="3819" spans="24:32">
      <c r="X3819" s="15">
        <v>3818</v>
      </c>
      <c r="Y3819" s="39">
        <v>0.48740019056757183</v>
      </c>
      <c r="Z3819" s="39">
        <v>0.47404337433307653</v>
      </c>
      <c r="AA3819" s="39">
        <v>0.49081820831297551</v>
      </c>
      <c r="AB3819" s="39">
        <v>0.48505423896065636</v>
      </c>
      <c r="AC3819" s="39">
        <v>0.48108665430827985</v>
      </c>
      <c r="AD3819" s="39">
        <v>0.46724451631854846</v>
      </c>
      <c r="AE3819" s="39">
        <v>0.48387286621620718</v>
      </c>
      <c r="AF3819" s="40">
        <v>0.47823621148569834</v>
      </c>
    </row>
    <row r="3820" spans="24:32">
      <c r="X3820" s="15">
        <v>3819</v>
      </c>
      <c r="Y3820" s="39">
        <v>0.49679546918196632</v>
      </c>
      <c r="Z3820" s="39">
        <v>0.47548210947646086</v>
      </c>
      <c r="AA3820" s="39">
        <v>0.4830104997057999</v>
      </c>
      <c r="AB3820" s="39">
        <v>0.48099755366769015</v>
      </c>
      <c r="AC3820" s="39">
        <v>0.48897885787274753</v>
      </c>
      <c r="AD3820" s="39">
        <v>0.46754716145396114</v>
      </c>
      <c r="AE3820" s="39">
        <v>0.47735224846452978</v>
      </c>
      <c r="AF3820" s="40">
        <v>0.47703779038987065</v>
      </c>
    </row>
    <row r="3821" spans="24:32">
      <c r="X3821" s="15">
        <v>3820</v>
      </c>
      <c r="Y3821" s="39">
        <v>0.47527066791843448</v>
      </c>
      <c r="Z3821" s="39">
        <v>0.48903884221140492</v>
      </c>
      <c r="AA3821" s="39">
        <v>0.49089453013251949</v>
      </c>
      <c r="AB3821" s="39">
        <v>0.49123517104479136</v>
      </c>
      <c r="AC3821" s="39">
        <v>0.46957779987980397</v>
      </c>
      <c r="AD3821" s="39">
        <v>0.48199730145344183</v>
      </c>
      <c r="AE3821" s="39">
        <v>0.48543886039354361</v>
      </c>
      <c r="AF3821" s="40">
        <v>0.48746714979321515</v>
      </c>
    </row>
    <row r="3822" spans="24:32">
      <c r="X3822" s="15">
        <v>3821</v>
      </c>
      <c r="Y3822" s="39">
        <v>0.47732730169270932</v>
      </c>
      <c r="Z3822" s="39">
        <v>0.48110043644400752</v>
      </c>
      <c r="AA3822" s="39">
        <v>0.47821227107707021</v>
      </c>
      <c r="AB3822" s="39">
        <v>0.50440515839572819</v>
      </c>
      <c r="AC3822" s="39">
        <v>0.4716311974407349</v>
      </c>
      <c r="AD3822" s="39">
        <v>0.47294848101425779</v>
      </c>
      <c r="AE3822" s="39">
        <v>0.46864214886957545</v>
      </c>
      <c r="AF3822" s="40">
        <v>0.49966775825100296</v>
      </c>
    </row>
    <row r="3823" spans="24:32">
      <c r="X3823" s="15">
        <v>3822</v>
      </c>
      <c r="Y3823" s="39">
        <v>0.48822263385496006</v>
      </c>
      <c r="Z3823" s="39">
        <v>0.49134874089639341</v>
      </c>
      <c r="AA3823" s="39">
        <v>0.49144755997822143</v>
      </c>
      <c r="AB3823" s="39">
        <v>0.48517462127229222</v>
      </c>
      <c r="AC3823" s="39">
        <v>0.48356044001854681</v>
      </c>
      <c r="AD3823" s="39">
        <v>0.48562347908105324</v>
      </c>
      <c r="AE3823" s="39">
        <v>0.4884714872533551</v>
      </c>
      <c r="AF3823" s="40">
        <v>0.48247635257360932</v>
      </c>
    </row>
    <row r="3824" spans="24:32">
      <c r="X3824" s="15">
        <v>3823</v>
      </c>
      <c r="Y3824" s="39">
        <v>0.49563130871001437</v>
      </c>
      <c r="Z3824" s="39">
        <v>0.48160293830089723</v>
      </c>
      <c r="AA3824" s="39">
        <v>0.49351813709651932</v>
      </c>
      <c r="AB3824" s="39">
        <v>0.48290834571832775</v>
      </c>
      <c r="AC3824" s="39">
        <v>0.48816278076613084</v>
      </c>
      <c r="AD3824" s="39">
        <v>0.47321977567547707</v>
      </c>
      <c r="AE3824" s="39">
        <v>0.48575983498823305</v>
      </c>
      <c r="AF3824" s="40">
        <v>0.47765184782004233</v>
      </c>
    </row>
    <row r="3825" spans="24:32">
      <c r="X3825" s="15">
        <v>3824</v>
      </c>
      <c r="Y3825" s="39">
        <v>0.47816942069463336</v>
      </c>
      <c r="Z3825" s="39">
        <v>0.48029805972633383</v>
      </c>
      <c r="AA3825" s="39">
        <v>0.49015022276812442</v>
      </c>
      <c r="AB3825" s="39">
        <v>0.50683800610789975</v>
      </c>
      <c r="AC3825" s="39">
        <v>0.46894232748985099</v>
      </c>
      <c r="AD3825" s="39">
        <v>0.47360797900502233</v>
      </c>
      <c r="AE3825" s="39">
        <v>0.48470996866141253</v>
      </c>
      <c r="AF3825" s="40">
        <v>0.49965986880050489</v>
      </c>
    </row>
    <row r="3826" spans="24:32">
      <c r="X3826" s="15">
        <v>3825</v>
      </c>
      <c r="Y3826" s="39">
        <v>0.48763797812903409</v>
      </c>
      <c r="Z3826" s="39">
        <v>0.49010498618518672</v>
      </c>
      <c r="AA3826" s="39">
        <v>0.48252208711966532</v>
      </c>
      <c r="AB3826" s="39">
        <v>0.48909857356148484</v>
      </c>
      <c r="AC3826" s="39">
        <v>0.48064869843614488</v>
      </c>
      <c r="AD3826" s="39">
        <v>0.48202159217806301</v>
      </c>
      <c r="AE3826" s="39">
        <v>0.47550324527640558</v>
      </c>
      <c r="AF3826" s="40">
        <v>0.48617847034465006</v>
      </c>
    </row>
    <row r="3827" spans="24:32">
      <c r="X3827" s="15">
        <v>3826</v>
      </c>
      <c r="Y3827" s="39">
        <v>0.50012135319809881</v>
      </c>
      <c r="Z3827" s="39">
        <v>0.49660855256249109</v>
      </c>
      <c r="AA3827" s="39">
        <v>0.48749500197496709</v>
      </c>
      <c r="AB3827" s="39">
        <v>0.48025042398457207</v>
      </c>
      <c r="AC3827" s="39">
        <v>0.49204216307960497</v>
      </c>
      <c r="AD3827" s="39">
        <v>0.49034554724074381</v>
      </c>
      <c r="AE3827" s="39">
        <v>0.48287953527739019</v>
      </c>
      <c r="AF3827" s="40">
        <v>0.47821906649618201</v>
      </c>
    </row>
    <row r="3828" spans="24:32">
      <c r="X3828" s="15">
        <v>3827</v>
      </c>
      <c r="Y3828" s="39">
        <v>0.47573550153211625</v>
      </c>
      <c r="Z3828" s="39">
        <v>0.47712005623895615</v>
      </c>
      <c r="AA3828" s="39">
        <v>0.4765355258672162</v>
      </c>
      <c r="AB3828" s="39">
        <v>0.48838456109432665</v>
      </c>
      <c r="AC3828" s="39">
        <v>0.46683166609163357</v>
      </c>
      <c r="AD3828" s="39">
        <v>0.47159701539616611</v>
      </c>
      <c r="AE3828" s="39">
        <v>0.47466762268530821</v>
      </c>
      <c r="AF3828" s="40">
        <v>0.48248330934855316</v>
      </c>
    </row>
    <row r="3829" spans="24:32">
      <c r="X3829" s="15">
        <v>3828</v>
      </c>
      <c r="Y3829" s="39">
        <v>0.47877857424497433</v>
      </c>
      <c r="Z3829" s="39">
        <v>0.49786394138587758</v>
      </c>
      <c r="AA3829" s="39">
        <v>0.4701934933617401</v>
      </c>
      <c r="AB3829" s="39">
        <v>0.49818592604275252</v>
      </c>
      <c r="AC3829" s="39">
        <v>0.4687620536898115</v>
      </c>
      <c r="AD3829" s="39">
        <v>0.4917341324772872</v>
      </c>
      <c r="AE3829" s="39">
        <v>0.45875486803417037</v>
      </c>
      <c r="AF3829" s="40">
        <v>0.49411044702895845</v>
      </c>
    </row>
    <row r="3830" spans="24:32">
      <c r="X3830" s="15">
        <v>3829</v>
      </c>
      <c r="Y3830" s="39">
        <v>0.47893509306400978</v>
      </c>
      <c r="Z3830" s="39">
        <v>0.46782484551014036</v>
      </c>
      <c r="AA3830" s="39">
        <v>0.46492979686992209</v>
      </c>
      <c r="AB3830" s="39">
        <v>0.49191225037587311</v>
      </c>
      <c r="AC3830" s="39">
        <v>0.47423184517391376</v>
      </c>
      <c r="AD3830" s="39">
        <v>0.46225460501418386</v>
      </c>
      <c r="AE3830" s="39">
        <v>0.45763776415012508</v>
      </c>
      <c r="AF3830" s="40">
        <v>0.48472350840463446</v>
      </c>
    </row>
    <row r="3831" spans="24:32">
      <c r="X3831" s="15">
        <v>3830</v>
      </c>
      <c r="Y3831" s="39">
        <v>0.48781345746805216</v>
      </c>
      <c r="Z3831" s="39">
        <v>0.49336707550624137</v>
      </c>
      <c r="AA3831" s="39">
        <v>0.47832740786114625</v>
      </c>
      <c r="AB3831" s="39">
        <v>0.48928016138602504</v>
      </c>
      <c r="AC3831" s="39">
        <v>0.48158923009063709</v>
      </c>
      <c r="AD3831" s="39">
        <v>0.48346461351315778</v>
      </c>
      <c r="AE3831" s="39">
        <v>0.4689452659610443</v>
      </c>
      <c r="AF3831" s="40">
        <v>0.48505458169977878</v>
      </c>
    </row>
    <row r="3832" spans="24:32">
      <c r="X3832" s="15">
        <v>3831</v>
      </c>
      <c r="Y3832" s="39">
        <v>0.48740267276783444</v>
      </c>
      <c r="Z3832" s="39">
        <v>0.49194660021355952</v>
      </c>
      <c r="AA3832" s="39">
        <v>0.50817023455985244</v>
      </c>
      <c r="AB3832" s="39">
        <v>0.49484138006701556</v>
      </c>
      <c r="AC3832" s="39">
        <v>0.48251013447130203</v>
      </c>
      <c r="AD3832" s="39">
        <v>0.48607859770008616</v>
      </c>
      <c r="AE3832" s="39">
        <v>0.49927096897828244</v>
      </c>
      <c r="AF3832" s="40">
        <v>0.4878580501131406</v>
      </c>
    </row>
    <row r="3833" spans="24:32">
      <c r="X3833" s="15">
        <v>3832</v>
      </c>
      <c r="Y3833" s="39">
        <v>0.49672110206737197</v>
      </c>
      <c r="Z3833" s="39">
        <v>0.47606582997363106</v>
      </c>
      <c r="AA3833" s="39">
        <v>0.47794438489669749</v>
      </c>
      <c r="AB3833" s="39">
        <v>0.48431921852024212</v>
      </c>
      <c r="AC3833" s="39">
        <v>0.49189058374246553</v>
      </c>
      <c r="AD3833" s="39">
        <v>0.47200954768600301</v>
      </c>
      <c r="AE3833" s="39">
        <v>0.46977760369895261</v>
      </c>
      <c r="AF3833" s="40">
        <v>0.48254817756989205</v>
      </c>
    </row>
    <row r="3834" spans="24:32">
      <c r="X3834" s="15">
        <v>3833</v>
      </c>
      <c r="Y3834" s="39">
        <v>0.48286170892563884</v>
      </c>
      <c r="Z3834" s="39">
        <v>0.48994263954254341</v>
      </c>
      <c r="AA3834" s="39">
        <v>0.49715454774122753</v>
      </c>
      <c r="AB3834" s="39">
        <v>0.4906332156416815</v>
      </c>
      <c r="AC3834" s="39">
        <v>0.47684040611828932</v>
      </c>
      <c r="AD3834" s="39">
        <v>0.48214598000541348</v>
      </c>
      <c r="AE3834" s="39">
        <v>0.48781318523118822</v>
      </c>
      <c r="AF3834" s="40">
        <v>0.4863223737650163</v>
      </c>
    </row>
    <row r="3835" spans="24:32">
      <c r="X3835" s="15">
        <v>3834</v>
      </c>
      <c r="Y3835" s="39">
        <v>0.48458740728833044</v>
      </c>
      <c r="Z3835" s="39">
        <v>0.49446521534639798</v>
      </c>
      <c r="AA3835" s="39">
        <v>0.48649573786087003</v>
      </c>
      <c r="AB3835" s="39">
        <v>0.48963068774379792</v>
      </c>
      <c r="AC3835" s="39">
        <v>0.47750209820488121</v>
      </c>
      <c r="AD3835" s="39">
        <v>0.48570994670101841</v>
      </c>
      <c r="AE3835" s="39">
        <v>0.48000041208445221</v>
      </c>
      <c r="AF3835" s="40">
        <v>0.48347641982066214</v>
      </c>
    </row>
    <row r="3836" spans="24:32">
      <c r="X3836" s="15">
        <v>3835</v>
      </c>
      <c r="Y3836" s="39">
        <v>0.49515009557712408</v>
      </c>
      <c r="Z3836" s="39">
        <v>0.47852324761237447</v>
      </c>
      <c r="AA3836" s="39">
        <v>0.49012891768321909</v>
      </c>
      <c r="AB3836" s="39">
        <v>0.47276765641523222</v>
      </c>
      <c r="AC3836" s="39">
        <v>0.48910142012314584</v>
      </c>
      <c r="AD3836" s="39">
        <v>0.47139914862588611</v>
      </c>
      <c r="AE3836" s="39">
        <v>0.48342965402841365</v>
      </c>
      <c r="AF3836" s="40">
        <v>0.46746380350281019</v>
      </c>
    </row>
    <row r="3837" spans="24:32">
      <c r="X3837" s="15">
        <v>3836</v>
      </c>
      <c r="Y3837" s="39">
        <v>0.48937332120919141</v>
      </c>
      <c r="Z3837" s="39">
        <v>0.4800399808253018</v>
      </c>
      <c r="AA3837" s="39">
        <v>0.49047968668663805</v>
      </c>
      <c r="AB3837" s="39">
        <v>0.4857056890603017</v>
      </c>
      <c r="AC3837" s="39">
        <v>0.48201283601707295</v>
      </c>
      <c r="AD3837" s="39">
        <v>0.4718987636543398</v>
      </c>
      <c r="AE3837" s="39">
        <v>0.48210993409667813</v>
      </c>
      <c r="AF3837" s="40">
        <v>0.48473459945960401</v>
      </c>
    </row>
    <row r="3838" spans="24:32">
      <c r="X3838" s="15">
        <v>3837</v>
      </c>
      <c r="Y3838" s="39">
        <v>0.48589986110099809</v>
      </c>
      <c r="Z3838" s="39">
        <v>0.50545560781978904</v>
      </c>
      <c r="AA3838" s="39">
        <v>0.48641104800409352</v>
      </c>
      <c r="AB3838" s="39">
        <v>0.48877672631786362</v>
      </c>
      <c r="AC3838" s="39">
        <v>0.47823958265340599</v>
      </c>
      <c r="AD3838" s="39">
        <v>0.49929376258896707</v>
      </c>
      <c r="AE3838" s="39">
        <v>0.47916176245535824</v>
      </c>
      <c r="AF3838" s="40">
        <v>0.48521353706434034</v>
      </c>
    </row>
    <row r="3839" spans="24:32">
      <c r="X3839" s="15">
        <v>3838</v>
      </c>
      <c r="Y3839" s="39">
        <v>0.48532272672633803</v>
      </c>
      <c r="Z3839" s="39">
        <v>0.48793453739328957</v>
      </c>
      <c r="AA3839" s="39">
        <v>0.49209468167444254</v>
      </c>
      <c r="AB3839" s="39">
        <v>0.48150492653918064</v>
      </c>
      <c r="AC3839" s="39">
        <v>0.47870959077925312</v>
      </c>
      <c r="AD3839" s="39">
        <v>0.4808721692804559</v>
      </c>
      <c r="AE3839" s="39">
        <v>0.48409648367699692</v>
      </c>
      <c r="AF3839" s="40">
        <v>0.47545190588890446</v>
      </c>
    </row>
    <row r="3840" spans="24:32">
      <c r="X3840" s="15">
        <v>3839</v>
      </c>
      <c r="Y3840" s="39">
        <v>0.4759474683000422</v>
      </c>
      <c r="Z3840" s="39">
        <v>0.48726882886155448</v>
      </c>
      <c r="AA3840" s="39">
        <v>0.4869817374246716</v>
      </c>
      <c r="AB3840" s="39">
        <v>0.48873715939294382</v>
      </c>
      <c r="AC3840" s="39">
        <v>0.46842039528358653</v>
      </c>
      <c r="AD3840" s="39">
        <v>0.4801528936035464</v>
      </c>
      <c r="AE3840" s="39">
        <v>0.48222061884240314</v>
      </c>
      <c r="AF3840" s="40">
        <v>0.48452122337895115</v>
      </c>
    </row>
    <row r="3841" spans="24:32">
      <c r="X3841" s="15">
        <v>3840</v>
      </c>
      <c r="Y3841" s="39">
        <v>0.4951003875545732</v>
      </c>
      <c r="Z3841" s="39">
        <v>0.47761352634651144</v>
      </c>
      <c r="AA3841" s="39">
        <v>0.49692639184550547</v>
      </c>
      <c r="AB3841" s="39">
        <v>0.49064907562519461</v>
      </c>
      <c r="AC3841" s="39">
        <v>0.48955297957587124</v>
      </c>
      <c r="AD3841" s="39">
        <v>0.47499701559242674</v>
      </c>
      <c r="AE3841" s="39">
        <v>0.48891479785752118</v>
      </c>
      <c r="AF3841" s="40">
        <v>0.48513259892012855</v>
      </c>
    </row>
    <row r="3842" spans="24:32">
      <c r="X3842" s="15">
        <v>3841</v>
      </c>
      <c r="Y3842" s="39">
        <v>0.48903700501663255</v>
      </c>
      <c r="Z3842" s="39">
        <v>0.49754881433075165</v>
      </c>
      <c r="AA3842" s="39">
        <v>0.49555086055102515</v>
      </c>
      <c r="AB3842" s="39">
        <v>0.49897061345386495</v>
      </c>
      <c r="AC3842" s="39">
        <v>0.4825661497460409</v>
      </c>
      <c r="AD3842" s="39">
        <v>0.49263136023259391</v>
      </c>
      <c r="AE3842" s="39">
        <v>0.48989823586186532</v>
      </c>
      <c r="AF3842" s="40">
        <v>0.49405501308179622</v>
      </c>
    </row>
    <row r="3843" spans="24:32">
      <c r="X3843" s="15">
        <v>3842</v>
      </c>
      <c r="Y3843" s="39">
        <v>0.49121984710212224</v>
      </c>
      <c r="Z3843" s="39">
        <v>0.50842650011197987</v>
      </c>
      <c r="AA3843" s="39">
        <v>0.49184574301587924</v>
      </c>
      <c r="AB3843" s="39">
        <v>0.49275058808282524</v>
      </c>
      <c r="AC3843" s="39">
        <v>0.48292300477790989</v>
      </c>
      <c r="AD3843" s="39">
        <v>0.49895795689018496</v>
      </c>
      <c r="AE3843" s="39">
        <v>0.48549892891740959</v>
      </c>
      <c r="AF3843" s="40">
        <v>0.48938852818679152</v>
      </c>
    </row>
    <row r="3844" spans="24:32">
      <c r="X3844" s="15">
        <v>3843</v>
      </c>
      <c r="Y3844" s="39">
        <v>0.48660244977550071</v>
      </c>
      <c r="Z3844" s="39">
        <v>0.4870282876175237</v>
      </c>
      <c r="AA3844" s="39">
        <v>0.49691871417794187</v>
      </c>
      <c r="AB3844" s="39">
        <v>0.51078093907388833</v>
      </c>
      <c r="AC3844" s="39">
        <v>0.48180957274099162</v>
      </c>
      <c r="AD3844" s="39">
        <v>0.47690083724193921</v>
      </c>
      <c r="AE3844" s="39">
        <v>0.48873362762746853</v>
      </c>
      <c r="AF3844" s="40">
        <v>0.50848962009299326</v>
      </c>
    </row>
    <row r="3845" spans="24:32">
      <c r="X3845" s="15">
        <v>3844</v>
      </c>
      <c r="Y3845" s="39">
        <v>0.49148595595679018</v>
      </c>
      <c r="Z3845" s="39">
        <v>0.4736948951982019</v>
      </c>
      <c r="AA3845" s="39">
        <v>0.47634054366473927</v>
      </c>
      <c r="AB3845" s="39">
        <v>0.48322655899897188</v>
      </c>
      <c r="AC3845" s="39">
        <v>0.48452710893158624</v>
      </c>
      <c r="AD3845" s="39">
        <v>0.46727796414361106</v>
      </c>
      <c r="AE3845" s="39">
        <v>0.46915756577821371</v>
      </c>
      <c r="AF3845" s="40">
        <v>0.47795645028825334</v>
      </c>
    </row>
    <row r="3846" spans="24:32">
      <c r="X3846" s="15">
        <v>3845</v>
      </c>
      <c r="Y3846" s="39">
        <v>0.4743007010576516</v>
      </c>
      <c r="Z3846" s="39">
        <v>0.48664736014411653</v>
      </c>
      <c r="AA3846" s="39">
        <v>0.47533941936553697</v>
      </c>
      <c r="AB3846" s="39">
        <v>0.48193190876363884</v>
      </c>
      <c r="AC3846" s="39">
        <v>0.46690371774689837</v>
      </c>
      <c r="AD3846" s="39">
        <v>0.47927154343994105</v>
      </c>
      <c r="AE3846" s="39">
        <v>0.46984968105344199</v>
      </c>
      <c r="AF3846" s="40">
        <v>0.47648478604350908</v>
      </c>
    </row>
    <row r="3847" spans="24:32">
      <c r="X3847" s="15">
        <v>3846</v>
      </c>
      <c r="Y3847" s="39">
        <v>0.50114566513941727</v>
      </c>
      <c r="Z3847" s="39">
        <v>0.47333972168751914</v>
      </c>
      <c r="AA3847" s="39">
        <v>0.48835479844320401</v>
      </c>
      <c r="AB3847" s="39">
        <v>0.47837652842700157</v>
      </c>
      <c r="AC3847" s="39">
        <v>0.49062662048699174</v>
      </c>
      <c r="AD3847" s="39">
        <v>0.46676913710109302</v>
      </c>
      <c r="AE3847" s="39">
        <v>0.48360695799162773</v>
      </c>
      <c r="AF3847" s="40">
        <v>0.47190701255861167</v>
      </c>
    </row>
    <row r="3848" spans="24:32">
      <c r="X3848" s="15">
        <v>3847</v>
      </c>
      <c r="Y3848" s="39">
        <v>0.48856505727738975</v>
      </c>
      <c r="Z3848" s="39">
        <v>0.48312007024546222</v>
      </c>
      <c r="AA3848" s="39">
        <v>0.48472038497679348</v>
      </c>
      <c r="AB3848" s="39">
        <v>0.48346605385457048</v>
      </c>
      <c r="AC3848" s="39">
        <v>0.48271111670696132</v>
      </c>
      <c r="AD3848" s="39">
        <v>0.47791094126430322</v>
      </c>
      <c r="AE3848" s="39">
        <v>0.47889931817008136</v>
      </c>
      <c r="AF3848" s="40">
        <v>0.47885817693483734</v>
      </c>
    </row>
    <row r="3849" spans="24:32">
      <c r="X3849" s="15">
        <v>3848</v>
      </c>
      <c r="Y3849" s="39">
        <v>0.47383560497972749</v>
      </c>
      <c r="Z3849" s="39">
        <v>0.49559734839541902</v>
      </c>
      <c r="AA3849" s="39">
        <v>0.48120418995994485</v>
      </c>
      <c r="AB3849" s="39">
        <v>0.48186185301576678</v>
      </c>
      <c r="AC3849" s="39">
        <v>0.46897289641701195</v>
      </c>
      <c r="AD3849" s="39">
        <v>0.48827377757457213</v>
      </c>
      <c r="AE3849" s="39">
        <v>0.47649248576356962</v>
      </c>
      <c r="AF3849" s="40">
        <v>0.47758238654889673</v>
      </c>
    </row>
    <row r="3850" spans="24:32">
      <c r="X3850" s="15">
        <v>3849</v>
      </c>
      <c r="Y3850" s="39">
        <v>0.47874347503542669</v>
      </c>
      <c r="Z3850" s="39">
        <v>0.49524909570291176</v>
      </c>
      <c r="AA3850" s="39">
        <v>0.48292347125312979</v>
      </c>
      <c r="AB3850" s="39">
        <v>0.48041838493114403</v>
      </c>
      <c r="AC3850" s="39">
        <v>0.47366043988240469</v>
      </c>
      <c r="AD3850" s="39">
        <v>0.48563906957565534</v>
      </c>
      <c r="AE3850" s="39">
        <v>0.47351866797644621</v>
      </c>
      <c r="AF3850" s="40">
        <v>0.478146763452932</v>
      </c>
    </row>
    <row r="3851" spans="24:32">
      <c r="X3851" s="15">
        <v>3850</v>
      </c>
      <c r="Y3851" s="39">
        <v>0.48401689852713042</v>
      </c>
      <c r="Z3851" s="39">
        <v>0.49528208098566934</v>
      </c>
      <c r="AA3851" s="39">
        <v>0.47809447115939374</v>
      </c>
      <c r="AB3851" s="39">
        <v>0.4879053718210008</v>
      </c>
      <c r="AC3851" s="39">
        <v>0.47601068647113609</v>
      </c>
      <c r="AD3851" s="39">
        <v>0.49068687313229392</v>
      </c>
      <c r="AE3851" s="39">
        <v>0.47055213587185535</v>
      </c>
      <c r="AF3851" s="40">
        <v>0.48282840383946474</v>
      </c>
    </row>
    <row r="3852" spans="24:32">
      <c r="X3852" s="15">
        <v>3851</v>
      </c>
      <c r="Y3852" s="39">
        <v>0.49157682076965292</v>
      </c>
      <c r="Z3852" s="39">
        <v>0.46841486007277028</v>
      </c>
      <c r="AA3852" s="39">
        <v>0.4935306854469162</v>
      </c>
      <c r="AB3852" s="39">
        <v>0.48196321550754312</v>
      </c>
      <c r="AC3852" s="39">
        <v>0.48629824434917185</v>
      </c>
      <c r="AD3852" s="39">
        <v>0.4616446479011011</v>
      </c>
      <c r="AE3852" s="39">
        <v>0.48655642318853964</v>
      </c>
      <c r="AF3852" s="40">
        <v>0.4765142757137994</v>
      </c>
    </row>
    <row r="3853" spans="24:32">
      <c r="X3853" s="15">
        <v>3852</v>
      </c>
      <c r="Y3853" s="39">
        <v>0.48570667205776835</v>
      </c>
      <c r="Z3853" s="39">
        <v>0.46927353908917691</v>
      </c>
      <c r="AA3853" s="39">
        <v>0.4812896961530656</v>
      </c>
      <c r="AB3853" s="39">
        <v>0.49689289987051505</v>
      </c>
      <c r="AC3853" s="39">
        <v>0.47875577710695089</v>
      </c>
      <c r="AD3853" s="39">
        <v>0.46324848958453468</v>
      </c>
      <c r="AE3853" s="39">
        <v>0.47329377504481535</v>
      </c>
      <c r="AF3853" s="40">
        <v>0.49415425894967963</v>
      </c>
    </row>
    <row r="3854" spans="24:32">
      <c r="X3854" s="15">
        <v>3853</v>
      </c>
      <c r="Y3854" s="39">
        <v>0.48502588875280428</v>
      </c>
      <c r="Z3854" s="39">
        <v>0.48259113210373461</v>
      </c>
      <c r="AA3854" s="39">
        <v>0.47439522588929628</v>
      </c>
      <c r="AB3854" s="39">
        <v>0.48892092278619442</v>
      </c>
      <c r="AC3854" s="39">
        <v>0.47866790061203973</v>
      </c>
      <c r="AD3854" s="39">
        <v>0.47567519990422247</v>
      </c>
      <c r="AE3854" s="39">
        <v>0.46739746470090615</v>
      </c>
      <c r="AF3854" s="40">
        <v>0.48405793784297901</v>
      </c>
    </row>
    <row r="3855" spans="24:32">
      <c r="X3855" s="15">
        <v>3854</v>
      </c>
      <c r="Y3855" s="39">
        <v>0.48240775708486366</v>
      </c>
      <c r="Z3855" s="39">
        <v>0.48339339817942462</v>
      </c>
      <c r="AA3855" s="39">
        <v>0.48267068002276664</v>
      </c>
      <c r="AB3855" s="39">
        <v>0.48732480707225756</v>
      </c>
      <c r="AC3855" s="39">
        <v>0.47637714228722516</v>
      </c>
      <c r="AD3855" s="39">
        <v>0.47860915039588187</v>
      </c>
      <c r="AE3855" s="39">
        <v>0.47331209324792406</v>
      </c>
      <c r="AF3855" s="40">
        <v>0.48396119928874087</v>
      </c>
    </row>
    <row r="3856" spans="24:32">
      <c r="X3856" s="15">
        <v>3855</v>
      </c>
      <c r="Y3856" s="39">
        <v>0.47884349873305304</v>
      </c>
      <c r="Z3856" s="39">
        <v>0.48412200942840261</v>
      </c>
      <c r="AA3856" s="39">
        <v>0.48480439554273064</v>
      </c>
      <c r="AB3856" s="39">
        <v>0.50049085482626932</v>
      </c>
      <c r="AC3856" s="39">
        <v>0.47265704819310472</v>
      </c>
      <c r="AD3856" s="39">
        <v>0.47925891539705728</v>
      </c>
      <c r="AE3856" s="39">
        <v>0.47526225109795306</v>
      </c>
      <c r="AF3856" s="40">
        <v>0.49725143201602323</v>
      </c>
    </row>
    <row r="3857" spans="24:32">
      <c r="X3857" s="15">
        <v>3856</v>
      </c>
      <c r="Y3857" s="39">
        <v>0.48070762331173411</v>
      </c>
      <c r="Z3857" s="39">
        <v>0.47508058632016525</v>
      </c>
      <c r="AA3857" s="39">
        <v>0.4943993751324634</v>
      </c>
      <c r="AB3857" s="39">
        <v>0.49050752472260895</v>
      </c>
      <c r="AC3857" s="39">
        <v>0.47485956015912267</v>
      </c>
      <c r="AD3857" s="39">
        <v>0.4674437090226104</v>
      </c>
      <c r="AE3857" s="39">
        <v>0.48704778556096695</v>
      </c>
      <c r="AF3857" s="40">
        <v>0.48659950247933814</v>
      </c>
    </row>
    <row r="3858" spans="24:32">
      <c r="X3858" s="15">
        <v>3857</v>
      </c>
      <c r="Y3858" s="39">
        <v>0.49151976372720146</v>
      </c>
      <c r="Z3858" s="39">
        <v>0.49345972600512522</v>
      </c>
      <c r="AA3858" s="39">
        <v>0.49891738860872642</v>
      </c>
      <c r="AB3858" s="39">
        <v>0.48504923255462179</v>
      </c>
      <c r="AC3858" s="39">
        <v>0.4823962794531757</v>
      </c>
      <c r="AD3858" s="39">
        <v>0.4855162485269911</v>
      </c>
      <c r="AE3858" s="39">
        <v>0.49300927122341959</v>
      </c>
      <c r="AF3858" s="40">
        <v>0.48074467579180408</v>
      </c>
    </row>
    <row r="3859" spans="24:32">
      <c r="X3859" s="15">
        <v>3858</v>
      </c>
      <c r="Y3859" s="39">
        <v>0.4977388427467484</v>
      </c>
      <c r="Z3859" s="39">
        <v>0.48071308905344046</v>
      </c>
      <c r="AA3859" s="39">
        <v>0.50115622653523717</v>
      </c>
      <c r="AB3859" s="39">
        <v>0.4744875631094137</v>
      </c>
      <c r="AC3859" s="39">
        <v>0.49120494817543769</v>
      </c>
      <c r="AD3859" s="39">
        <v>0.47215279706297492</v>
      </c>
      <c r="AE3859" s="39">
        <v>0.49309297694153942</v>
      </c>
      <c r="AF3859" s="40">
        <v>0.46997375099068389</v>
      </c>
    </row>
    <row r="3860" spans="24:32">
      <c r="X3860" s="15">
        <v>3859</v>
      </c>
      <c r="Y3860" s="39">
        <v>0.50703994909925032</v>
      </c>
      <c r="Z3860" s="39">
        <v>0.47946037054593305</v>
      </c>
      <c r="AA3860" s="39">
        <v>0.49677100398871404</v>
      </c>
      <c r="AB3860" s="39">
        <v>0.48814015843994774</v>
      </c>
      <c r="AC3860" s="39">
        <v>0.49622182778757379</v>
      </c>
      <c r="AD3860" s="39">
        <v>0.47272436474714302</v>
      </c>
      <c r="AE3860" s="39">
        <v>0.48967315143922224</v>
      </c>
      <c r="AF3860" s="40">
        <v>0.48223191865104476</v>
      </c>
    </row>
    <row r="3861" spans="24:32">
      <c r="X3861" s="15">
        <v>3860</v>
      </c>
      <c r="Y3861" s="39">
        <v>0.47528317436558309</v>
      </c>
      <c r="Z3861" s="39">
        <v>0.49238980458474296</v>
      </c>
      <c r="AA3861" s="39">
        <v>0.47109811230242499</v>
      </c>
      <c r="AB3861" s="39">
        <v>0.48214529639198134</v>
      </c>
      <c r="AC3861" s="39">
        <v>0.47021108946953322</v>
      </c>
      <c r="AD3861" s="39">
        <v>0.48648286548009384</v>
      </c>
      <c r="AE3861" s="39">
        <v>0.46532251850393297</v>
      </c>
      <c r="AF3861" s="40">
        <v>0.47813843839103853</v>
      </c>
    </row>
    <row r="3862" spans="24:32">
      <c r="X3862" s="15">
        <v>3861</v>
      </c>
      <c r="Y3862" s="39">
        <v>0.48444411402423904</v>
      </c>
      <c r="Z3862" s="39">
        <v>0.47276711765273</v>
      </c>
      <c r="AA3862" s="39">
        <v>0.48496837637035045</v>
      </c>
      <c r="AB3862" s="39">
        <v>0.48124887941725014</v>
      </c>
      <c r="AC3862" s="39">
        <v>0.4787603007010528</v>
      </c>
      <c r="AD3862" s="39">
        <v>0.4664860196677344</v>
      </c>
      <c r="AE3862" s="39">
        <v>0.4767432651832233</v>
      </c>
      <c r="AF3862" s="40">
        <v>0.47703276377134474</v>
      </c>
    </row>
    <row r="3863" spans="24:32">
      <c r="X3863" s="15">
        <v>3862</v>
      </c>
      <c r="Y3863" s="39">
        <v>0.48204076569725202</v>
      </c>
      <c r="Z3863" s="39">
        <v>0.47447546874093599</v>
      </c>
      <c r="AA3863" s="39">
        <v>0.48792398025145689</v>
      </c>
      <c r="AB3863" s="39">
        <v>0.48625622399620444</v>
      </c>
      <c r="AC3863" s="39">
        <v>0.47672887018531407</v>
      </c>
      <c r="AD3863" s="39">
        <v>0.4681633600345731</v>
      </c>
      <c r="AE3863" s="39">
        <v>0.4828378676573557</v>
      </c>
      <c r="AF3863" s="40">
        <v>0.48419352019658651</v>
      </c>
    </row>
    <row r="3864" spans="24:32">
      <c r="X3864" s="15">
        <v>3863</v>
      </c>
      <c r="Y3864" s="39">
        <v>0.48564985973039149</v>
      </c>
      <c r="Z3864" s="39">
        <v>0.49016333913159271</v>
      </c>
      <c r="AA3864" s="39">
        <v>0.48762953337103548</v>
      </c>
      <c r="AB3864" s="39">
        <v>0.48035921752266175</v>
      </c>
      <c r="AC3864" s="39">
        <v>0.48131618049548563</v>
      </c>
      <c r="AD3864" s="39">
        <v>0.4850396734118676</v>
      </c>
      <c r="AE3864" s="39">
        <v>0.47727504806561116</v>
      </c>
      <c r="AF3864" s="40">
        <v>0.47763525542711444</v>
      </c>
    </row>
    <row r="3865" spans="24:32">
      <c r="X3865" s="15">
        <v>3864</v>
      </c>
      <c r="Y3865" s="39">
        <v>0.48799936799091981</v>
      </c>
      <c r="Z3865" s="39">
        <v>0.4843985790244299</v>
      </c>
      <c r="AA3865" s="39">
        <v>0.49107863571062549</v>
      </c>
      <c r="AB3865" s="39">
        <v>0.47318500934144464</v>
      </c>
      <c r="AC3865" s="39">
        <v>0.48135042028056663</v>
      </c>
      <c r="AD3865" s="39">
        <v>0.47510958958450128</v>
      </c>
      <c r="AE3865" s="39">
        <v>0.48616174162957809</v>
      </c>
      <c r="AF3865" s="40">
        <v>0.46956993574879374</v>
      </c>
    </row>
    <row r="3866" spans="24:32">
      <c r="X3866" s="15">
        <v>3865</v>
      </c>
      <c r="Y3866" s="39">
        <v>0.48117520469356156</v>
      </c>
      <c r="Z3866" s="39">
        <v>0.46966657469614143</v>
      </c>
      <c r="AA3866" s="39">
        <v>0.49253752521039135</v>
      </c>
      <c r="AB3866" s="39">
        <v>0.48452800168135068</v>
      </c>
      <c r="AC3866" s="39">
        <v>0.47509435074548095</v>
      </c>
      <c r="AD3866" s="39">
        <v>0.46402439118079042</v>
      </c>
      <c r="AE3866" s="39">
        <v>0.48361256354218068</v>
      </c>
      <c r="AF3866" s="40">
        <v>0.48193042404273723</v>
      </c>
    </row>
    <row r="3867" spans="24:32">
      <c r="X3867" s="15">
        <v>3866</v>
      </c>
      <c r="Y3867" s="39">
        <v>0.48299608307981445</v>
      </c>
      <c r="Z3867" s="39">
        <v>0.48337869658645072</v>
      </c>
      <c r="AA3867" s="39">
        <v>0.47741650817835257</v>
      </c>
      <c r="AB3867" s="39">
        <v>0.48528469628753784</v>
      </c>
      <c r="AC3867" s="39">
        <v>0.4753271783962072</v>
      </c>
      <c r="AD3867" s="39">
        <v>0.47573437515871303</v>
      </c>
      <c r="AE3867" s="39">
        <v>0.47089273003828097</v>
      </c>
      <c r="AF3867" s="40">
        <v>0.48032946034520813</v>
      </c>
    </row>
    <row r="3868" spans="24:32">
      <c r="X3868" s="15">
        <v>3867</v>
      </c>
      <c r="Y3868" s="39">
        <v>0.4917717283572865</v>
      </c>
      <c r="Z3868" s="39">
        <v>0.4824701936400434</v>
      </c>
      <c r="AA3868" s="39">
        <v>0.49304311145661867</v>
      </c>
      <c r="AB3868" s="39">
        <v>0.49187748805144565</v>
      </c>
      <c r="AC3868" s="39">
        <v>0.48533500510859684</v>
      </c>
      <c r="AD3868" s="39">
        <v>0.47356850631800324</v>
      </c>
      <c r="AE3868" s="39">
        <v>0.48638281584312182</v>
      </c>
      <c r="AF3868" s="40">
        <v>0.48741294100366073</v>
      </c>
    </row>
    <row r="3869" spans="24:32">
      <c r="X3869" s="15">
        <v>3868</v>
      </c>
      <c r="Y3869" s="39">
        <v>0.48806439563095239</v>
      </c>
      <c r="Z3869" s="39">
        <v>0.48301268567929762</v>
      </c>
      <c r="AA3869" s="39">
        <v>0.48394104186231079</v>
      </c>
      <c r="AB3869" s="39">
        <v>0.48463352010167238</v>
      </c>
      <c r="AC3869" s="39">
        <v>0.48054644136017666</v>
      </c>
      <c r="AD3869" s="39">
        <v>0.47815716835597871</v>
      </c>
      <c r="AE3869" s="39">
        <v>0.47596596845538941</v>
      </c>
      <c r="AF3869" s="40">
        <v>0.4772256737092484</v>
      </c>
    </row>
    <row r="3870" spans="24:32">
      <c r="X3870" s="15">
        <v>3869</v>
      </c>
      <c r="Y3870" s="39">
        <v>0.48408430672704722</v>
      </c>
      <c r="Z3870" s="39">
        <v>0.4881786072199602</v>
      </c>
      <c r="AA3870" s="39">
        <v>0.48651406731331215</v>
      </c>
      <c r="AB3870" s="39">
        <v>0.48220528441766031</v>
      </c>
      <c r="AC3870" s="39">
        <v>0.47650102662165322</v>
      </c>
      <c r="AD3870" s="39">
        <v>0.47902193695071354</v>
      </c>
      <c r="AE3870" s="39">
        <v>0.47656882581823284</v>
      </c>
      <c r="AF3870" s="40">
        <v>0.47650362683439029</v>
      </c>
    </row>
    <row r="3871" spans="24:32">
      <c r="X3871" s="15">
        <v>3870</v>
      </c>
      <c r="Y3871" s="39">
        <v>0.48562709805951826</v>
      </c>
      <c r="Z3871" s="39">
        <v>0.49686504139310472</v>
      </c>
      <c r="AA3871" s="39">
        <v>0.48701006373308703</v>
      </c>
      <c r="AB3871" s="39">
        <v>0.49606660372267564</v>
      </c>
      <c r="AC3871" s="39">
        <v>0.4790116427875325</v>
      </c>
      <c r="AD3871" s="39">
        <v>0.49125822390812512</v>
      </c>
      <c r="AE3871" s="39">
        <v>0.48058212351757479</v>
      </c>
      <c r="AF3871" s="40">
        <v>0.49545149515253317</v>
      </c>
    </row>
    <row r="3872" spans="24:32">
      <c r="X3872" s="15">
        <v>3871</v>
      </c>
      <c r="Y3872" s="39">
        <v>0.47561212018913962</v>
      </c>
      <c r="Z3872" s="39">
        <v>0.47506656679885362</v>
      </c>
      <c r="AA3872" s="39">
        <v>0.48684655781305675</v>
      </c>
      <c r="AB3872" s="39">
        <v>0.48880987753424443</v>
      </c>
      <c r="AC3872" s="39">
        <v>0.47034486337373843</v>
      </c>
      <c r="AD3872" s="39">
        <v>0.46749270093675305</v>
      </c>
      <c r="AE3872" s="39">
        <v>0.47649574596502597</v>
      </c>
      <c r="AF3872" s="40">
        <v>0.48465550476432101</v>
      </c>
    </row>
    <row r="3873" spans="24:32">
      <c r="X3873" s="15">
        <v>3872</v>
      </c>
      <c r="Y3873" s="39">
        <v>0.48931218155767586</v>
      </c>
      <c r="Z3873" s="39">
        <v>0.49457198765167437</v>
      </c>
      <c r="AA3873" s="39">
        <v>0.47256185656080379</v>
      </c>
      <c r="AB3873" s="39">
        <v>0.48156837522145113</v>
      </c>
      <c r="AC3873" s="39">
        <v>0.47952478889107414</v>
      </c>
      <c r="AD3873" s="39">
        <v>0.48955051357375801</v>
      </c>
      <c r="AE3873" s="39">
        <v>0.46658582791593589</v>
      </c>
      <c r="AF3873" s="40">
        <v>0.47856328376277585</v>
      </c>
    </row>
    <row r="3874" spans="24:32">
      <c r="X3874" s="15">
        <v>3873</v>
      </c>
      <c r="Y3874" s="39">
        <v>0.48601817588808838</v>
      </c>
      <c r="Z3874" s="39">
        <v>0.49055522625097836</v>
      </c>
      <c r="AA3874" s="39">
        <v>0.47947355117608176</v>
      </c>
      <c r="AB3874" s="39">
        <v>0.4935666319164278</v>
      </c>
      <c r="AC3874" s="39">
        <v>0.47777637179098348</v>
      </c>
      <c r="AD3874" s="39">
        <v>0.48346841709062804</v>
      </c>
      <c r="AE3874" s="39">
        <v>0.47450002239919475</v>
      </c>
      <c r="AF3874" s="40">
        <v>0.49041373911632918</v>
      </c>
    </row>
    <row r="3875" spans="24:32">
      <c r="X3875" s="15">
        <v>3874</v>
      </c>
      <c r="Y3875" s="39">
        <v>0.47512499442768713</v>
      </c>
      <c r="Z3875" s="39">
        <v>0.4830887284356824</v>
      </c>
      <c r="AA3875" s="39">
        <v>0.48590279095479616</v>
      </c>
      <c r="AB3875" s="39">
        <v>0.48637805230536135</v>
      </c>
      <c r="AC3875" s="39">
        <v>0.46890109653617529</v>
      </c>
      <c r="AD3875" s="39">
        <v>0.47645817192341772</v>
      </c>
      <c r="AE3875" s="39">
        <v>0.47867822634110446</v>
      </c>
      <c r="AF3875" s="40">
        <v>0.48489425630378596</v>
      </c>
    </row>
    <row r="3876" spans="24:32">
      <c r="X3876" s="15">
        <v>3875</v>
      </c>
      <c r="Y3876" s="39">
        <v>0.48645358094168317</v>
      </c>
      <c r="Z3876" s="39">
        <v>0.49543962586589557</v>
      </c>
      <c r="AA3876" s="39">
        <v>0.48382290597600103</v>
      </c>
      <c r="AB3876" s="39">
        <v>0.47544994826304654</v>
      </c>
      <c r="AC3876" s="39">
        <v>0.4789946048438169</v>
      </c>
      <c r="AD3876" s="39">
        <v>0.48817094928369209</v>
      </c>
      <c r="AE3876" s="39">
        <v>0.47482906390733404</v>
      </c>
      <c r="AF3876" s="40">
        <v>0.4720136697626951</v>
      </c>
    </row>
    <row r="3877" spans="24:32">
      <c r="X3877" s="15">
        <v>3876</v>
      </c>
      <c r="Y3877" s="39">
        <v>0.49154122028678365</v>
      </c>
      <c r="Z3877" s="39">
        <v>0.50215124007295164</v>
      </c>
      <c r="AA3877" s="39">
        <v>0.48698778288240346</v>
      </c>
      <c r="AB3877" s="39">
        <v>0.49138934142720114</v>
      </c>
      <c r="AC3877" s="39">
        <v>0.4840342581606103</v>
      </c>
      <c r="AD3877" s="39">
        <v>0.49400308578221214</v>
      </c>
      <c r="AE3877" s="39">
        <v>0.47963727399199579</v>
      </c>
      <c r="AF3877" s="40">
        <v>0.48782151336009588</v>
      </c>
    </row>
    <row r="3878" spans="24:32">
      <c r="X3878" s="15">
        <v>3877</v>
      </c>
      <c r="Y3878" s="39">
        <v>0.49819309523815453</v>
      </c>
      <c r="Z3878" s="39">
        <v>0.47931706083744496</v>
      </c>
      <c r="AA3878" s="39">
        <v>0.47581402697072811</v>
      </c>
      <c r="AB3878" s="39">
        <v>0.47741222232751834</v>
      </c>
      <c r="AC3878" s="39">
        <v>0.4897099517391848</v>
      </c>
      <c r="AD3878" s="39">
        <v>0.46898697741163708</v>
      </c>
      <c r="AE3878" s="39">
        <v>0.46940578164169811</v>
      </c>
      <c r="AF3878" s="40">
        <v>0.4722873760051548</v>
      </c>
    </row>
    <row r="3879" spans="24:32">
      <c r="X3879" s="15">
        <v>3878</v>
      </c>
      <c r="Y3879" s="39">
        <v>0.48133068189722999</v>
      </c>
      <c r="Z3879" s="39">
        <v>0.48415896602566194</v>
      </c>
      <c r="AA3879" s="39">
        <v>0.47470134724058072</v>
      </c>
      <c r="AB3879" s="39">
        <v>0.4989863719124018</v>
      </c>
      <c r="AC3879" s="39">
        <v>0.47461582699948135</v>
      </c>
      <c r="AD3879" s="39">
        <v>0.47629628059785506</v>
      </c>
      <c r="AE3879" s="39">
        <v>0.46859185812174725</v>
      </c>
      <c r="AF3879" s="40">
        <v>0.49465218142603157</v>
      </c>
    </row>
    <row r="3880" spans="24:32">
      <c r="X3880" s="15">
        <v>3879</v>
      </c>
      <c r="Y3880" s="39">
        <v>0.50310659350858411</v>
      </c>
      <c r="Z3880" s="39">
        <v>0.49637322595351491</v>
      </c>
      <c r="AA3880" s="39">
        <v>0.49847337832267186</v>
      </c>
      <c r="AB3880" s="39">
        <v>0.49505072149087231</v>
      </c>
      <c r="AC3880" s="39">
        <v>0.49203113405827492</v>
      </c>
      <c r="AD3880" s="39">
        <v>0.48709255156835635</v>
      </c>
      <c r="AE3880" s="39">
        <v>0.49096800108804234</v>
      </c>
      <c r="AF3880" s="40">
        <v>0.4900934614936921</v>
      </c>
    </row>
    <row r="3881" spans="24:32">
      <c r="X3881" s="15">
        <v>3880</v>
      </c>
      <c r="Y3881" s="39">
        <v>0.4866684149913309</v>
      </c>
      <c r="Z3881" s="39">
        <v>0.51215308695169304</v>
      </c>
      <c r="AA3881" s="39">
        <v>0.47883503466013011</v>
      </c>
      <c r="AB3881" s="39">
        <v>0.49065479951595575</v>
      </c>
      <c r="AC3881" s="39">
        <v>0.47864050896521565</v>
      </c>
      <c r="AD3881" s="39">
        <v>0.50422243774319708</v>
      </c>
      <c r="AE3881" s="39">
        <v>0.47160409858690039</v>
      </c>
      <c r="AF3881" s="40">
        <v>0.48844918114286001</v>
      </c>
    </row>
    <row r="3882" spans="24:32">
      <c r="X3882" s="15">
        <v>3881</v>
      </c>
      <c r="Y3882" s="39">
        <v>0.48218079058116614</v>
      </c>
      <c r="Z3882" s="39">
        <v>0.47876945350464289</v>
      </c>
      <c r="AA3882" s="39">
        <v>0.48571445529724333</v>
      </c>
      <c r="AB3882" s="39">
        <v>0.48382536918310154</v>
      </c>
      <c r="AC3882" s="39">
        <v>0.47720726848654127</v>
      </c>
      <c r="AD3882" s="39">
        <v>0.46952239418702235</v>
      </c>
      <c r="AE3882" s="39">
        <v>0.476662661046312</v>
      </c>
      <c r="AF3882" s="40">
        <v>0.4785774375808719</v>
      </c>
    </row>
    <row r="3883" spans="24:32">
      <c r="X3883" s="15">
        <v>3882</v>
      </c>
      <c r="Y3883" s="39">
        <v>0.48794364747997876</v>
      </c>
      <c r="Z3883" s="39">
        <v>0.48833230685726636</v>
      </c>
      <c r="AA3883" s="39">
        <v>0.4811382821075707</v>
      </c>
      <c r="AB3883" s="39">
        <v>0.48304140077316948</v>
      </c>
      <c r="AC3883" s="39">
        <v>0.48197868173487973</v>
      </c>
      <c r="AD3883" s="39">
        <v>0.48062149375915397</v>
      </c>
      <c r="AE3883" s="39">
        <v>0.47719667129515647</v>
      </c>
      <c r="AF3883" s="40">
        <v>0.47861663356727885</v>
      </c>
    </row>
    <row r="3884" spans="24:32">
      <c r="X3884" s="15">
        <v>3883</v>
      </c>
      <c r="Y3884" s="39">
        <v>0.49309987310953074</v>
      </c>
      <c r="Z3884" s="39">
        <v>0.48754902407667106</v>
      </c>
      <c r="AA3884" s="39">
        <v>0.47433628551446988</v>
      </c>
      <c r="AB3884" s="39">
        <v>0.47877583338721047</v>
      </c>
      <c r="AC3884" s="39">
        <v>0.4865044729666777</v>
      </c>
      <c r="AD3884" s="39">
        <v>0.48091718405379924</v>
      </c>
      <c r="AE3884" s="39">
        <v>0.46915684436520538</v>
      </c>
      <c r="AF3884" s="40">
        <v>0.47545679451581341</v>
      </c>
    </row>
    <row r="3885" spans="24:32">
      <c r="X3885" s="15">
        <v>3884</v>
      </c>
      <c r="Y3885" s="39">
        <v>0.49070762952555735</v>
      </c>
      <c r="Z3885" s="39">
        <v>0.48350587803810752</v>
      </c>
      <c r="AA3885" s="39">
        <v>0.49000084405594996</v>
      </c>
      <c r="AB3885" s="39">
        <v>0.48203673067552172</v>
      </c>
      <c r="AC3885" s="39">
        <v>0.48327111486075847</v>
      </c>
      <c r="AD3885" s="39">
        <v>0.47833032115920132</v>
      </c>
      <c r="AE3885" s="39">
        <v>0.4823600664756047</v>
      </c>
      <c r="AF3885" s="40">
        <v>0.47696475317064818</v>
      </c>
    </row>
    <row r="3886" spans="24:32">
      <c r="X3886" s="15">
        <v>3885</v>
      </c>
      <c r="Y3886" s="39">
        <v>0.49707765567126017</v>
      </c>
      <c r="Z3886" s="39">
        <v>0.48895045787913544</v>
      </c>
      <c r="AA3886" s="39">
        <v>0.48980922733985155</v>
      </c>
      <c r="AB3886" s="39">
        <v>0.48563019251612732</v>
      </c>
      <c r="AC3886" s="39">
        <v>0.48969449329152859</v>
      </c>
      <c r="AD3886" s="39">
        <v>0.48291560137743161</v>
      </c>
      <c r="AE3886" s="39">
        <v>0.48330185850102658</v>
      </c>
      <c r="AF3886" s="40">
        <v>0.4832669625882528</v>
      </c>
    </row>
    <row r="3887" spans="24:32">
      <c r="X3887" s="15">
        <v>3886</v>
      </c>
      <c r="Y3887" s="39">
        <v>0.49791303435705708</v>
      </c>
      <c r="Z3887" s="39">
        <v>0.49385837394583432</v>
      </c>
      <c r="AA3887" s="39">
        <v>0.4828092080401295</v>
      </c>
      <c r="AB3887" s="39">
        <v>0.49497260792918235</v>
      </c>
      <c r="AC3887" s="39">
        <v>0.49172200748945927</v>
      </c>
      <c r="AD3887" s="39">
        <v>0.48546610862514283</v>
      </c>
      <c r="AE3887" s="39">
        <v>0.47563136022305308</v>
      </c>
      <c r="AF3887" s="40">
        <v>0.49047145167988837</v>
      </c>
    </row>
    <row r="3888" spans="24:32">
      <c r="X3888" s="15">
        <v>3887</v>
      </c>
      <c r="Y3888" s="39">
        <v>0.49125335376314894</v>
      </c>
      <c r="Z3888" s="39">
        <v>0.48403075043842503</v>
      </c>
      <c r="AA3888" s="39">
        <v>0.47907685396771765</v>
      </c>
      <c r="AB3888" s="39">
        <v>0.49817956513018824</v>
      </c>
      <c r="AC3888" s="39">
        <v>0.48361140186107698</v>
      </c>
      <c r="AD3888" s="39">
        <v>0.47712243929081249</v>
      </c>
      <c r="AE3888" s="39">
        <v>0.47131629348640169</v>
      </c>
      <c r="AF3888" s="40">
        <v>0.49587939636676781</v>
      </c>
    </row>
    <row r="3889" spans="24:32">
      <c r="X3889" s="15">
        <v>3888</v>
      </c>
      <c r="Y3889" s="39">
        <v>0.47948541644300807</v>
      </c>
      <c r="Z3889" s="39">
        <v>0.47159415164431739</v>
      </c>
      <c r="AA3889" s="39">
        <v>0.4806738599894208</v>
      </c>
      <c r="AB3889" s="39">
        <v>0.49184741710008856</v>
      </c>
      <c r="AC3889" s="39">
        <v>0.47140163058357443</v>
      </c>
      <c r="AD3889" s="39">
        <v>0.46556446257227385</v>
      </c>
      <c r="AE3889" s="39">
        <v>0.4753157993018311</v>
      </c>
      <c r="AF3889" s="40">
        <v>0.48694909923661411</v>
      </c>
    </row>
    <row r="3890" spans="24:32">
      <c r="X3890" s="15">
        <v>3889</v>
      </c>
      <c r="Y3890" s="39">
        <v>0.47736501502913886</v>
      </c>
      <c r="Z3890" s="39">
        <v>0.47694662138926547</v>
      </c>
      <c r="AA3890" s="39">
        <v>0.47812847028350952</v>
      </c>
      <c r="AB3890" s="39">
        <v>0.49047776175209468</v>
      </c>
      <c r="AC3890" s="39">
        <v>0.46686980958356994</v>
      </c>
      <c r="AD3890" s="39">
        <v>0.47141309139077558</v>
      </c>
      <c r="AE3890" s="39">
        <v>0.47253192892373469</v>
      </c>
      <c r="AF3890" s="40">
        <v>0.48674479555902961</v>
      </c>
    </row>
    <row r="3891" spans="24:32">
      <c r="X3891" s="15">
        <v>3890</v>
      </c>
      <c r="Y3891" s="39">
        <v>0.49580129596635092</v>
      </c>
      <c r="Z3891" s="39">
        <v>0.48635092698006588</v>
      </c>
      <c r="AA3891" s="39">
        <v>0.4915749080140055</v>
      </c>
      <c r="AB3891" s="39">
        <v>0.47178757682871936</v>
      </c>
      <c r="AC3891" s="39">
        <v>0.48895875650116488</v>
      </c>
      <c r="AD3891" s="39">
        <v>0.47981690338207961</v>
      </c>
      <c r="AE3891" s="39">
        <v>0.48551326164858027</v>
      </c>
      <c r="AF3891" s="40">
        <v>0.46781481028906885</v>
      </c>
    </row>
    <row r="3892" spans="24:32">
      <c r="X3892" s="15">
        <v>3891</v>
      </c>
      <c r="Y3892" s="39">
        <v>0.49075839805771615</v>
      </c>
      <c r="Z3892" s="39">
        <v>0.49973405773028579</v>
      </c>
      <c r="AA3892" s="39">
        <v>0.48765769614497928</v>
      </c>
      <c r="AB3892" s="39">
        <v>0.48845802865393079</v>
      </c>
      <c r="AC3892" s="39">
        <v>0.48382168309951107</v>
      </c>
      <c r="AD3892" s="39">
        <v>0.49160065285866877</v>
      </c>
      <c r="AE3892" s="39">
        <v>0.47912012580453639</v>
      </c>
      <c r="AF3892" s="40">
        <v>0.48186093700111371</v>
      </c>
    </row>
    <row r="3893" spans="24:32">
      <c r="X3893" s="15">
        <v>3892</v>
      </c>
      <c r="Y3893" s="39">
        <v>0.49968171518991145</v>
      </c>
      <c r="Z3893" s="39">
        <v>0.50219785044672594</v>
      </c>
      <c r="AA3893" s="39">
        <v>0.47882737497274785</v>
      </c>
      <c r="AB3893" s="39">
        <v>0.48321532920879923</v>
      </c>
      <c r="AC3893" s="39">
        <v>0.49128025861769636</v>
      </c>
      <c r="AD3893" s="39">
        <v>0.49371842703675284</v>
      </c>
      <c r="AE3893" s="39">
        <v>0.47480340297426793</v>
      </c>
      <c r="AF3893" s="40">
        <v>0.47813216569154521</v>
      </c>
    </row>
    <row r="3894" spans="24:32">
      <c r="X3894" s="15">
        <v>3893</v>
      </c>
      <c r="Y3894" s="39">
        <v>0.48945994292001793</v>
      </c>
      <c r="Z3894" s="39">
        <v>0.49035462968716165</v>
      </c>
      <c r="AA3894" s="39">
        <v>0.48353326893252008</v>
      </c>
      <c r="AB3894" s="39">
        <v>0.47507951804608572</v>
      </c>
      <c r="AC3894" s="39">
        <v>0.48257115940850026</v>
      </c>
      <c r="AD3894" s="39">
        <v>0.48053879611481065</v>
      </c>
      <c r="AE3894" s="39">
        <v>0.47528426140014263</v>
      </c>
      <c r="AF3894" s="40">
        <v>0.4702221458262198</v>
      </c>
    </row>
    <row r="3895" spans="24:32">
      <c r="X3895" s="15">
        <v>3894</v>
      </c>
      <c r="Y3895" s="39">
        <v>0.494181784475973</v>
      </c>
      <c r="Z3895" s="39">
        <v>0.46787313828515342</v>
      </c>
      <c r="AA3895" s="39">
        <v>0.49474454911313415</v>
      </c>
      <c r="AB3895" s="39">
        <v>0.48655971472446424</v>
      </c>
      <c r="AC3895" s="39">
        <v>0.48750422350998668</v>
      </c>
      <c r="AD3895" s="39">
        <v>0.46018128530950969</v>
      </c>
      <c r="AE3895" s="39">
        <v>0.49003958981633</v>
      </c>
      <c r="AF3895" s="40">
        <v>0.48145954561487431</v>
      </c>
    </row>
    <row r="3896" spans="24:32">
      <c r="X3896" s="15">
        <v>3895</v>
      </c>
      <c r="Y3896" s="39">
        <v>0.49381037399072159</v>
      </c>
      <c r="Z3896" s="39">
        <v>0.4937373276220845</v>
      </c>
      <c r="AA3896" s="39">
        <v>0.48122829307435044</v>
      </c>
      <c r="AB3896" s="39">
        <v>0.50040812726043915</v>
      </c>
      <c r="AC3896" s="39">
        <v>0.48721906714938112</v>
      </c>
      <c r="AD3896" s="39">
        <v>0.48647257899094343</v>
      </c>
      <c r="AE3896" s="39">
        <v>0.47129523980762689</v>
      </c>
      <c r="AF3896" s="40">
        <v>0.49982733066389479</v>
      </c>
    </row>
    <row r="3897" spans="24:32">
      <c r="X3897" s="15">
        <v>3896</v>
      </c>
      <c r="Y3897" s="39">
        <v>0.48710317683756793</v>
      </c>
      <c r="Z3897" s="39">
        <v>0.46688836305441217</v>
      </c>
      <c r="AA3897" s="39">
        <v>0.4854485899249017</v>
      </c>
      <c r="AB3897" s="39">
        <v>0.49053559817802139</v>
      </c>
      <c r="AC3897" s="39">
        <v>0.47928312563024261</v>
      </c>
      <c r="AD3897" s="39">
        <v>0.46352445517966234</v>
      </c>
      <c r="AE3897" s="39">
        <v>0.47678305185442099</v>
      </c>
      <c r="AF3897" s="40">
        <v>0.48566241502247881</v>
      </c>
    </row>
    <row r="3898" spans="24:32">
      <c r="X3898" s="15">
        <v>3897</v>
      </c>
      <c r="Y3898" s="39">
        <v>0.485309699683732</v>
      </c>
      <c r="Z3898" s="39">
        <v>0.48925226337240668</v>
      </c>
      <c r="AA3898" s="39">
        <v>0.49296121014065136</v>
      </c>
      <c r="AB3898" s="39">
        <v>0.48609384713640047</v>
      </c>
      <c r="AC3898" s="39">
        <v>0.47692901970056012</v>
      </c>
      <c r="AD3898" s="39">
        <v>0.48406053832093976</v>
      </c>
      <c r="AE3898" s="39">
        <v>0.48540231969146719</v>
      </c>
      <c r="AF3898" s="40">
        <v>0.48046284820474405</v>
      </c>
    </row>
    <row r="3899" spans="24:32">
      <c r="X3899" s="15">
        <v>3898</v>
      </c>
      <c r="Y3899" s="39">
        <v>0.48219882718907953</v>
      </c>
      <c r="Z3899" s="39">
        <v>0.48061241483060546</v>
      </c>
      <c r="AA3899" s="39">
        <v>0.4830053794840185</v>
      </c>
      <c r="AB3899" s="39">
        <v>0.49307846533944971</v>
      </c>
      <c r="AC3899" s="39">
        <v>0.47559550851256754</v>
      </c>
      <c r="AD3899" s="39">
        <v>0.473491854135283</v>
      </c>
      <c r="AE3899" s="39">
        <v>0.47780388932079859</v>
      </c>
      <c r="AF3899" s="40">
        <v>0.48592477340982476</v>
      </c>
    </row>
    <row r="3900" spans="24:32">
      <c r="X3900" s="15">
        <v>3899</v>
      </c>
      <c r="Y3900" s="39">
        <v>0.4911888458692647</v>
      </c>
      <c r="Z3900" s="39">
        <v>0.48788057399484319</v>
      </c>
      <c r="AA3900" s="39">
        <v>0.48789160538128823</v>
      </c>
      <c r="AB3900" s="39">
        <v>0.49322428939820695</v>
      </c>
      <c r="AC3900" s="39">
        <v>0.48381331096849961</v>
      </c>
      <c r="AD3900" s="39">
        <v>0.4839389953378449</v>
      </c>
      <c r="AE3900" s="39">
        <v>0.48135836756972</v>
      </c>
      <c r="AF3900" s="40">
        <v>0.48937542365752545</v>
      </c>
    </row>
    <row r="3901" spans="24:32">
      <c r="X3901" s="15">
        <v>3900</v>
      </c>
      <c r="Y3901" s="39">
        <v>0.4895098716200178</v>
      </c>
      <c r="Z3901" s="39">
        <v>0.46881516942453155</v>
      </c>
      <c r="AA3901" s="39">
        <v>0.49145880186980223</v>
      </c>
      <c r="AB3901" s="39">
        <v>0.48801521885925087</v>
      </c>
      <c r="AC3901" s="39">
        <v>0.48114583462351768</v>
      </c>
      <c r="AD3901" s="39">
        <v>0.4624766280397401</v>
      </c>
      <c r="AE3901" s="39">
        <v>0.48457179804040135</v>
      </c>
      <c r="AF3901" s="40">
        <v>0.48213101386565066</v>
      </c>
    </row>
    <row r="3902" spans="24:32">
      <c r="X3902" s="15">
        <v>3901</v>
      </c>
      <c r="Y3902" s="39">
        <v>0.48194949046386215</v>
      </c>
      <c r="Z3902" s="39">
        <v>0.47998621241964839</v>
      </c>
      <c r="AA3902" s="39">
        <v>0.4830265596797414</v>
      </c>
      <c r="AB3902" s="39">
        <v>0.49304113261749555</v>
      </c>
      <c r="AC3902" s="39">
        <v>0.47458805296805257</v>
      </c>
      <c r="AD3902" s="39">
        <v>0.47605952891808478</v>
      </c>
      <c r="AE3902" s="39">
        <v>0.47530335521219857</v>
      </c>
      <c r="AF3902" s="40">
        <v>0.48687555102374669</v>
      </c>
    </row>
    <row r="3903" spans="24:32">
      <c r="X3903" s="15">
        <v>3902</v>
      </c>
      <c r="Y3903" s="39">
        <v>0.47615286678107549</v>
      </c>
      <c r="Z3903" s="39">
        <v>0.49691130947572421</v>
      </c>
      <c r="AA3903" s="39">
        <v>0.48898351506049348</v>
      </c>
      <c r="AB3903" s="39">
        <v>0.47729791354453488</v>
      </c>
      <c r="AC3903" s="39">
        <v>0.46933674906981465</v>
      </c>
      <c r="AD3903" s="39">
        <v>0.49013940150131852</v>
      </c>
      <c r="AE3903" s="39">
        <v>0.48246459389849367</v>
      </c>
      <c r="AF3903" s="40">
        <v>0.47205009390664021</v>
      </c>
    </row>
    <row r="3904" spans="24:32">
      <c r="X3904" s="15">
        <v>3903</v>
      </c>
      <c r="Y3904" s="39">
        <v>0.48797292766708278</v>
      </c>
      <c r="Z3904" s="39">
        <v>0.49699833766394325</v>
      </c>
      <c r="AA3904" s="39">
        <v>0.48315307043172306</v>
      </c>
      <c r="AB3904" s="39">
        <v>0.48701094121281963</v>
      </c>
      <c r="AC3904" s="39">
        <v>0.48377004707761162</v>
      </c>
      <c r="AD3904" s="39">
        <v>0.48741750860938954</v>
      </c>
      <c r="AE3904" s="39">
        <v>0.47510766867813342</v>
      </c>
      <c r="AF3904" s="40">
        <v>0.48215851552498179</v>
      </c>
    </row>
    <row r="3905" spans="24:32">
      <c r="X3905" s="15">
        <v>3904</v>
      </c>
      <c r="Y3905" s="39">
        <v>0.47759937745023012</v>
      </c>
      <c r="Z3905" s="39">
        <v>0.47993797634549984</v>
      </c>
      <c r="AA3905" s="39">
        <v>0.48929335882312908</v>
      </c>
      <c r="AB3905" s="39">
        <v>0.49016100578816896</v>
      </c>
      <c r="AC3905" s="39">
        <v>0.47146345109294985</v>
      </c>
      <c r="AD3905" s="39">
        <v>0.47271027529588033</v>
      </c>
      <c r="AE3905" s="39">
        <v>0.47914409906945904</v>
      </c>
      <c r="AF3905" s="40">
        <v>0.48643173213183394</v>
      </c>
    </row>
    <row r="3906" spans="24:32">
      <c r="X3906" s="15">
        <v>3905</v>
      </c>
      <c r="Y3906" s="39">
        <v>0.48815584702561865</v>
      </c>
      <c r="Z3906" s="39">
        <v>0.47333868605120766</v>
      </c>
      <c r="AA3906" s="39">
        <v>0.48729569378505883</v>
      </c>
      <c r="AB3906" s="39">
        <v>0.49524975420567752</v>
      </c>
      <c r="AC3906" s="39">
        <v>0.48330251505920013</v>
      </c>
      <c r="AD3906" s="39">
        <v>0.46461794099211029</v>
      </c>
      <c r="AE3906" s="39">
        <v>0.48443356639921875</v>
      </c>
      <c r="AF3906" s="40">
        <v>0.49137843139042858</v>
      </c>
    </row>
    <row r="3907" spans="24:32">
      <c r="X3907" s="15">
        <v>3906</v>
      </c>
      <c r="Y3907" s="39">
        <v>0.48663542939999388</v>
      </c>
      <c r="Z3907" s="39">
        <v>0.5024098881847463</v>
      </c>
      <c r="AA3907" s="39">
        <v>0.49826308260561747</v>
      </c>
      <c r="AB3907" s="39">
        <v>0.49026585689007224</v>
      </c>
      <c r="AC3907" s="39">
        <v>0.48203266435372816</v>
      </c>
      <c r="AD3907" s="39">
        <v>0.4920607458500737</v>
      </c>
      <c r="AE3907" s="39">
        <v>0.48777921116731071</v>
      </c>
      <c r="AF3907" s="40">
        <v>0.48479438957135002</v>
      </c>
    </row>
    <row r="3908" spans="24:32">
      <c r="X3908" s="15">
        <v>3907</v>
      </c>
      <c r="Y3908" s="39">
        <v>0.47461422303009393</v>
      </c>
      <c r="Z3908" s="39">
        <v>0.49868482825418031</v>
      </c>
      <c r="AA3908" s="39">
        <v>0.48740502024840926</v>
      </c>
      <c r="AB3908" s="39">
        <v>0.46562578826966272</v>
      </c>
      <c r="AC3908" s="39">
        <v>0.47025473157679376</v>
      </c>
      <c r="AD3908" s="39">
        <v>0.49214596640703662</v>
      </c>
      <c r="AE3908" s="39">
        <v>0.4837780997414613</v>
      </c>
      <c r="AF3908" s="40">
        <v>0.46166396333037657</v>
      </c>
    </row>
    <row r="3909" spans="24:32">
      <c r="X3909" s="15">
        <v>3908</v>
      </c>
      <c r="Y3909" s="39">
        <v>0.48368671196677315</v>
      </c>
      <c r="Z3909" s="39">
        <v>0.49655783906957068</v>
      </c>
      <c r="AA3909" s="39">
        <v>0.50381975789711986</v>
      </c>
      <c r="AB3909" s="39">
        <v>0.47585274146119416</v>
      </c>
      <c r="AC3909" s="39">
        <v>0.47699267383598459</v>
      </c>
      <c r="AD3909" s="39">
        <v>0.49036475180989503</v>
      </c>
      <c r="AE3909" s="39">
        <v>0.49315343440222531</v>
      </c>
      <c r="AF3909" s="40">
        <v>0.47522175948943707</v>
      </c>
    </row>
    <row r="3910" spans="24:32">
      <c r="X3910" s="15">
        <v>3909</v>
      </c>
      <c r="Y3910" s="39">
        <v>0.48429514597418927</v>
      </c>
      <c r="Z3910" s="39">
        <v>0.48387383387991312</v>
      </c>
      <c r="AA3910" s="39">
        <v>0.46841358226763297</v>
      </c>
      <c r="AB3910" s="39">
        <v>0.4897719052841748</v>
      </c>
      <c r="AC3910" s="39">
        <v>0.47569008874503682</v>
      </c>
      <c r="AD3910" s="39">
        <v>0.47375433471966033</v>
      </c>
      <c r="AE3910" s="39">
        <v>0.46105288883252887</v>
      </c>
      <c r="AF3910" s="40">
        <v>0.48370493915529172</v>
      </c>
    </row>
    <row r="3911" spans="24:32">
      <c r="X3911" s="15">
        <v>3910</v>
      </c>
      <c r="Y3911" s="39">
        <v>0.48246773147420807</v>
      </c>
      <c r="Z3911" s="39">
        <v>0.47400567211872557</v>
      </c>
      <c r="AA3911" s="39">
        <v>0.49282595523172318</v>
      </c>
      <c r="AB3911" s="39">
        <v>0.49907032531192613</v>
      </c>
      <c r="AC3911" s="39">
        <v>0.47425506531280792</v>
      </c>
      <c r="AD3911" s="39">
        <v>0.46745398983125508</v>
      </c>
      <c r="AE3911" s="39">
        <v>0.48743930120570628</v>
      </c>
      <c r="AF3911" s="40">
        <v>0.49569482543752202</v>
      </c>
    </row>
    <row r="3912" spans="24:32">
      <c r="X3912" s="15">
        <v>3911</v>
      </c>
      <c r="Y3912" s="39">
        <v>0.48418844246663068</v>
      </c>
      <c r="Z3912" s="39">
        <v>0.49826336271516103</v>
      </c>
      <c r="AA3912" s="39">
        <v>0.48956787223160714</v>
      </c>
      <c r="AB3912" s="39">
        <v>0.49269374476325306</v>
      </c>
      <c r="AC3912" s="39">
        <v>0.47693901993829468</v>
      </c>
      <c r="AD3912" s="39">
        <v>0.49201047673408838</v>
      </c>
      <c r="AE3912" s="39">
        <v>0.48220921331238631</v>
      </c>
      <c r="AF3912" s="40">
        <v>0.48857791334752743</v>
      </c>
    </row>
    <row r="3913" spans="24:32">
      <c r="X3913" s="15">
        <v>3912</v>
      </c>
      <c r="Y3913" s="39">
        <v>0.49835352212873502</v>
      </c>
      <c r="Z3913" s="39">
        <v>0.49428838330589159</v>
      </c>
      <c r="AA3913" s="39">
        <v>0.48493362374468896</v>
      </c>
      <c r="AB3913" s="39">
        <v>0.49260849673057339</v>
      </c>
      <c r="AC3913" s="39">
        <v>0.48963258752673655</v>
      </c>
      <c r="AD3913" s="39">
        <v>0.48730729597215278</v>
      </c>
      <c r="AE3913" s="39">
        <v>0.47773402636297502</v>
      </c>
      <c r="AF3913" s="40">
        <v>0.48500079049156497</v>
      </c>
    </row>
    <row r="3914" spans="24:32">
      <c r="X3914" s="15">
        <v>3913</v>
      </c>
      <c r="Y3914" s="39">
        <v>0.49881407669489003</v>
      </c>
      <c r="Z3914" s="39">
        <v>0.48698524511412178</v>
      </c>
      <c r="AA3914" s="39">
        <v>0.49591006960046286</v>
      </c>
      <c r="AB3914" s="39">
        <v>0.48588063929894704</v>
      </c>
      <c r="AC3914" s="39">
        <v>0.4912143770096557</v>
      </c>
      <c r="AD3914" s="39">
        <v>0.48185660086939486</v>
      </c>
      <c r="AE3914" s="39">
        <v>0.48732485399146319</v>
      </c>
      <c r="AF3914" s="40">
        <v>0.48365553296913716</v>
      </c>
    </row>
    <row r="3915" spans="24:32">
      <c r="X3915" s="15">
        <v>3914</v>
      </c>
      <c r="Y3915" s="39">
        <v>0.47951895815255674</v>
      </c>
      <c r="Z3915" s="39">
        <v>0.4972927875064076</v>
      </c>
      <c r="AA3915" s="39">
        <v>0.47871929661778062</v>
      </c>
      <c r="AB3915" s="39">
        <v>0.50179802688476738</v>
      </c>
      <c r="AC3915" s="39">
        <v>0.47339619970628533</v>
      </c>
      <c r="AD3915" s="39">
        <v>0.48859613593324469</v>
      </c>
      <c r="AE3915" s="39">
        <v>0.47299747720691898</v>
      </c>
      <c r="AF3915" s="40">
        <v>0.49908611588702589</v>
      </c>
    </row>
    <row r="3916" spans="24:32">
      <c r="X3916" s="15">
        <v>3915</v>
      </c>
      <c r="Y3916" s="39">
        <v>0.49041123660334263</v>
      </c>
      <c r="Z3916" s="39">
        <v>0.48326700617081608</v>
      </c>
      <c r="AA3916" s="39">
        <v>0.48758290416331096</v>
      </c>
      <c r="AB3916" s="39">
        <v>0.4935109298305167</v>
      </c>
      <c r="AC3916" s="39">
        <v>0.48502060877089598</v>
      </c>
      <c r="AD3916" s="39">
        <v>0.4784921875814509</v>
      </c>
      <c r="AE3916" s="39">
        <v>0.48083986530025424</v>
      </c>
      <c r="AF3916" s="40">
        <v>0.48966425083049808</v>
      </c>
    </row>
    <row r="3917" spans="24:32">
      <c r="X3917" s="15">
        <v>3916</v>
      </c>
      <c r="Y3917" s="39">
        <v>0.48558821965901716</v>
      </c>
      <c r="Z3917" s="39">
        <v>0.46925678525329179</v>
      </c>
      <c r="AA3917" s="39">
        <v>0.48554882450083142</v>
      </c>
      <c r="AB3917" s="39">
        <v>0.49495217596604402</v>
      </c>
      <c r="AC3917" s="39">
        <v>0.47618331290075117</v>
      </c>
      <c r="AD3917" s="39">
        <v>0.46108817665156737</v>
      </c>
      <c r="AE3917" s="39">
        <v>0.47680582924507547</v>
      </c>
      <c r="AF3917" s="40">
        <v>0.49086439141873445</v>
      </c>
    </row>
    <row r="3918" spans="24:32">
      <c r="X3918" s="15">
        <v>3917</v>
      </c>
      <c r="Y3918" s="39">
        <v>0.4834019976944019</v>
      </c>
      <c r="Z3918" s="39">
        <v>0.47608411914298127</v>
      </c>
      <c r="AA3918" s="39">
        <v>0.47582778319515606</v>
      </c>
      <c r="AB3918" s="39">
        <v>0.4846663523874884</v>
      </c>
      <c r="AC3918" s="39">
        <v>0.47593062858926827</v>
      </c>
      <c r="AD3918" s="39">
        <v>0.46874715012148943</v>
      </c>
      <c r="AE3918" s="39">
        <v>0.46697090803732333</v>
      </c>
      <c r="AF3918" s="40">
        <v>0.47955369579170076</v>
      </c>
    </row>
    <row r="3919" spans="24:32">
      <c r="X3919" s="15">
        <v>3918</v>
      </c>
      <c r="Y3919" s="39">
        <v>0.4847919864904256</v>
      </c>
      <c r="Z3919" s="39">
        <v>0.48389377912156717</v>
      </c>
      <c r="AA3919" s="39">
        <v>0.49893868107150424</v>
      </c>
      <c r="AB3919" s="39">
        <v>0.47474817950026421</v>
      </c>
      <c r="AC3919" s="39">
        <v>0.47937897923775524</v>
      </c>
      <c r="AD3919" s="39">
        <v>0.47884698042771534</v>
      </c>
      <c r="AE3919" s="39">
        <v>0.49344432402663263</v>
      </c>
      <c r="AF3919" s="40">
        <v>0.4690538414833399</v>
      </c>
    </row>
    <row r="3920" spans="24:32">
      <c r="X3920" s="15">
        <v>3919</v>
      </c>
      <c r="Y3920" s="39">
        <v>0.48929331612633958</v>
      </c>
      <c r="Z3920" s="39">
        <v>0.47925146120499934</v>
      </c>
      <c r="AA3920" s="39">
        <v>0.50095230210259989</v>
      </c>
      <c r="AB3920" s="39">
        <v>0.49181195264077049</v>
      </c>
      <c r="AC3920" s="39">
        <v>0.48160151034414705</v>
      </c>
      <c r="AD3920" s="39">
        <v>0.47286547230883591</v>
      </c>
      <c r="AE3920" s="39">
        <v>0.49315713605561901</v>
      </c>
      <c r="AF3920" s="40">
        <v>0.48711194507180011</v>
      </c>
    </row>
    <row r="3921" spans="24:32">
      <c r="X3921" s="15">
        <v>3920</v>
      </c>
      <c r="Y3921" s="39">
        <v>0.49129429319937667</v>
      </c>
      <c r="Z3921" s="39">
        <v>0.48718135495315529</v>
      </c>
      <c r="AA3921" s="39">
        <v>0.48245180173144486</v>
      </c>
      <c r="AB3921" s="39">
        <v>0.48286503352908561</v>
      </c>
      <c r="AC3921" s="39">
        <v>0.48360893089901169</v>
      </c>
      <c r="AD3921" s="39">
        <v>0.48148087339004558</v>
      </c>
      <c r="AE3921" s="39">
        <v>0.47467525995753368</v>
      </c>
      <c r="AF3921" s="40">
        <v>0.47851849032334209</v>
      </c>
    </row>
    <row r="3922" spans="24:32">
      <c r="X3922" s="15">
        <v>3921</v>
      </c>
      <c r="Y3922" s="39">
        <v>0.49446117940412737</v>
      </c>
      <c r="Z3922" s="39">
        <v>0.49023925926889722</v>
      </c>
      <c r="AA3922" s="39">
        <v>0.48563746642653494</v>
      </c>
      <c r="AB3922" s="39">
        <v>0.49138826203179614</v>
      </c>
      <c r="AC3922" s="39">
        <v>0.49091690256735826</v>
      </c>
      <c r="AD3922" s="39">
        <v>0.48163797436650185</v>
      </c>
      <c r="AE3922" s="39">
        <v>0.47725620447514716</v>
      </c>
      <c r="AF3922" s="40">
        <v>0.48596912591568431</v>
      </c>
    </row>
    <row r="3923" spans="24:32">
      <c r="X3923" s="15">
        <v>3922</v>
      </c>
      <c r="Y3923" s="39">
        <v>0.48245386861430989</v>
      </c>
      <c r="Z3923" s="39">
        <v>0.4959492285481899</v>
      </c>
      <c r="AA3923" s="39">
        <v>0.49093848094073483</v>
      </c>
      <c r="AB3923" s="39">
        <v>0.48114548312804395</v>
      </c>
      <c r="AC3923" s="39">
        <v>0.4759096013232787</v>
      </c>
      <c r="AD3923" s="39">
        <v>0.49058560306081261</v>
      </c>
      <c r="AE3923" s="39">
        <v>0.48419443537009105</v>
      </c>
      <c r="AF3923" s="40">
        <v>0.47643457204450707</v>
      </c>
    </row>
    <row r="3924" spans="24:32">
      <c r="X3924" s="15">
        <v>3923</v>
      </c>
      <c r="Y3924" s="39">
        <v>0.4870337610227225</v>
      </c>
      <c r="Z3924" s="39">
        <v>0.49026721151863745</v>
      </c>
      <c r="AA3924" s="39">
        <v>0.49871785051489281</v>
      </c>
      <c r="AB3924" s="39">
        <v>0.49492294845687629</v>
      </c>
      <c r="AC3924" s="39">
        <v>0.47950615648961892</v>
      </c>
      <c r="AD3924" s="39">
        <v>0.48257099705893058</v>
      </c>
      <c r="AE3924" s="39">
        <v>0.48897852768038946</v>
      </c>
      <c r="AF3924" s="40">
        <v>0.490100920803827</v>
      </c>
    </row>
    <row r="3925" spans="24:32">
      <c r="X3925" s="15">
        <v>3924</v>
      </c>
      <c r="Y3925" s="39">
        <v>0.48033384034264814</v>
      </c>
      <c r="Z3925" s="39">
        <v>0.49350925190408207</v>
      </c>
      <c r="AA3925" s="39">
        <v>0.48308156897891535</v>
      </c>
      <c r="AB3925" s="39">
        <v>0.49367674609796236</v>
      </c>
      <c r="AC3925" s="39">
        <v>0.47263972049853925</v>
      </c>
      <c r="AD3925" s="39">
        <v>0.48887507185640028</v>
      </c>
      <c r="AE3925" s="39">
        <v>0.47466356207558719</v>
      </c>
      <c r="AF3925" s="40">
        <v>0.48674879967572948</v>
      </c>
    </row>
    <row r="3926" spans="24:32">
      <c r="X3926" s="15">
        <v>3925</v>
      </c>
      <c r="Y3926" s="39">
        <v>0.49541447625426444</v>
      </c>
      <c r="Z3926" s="39">
        <v>0.48423302719356021</v>
      </c>
      <c r="AA3926" s="39">
        <v>0.46709018439066591</v>
      </c>
      <c r="AB3926" s="39">
        <v>0.47540883984638421</v>
      </c>
      <c r="AC3926" s="39">
        <v>0.48862211727499155</v>
      </c>
      <c r="AD3926" s="39">
        <v>0.47842199859053819</v>
      </c>
      <c r="AE3926" s="39">
        <v>0.46156389106836576</v>
      </c>
      <c r="AF3926" s="40">
        <v>0.47073396254716926</v>
      </c>
    </row>
    <row r="3927" spans="24:32">
      <c r="X3927" s="15">
        <v>3926</v>
      </c>
      <c r="Y3927" s="39">
        <v>0.47826677766497544</v>
      </c>
      <c r="Z3927" s="39">
        <v>0.48610676420916454</v>
      </c>
      <c r="AA3927" s="39">
        <v>0.49021854807904763</v>
      </c>
      <c r="AB3927" s="39">
        <v>0.48573969909294884</v>
      </c>
      <c r="AC3927" s="39">
        <v>0.46995246856380124</v>
      </c>
      <c r="AD3927" s="39">
        <v>0.47863625458722836</v>
      </c>
      <c r="AE3927" s="39">
        <v>0.48447032515031374</v>
      </c>
      <c r="AF3927" s="40">
        <v>0.48128052282486078</v>
      </c>
    </row>
    <row r="3928" spans="24:32">
      <c r="X3928" s="15">
        <v>3927</v>
      </c>
      <c r="Y3928" s="39">
        <v>0.48871350870605201</v>
      </c>
      <c r="Z3928" s="39">
        <v>0.48288359661278585</v>
      </c>
      <c r="AA3928" s="39">
        <v>0.48879108399097737</v>
      </c>
      <c r="AB3928" s="39">
        <v>0.49740326108268751</v>
      </c>
      <c r="AC3928" s="39">
        <v>0.48177214718615879</v>
      </c>
      <c r="AD3928" s="39">
        <v>0.47648560698008385</v>
      </c>
      <c r="AE3928" s="39">
        <v>0.48032710685622942</v>
      </c>
      <c r="AF3928" s="40">
        <v>0.49572334337191409</v>
      </c>
    </row>
    <row r="3929" spans="24:32">
      <c r="X3929" s="15">
        <v>3928</v>
      </c>
      <c r="Y3929" s="39">
        <v>0.49163271632546329</v>
      </c>
      <c r="Z3929" s="39">
        <v>0.48391249695013511</v>
      </c>
      <c r="AA3929" s="39">
        <v>0.48560836550648545</v>
      </c>
      <c r="AB3929" s="39">
        <v>0.48613317439542636</v>
      </c>
      <c r="AC3929" s="39">
        <v>0.48421063960600891</v>
      </c>
      <c r="AD3929" s="39">
        <v>0.47513915180930621</v>
      </c>
      <c r="AE3929" s="39">
        <v>0.47782786921304432</v>
      </c>
      <c r="AF3929" s="40">
        <v>0.48066409097423329</v>
      </c>
    </row>
    <row r="3930" spans="24:32">
      <c r="X3930" s="15">
        <v>3929</v>
      </c>
      <c r="Y3930" s="39">
        <v>0.48940810903098492</v>
      </c>
      <c r="Z3930" s="39">
        <v>0.47588048309138609</v>
      </c>
      <c r="AA3930" s="39">
        <v>0.484197183458554</v>
      </c>
      <c r="AB3930" s="39">
        <v>0.4888498733379279</v>
      </c>
      <c r="AC3930" s="39">
        <v>0.48266821373143892</v>
      </c>
      <c r="AD3930" s="39">
        <v>0.46805605492945973</v>
      </c>
      <c r="AE3930" s="39">
        <v>0.47637251327246227</v>
      </c>
      <c r="AF3930" s="40">
        <v>0.48609389685588794</v>
      </c>
    </row>
    <row r="3931" spans="24:32">
      <c r="X3931" s="15">
        <v>3930</v>
      </c>
      <c r="Y3931" s="39">
        <v>0.47739793143047848</v>
      </c>
      <c r="Z3931" s="39">
        <v>0.4708038240921511</v>
      </c>
      <c r="AA3931" s="39">
        <v>0.47238509548356328</v>
      </c>
      <c r="AB3931" s="39">
        <v>0.48504749715966983</v>
      </c>
      <c r="AC3931" s="39">
        <v>0.47289738538093518</v>
      </c>
      <c r="AD3931" s="39">
        <v>0.46341733714682354</v>
      </c>
      <c r="AE3931" s="39">
        <v>0.46721127791454914</v>
      </c>
      <c r="AF3931" s="40">
        <v>0.48162820320973371</v>
      </c>
    </row>
    <row r="3932" spans="24:32">
      <c r="X3932" s="15">
        <v>3931</v>
      </c>
      <c r="Y3932" s="39">
        <v>0.48594697126864339</v>
      </c>
      <c r="Z3932" s="39">
        <v>0.46810726173784317</v>
      </c>
      <c r="AA3932" s="39">
        <v>0.48784342350677179</v>
      </c>
      <c r="AB3932" s="39">
        <v>0.49008480322372971</v>
      </c>
      <c r="AC3932" s="39">
        <v>0.48019693250175399</v>
      </c>
      <c r="AD3932" s="39">
        <v>0.46160387490049559</v>
      </c>
      <c r="AE3932" s="39">
        <v>0.47964006492593197</v>
      </c>
      <c r="AF3932" s="40">
        <v>0.48739628120516271</v>
      </c>
    </row>
    <row r="3933" spans="24:32">
      <c r="X3933" s="15">
        <v>3932</v>
      </c>
      <c r="Y3933" s="39">
        <v>0.49835169922868472</v>
      </c>
      <c r="Z3933" s="39">
        <v>0.47658311259292802</v>
      </c>
      <c r="AA3933" s="39">
        <v>0.49324471755247523</v>
      </c>
      <c r="AB3933" s="39">
        <v>0.49033805001678016</v>
      </c>
      <c r="AC3933" s="39">
        <v>0.49200411888958234</v>
      </c>
      <c r="AD3933" s="39">
        <v>0.4724833280323964</v>
      </c>
      <c r="AE3933" s="39">
        <v>0.48977588181366521</v>
      </c>
      <c r="AF3933" s="40">
        <v>0.48610107389018509</v>
      </c>
    </row>
    <row r="3934" spans="24:32">
      <c r="X3934" s="15">
        <v>3933</v>
      </c>
      <c r="Y3934" s="39">
        <v>0.48618266592014564</v>
      </c>
      <c r="Z3934" s="39">
        <v>0.48774039070549718</v>
      </c>
      <c r="AA3934" s="39">
        <v>0.48620211542923247</v>
      </c>
      <c r="AB3934" s="39">
        <v>0.48668929095109986</v>
      </c>
      <c r="AC3934" s="39">
        <v>0.48046350196670401</v>
      </c>
      <c r="AD3934" s="39">
        <v>0.48430899308382946</v>
      </c>
      <c r="AE3934" s="39">
        <v>0.47908862689781728</v>
      </c>
      <c r="AF3934" s="40">
        <v>0.48178767352689494</v>
      </c>
    </row>
    <row r="3935" spans="24:32">
      <c r="X3935" s="15">
        <v>3934</v>
      </c>
      <c r="Y3935" s="39">
        <v>0.48357020749885615</v>
      </c>
      <c r="Z3935" s="39">
        <v>0.48993628739769213</v>
      </c>
      <c r="AA3935" s="39">
        <v>0.48881554558377077</v>
      </c>
      <c r="AB3935" s="39">
        <v>0.49061809442432852</v>
      </c>
      <c r="AC3935" s="39">
        <v>0.47757388953278135</v>
      </c>
      <c r="AD3935" s="39">
        <v>0.48102167871009277</v>
      </c>
      <c r="AE3935" s="39">
        <v>0.48136369787313948</v>
      </c>
      <c r="AF3935" s="40">
        <v>0.48506966154420589</v>
      </c>
    </row>
    <row r="3936" spans="24:32">
      <c r="X3936" s="15">
        <v>3935</v>
      </c>
      <c r="Y3936" s="39">
        <v>0.4704631168104218</v>
      </c>
      <c r="Z3936" s="39">
        <v>0.47729620449941823</v>
      </c>
      <c r="AA3936" s="39">
        <v>0.48687960595334101</v>
      </c>
      <c r="AB3936" s="39">
        <v>0.47505043656682311</v>
      </c>
      <c r="AC3936" s="39">
        <v>0.46626630317063117</v>
      </c>
      <c r="AD3936" s="39">
        <v>0.46830168421828494</v>
      </c>
      <c r="AE3936" s="39">
        <v>0.47984317092234474</v>
      </c>
      <c r="AF3936" s="40">
        <v>0.47251804822411686</v>
      </c>
    </row>
    <row r="3937" spans="24:32">
      <c r="X3937" s="15">
        <v>3936</v>
      </c>
      <c r="Y3937" s="39">
        <v>0.47455185064120259</v>
      </c>
      <c r="Z3937" s="39">
        <v>0.48684916457624139</v>
      </c>
      <c r="AA3937" s="39">
        <v>0.49737829198704159</v>
      </c>
      <c r="AB3937" s="39">
        <v>0.47443743696643997</v>
      </c>
      <c r="AC3937" s="39">
        <v>0.46623771714089157</v>
      </c>
      <c r="AD3937" s="39">
        <v>0.48162581796798554</v>
      </c>
      <c r="AE3937" s="39">
        <v>0.49068606077346655</v>
      </c>
      <c r="AF3937" s="40">
        <v>0.46827751356152203</v>
      </c>
    </row>
    <row r="3938" spans="24:32">
      <c r="X3938" s="15">
        <v>3937</v>
      </c>
      <c r="Y3938" s="39">
        <v>0.48863349618683077</v>
      </c>
      <c r="Z3938" s="39">
        <v>0.47940120663173685</v>
      </c>
      <c r="AA3938" s="39">
        <v>0.47598208824376864</v>
      </c>
      <c r="AB3938" s="39">
        <v>0.480012034729422</v>
      </c>
      <c r="AC3938" s="39">
        <v>0.47998748499774113</v>
      </c>
      <c r="AD3938" s="39">
        <v>0.47270655804329037</v>
      </c>
      <c r="AE3938" s="39">
        <v>0.469611344845142</v>
      </c>
      <c r="AF3938" s="40">
        <v>0.47518666917626223</v>
      </c>
    </row>
    <row r="3939" spans="24:32">
      <c r="X3939" s="15">
        <v>3938</v>
      </c>
      <c r="Y3939" s="39">
        <v>0.46416625236316966</v>
      </c>
      <c r="Z3939" s="39">
        <v>0.50608771554549259</v>
      </c>
      <c r="AA3939" s="39">
        <v>0.47050289951161284</v>
      </c>
      <c r="AB3939" s="39">
        <v>0.49097184342501732</v>
      </c>
      <c r="AC3939" s="39">
        <v>0.45641661206502565</v>
      </c>
      <c r="AD3939" s="39">
        <v>0.50051429791677871</v>
      </c>
      <c r="AE3939" s="39">
        <v>0.46449811131979724</v>
      </c>
      <c r="AF3939" s="40">
        <v>0.48679805672802318</v>
      </c>
    </row>
    <row r="3940" spans="24:32">
      <c r="X3940" s="15">
        <v>3939</v>
      </c>
      <c r="Y3940" s="39">
        <v>0.47997858378446767</v>
      </c>
      <c r="Z3940" s="39">
        <v>0.4906719260858648</v>
      </c>
      <c r="AA3940" s="39">
        <v>0.47667348994042724</v>
      </c>
      <c r="AB3940" s="39">
        <v>0.49165738292940303</v>
      </c>
      <c r="AC3940" s="39">
        <v>0.47479828198794427</v>
      </c>
      <c r="AD3940" s="39">
        <v>0.48327715256077824</v>
      </c>
      <c r="AE3940" s="39">
        <v>0.46941417394891405</v>
      </c>
      <c r="AF3940" s="40">
        <v>0.48520950440587096</v>
      </c>
    </row>
    <row r="3941" spans="24:32">
      <c r="X3941" s="15">
        <v>3940</v>
      </c>
      <c r="Y3941" s="39">
        <v>0.47738103226987166</v>
      </c>
      <c r="Z3941" s="39">
        <v>0.48695394246545587</v>
      </c>
      <c r="AA3941" s="39">
        <v>0.48046447039805801</v>
      </c>
      <c r="AB3941" s="39">
        <v>0.49076564259677818</v>
      </c>
      <c r="AC3941" s="39">
        <v>0.46915787022702715</v>
      </c>
      <c r="AD3941" s="39">
        <v>0.47877606368733078</v>
      </c>
      <c r="AE3941" s="39">
        <v>0.47228537286470795</v>
      </c>
      <c r="AF3941" s="40">
        <v>0.48712658372039325</v>
      </c>
    </row>
    <row r="3942" spans="24:32">
      <c r="X3942" s="15">
        <v>3941</v>
      </c>
      <c r="Y3942" s="39">
        <v>0.49321771206006859</v>
      </c>
      <c r="Z3942" s="39">
        <v>0.49088749910265306</v>
      </c>
      <c r="AA3942" s="39">
        <v>0.48818304095935433</v>
      </c>
      <c r="AB3942" s="39">
        <v>0.49668526312522232</v>
      </c>
      <c r="AC3942" s="39">
        <v>0.48829222259433552</v>
      </c>
      <c r="AD3942" s="39">
        <v>0.48192716070552871</v>
      </c>
      <c r="AE3942" s="39">
        <v>0.4803047032701695</v>
      </c>
      <c r="AF3942" s="40">
        <v>0.49484544630323585</v>
      </c>
    </row>
    <row r="3943" spans="24:32">
      <c r="X3943" s="15">
        <v>3942</v>
      </c>
      <c r="Y3943" s="39">
        <v>0.47782214735355449</v>
      </c>
      <c r="Z3943" s="39">
        <v>0.49454575135167678</v>
      </c>
      <c r="AA3943" s="39">
        <v>0.48094132352150126</v>
      </c>
      <c r="AB3943" s="39">
        <v>0.51398264680033701</v>
      </c>
      <c r="AC3943" s="39">
        <v>0.47391073157811697</v>
      </c>
      <c r="AD3943" s="39">
        <v>0.48604152441880893</v>
      </c>
      <c r="AE3943" s="39">
        <v>0.47609350623162139</v>
      </c>
      <c r="AF3943" s="40">
        <v>0.5103841928508811</v>
      </c>
    </row>
    <row r="3944" spans="24:32">
      <c r="X3944" s="15">
        <v>3943</v>
      </c>
      <c r="Y3944" s="39">
        <v>0.48293742624809705</v>
      </c>
      <c r="Z3944" s="39">
        <v>0.48944571672629372</v>
      </c>
      <c r="AA3944" s="39">
        <v>0.49446549920062344</v>
      </c>
      <c r="AB3944" s="39">
        <v>0.480482560183426</v>
      </c>
      <c r="AC3944" s="39">
        <v>0.47784818229579246</v>
      </c>
      <c r="AD3944" s="39">
        <v>0.48209986382371989</v>
      </c>
      <c r="AE3944" s="39">
        <v>0.48550749593136661</v>
      </c>
      <c r="AF3944" s="40">
        <v>0.47753760538596002</v>
      </c>
    </row>
    <row r="3945" spans="24:32">
      <c r="X3945" s="15">
        <v>3944</v>
      </c>
      <c r="Y3945" s="39">
        <v>0.4762266615511605</v>
      </c>
      <c r="Z3945" s="39">
        <v>0.47983246874201457</v>
      </c>
      <c r="AA3945" s="39">
        <v>0.4874849932166529</v>
      </c>
      <c r="AB3945" s="39">
        <v>0.49554368377068059</v>
      </c>
      <c r="AC3945" s="39">
        <v>0.46737696096069825</v>
      </c>
      <c r="AD3945" s="39">
        <v>0.4751965578425702</v>
      </c>
      <c r="AE3945" s="39">
        <v>0.48348011778559891</v>
      </c>
      <c r="AF3945" s="40">
        <v>0.49041088934639909</v>
      </c>
    </row>
    <row r="3946" spans="24:32">
      <c r="X3946" s="15">
        <v>3945</v>
      </c>
      <c r="Y3946" s="39">
        <v>0.47220069540038562</v>
      </c>
      <c r="Z3946" s="39">
        <v>0.47862873232100361</v>
      </c>
      <c r="AA3946" s="39">
        <v>0.48704164531064992</v>
      </c>
      <c r="AB3946" s="39">
        <v>0.48316930701019567</v>
      </c>
      <c r="AC3946" s="39">
        <v>0.46531739881804807</v>
      </c>
      <c r="AD3946" s="39">
        <v>0.47186654171327835</v>
      </c>
      <c r="AE3946" s="39">
        <v>0.4782953102930893</v>
      </c>
      <c r="AF3946" s="40">
        <v>0.47889200947983868</v>
      </c>
    </row>
    <row r="3947" spans="24:32">
      <c r="X3947" s="15">
        <v>3946</v>
      </c>
      <c r="Y3947" s="39">
        <v>0.48817917833621099</v>
      </c>
      <c r="Z3947" s="39">
        <v>0.47595568062256555</v>
      </c>
      <c r="AA3947" s="39">
        <v>0.49434822213017277</v>
      </c>
      <c r="AB3947" s="39">
        <v>0.48513785082612876</v>
      </c>
      <c r="AC3947" s="39">
        <v>0.47736311788288571</v>
      </c>
      <c r="AD3947" s="39">
        <v>0.46747199275391954</v>
      </c>
      <c r="AE3947" s="39">
        <v>0.48711113466714179</v>
      </c>
      <c r="AF3947" s="40">
        <v>0.47853178408608721</v>
      </c>
    </row>
    <row r="3948" spans="24:32">
      <c r="X3948" s="15">
        <v>3947</v>
      </c>
      <c r="Y3948" s="39">
        <v>0.49952477992757266</v>
      </c>
      <c r="Z3948" s="39">
        <v>0.49687298176583544</v>
      </c>
      <c r="AA3948" s="39">
        <v>0.48152258143022081</v>
      </c>
      <c r="AB3948" s="39">
        <v>0.47321635518911026</v>
      </c>
      <c r="AC3948" s="39">
        <v>0.49142627450199122</v>
      </c>
      <c r="AD3948" s="39">
        <v>0.48818199562046616</v>
      </c>
      <c r="AE3948" s="39">
        <v>0.47406137535401438</v>
      </c>
      <c r="AF3948" s="40">
        <v>0.46713374854910866</v>
      </c>
    </row>
    <row r="3949" spans="24:32">
      <c r="X3949" s="15">
        <v>3948</v>
      </c>
      <c r="Y3949" s="39">
        <v>0.50081911770958298</v>
      </c>
      <c r="Z3949" s="39">
        <v>0.47728721089414761</v>
      </c>
      <c r="AA3949" s="39">
        <v>0.48982725964128465</v>
      </c>
      <c r="AB3949" s="39">
        <v>0.49653413239029859</v>
      </c>
      <c r="AC3949" s="39">
        <v>0.49431460744698169</v>
      </c>
      <c r="AD3949" s="39">
        <v>0.47094787797111748</v>
      </c>
      <c r="AE3949" s="39">
        <v>0.48283704211782819</v>
      </c>
      <c r="AF3949" s="40">
        <v>0.4906025427498934</v>
      </c>
    </row>
    <row r="3950" spans="24:32">
      <c r="X3950" s="15">
        <v>3949</v>
      </c>
      <c r="Y3950" s="39">
        <v>0.49161877114384606</v>
      </c>
      <c r="Z3950" s="39">
        <v>0.48167243827186218</v>
      </c>
      <c r="AA3950" s="39">
        <v>0.48213725708420807</v>
      </c>
      <c r="AB3950" s="39">
        <v>0.49504870695679681</v>
      </c>
      <c r="AC3950" s="39">
        <v>0.48448808975193414</v>
      </c>
      <c r="AD3950" s="39">
        <v>0.4744026235465657</v>
      </c>
      <c r="AE3950" s="39">
        <v>0.47650452510432384</v>
      </c>
      <c r="AF3950" s="40">
        <v>0.49136810834618783</v>
      </c>
    </row>
    <row r="3951" spans="24:32">
      <c r="X3951" s="15">
        <v>3950</v>
      </c>
      <c r="Y3951" s="39">
        <v>0.48165473260173286</v>
      </c>
      <c r="Z3951" s="39">
        <v>0.49763628327303239</v>
      </c>
      <c r="AA3951" s="39">
        <v>0.48851002161163537</v>
      </c>
      <c r="AB3951" s="39">
        <v>0.47699559846584594</v>
      </c>
      <c r="AC3951" s="39">
        <v>0.4735751454203746</v>
      </c>
      <c r="AD3951" s="39">
        <v>0.49161114445248971</v>
      </c>
      <c r="AE3951" s="39">
        <v>0.48190092721656935</v>
      </c>
      <c r="AF3951" s="40">
        <v>0.47439295496644035</v>
      </c>
    </row>
    <row r="3952" spans="24:32">
      <c r="X3952" s="15">
        <v>3951</v>
      </c>
      <c r="Y3952" s="39">
        <v>0.48289355469190937</v>
      </c>
      <c r="Z3952" s="39">
        <v>0.46843855905577497</v>
      </c>
      <c r="AA3952" s="39">
        <v>0.48680565818866361</v>
      </c>
      <c r="AB3952" s="39">
        <v>0.47178764072228602</v>
      </c>
      <c r="AC3952" s="39">
        <v>0.4745405586983098</v>
      </c>
      <c r="AD3952" s="39">
        <v>0.45983647902674457</v>
      </c>
      <c r="AE3952" s="39">
        <v>0.47685902394893909</v>
      </c>
      <c r="AF3952" s="40">
        <v>0.46544053040345829</v>
      </c>
    </row>
    <row r="3953" spans="24:32">
      <c r="X3953" s="15">
        <v>3952</v>
      </c>
      <c r="Y3953" s="39">
        <v>0.49343404805465579</v>
      </c>
      <c r="Z3953" s="39">
        <v>0.48521558044681445</v>
      </c>
      <c r="AA3953" s="39">
        <v>0.475648371043705</v>
      </c>
      <c r="AB3953" s="39">
        <v>0.48208664852306404</v>
      </c>
      <c r="AC3953" s="39">
        <v>0.48764783038220066</v>
      </c>
      <c r="AD3953" s="39">
        <v>0.47796283508496967</v>
      </c>
      <c r="AE3953" s="39">
        <v>0.47118872376982202</v>
      </c>
      <c r="AF3953" s="40">
        <v>0.4779793494815982</v>
      </c>
    </row>
    <row r="3954" spans="24:32">
      <c r="X3954" s="15">
        <v>3953</v>
      </c>
      <c r="Y3954" s="39">
        <v>0.49921291897825787</v>
      </c>
      <c r="Z3954" s="39">
        <v>0.48660340967384746</v>
      </c>
      <c r="AA3954" s="39">
        <v>0.48888040300271274</v>
      </c>
      <c r="AB3954" s="39">
        <v>0.48075013780273251</v>
      </c>
      <c r="AC3954" s="39">
        <v>0.49011692897873771</v>
      </c>
      <c r="AD3954" s="39">
        <v>0.4769207586862057</v>
      </c>
      <c r="AE3954" s="39">
        <v>0.48047692051707536</v>
      </c>
      <c r="AF3954" s="40">
        <v>0.47854324310302865</v>
      </c>
    </row>
    <row r="3955" spans="24:32">
      <c r="X3955" s="15">
        <v>3954</v>
      </c>
      <c r="Y3955" s="39">
        <v>0.49236771385073513</v>
      </c>
      <c r="Z3955" s="39">
        <v>0.49209756700272278</v>
      </c>
      <c r="AA3955" s="39">
        <v>0.49215081331454286</v>
      </c>
      <c r="AB3955" s="39">
        <v>0.49464976409713091</v>
      </c>
      <c r="AC3955" s="39">
        <v>0.4851208109063514</v>
      </c>
      <c r="AD3955" s="39">
        <v>0.48704284359837868</v>
      </c>
      <c r="AE3955" s="39">
        <v>0.48608897846620991</v>
      </c>
      <c r="AF3955" s="40">
        <v>0.49391090002218913</v>
      </c>
    </row>
    <row r="3956" spans="24:32">
      <c r="X3956" s="15">
        <v>3955</v>
      </c>
      <c r="Y3956" s="39">
        <v>0.49194826985186246</v>
      </c>
      <c r="Z3956" s="39">
        <v>0.49864773470627405</v>
      </c>
      <c r="AA3956" s="39">
        <v>0.47610684956838589</v>
      </c>
      <c r="AB3956" s="39">
        <v>0.48747160808046291</v>
      </c>
      <c r="AC3956" s="39">
        <v>0.48349382071929431</v>
      </c>
      <c r="AD3956" s="39">
        <v>0.49411842849367771</v>
      </c>
      <c r="AE3956" s="39">
        <v>0.46832841685826587</v>
      </c>
      <c r="AF3956" s="40">
        <v>0.48228073968771185</v>
      </c>
    </row>
    <row r="3957" spans="24:32">
      <c r="X3957" s="15">
        <v>3956</v>
      </c>
      <c r="Y3957" s="39">
        <v>0.48660132374751758</v>
      </c>
      <c r="Z3957" s="39">
        <v>0.48673081821254249</v>
      </c>
      <c r="AA3957" s="39">
        <v>0.49336146276807591</v>
      </c>
      <c r="AB3957" s="39">
        <v>0.48612487116601633</v>
      </c>
      <c r="AC3957" s="39">
        <v>0.47620940048332222</v>
      </c>
      <c r="AD3957" s="39">
        <v>0.47794084729655412</v>
      </c>
      <c r="AE3957" s="39">
        <v>0.48873696892571578</v>
      </c>
      <c r="AF3957" s="40">
        <v>0.48268574505409229</v>
      </c>
    </row>
    <row r="3958" spans="24:32">
      <c r="X3958" s="15">
        <v>3957</v>
      </c>
      <c r="Y3958" s="39">
        <v>0.49290888681108025</v>
      </c>
      <c r="Z3958" s="39">
        <v>0.47464733847468782</v>
      </c>
      <c r="AA3958" s="39">
        <v>0.47236498930666893</v>
      </c>
      <c r="AB3958" s="39">
        <v>0.48296760602676159</v>
      </c>
      <c r="AC3958" s="39">
        <v>0.48492684946238396</v>
      </c>
      <c r="AD3958" s="39">
        <v>0.46851295485034422</v>
      </c>
      <c r="AE3958" s="39">
        <v>0.46580986723168794</v>
      </c>
      <c r="AF3958" s="40">
        <v>0.47901112045619171</v>
      </c>
    </row>
    <row r="3959" spans="24:32">
      <c r="X3959" s="15">
        <v>3958</v>
      </c>
      <c r="Y3959" s="39">
        <v>0.48749712735344786</v>
      </c>
      <c r="Z3959" s="39">
        <v>0.49700860944964398</v>
      </c>
      <c r="AA3959" s="39">
        <v>0.48972491415216163</v>
      </c>
      <c r="AB3959" s="39">
        <v>0.49299716929388354</v>
      </c>
      <c r="AC3959" s="39">
        <v>0.47907355805875695</v>
      </c>
      <c r="AD3959" s="39">
        <v>0.49121731594139079</v>
      </c>
      <c r="AE3959" s="39">
        <v>0.48195258680169573</v>
      </c>
      <c r="AF3959" s="40">
        <v>0.49093765789113114</v>
      </c>
    </row>
    <row r="3960" spans="24:32">
      <c r="X3960" s="15">
        <v>3959</v>
      </c>
      <c r="Y3960" s="39">
        <v>0.47190258937946195</v>
      </c>
      <c r="Z3960" s="39">
        <v>0.48432335650951008</v>
      </c>
      <c r="AA3960" s="39">
        <v>0.47684212455522945</v>
      </c>
      <c r="AB3960" s="39">
        <v>0.49862859045466101</v>
      </c>
      <c r="AC3960" s="39">
        <v>0.46373482772782321</v>
      </c>
      <c r="AD3960" s="39">
        <v>0.47618808561517018</v>
      </c>
      <c r="AE3960" s="39">
        <v>0.47396039959552705</v>
      </c>
      <c r="AF3960" s="40">
        <v>0.49397149965469073</v>
      </c>
    </row>
    <row r="3961" spans="24:32">
      <c r="X3961" s="15">
        <v>3960</v>
      </c>
      <c r="Y3961" s="39">
        <v>0.48876438670783268</v>
      </c>
      <c r="Z3961" s="39">
        <v>0.49732484972730745</v>
      </c>
      <c r="AA3961" s="39">
        <v>0.49449151596761998</v>
      </c>
      <c r="AB3961" s="39">
        <v>0.50037622232698176</v>
      </c>
      <c r="AC3961" s="39">
        <v>0.48197575709954471</v>
      </c>
      <c r="AD3961" s="39">
        <v>0.48901038279720632</v>
      </c>
      <c r="AE3961" s="39">
        <v>0.48630312755601024</v>
      </c>
      <c r="AF3961" s="40">
        <v>0.49469967560904848</v>
      </c>
    </row>
    <row r="3962" spans="24:32">
      <c r="X3962" s="15">
        <v>3961</v>
      </c>
      <c r="Y3962" s="39">
        <v>0.48761199981891884</v>
      </c>
      <c r="Z3962" s="39">
        <v>0.48461248309384214</v>
      </c>
      <c r="AA3962" s="39">
        <v>0.49711118532561099</v>
      </c>
      <c r="AB3962" s="39">
        <v>0.4955283931299857</v>
      </c>
      <c r="AC3962" s="39">
        <v>0.47814979791983792</v>
      </c>
      <c r="AD3962" s="39">
        <v>0.47767504381469217</v>
      </c>
      <c r="AE3962" s="39">
        <v>0.49144120943568786</v>
      </c>
      <c r="AF3962" s="40">
        <v>0.49267357210120205</v>
      </c>
    </row>
    <row r="3963" spans="24:32">
      <c r="X3963" s="15">
        <v>3962</v>
      </c>
      <c r="Y3963" s="39">
        <v>0.48272454768545758</v>
      </c>
      <c r="Z3963" s="39">
        <v>0.4908231973620914</v>
      </c>
      <c r="AA3963" s="39">
        <v>0.49292992026214111</v>
      </c>
      <c r="AB3963" s="39">
        <v>0.49366578127041916</v>
      </c>
      <c r="AC3963" s="39">
        <v>0.47606476181880486</v>
      </c>
      <c r="AD3963" s="39">
        <v>0.48148921114308768</v>
      </c>
      <c r="AE3963" s="39">
        <v>0.48785063204497314</v>
      </c>
      <c r="AF3963" s="40">
        <v>0.48846938162464093</v>
      </c>
    </row>
    <row r="3964" spans="24:32">
      <c r="X3964" s="15">
        <v>3963</v>
      </c>
      <c r="Y3964" s="39">
        <v>0.47021990852486178</v>
      </c>
      <c r="Z3964" s="39">
        <v>0.47200221411229115</v>
      </c>
      <c r="AA3964" s="39">
        <v>0.47065674537768509</v>
      </c>
      <c r="AB3964" s="39">
        <v>0.48495898662243814</v>
      </c>
      <c r="AC3964" s="39">
        <v>0.46222536819423021</v>
      </c>
      <c r="AD3964" s="39">
        <v>0.46800359074393671</v>
      </c>
      <c r="AE3964" s="39">
        <v>0.4614733354193698</v>
      </c>
      <c r="AF3964" s="40">
        <v>0.48136526635135513</v>
      </c>
    </row>
    <row r="3965" spans="24:32">
      <c r="X3965" s="15">
        <v>3964</v>
      </c>
      <c r="Y3965" s="39">
        <v>0.49612788989018053</v>
      </c>
      <c r="Z3965" s="39">
        <v>0.48523690643730677</v>
      </c>
      <c r="AA3965" s="39">
        <v>0.50162326188312623</v>
      </c>
      <c r="AB3965" s="39">
        <v>0.48503799566762001</v>
      </c>
      <c r="AC3965" s="39">
        <v>0.48957485086042163</v>
      </c>
      <c r="AD3965" s="39">
        <v>0.47961723243536664</v>
      </c>
      <c r="AE3965" s="39">
        <v>0.4965010240931656</v>
      </c>
      <c r="AF3965" s="40">
        <v>0.48244284400954501</v>
      </c>
    </row>
    <row r="3966" spans="24:32">
      <c r="X3966" s="15">
        <v>3965</v>
      </c>
      <c r="Y3966" s="39">
        <v>0.48349131847748389</v>
      </c>
      <c r="Z3966" s="39">
        <v>0.48773923597939589</v>
      </c>
      <c r="AA3966" s="39">
        <v>0.50196936070325771</v>
      </c>
      <c r="AB3966" s="39">
        <v>0.48738663626266571</v>
      </c>
      <c r="AC3966" s="39">
        <v>0.47773506063079468</v>
      </c>
      <c r="AD3966" s="39">
        <v>0.48094623503442246</v>
      </c>
      <c r="AE3966" s="39">
        <v>0.4937049069945289</v>
      </c>
      <c r="AF3966" s="40">
        <v>0.48340434428971524</v>
      </c>
    </row>
    <row r="3967" spans="24:32">
      <c r="X3967" s="15">
        <v>3966</v>
      </c>
      <c r="Y3967" s="39">
        <v>0.48032407031909996</v>
      </c>
      <c r="Z3967" s="39">
        <v>0.46874250964074216</v>
      </c>
      <c r="AA3967" s="39">
        <v>0.47420367208172076</v>
      </c>
      <c r="AB3967" s="39">
        <v>0.4860103288197905</v>
      </c>
      <c r="AC3967" s="39">
        <v>0.47191491004030012</v>
      </c>
      <c r="AD3967" s="39">
        <v>0.46264357940473572</v>
      </c>
      <c r="AE3967" s="39">
        <v>0.46741647697986394</v>
      </c>
      <c r="AF3967" s="40">
        <v>0.48392751225713593</v>
      </c>
    </row>
    <row r="3968" spans="24:32">
      <c r="X3968" s="15">
        <v>3967</v>
      </c>
      <c r="Y3968" s="39">
        <v>0.48027305786272484</v>
      </c>
      <c r="Z3968" s="39">
        <v>0.47559851959422633</v>
      </c>
      <c r="AA3968" s="39">
        <v>0.46364099254943464</v>
      </c>
      <c r="AB3968" s="39">
        <v>0.48184351667949632</v>
      </c>
      <c r="AC3968" s="39">
        <v>0.47755757222871398</v>
      </c>
      <c r="AD3968" s="39">
        <v>0.46999537744229097</v>
      </c>
      <c r="AE3968" s="39">
        <v>0.4572108887405727</v>
      </c>
      <c r="AF3968" s="40">
        <v>0.47573357129577459</v>
      </c>
    </row>
    <row r="3969" spans="24:32">
      <c r="X3969" s="15">
        <v>3968</v>
      </c>
      <c r="Y3969" s="39">
        <v>0.48118659934500368</v>
      </c>
      <c r="Z3969" s="39">
        <v>0.49267023580676522</v>
      </c>
      <c r="AA3969" s="39">
        <v>0.48078242162094137</v>
      </c>
      <c r="AB3969" s="39">
        <v>0.48524313377365219</v>
      </c>
      <c r="AC3969" s="39">
        <v>0.47459834879089302</v>
      </c>
      <c r="AD3969" s="39">
        <v>0.48639189933272126</v>
      </c>
      <c r="AE3969" s="39">
        <v>0.47510130578822446</v>
      </c>
      <c r="AF3969" s="40">
        <v>0.47893619122112407</v>
      </c>
    </row>
    <row r="3970" spans="24:32">
      <c r="X3970" s="15">
        <v>3969</v>
      </c>
      <c r="Y3970" s="39">
        <v>0.48381049424099637</v>
      </c>
      <c r="Z3970" s="39">
        <v>0.48038563582800192</v>
      </c>
      <c r="AA3970" s="39">
        <v>0.49201374040687001</v>
      </c>
      <c r="AB3970" s="39">
        <v>0.49254987892853491</v>
      </c>
      <c r="AC3970" s="39">
        <v>0.47695027137740037</v>
      </c>
      <c r="AD3970" s="39">
        <v>0.4774409211496734</v>
      </c>
      <c r="AE3970" s="39">
        <v>0.48497947085487564</v>
      </c>
      <c r="AF3970" s="40">
        <v>0.48796501724647856</v>
      </c>
    </row>
    <row r="3971" spans="24:32">
      <c r="X3971" s="15">
        <v>3970</v>
      </c>
      <c r="Y3971" s="39">
        <v>0.48405761147560444</v>
      </c>
      <c r="Z3971" s="39">
        <v>0.47717907616285798</v>
      </c>
      <c r="AA3971" s="39">
        <v>0.48956146486080399</v>
      </c>
      <c r="AB3971" s="39">
        <v>0.48117745029198816</v>
      </c>
      <c r="AC3971" s="39">
        <v>0.47954426996641025</v>
      </c>
      <c r="AD3971" s="39">
        <v>0.47137194523627662</v>
      </c>
      <c r="AE3971" s="39">
        <v>0.48200854436587809</v>
      </c>
      <c r="AF3971" s="40">
        <v>0.48074796587870228</v>
      </c>
    </row>
    <row r="3972" spans="24:32">
      <c r="X3972" s="15">
        <v>3971</v>
      </c>
      <c r="Y3972" s="39">
        <v>0.4753971122658332</v>
      </c>
      <c r="Z3972" s="39">
        <v>0.50328382407064842</v>
      </c>
      <c r="AA3972" s="39">
        <v>0.47839760531772479</v>
      </c>
      <c r="AB3972" s="39">
        <v>0.48302250650609013</v>
      </c>
      <c r="AC3972" s="39">
        <v>0.46731574791530767</v>
      </c>
      <c r="AD3972" s="39">
        <v>0.49871087759153809</v>
      </c>
      <c r="AE3972" s="39">
        <v>0.47291363805525244</v>
      </c>
      <c r="AF3972" s="40">
        <v>0.47874531113493557</v>
      </c>
    </row>
    <row r="3973" spans="24:32">
      <c r="X3973" s="15">
        <v>3972</v>
      </c>
      <c r="Y3973" s="39">
        <v>0.48505666840774758</v>
      </c>
      <c r="Z3973" s="39">
        <v>0.49550020103167236</v>
      </c>
      <c r="AA3973" s="39">
        <v>0.48751000739619166</v>
      </c>
      <c r="AB3973" s="39">
        <v>0.48553555525001368</v>
      </c>
      <c r="AC3973" s="39">
        <v>0.47891360992440629</v>
      </c>
      <c r="AD3973" s="39">
        <v>0.49025783999394101</v>
      </c>
      <c r="AE3973" s="39">
        <v>0.47913876596888527</v>
      </c>
      <c r="AF3973" s="40">
        <v>0.48124848661044389</v>
      </c>
    </row>
    <row r="3974" spans="24:32">
      <c r="X3974" s="15">
        <v>3973</v>
      </c>
      <c r="Y3974" s="39">
        <v>0.50112599805403979</v>
      </c>
      <c r="Z3974" s="39">
        <v>0.50198766979881948</v>
      </c>
      <c r="AA3974" s="39">
        <v>0.49569909646744498</v>
      </c>
      <c r="AB3974" s="39">
        <v>0.4975107300566553</v>
      </c>
      <c r="AC3974" s="39">
        <v>0.4919979839582535</v>
      </c>
      <c r="AD3974" s="39">
        <v>0.49426161209613811</v>
      </c>
      <c r="AE3974" s="39">
        <v>0.48879502125440039</v>
      </c>
      <c r="AF3974" s="40">
        <v>0.49201900823982253</v>
      </c>
    </row>
    <row r="3975" spans="24:32">
      <c r="X3975" s="15">
        <v>3974</v>
      </c>
      <c r="Y3975" s="39">
        <v>0.49144558627739093</v>
      </c>
      <c r="Z3975" s="39">
        <v>0.47488723671306482</v>
      </c>
      <c r="AA3975" s="39">
        <v>0.47802632317428739</v>
      </c>
      <c r="AB3975" s="39">
        <v>0.4864168548659259</v>
      </c>
      <c r="AC3975" s="39">
        <v>0.48787198014503336</v>
      </c>
      <c r="AD3975" s="39">
        <v>0.46669995014166155</v>
      </c>
      <c r="AE3975" s="39">
        <v>0.46965484149052278</v>
      </c>
      <c r="AF3975" s="40">
        <v>0.48474651450634071</v>
      </c>
    </row>
    <row r="3976" spans="24:32">
      <c r="X3976" s="15">
        <v>3975</v>
      </c>
      <c r="Y3976" s="39">
        <v>0.49248496138841497</v>
      </c>
      <c r="Z3976" s="39">
        <v>0.47875597299795175</v>
      </c>
      <c r="AA3976" s="39">
        <v>0.50317646061226984</v>
      </c>
      <c r="AB3976" s="39">
        <v>0.48521917761539657</v>
      </c>
      <c r="AC3976" s="39">
        <v>0.48707432795428318</v>
      </c>
      <c r="AD3976" s="39">
        <v>0.47098784128744842</v>
      </c>
      <c r="AE3976" s="39">
        <v>0.49783966182422712</v>
      </c>
      <c r="AF3976" s="40">
        <v>0.47891164168835076</v>
      </c>
    </row>
    <row r="3977" spans="24:32">
      <c r="X3977" s="15">
        <v>3976</v>
      </c>
      <c r="Y3977" s="39">
        <v>0.48438310516621241</v>
      </c>
      <c r="Z3977" s="39">
        <v>0.47594616936667794</v>
      </c>
      <c r="AA3977" s="39">
        <v>0.49235110831639628</v>
      </c>
      <c r="AB3977" s="39">
        <v>0.48342033955074221</v>
      </c>
      <c r="AC3977" s="39">
        <v>0.4769026427693232</v>
      </c>
      <c r="AD3977" s="39">
        <v>0.46771761853671751</v>
      </c>
      <c r="AE3977" s="39">
        <v>0.48333499196024921</v>
      </c>
      <c r="AF3977" s="40">
        <v>0.47919210539699164</v>
      </c>
    </row>
    <row r="3978" spans="24:32">
      <c r="X3978" s="15">
        <v>3977</v>
      </c>
      <c r="Y3978" s="39">
        <v>0.4942714304041485</v>
      </c>
      <c r="Z3978" s="39">
        <v>0.48100859307562716</v>
      </c>
      <c r="AA3978" s="39">
        <v>0.491298473820941</v>
      </c>
      <c r="AB3978" s="39">
        <v>0.48946729199005118</v>
      </c>
      <c r="AC3978" s="39">
        <v>0.48612804692559691</v>
      </c>
      <c r="AD3978" s="39">
        <v>0.47193681351332478</v>
      </c>
      <c r="AE3978" s="39">
        <v>0.48426660583466674</v>
      </c>
      <c r="AF3978" s="40">
        <v>0.48491773762210649</v>
      </c>
    </row>
    <row r="3979" spans="24:32">
      <c r="X3979" s="15">
        <v>3978</v>
      </c>
      <c r="Y3979" s="39">
        <v>0.50338132418957382</v>
      </c>
      <c r="Z3979" s="39">
        <v>0.47646279585169432</v>
      </c>
      <c r="AA3979" s="39">
        <v>0.48159230040531881</v>
      </c>
      <c r="AB3979" s="39">
        <v>0.49002476748741297</v>
      </c>
      <c r="AC3979" s="39">
        <v>0.49490017019050198</v>
      </c>
      <c r="AD3979" s="39">
        <v>0.47085592707575002</v>
      </c>
      <c r="AE3979" s="39">
        <v>0.47673325040709413</v>
      </c>
      <c r="AF3979" s="40">
        <v>0.48692818037651814</v>
      </c>
    </row>
    <row r="3980" spans="24:32">
      <c r="X3980" s="15">
        <v>3979</v>
      </c>
      <c r="Y3980" s="39">
        <v>0.49493913634000791</v>
      </c>
      <c r="Z3980" s="39">
        <v>0.4846717306459975</v>
      </c>
      <c r="AA3980" s="39">
        <v>0.49008820275443243</v>
      </c>
      <c r="AB3980" s="39">
        <v>0.48514964231827296</v>
      </c>
      <c r="AC3980" s="39">
        <v>0.48538645022540594</v>
      </c>
      <c r="AD3980" s="39">
        <v>0.47896024435641171</v>
      </c>
      <c r="AE3980" s="39">
        <v>0.48251727997242794</v>
      </c>
      <c r="AF3980" s="40">
        <v>0.48058014608361205</v>
      </c>
    </row>
    <row r="3981" spans="24:32">
      <c r="X3981" s="15">
        <v>3980</v>
      </c>
      <c r="Y3981" s="39">
        <v>0.48188958526381742</v>
      </c>
      <c r="Z3981" s="39">
        <v>0.47981897546919738</v>
      </c>
      <c r="AA3981" s="39">
        <v>0.48183242517834696</v>
      </c>
      <c r="AB3981" s="39">
        <v>0.47715042860186657</v>
      </c>
      <c r="AC3981" s="39">
        <v>0.47212728136638699</v>
      </c>
      <c r="AD3981" s="39">
        <v>0.47398437257071507</v>
      </c>
      <c r="AE3981" s="39">
        <v>0.47602520985285995</v>
      </c>
      <c r="AF3981" s="40">
        <v>0.47433220760704653</v>
      </c>
    </row>
    <row r="3982" spans="24:32">
      <c r="X3982" s="15">
        <v>3981</v>
      </c>
      <c r="Y3982" s="39">
        <v>0.47909396407565358</v>
      </c>
      <c r="Z3982" s="39">
        <v>0.48089870748543767</v>
      </c>
      <c r="AA3982" s="39">
        <v>0.47584124335635075</v>
      </c>
      <c r="AB3982" s="39">
        <v>0.48259136419402848</v>
      </c>
      <c r="AC3982" s="39">
        <v>0.47660105773254602</v>
      </c>
      <c r="AD3982" s="39">
        <v>0.47446077800769709</v>
      </c>
      <c r="AE3982" s="39">
        <v>0.46824415777032963</v>
      </c>
      <c r="AF3982" s="40">
        <v>0.48042993175560667</v>
      </c>
    </row>
    <row r="3983" spans="24:32">
      <c r="X3983" s="15">
        <v>3982</v>
      </c>
      <c r="Y3983" s="39">
        <v>0.49664368638757589</v>
      </c>
      <c r="Z3983" s="39">
        <v>0.48337053753358672</v>
      </c>
      <c r="AA3983" s="39">
        <v>0.49355601409671751</v>
      </c>
      <c r="AB3983" s="39">
        <v>0.4988030031070253</v>
      </c>
      <c r="AC3983" s="39">
        <v>0.48811389919144771</v>
      </c>
      <c r="AD3983" s="39">
        <v>0.47510362329654721</v>
      </c>
      <c r="AE3983" s="39">
        <v>0.48773817505716266</v>
      </c>
      <c r="AF3983" s="40">
        <v>0.49550110176374546</v>
      </c>
    </row>
    <row r="3984" spans="24:32">
      <c r="X3984" s="15">
        <v>3983</v>
      </c>
      <c r="Y3984" s="39">
        <v>0.49466691721212541</v>
      </c>
      <c r="Z3984" s="39">
        <v>0.50423153685914279</v>
      </c>
      <c r="AA3984" s="39">
        <v>0.49842294852283719</v>
      </c>
      <c r="AB3984" s="39">
        <v>0.49689872870090579</v>
      </c>
      <c r="AC3984" s="39">
        <v>0.48623151396222525</v>
      </c>
      <c r="AD3984" s="39">
        <v>0.49726585745220248</v>
      </c>
      <c r="AE3984" s="39">
        <v>0.49172869201921976</v>
      </c>
      <c r="AF3984" s="40">
        <v>0.49520357066652138</v>
      </c>
    </row>
    <row r="3985" spans="24:32">
      <c r="X3985" s="15">
        <v>3984</v>
      </c>
      <c r="Y3985" s="39">
        <v>0.49269815219643281</v>
      </c>
      <c r="Z3985" s="39">
        <v>0.47721697637809168</v>
      </c>
      <c r="AA3985" s="39">
        <v>0.4935737776189853</v>
      </c>
      <c r="AB3985" s="39">
        <v>0.49211281888046571</v>
      </c>
      <c r="AC3985" s="39">
        <v>0.48572585311905986</v>
      </c>
      <c r="AD3985" s="39">
        <v>0.46852634246360864</v>
      </c>
      <c r="AE3985" s="39">
        <v>0.48784394022741479</v>
      </c>
      <c r="AF3985" s="40">
        <v>0.48451370899002083</v>
      </c>
    </row>
    <row r="3986" spans="24:32">
      <c r="X3986" s="15">
        <v>3985</v>
      </c>
      <c r="Y3986" s="39">
        <v>0.48977375749065749</v>
      </c>
      <c r="Z3986" s="39">
        <v>0.48117510420000148</v>
      </c>
      <c r="AA3986" s="39">
        <v>0.47890749820500067</v>
      </c>
      <c r="AB3986" s="39">
        <v>0.486809101458966</v>
      </c>
      <c r="AC3986" s="39">
        <v>0.48215996537350841</v>
      </c>
      <c r="AD3986" s="39">
        <v>0.47559393529898591</v>
      </c>
      <c r="AE3986" s="39">
        <v>0.47146643911295039</v>
      </c>
      <c r="AF3986" s="40">
        <v>0.48284393425967315</v>
      </c>
    </row>
    <row r="3987" spans="24:32">
      <c r="X3987" s="15">
        <v>3986</v>
      </c>
      <c r="Y3987" s="39">
        <v>0.49374216609338734</v>
      </c>
      <c r="Z3987" s="39">
        <v>0.47736792400243727</v>
      </c>
      <c r="AA3987" s="39">
        <v>0.49001012445551262</v>
      </c>
      <c r="AB3987" s="39">
        <v>0.48896895141546676</v>
      </c>
      <c r="AC3987" s="39">
        <v>0.48775077234734782</v>
      </c>
      <c r="AD3987" s="39">
        <v>0.47118399642264092</v>
      </c>
      <c r="AE3987" s="39">
        <v>0.48249290865397293</v>
      </c>
      <c r="AF3987" s="40">
        <v>0.48324287200448901</v>
      </c>
    </row>
    <row r="3988" spans="24:32">
      <c r="X3988" s="15">
        <v>3987</v>
      </c>
      <c r="Y3988" s="39">
        <v>0.48816531963131909</v>
      </c>
      <c r="Z3988" s="39">
        <v>0.4664379184444476</v>
      </c>
      <c r="AA3988" s="39">
        <v>0.49071793066158864</v>
      </c>
      <c r="AB3988" s="39">
        <v>0.49281823145909343</v>
      </c>
      <c r="AC3988" s="39">
        <v>0.47872125367545371</v>
      </c>
      <c r="AD3988" s="39">
        <v>0.46216059541677129</v>
      </c>
      <c r="AE3988" s="39">
        <v>0.48560922312945232</v>
      </c>
      <c r="AF3988" s="40">
        <v>0.48967780996024207</v>
      </c>
    </row>
    <row r="3989" spans="24:32">
      <c r="X3989" s="15">
        <v>3988</v>
      </c>
      <c r="Y3989" s="39">
        <v>0.48129477677569721</v>
      </c>
      <c r="Z3989" s="39">
        <v>0.48593566727226478</v>
      </c>
      <c r="AA3989" s="39">
        <v>0.49396004665988763</v>
      </c>
      <c r="AB3989" s="39">
        <v>0.48378881031182647</v>
      </c>
      <c r="AC3989" s="39">
        <v>0.47584537514197406</v>
      </c>
      <c r="AD3989" s="39">
        <v>0.47730859323540431</v>
      </c>
      <c r="AE3989" s="39">
        <v>0.48529825517884689</v>
      </c>
      <c r="AF3989" s="40">
        <v>0.48039566808479484</v>
      </c>
    </row>
    <row r="3990" spans="24:32">
      <c r="X3990" s="15">
        <v>3989</v>
      </c>
      <c r="Y3990" s="39">
        <v>0.49734137564582653</v>
      </c>
      <c r="Z3990" s="39">
        <v>0.49683128136840687</v>
      </c>
      <c r="AA3990" s="39">
        <v>0.48758868223609486</v>
      </c>
      <c r="AB3990" s="39">
        <v>0.47486064245951598</v>
      </c>
      <c r="AC3990" s="39">
        <v>0.48941758990117612</v>
      </c>
      <c r="AD3990" s="39">
        <v>0.48591625175116504</v>
      </c>
      <c r="AE3990" s="39">
        <v>0.48301163246923245</v>
      </c>
      <c r="AF3990" s="40">
        <v>0.46560399033148642</v>
      </c>
    </row>
    <row r="3991" spans="24:32">
      <c r="X3991" s="15">
        <v>3990</v>
      </c>
      <c r="Y3991" s="39">
        <v>0.4917749371046562</v>
      </c>
      <c r="Z3991" s="39">
        <v>0.48311736126772387</v>
      </c>
      <c r="AA3991" s="39">
        <v>0.46578973559062442</v>
      </c>
      <c r="AB3991" s="39">
        <v>0.47787899322810257</v>
      </c>
      <c r="AC3991" s="39">
        <v>0.4877261725741171</v>
      </c>
      <c r="AD3991" s="39">
        <v>0.47503865157773845</v>
      </c>
      <c r="AE3991" s="39">
        <v>0.45753409427424069</v>
      </c>
      <c r="AF3991" s="40">
        <v>0.47300983576226202</v>
      </c>
    </row>
    <row r="3992" spans="24:32">
      <c r="X3992" s="15">
        <v>3991</v>
      </c>
      <c r="Y3992" s="39">
        <v>0.47026179937556589</v>
      </c>
      <c r="Z3992" s="39">
        <v>0.4916239753892544</v>
      </c>
      <c r="AA3992" s="39">
        <v>0.47051451245687231</v>
      </c>
      <c r="AB3992" s="39">
        <v>0.49431061445245894</v>
      </c>
      <c r="AC3992" s="39">
        <v>0.46522249025190393</v>
      </c>
      <c r="AD3992" s="39">
        <v>0.4819856670214645</v>
      </c>
      <c r="AE3992" s="39">
        <v>0.46370095398199251</v>
      </c>
      <c r="AF3992" s="40">
        <v>0.4885049234559527</v>
      </c>
    </row>
    <row r="3993" spans="24:32">
      <c r="X3993" s="15">
        <v>3992</v>
      </c>
      <c r="Y3993" s="39">
        <v>0.50098344741937839</v>
      </c>
      <c r="Z3993" s="39">
        <v>0.49123866329471588</v>
      </c>
      <c r="AA3993" s="39">
        <v>0.46959430203718378</v>
      </c>
      <c r="AB3993" s="39">
        <v>0.4835271429672755</v>
      </c>
      <c r="AC3993" s="39">
        <v>0.49725248500529229</v>
      </c>
      <c r="AD3993" s="39">
        <v>0.48227879588137473</v>
      </c>
      <c r="AE3993" s="39">
        <v>0.46238297782210591</v>
      </c>
      <c r="AF3993" s="40">
        <v>0.47986621202914204</v>
      </c>
    </row>
    <row r="3994" spans="24:32">
      <c r="X3994" s="15">
        <v>3993</v>
      </c>
      <c r="Y3994" s="39">
        <v>0.49936427456112242</v>
      </c>
      <c r="Z3994" s="39">
        <v>0.47937576234901019</v>
      </c>
      <c r="AA3994" s="39">
        <v>0.50082567180048143</v>
      </c>
      <c r="AB3994" s="39">
        <v>0.48374519243605085</v>
      </c>
      <c r="AC3994" s="39">
        <v>0.48971293995089105</v>
      </c>
      <c r="AD3994" s="39">
        <v>0.47274084636951497</v>
      </c>
      <c r="AE3994" s="39">
        <v>0.49283734281824187</v>
      </c>
      <c r="AF3994" s="40">
        <v>0.47708312903816374</v>
      </c>
    </row>
    <row r="3995" spans="24:32">
      <c r="X3995" s="15">
        <v>3994</v>
      </c>
      <c r="Y3995" s="39">
        <v>0.47760459062518568</v>
      </c>
      <c r="Z3995" s="39">
        <v>0.48566034780226641</v>
      </c>
      <c r="AA3995" s="39">
        <v>0.49384584667729758</v>
      </c>
      <c r="AB3995" s="39">
        <v>0.49510272537272143</v>
      </c>
      <c r="AC3995" s="39">
        <v>0.47154355194997116</v>
      </c>
      <c r="AD3995" s="39">
        <v>0.47875782845054043</v>
      </c>
      <c r="AE3995" s="39">
        <v>0.48444593556575244</v>
      </c>
      <c r="AF3995" s="40">
        <v>0.49079714011968734</v>
      </c>
    </row>
    <row r="3996" spans="24:32">
      <c r="X3996" s="15">
        <v>3995</v>
      </c>
      <c r="Y3996" s="39">
        <v>0.494657933541154</v>
      </c>
      <c r="Z3996" s="39">
        <v>0.48964333868495785</v>
      </c>
      <c r="AA3996" s="39">
        <v>0.47650095316946922</v>
      </c>
      <c r="AB3996" s="39">
        <v>0.49073333087779486</v>
      </c>
      <c r="AC3996" s="39">
        <v>0.48853174632647128</v>
      </c>
      <c r="AD3996" s="39">
        <v>0.48336388542217407</v>
      </c>
      <c r="AE3996" s="39">
        <v>0.47097077445437185</v>
      </c>
      <c r="AF3996" s="40">
        <v>0.48242179465919638</v>
      </c>
    </row>
    <row r="3997" spans="24:32">
      <c r="X3997" s="15">
        <v>3996</v>
      </c>
      <c r="Y3997" s="39">
        <v>0.4923726031317972</v>
      </c>
      <c r="Z3997" s="39">
        <v>0.46986037072763276</v>
      </c>
      <c r="AA3997" s="39">
        <v>0.4893512238222521</v>
      </c>
      <c r="AB3997" s="39">
        <v>0.48460312059114724</v>
      </c>
      <c r="AC3997" s="39">
        <v>0.48477278480808289</v>
      </c>
      <c r="AD3997" s="39">
        <v>0.46183229854872254</v>
      </c>
      <c r="AE3997" s="39">
        <v>0.48096536670379314</v>
      </c>
      <c r="AF3997" s="40">
        <v>0.48129757726317207</v>
      </c>
    </row>
    <row r="3998" spans="24:32">
      <c r="X3998" s="15">
        <v>3997</v>
      </c>
      <c r="Y3998" s="39">
        <v>0.49141959268826263</v>
      </c>
      <c r="Z3998" s="39">
        <v>0.48777396597884459</v>
      </c>
      <c r="AA3998" s="39">
        <v>0.48600973148497756</v>
      </c>
      <c r="AB3998" s="39">
        <v>0.48406812970802454</v>
      </c>
      <c r="AC3998" s="39">
        <v>0.48443711240038034</v>
      </c>
      <c r="AD3998" s="39">
        <v>0.48073449395560297</v>
      </c>
      <c r="AE3998" s="39">
        <v>0.47848569498372989</v>
      </c>
      <c r="AF3998" s="40">
        <v>0.48211654516109392</v>
      </c>
    </row>
    <row r="3999" spans="24:32">
      <c r="X3999" s="15">
        <v>3998</v>
      </c>
      <c r="Y3999" s="39">
        <v>0.48105463493278067</v>
      </c>
      <c r="Z3999" s="39">
        <v>0.48301316962806939</v>
      </c>
      <c r="AA3999" s="39">
        <v>0.47443041131286701</v>
      </c>
      <c r="AB3999" s="39">
        <v>0.48706447929179475</v>
      </c>
      <c r="AC3999" s="39">
        <v>0.47552370527510013</v>
      </c>
      <c r="AD3999" s="39">
        <v>0.47957475725995524</v>
      </c>
      <c r="AE3999" s="39">
        <v>0.46764260727756563</v>
      </c>
      <c r="AF3999" s="40">
        <v>0.48252526056881789</v>
      </c>
    </row>
    <row r="4000" spans="24:32">
      <c r="X4000" s="15">
        <v>3999</v>
      </c>
      <c r="Y4000" s="39">
        <v>0.4840822365978224</v>
      </c>
      <c r="Z4000" s="39">
        <v>0.47410011460942175</v>
      </c>
      <c r="AA4000" s="39">
        <v>0.48942910843037402</v>
      </c>
      <c r="AB4000" s="39">
        <v>0.49723556809884567</v>
      </c>
      <c r="AC4000" s="39">
        <v>0.47877130855007077</v>
      </c>
      <c r="AD4000" s="39">
        <v>0.46748830307908495</v>
      </c>
      <c r="AE4000" s="39">
        <v>0.4833029620199023</v>
      </c>
      <c r="AF4000" s="40">
        <v>0.49162096120477683</v>
      </c>
    </row>
    <row r="4001" spans="24:32">
      <c r="X4001" s="17">
        <v>4000</v>
      </c>
      <c r="Y4001" s="41">
        <v>0.4799708790641844</v>
      </c>
      <c r="Z4001" s="41">
        <v>0.50615390774580826</v>
      </c>
      <c r="AA4001" s="41">
        <v>0.48176297450886957</v>
      </c>
      <c r="AB4001" s="41">
        <v>0.49383745181325256</v>
      </c>
      <c r="AC4001" s="41">
        <v>0.47287718719046867</v>
      </c>
      <c r="AD4001" s="41">
        <v>0.49596799315113166</v>
      </c>
      <c r="AE4001" s="41">
        <v>0.47537417756408135</v>
      </c>
      <c r="AF4001" s="42">
        <v>0.49106377974850185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00_LEER_PRIMERO</vt:lpstr>
      <vt:lpstr>01_RESULTADO_AGOSTO</vt:lpstr>
      <vt:lpstr>02_ESCALERA_AJUSTES</vt:lpstr>
      <vt:lpstr>03_CURVA_MODELOS</vt:lpstr>
      <vt:lpstr>04_PESOS_Y_COBERTURA</vt:lpstr>
      <vt:lpstr>05_VINCULACION</vt:lpstr>
      <vt:lpstr>06_VALIDACION</vt:lpstr>
      <vt:lpstr>07_SENSIBILIDAD</vt:lpstr>
      <vt:lpstr>08_METODO_Y_TRAZA</vt:lpstr>
      <vt:lpstr>09_BASE_AUDITABLE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podcast</cp:lastModifiedBy>
  <dcterms:modified xsi:type="dcterms:W3CDTF">2026-08-10T19:24:53Z</dcterms:modified>
</cp:coreProperties>
</file>